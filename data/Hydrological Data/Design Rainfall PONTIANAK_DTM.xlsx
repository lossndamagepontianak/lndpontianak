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dmrc25laptop\Desktop\"/>
    </mc:Choice>
  </mc:AlternateContent>
  <xr:revisionPtr revIDLastSave="0" documentId="13_ncr:1_{19540D7F-35A1-4AEF-877D-B2A712D2C452}" xr6:coauthVersionLast="47" xr6:coauthVersionMax="47" xr10:uidLastSave="{00000000-0000-0000-0000-000000000000}"/>
  <bookViews>
    <workbookView xWindow="-120" yWindow="-120" windowWidth="20730" windowHeight="11040" tabRatio="601" firstSheet="7" activeTab="7" xr2:uid="{00000000-000D-0000-FFFF-FFFF00000000}"/>
  </bookViews>
  <sheets>
    <sheet name="Rainfall Data" sheetId="9" r:id="rId1"/>
    <sheet name="Thiessen Polygon Influence Zone" sheetId="7" r:id="rId2"/>
    <sheet name="Thiessen" sheetId="8" r:id="rId3"/>
    <sheet name="Input Data" sheetId="1" r:id="rId4"/>
    <sheet name="Statistical Parameters" sheetId="2" r:id="rId5"/>
    <sheet name="TABEL CS &amp; G" sheetId="5" r:id="rId6"/>
    <sheet name="Design Rainfall" sheetId="4" r:id="rId7"/>
    <sheet name="ABM" sheetId="1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" localSheetId="7">Insed</definedName>
    <definedName name="_" localSheetId="2">Insed</definedName>
    <definedName name="_" localSheetId="1">Insed</definedName>
    <definedName name="_">Insed</definedName>
    <definedName name="_1">#REF!</definedName>
    <definedName name="_2">#REF!</definedName>
    <definedName name="_3">#REF!</definedName>
    <definedName name="_4">#REF!</definedName>
    <definedName name="_5">#REF!</definedName>
    <definedName name="_a">#REF!</definedName>
    <definedName name="_Fill" hidden="1">#REF!</definedName>
    <definedName name="_Key1" hidden="1">#REF!</definedName>
    <definedName name="_Order1" hidden="1">0</definedName>
    <definedName name="_Sort" hidden="1">#REF!</definedName>
    <definedName name="A" localSheetId="2">#REF!</definedName>
    <definedName name="A" localSheetId="1">#REF!</definedName>
    <definedName name="A">#REF!</definedName>
    <definedName name="aa">#REF!</definedName>
    <definedName name="aaaa">#REF!</definedName>
    <definedName name="AB" localSheetId="2">[1]bener!$E$11</definedName>
    <definedName name="AB" localSheetId="1">[1]bener!$E$11</definedName>
    <definedName name="AB">[2]bener!$E$11</definedName>
    <definedName name="ass">#REF!</definedName>
    <definedName name="B">'[3]METODE HASPERS'!$B$1:$C$5</definedName>
    <definedName name="BanyakData" localSheetId="2">'[4]Statistik Dasar'!$D$35</definedName>
    <definedName name="BanyakData" localSheetId="1">'[4]Statistik Dasar'!$D$35</definedName>
    <definedName name="BanyakData">'[5]Statistik Dasar'!$D$19</definedName>
    <definedName name="baru" localSheetId="2">#REF!</definedName>
    <definedName name="baru" localSheetId="1">#REF!</definedName>
    <definedName name="baru">#REF!</definedName>
    <definedName name="C_">#REF!</definedName>
    <definedName name="CaraUrutData" localSheetId="7">'[6]Input Data'!#REF!</definedName>
    <definedName name="CaraUrutData" localSheetId="6">'[5]Input Data'!#REF!</definedName>
    <definedName name="CaraUrutData" localSheetId="4">'[5]Input Data'!#REF!</definedName>
    <definedName name="CaraUrutData">'Input Data'!#REF!</definedName>
    <definedName name="ChiKritik" localSheetId="2">#REF!</definedName>
    <definedName name="ChiKritik" localSheetId="1">#REF!</definedName>
    <definedName name="ChiKritik">'[5]Uji Chi-Square'!$H$31</definedName>
    <definedName name="ChiKuadratGumbel" localSheetId="2">#REF!</definedName>
    <definedName name="ChiKuadratGumbel" localSheetId="1">#REF!</definedName>
    <definedName name="ChiKuadratGumbel">#REF!</definedName>
    <definedName name="ChiKuadratLogNorm" localSheetId="2">#REF!</definedName>
    <definedName name="ChiKuadratLogNorm" localSheetId="1">#REF!</definedName>
    <definedName name="ChiKuadratLogNorm">#REF!</definedName>
    <definedName name="ChiKuadratLogPearson" localSheetId="2">#REF!</definedName>
    <definedName name="ChiKuadratLogPearson" localSheetId="1">#REF!</definedName>
    <definedName name="ChiKuadratLogPearson">#REF!</definedName>
    <definedName name="ChiKuadratMinimum" localSheetId="2">#REF!</definedName>
    <definedName name="ChiKuadratMinimum" localSheetId="1">#REF!</definedName>
    <definedName name="ChiKuadratMinimum">'[5]Uji Chi-Square'!$H$29</definedName>
    <definedName name="CI" localSheetId="7">'[6]Input Data'!#REF!</definedName>
    <definedName name="CI" localSheetId="6">'[5]Input Data'!#REF!</definedName>
    <definedName name="CI" localSheetId="4">'[5]Input Data'!#REF!</definedName>
    <definedName name="CI" localSheetId="2">'[4]Input Data'!$B$5</definedName>
    <definedName name="CI" localSheetId="1">'[4]Input Data'!$B$5</definedName>
    <definedName name="CI">'Input Data'!#REF!</definedName>
    <definedName name="CsX" localSheetId="2">[7]statis!$D$19</definedName>
    <definedName name="CsX" localSheetId="1">[7]statis!$D$19</definedName>
    <definedName name="CsX">[8]statis!$D$19</definedName>
    <definedName name="D">#REF!</definedName>
    <definedName name="Data">'Input Data'!$B$2:$C$13</definedName>
    <definedName name="Dd">#REF!</definedName>
    <definedName name="Delta" localSheetId="2">#REF!</definedName>
    <definedName name="Delta" localSheetId="1">#REF!</definedName>
    <definedName name="Delta">#REF!</definedName>
    <definedName name="DeltaMaksMin" localSheetId="2">#REF!</definedName>
    <definedName name="DeltaMaksMin" localSheetId="1">#REF!</definedName>
    <definedName name="DeltaMaksMin">'[5]Uji Smirnov-Kolmogorov'!$E$20</definedName>
    <definedName name="Deltanorm" localSheetId="2">#REF!</definedName>
    <definedName name="Deltanorm" localSheetId="1">#REF!</definedName>
    <definedName name="Deltanorm">#REF!</definedName>
    <definedName name="dfgr">#REF!</definedName>
    <definedName name="DKRITIK" localSheetId="2">#REF!</definedName>
    <definedName name="DKRITIK" localSheetId="1">#REF!</definedName>
    <definedName name="DKRITIK">'[5]Uji Smirnov-Kolmogorov'!$B$20</definedName>
    <definedName name="DMaks" localSheetId="2">'[9]Uji Smirnov-Kolmogorov'!#REF!</definedName>
    <definedName name="DMaks" localSheetId="1">'[9]Uji Smirnov-Kolmogorov'!#REF!</definedName>
    <definedName name="DMaks">'[5]Uji Smirnov-Kolmogorov'!#REF!</definedName>
    <definedName name="DMaksGumbel" localSheetId="2">#REF!</definedName>
    <definedName name="DMaksGumbel" localSheetId="1">#REF!</definedName>
    <definedName name="DMaksGumbel">#REF!</definedName>
    <definedName name="DMaksLogNorm" localSheetId="2">#REF!</definedName>
    <definedName name="DMaksLogNorm" localSheetId="1">#REF!</definedName>
    <definedName name="DMaksLogNorm">#REF!</definedName>
    <definedName name="DMaksLogPearson" localSheetId="2">'[9]Uji Smirnov-Kolmogorov'!#REF!</definedName>
    <definedName name="DMaksLogPearson" localSheetId="1">'[9]Uji Smirnov-Kolmogorov'!#REF!</definedName>
    <definedName name="DMaksLogPearson">'[5]Uji Smirnov-Kolmogorov'!#REF!</definedName>
    <definedName name="DMaksNorm" localSheetId="2">#REF!</definedName>
    <definedName name="DMaksNorm" localSheetId="1">#REF!</definedName>
    <definedName name="DMaksNorm">#REF!</definedName>
    <definedName name="E">#REF!</definedName>
    <definedName name="ee">'[9]Uji Smirnov-Kolmogorov'!#REF!</definedName>
    <definedName name="Ef" localSheetId="2">#REF!</definedName>
    <definedName name="Ef" localSheetId="1">#REF!</definedName>
    <definedName name="Ef">#REF!</definedName>
    <definedName name="EfDikurangOf" localSheetId="2">#REF!</definedName>
    <definedName name="EfDikurangOf" localSheetId="1">#REF!</definedName>
    <definedName name="EfDikurangOf">#REF!</definedName>
    <definedName name="EfDikurangOfKuadrat" localSheetId="2">#REF!</definedName>
    <definedName name="EfDikurangOfKuadrat" localSheetId="1">#REF!</definedName>
    <definedName name="EfDikurangOfKuadrat">#REF!</definedName>
    <definedName name="ETO">#REF!</definedName>
    <definedName name="F">#REF!</definedName>
    <definedName name="FirstCell" localSheetId="2">'[9]Statistik Dasar'!#REF!</definedName>
    <definedName name="FirstCell" localSheetId="1">'[9]Statistik Dasar'!#REF!</definedName>
    <definedName name="FirstCell">'[5]Statistik Dasar'!#REF!</definedName>
    <definedName name="G">#REF!</definedName>
    <definedName name="H">#REF!</definedName>
    <definedName name="I" localSheetId="2">#REF!</definedName>
    <definedName name="I" localSheetId="1">#REF!</definedName>
    <definedName name="I">#REF!</definedName>
    <definedName name="InputData">'Input Data'!$B$2:$C$65516</definedName>
    <definedName name="J">#REF!</definedName>
    <definedName name="JudulData" localSheetId="7">'[6]Input Data'!#REF!</definedName>
    <definedName name="JudulData" localSheetId="6">'[5]Input Data'!#REF!</definedName>
    <definedName name="JudulData" localSheetId="4">'[5]Input Data'!#REF!</definedName>
    <definedName name="JudulData">'Input Data'!#REF!</definedName>
    <definedName name="JudulKolomKedua">'Input Data'!$C$1</definedName>
    <definedName name="JudulKolomPertama">'Input Data'!$B$1</definedName>
    <definedName name="JudulProbability" localSheetId="7">'[6]Input Data'!#REF!</definedName>
    <definedName name="JudulProbability" localSheetId="6">'[5]Input Data'!#REF!</definedName>
    <definedName name="JudulProbability" localSheetId="4">'[5]Input Data'!#REF!</definedName>
    <definedName name="JudulProbability">'Input Data'!#REF!</definedName>
    <definedName name="JumlahKasu" localSheetId="7">'[6]Input Data'!#REF!</definedName>
    <definedName name="JumlahKasu" localSheetId="6">'[5]Input Data'!#REF!</definedName>
    <definedName name="JumlahKasu" localSheetId="4">'[5]Input Data'!#REF!</definedName>
    <definedName name="JumlahKasu">'Input Data'!#REF!</definedName>
    <definedName name="JumlahKasus" localSheetId="7">'[6]Input Data'!#REF!</definedName>
    <definedName name="JumlahKasus" localSheetId="6">'[5]Input Data'!#REF!</definedName>
    <definedName name="JumlahKasus" localSheetId="4">'[5]Input Data'!#REF!</definedName>
    <definedName name="JumlahKasus">'Input Data'!#REF!</definedName>
    <definedName name="JumlahKelas" localSheetId="7">'[6]Input Data'!#REF!</definedName>
    <definedName name="JumlahKelas" localSheetId="6">'[5]Input Data'!#REF!</definedName>
    <definedName name="JumlahKelas" localSheetId="4">'[5]Input Data'!#REF!</definedName>
    <definedName name="JumlahKelas" localSheetId="2">'[4]Input Data'!$B$4</definedName>
    <definedName name="JumlahKelas" localSheetId="1">'[4]Input Data'!$B$4</definedName>
    <definedName name="JumlahKelas">'Input Data'!#REF!</definedName>
    <definedName name="K">#REF!</definedName>
    <definedName name="KolomEmpat" localSheetId="2">#REF!</definedName>
    <definedName name="KolomEmpat" localSheetId="1">#REF!</definedName>
    <definedName name="KolomEmpat">#REF!</definedName>
    <definedName name="l" localSheetId="2">[10]statis!$D$9</definedName>
    <definedName name="l" localSheetId="1">[10]statis!$D$9</definedName>
    <definedName name="l">[11]statis!$D$9</definedName>
    <definedName name="LnCS" localSheetId="2">'[4]Statistik Dasar'!$E$38</definedName>
    <definedName name="LnCS" localSheetId="1">'[4]Statistik Dasar'!$E$38</definedName>
    <definedName name="LnCS">'[5]Statistik Dasar'!$E$22</definedName>
    <definedName name="LnRerata" localSheetId="2">'[4]Statistik Dasar'!$E$36</definedName>
    <definedName name="LnRerata" localSheetId="1">'[4]Statistik Dasar'!$E$36</definedName>
    <definedName name="LnRerata">'[5]Statistik Dasar'!$E$20</definedName>
    <definedName name="LnSimpanganBaku" localSheetId="2">'[4]Statistik Dasar'!$E$37</definedName>
    <definedName name="LnSimpanganBaku" localSheetId="1">'[4]Statistik Dasar'!$E$37</definedName>
    <definedName name="LnSimpanganBaku">'[5]Statistik Dasar'!$E$21</definedName>
    <definedName name="LogPeluang" localSheetId="2">#REF!</definedName>
    <definedName name="LogPeluang" localSheetId="1">#REF!</definedName>
    <definedName name="LogPeluang">#REF!</definedName>
    <definedName name="LogUrutData" localSheetId="2">#REF!</definedName>
    <definedName name="LogUrutData" localSheetId="1">#REF!</definedName>
    <definedName name="LogUrutData">#REF!</definedName>
    <definedName name="M">#REF!</definedName>
    <definedName name="MyString" localSheetId="2">'[4]Statistik Dasar'!$D$4:$D$33</definedName>
    <definedName name="MyString" localSheetId="1">'[4]Statistik Dasar'!$D$4:$D$33</definedName>
    <definedName name="MyString">'[5]Statistik Dasar'!$D$4:$D$17</definedName>
    <definedName name="N">#REF!</definedName>
    <definedName name="NFR" localSheetId="7">Insed</definedName>
    <definedName name="NFR" localSheetId="2">Insed</definedName>
    <definedName name="NFR">Insed</definedName>
    <definedName name="NomerPertama" localSheetId="2">'[9]Statistik Dasar'!#REF!</definedName>
    <definedName name="NomerPertama" localSheetId="1">'[9]Statistik Dasar'!#REF!</definedName>
    <definedName name="NomerPertama">'[5]Statistik Dasar'!#REF!</definedName>
    <definedName name="O">#REF!</definedName>
    <definedName name="Of" localSheetId="2">#REF!</definedName>
    <definedName name="Of" localSheetId="1">#REF!</definedName>
    <definedName name="Of">#REF!</definedName>
    <definedName name="PD">#REF!</definedName>
    <definedName name="pe">#REF!</definedName>
    <definedName name="Peluang" localSheetId="2">#REF!</definedName>
    <definedName name="Peluang" localSheetId="1">#REF!</definedName>
    <definedName name="Peluang">#REF!</definedName>
    <definedName name="PF">#REF!</definedName>
    <definedName name="pi" localSheetId="2">[7]statis!$D$24</definedName>
    <definedName name="pi" localSheetId="1">[7]statis!$D$24</definedName>
    <definedName name="pi">[8]statis!$D$24</definedName>
    <definedName name="_xlnm.Print_Area" localSheetId="6">'Design Rainfall'!$A$1:$G$43</definedName>
    <definedName name="_xlnm.Print_Area" localSheetId="4">'Statistical Parameters'!$A$1:$G$38</definedName>
    <definedName name="_xlnm.Print_Area" localSheetId="5">'TABEL CS &amp; G'!$A$2:$R$45</definedName>
    <definedName name="Print_Area_MI" localSheetId="2">#REF!</definedName>
    <definedName name="Print_Area_MI" localSheetId="1">#REF!</definedName>
    <definedName name="Print_Area_MI">#REF!</definedName>
    <definedName name="Probabilitas" localSheetId="2">#REF!</definedName>
    <definedName name="Probabilitas" localSheetId="1">#REF!</definedName>
    <definedName name="Probabilitas">#REF!</definedName>
    <definedName name="ProbabilitasNorm" localSheetId="2">#REF!</definedName>
    <definedName name="ProbabilitasNorm" localSheetId="1">#REF!</definedName>
    <definedName name="ProbabilitasNorm">#REF!</definedName>
    <definedName name="Probability" localSheetId="7">'[6]Input Data'!#REF!</definedName>
    <definedName name="Probability" localSheetId="6">'[5]Input Data'!#REF!</definedName>
    <definedName name="Probability" localSheetId="4">'[5]Input Data'!#REF!</definedName>
    <definedName name="Probability">'Input Data'!#REF!</definedName>
    <definedName name="Q" localSheetId="5">#N/A</definedName>
    <definedName name="Q" localSheetId="2">#REF!</definedName>
    <definedName name="Q" localSheetId="1">#REF!</definedName>
    <definedName name="Q">#REF!</definedName>
    <definedName name="Rerata" localSheetId="2">'[4]Statistik Dasar'!$D$36</definedName>
    <definedName name="Rerata" localSheetId="1">'[4]Statistik Dasar'!$D$36</definedName>
    <definedName name="Rerata">'[5]Statistik Dasar'!$D$20</definedName>
    <definedName name="s" localSheetId="2">[7]statis!$D$9</definedName>
    <definedName name="s" localSheetId="1">[7]statis!$D$9</definedName>
    <definedName name="s">[8]statis!$D$9</definedName>
    <definedName name="satu" localSheetId="2">#REF!</definedName>
    <definedName name="satu" localSheetId="1">#REF!</definedName>
    <definedName name="satu">#REF!</definedName>
    <definedName name="satu1" localSheetId="2">#REF!</definedName>
    <definedName name="satu1" localSheetId="1">#REF!</definedName>
    <definedName name="satu1">#REF!</definedName>
    <definedName name="SimpanganBaku" localSheetId="2">'[4]Statistik Dasar'!$D$37</definedName>
    <definedName name="SimpanganBaku" localSheetId="1">'[4]Statistik Dasar'!$D$37</definedName>
    <definedName name="SimpanganBaku">'[5]Statistik Dasar'!$D$21</definedName>
    <definedName name="sX" localSheetId="2">[7]statis!$D$11</definedName>
    <definedName name="sX" localSheetId="1">[7]statis!$D$11</definedName>
    <definedName name="sX">[8]statis!$D$11</definedName>
    <definedName name="uong">[12]statis!$D$24</definedName>
    <definedName name="UrutanData" localSheetId="2">#REF!</definedName>
    <definedName name="UrutanData" localSheetId="1">#REF!</definedName>
    <definedName name="UrutanData">#REF!</definedName>
    <definedName name="UrutData" localSheetId="2">#REF!</definedName>
    <definedName name="UrutData" localSheetId="1">#REF!</definedName>
    <definedName name="UrutData">#REF!</definedName>
    <definedName name="W" localSheetId="2">'[13]METODE HASPERS'!$B$1:$C$5</definedName>
    <definedName name="W" localSheetId="1">'[13]METODE HASPERS'!$B$1:$C$5</definedName>
    <definedName name="w">'[14]METODE HASPERS'!$B$1:$C$5</definedName>
    <definedName name="WE">[15]statis!$D$8</definedName>
    <definedName name="weka" localSheetId="2">[16]statis!$D$19</definedName>
    <definedName name="weka" localSheetId="1">[16]statis!$D$19</definedName>
    <definedName name="weka">[17]statis!$D$19</definedName>
    <definedName name="Xr" localSheetId="2">[7]statis!$D$8</definedName>
    <definedName name="Xr" localSheetId="1">[7]statis!$D$8</definedName>
    <definedName name="Xr">[8]statis!$D$8</definedName>
    <definedName name="Xrt" localSheetId="2">[7]statis!$D$10</definedName>
    <definedName name="Xrt" localSheetId="1">[7]statis!$D$10</definedName>
    <definedName name="Xrt">[8]statis!$D$10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2" l="1"/>
  <c r="S3" i="12"/>
  <c r="N10" i="12" s="1"/>
  <c r="O10" i="12" s="1"/>
  <c r="AC3" i="12"/>
  <c r="AM3" i="12"/>
  <c r="AH15" i="12" s="1"/>
  <c r="AI15" i="12" s="1"/>
  <c r="D7" i="12"/>
  <c r="E7" i="12"/>
  <c r="F8" i="12" s="1"/>
  <c r="F7" i="12"/>
  <c r="N7" i="12"/>
  <c r="O7" i="12"/>
  <c r="P7" i="12"/>
  <c r="D8" i="12"/>
  <c r="E8" i="12"/>
  <c r="N8" i="12"/>
  <c r="O8" i="12"/>
  <c r="P8" i="12" s="1"/>
  <c r="D9" i="12"/>
  <c r="E9" i="12"/>
  <c r="F9" i="12" s="1"/>
  <c r="N9" i="12"/>
  <c r="O9" i="12"/>
  <c r="AH9" i="12"/>
  <c r="AI9" i="12"/>
  <c r="D10" i="12"/>
  <c r="E10" i="12"/>
  <c r="D11" i="12"/>
  <c r="E11" i="12"/>
  <c r="N11" i="12"/>
  <c r="O11" i="12" s="1"/>
  <c r="P11" i="12"/>
  <c r="D12" i="12"/>
  <c r="E12" i="12" s="1"/>
  <c r="F12" i="12" s="1"/>
  <c r="N12" i="12"/>
  <c r="O12" i="12"/>
  <c r="AH12" i="12"/>
  <c r="AI12" i="12" s="1"/>
  <c r="D13" i="12"/>
  <c r="E13" i="12"/>
  <c r="N13" i="12"/>
  <c r="O13" i="12" s="1"/>
  <c r="AH13" i="12"/>
  <c r="AI13" i="12"/>
  <c r="AJ13" i="12" s="1"/>
  <c r="D14" i="12"/>
  <c r="E14" i="12" s="1"/>
  <c r="N14" i="12"/>
  <c r="O14" i="12"/>
  <c r="P14" i="12" s="1"/>
  <c r="AH14" i="12"/>
  <c r="AI14" i="12" s="1"/>
  <c r="AJ14" i="12" s="1"/>
  <c r="D15" i="12"/>
  <c r="E15" i="12"/>
  <c r="N15" i="12"/>
  <c r="O15" i="12"/>
  <c r="P15" i="12" s="1"/>
  <c r="D16" i="12"/>
  <c r="E16" i="12"/>
  <c r="N16" i="12"/>
  <c r="O16" i="12"/>
  <c r="D17" i="12"/>
  <c r="E17" i="12"/>
  <c r="F17" i="12" s="1"/>
  <c r="N17" i="12"/>
  <c r="O17" i="12"/>
  <c r="P17" i="12"/>
  <c r="AH17" i="12"/>
  <c r="AI17" i="12"/>
  <c r="D18" i="12"/>
  <c r="E18" i="12" s="1"/>
  <c r="F18" i="12" s="1"/>
  <c r="AH18" i="12"/>
  <c r="AI18" i="12" s="1"/>
  <c r="I22" i="12"/>
  <c r="S22" i="12"/>
  <c r="AC22" i="12"/>
  <c r="AM22" i="12"/>
  <c r="AH29" i="12" s="1"/>
  <c r="AI29" i="12" s="1"/>
  <c r="AJ29" i="12" s="1"/>
  <c r="X26" i="12"/>
  <c r="Y26" i="12"/>
  <c r="AH26" i="12"/>
  <c r="AI26" i="12"/>
  <c r="AJ26" i="12" s="1"/>
  <c r="N27" i="12"/>
  <c r="O27" i="12"/>
  <c r="X27" i="12"/>
  <c r="Y27" i="12"/>
  <c r="AH27" i="12"/>
  <c r="AI27" i="12"/>
  <c r="AJ27" i="12" s="1"/>
  <c r="X28" i="12"/>
  <c r="Y28" i="12"/>
  <c r="Z28" i="12" s="1"/>
  <c r="AH28" i="12"/>
  <c r="AI28" i="12"/>
  <c r="AJ28" i="12"/>
  <c r="X29" i="12"/>
  <c r="Y29" i="12" s="1"/>
  <c r="N30" i="12"/>
  <c r="O30" i="12"/>
  <c r="X30" i="12"/>
  <c r="Y30" i="12"/>
  <c r="AH30" i="12"/>
  <c r="AI30" i="12"/>
  <c r="AJ30" i="12" s="1"/>
  <c r="X31" i="12"/>
  <c r="Y31" i="12"/>
  <c r="Z31" i="12" s="1"/>
  <c r="AH31" i="12"/>
  <c r="AI31" i="12"/>
  <c r="AJ31" i="12"/>
  <c r="X32" i="12"/>
  <c r="Y32" i="12"/>
  <c r="Z32" i="12"/>
  <c r="AH32" i="12"/>
  <c r="AI32" i="12" s="1"/>
  <c r="N33" i="12"/>
  <c r="O33" i="12"/>
  <c r="X33" i="12"/>
  <c r="Y33" i="12" s="1"/>
  <c r="Z33" i="12" s="1"/>
  <c r="AH33" i="12"/>
  <c r="AI33" i="12"/>
  <c r="AJ33" i="12"/>
  <c r="N34" i="12"/>
  <c r="O34" i="12" s="1"/>
  <c r="X34" i="12"/>
  <c r="Y34" i="12"/>
  <c r="Z34" i="12"/>
  <c r="AH34" i="12"/>
  <c r="AI34" i="12"/>
  <c r="AJ34" i="12"/>
  <c r="X35" i="12"/>
  <c r="Y35" i="12"/>
  <c r="Z35" i="12"/>
  <c r="AH35" i="12"/>
  <c r="AI35" i="12"/>
  <c r="X36" i="12"/>
  <c r="Y36" i="12"/>
  <c r="AH36" i="12"/>
  <c r="AI36" i="12"/>
  <c r="AJ36" i="12"/>
  <c r="N37" i="12"/>
  <c r="O37" i="12"/>
  <c r="X37" i="12"/>
  <c r="Y37" i="12"/>
  <c r="Z37" i="12" s="1"/>
  <c r="I41" i="12"/>
  <c r="S41" i="12"/>
  <c r="AC41" i="12"/>
  <c r="AM41" i="12"/>
  <c r="AH46" i="12" s="1"/>
  <c r="AI46" i="12" s="1"/>
  <c r="D45" i="12"/>
  <c r="E45" i="12"/>
  <c r="F45" i="12"/>
  <c r="D46" i="12"/>
  <c r="E46" i="12"/>
  <c r="F46" i="12" s="1"/>
  <c r="D47" i="12"/>
  <c r="E47" i="12"/>
  <c r="F47" i="12"/>
  <c r="AH47" i="12"/>
  <c r="AI47" i="12"/>
  <c r="AJ47" i="12" s="1"/>
  <c r="D48" i="12"/>
  <c r="E48" i="12" s="1"/>
  <c r="F48" i="12" s="1"/>
  <c r="D49" i="12"/>
  <c r="E49" i="12" s="1"/>
  <c r="F49" i="12" s="1"/>
  <c r="D50" i="12"/>
  <c r="E50" i="12" s="1"/>
  <c r="F50" i="12" s="1"/>
  <c r="D51" i="12"/>
  <c r="E51" i="12" s="1"/>
  <c r="F51" i="12" s="1"/>
  <c r="D52" i="12"/>
  <c r="E52" i="12" s="1"/>
  <c r="N52" i="12"/>
  <c r="O52" i="12"/>
  <c r="D53" i="12"/>
  <c r="E53" i="12" s="1"/>
  <c r="F53" i="12" s="1"/>
  <c r="N53" i="12"/>
  <c r="O53" i="12" s="1"/>
  <c r="X53" i="12"/>
  <c r="Y53" i="12"/>
  <c r="D54" i="12"/>
  <c r="E54" i="12" s="1"/>
  <c r="F54" i="12" s="1"/>
  <c r="X54" i="12"/>
  <c r="Y54" i="12"/>
  <c r="Z54" i="12"/>
  <c r="D55" i="12"/>
  <c r="E55" i="12" s="1"/>
  <c r="N55" i="12"/>
  <c r="O55" i="12"/>
  <c r="AH55" i="12"/>
  <c r="AI55" i="12"/>
  <c r="D56" i="12"/>
  <c r="E56" i="12" s="1"/>
  <c r="AH56" i="12"/>
  <c r="AI56" i="12"/>
  <c r="AJ56" i="12"/>
  <c r="I61" i="12"/>
  <c r="S61" i="12"/>
  <c r="AC61" i="12"/>
  <c r="AM61" i="12"/>
  <c r="N65" i="12"/>
  <c r="O65" i="12" s="1"/>
  <c r="P65" i="12" s="1"/>
  <c r="X65" i="12"/>
  <c r="Y65" i="12" s="1"/>
  <c r="Z65" i="12"/>
  <c r="AH65" i="12"/>
  <c r="AI65" i="12"/>
  <c r="AJ65" i="12"/>
  <c r="N66" i="12"/>
  <c r="O66" i="12"/>
  <c r="P67" i="12" s="1"/>
  <c r="P66" i="12"/>
  <c r="X66" i="12"/>
  <c r="Y66" i="12" s="1"/>
  <c r="Z66" i="12" s="1"/>
  <c r="AH66" i="12"/>
  <c r="AI66" i="12" s="1"/>
  <c r="AJ66" i="12" s="1"/>
  <c r="N67" i="12"/>
  <c r="O67" i="12"/>
  <c r="X67" i="12"/>
  <c r="Y67" i="12" s="1"/>
  <c r="Z67" i="12" s="1"/>
  <c r="AH67" i="12"/>
  <c r="AI67" i="12" s="1"/>
  <c r="N68" i="12"/>
  <c r="O68" i="12"/>
  <c r="P68" i="12" s="1"/>
  <c r="X68" i="12"/>
  <c r="Y68" i="12" s="1"/>
  <c r="AH68" i="12"/>
  <c r="AI68" i="12"/>
  <c r="N69" i="12"/>
  <c r="O69" i="12" s="1"/>
  <c r="X69" i="12"/>
  <c r="Y69" i="12" s="1"/>
  <c r="Z69" i="12"/>
  <c r="AH69" i="12"/>
  <c r="AI69" i="12" s="1"/>
  <c r="AJ69" i="12" s="1"/>
  <c r="N70" i="12"/>
  <c r="O70" i="12"/>
  <c r="X70" i="12"/>
  <c r="Y70" i="12" s="1"/>
  <c r="Z70" i="12"/>
  <c r="AH70" i="12"/>
  <c r="AI70" i="12" s="1"/>
  <c r="N71" i="12"/>
  <c r="O71" i="12" s="1"/>
  <c r="P71" i="12" s="1"/>
  <c r="X71" i="12"/>
  <c r="Y71" i="12" s="1"/>
  <c r="Z72" i="12" s="1"/>
  <c r="Z71" i="12"/>
  <c r="AH71" i="12"/>
  <c r="AI71" i="12"/>
  <c r="D72" i="12"/>
  <c r="E72" i="12"/>
  <c r="N72" i="12"/>
  <c r="O72" i="12"/>
  <c r="X72" i="12"/>
  <c r="Y72" i="12" s="1"/>
  <c r="AH72" i="12"/>
  <c r="AI72" i="12"/>
  <c r="AJ73" i="12" s="1"/>
  <c r="AJ72" i="12"/>
  <c r="N73" i="12"/>
  <c r="O73" i="12" s="1"/>
  <c r="P73" i="12" s="1"/>
  <c r="X73" i="12"/>
  <c r="Y73" i="12" s="1"/>
  <c r="Z73" i="12" s="1"/>
  <c r="AH73" i="12"/>
  <c r="AI73" i="12"/>
  <c r="D74" i="12"/>
  <c r="E74" i="12" s="1"/>
  <c r="N74" i="12"/>
  <c r="O74" i="12"/>
  <c r="P75" i="12" s="1"/>
  <c r="P74" i="12"/>
  <c r="X74" i="12"/>
  <c r="Y74" i="12" s="1"/>
  <c r="AH74" i="12"/>
  <c r="AI74" i="12" s="1"/>
  <c r="AJ74" i="12" s="1"/>
  <c r="D75" i="12"/>
  <c r="E75" i="12"/>
  <c r="F75" i="12" s="1"/>
  <c r="N75" i="12"/>
  <c r="O75" i="12"/>
  <c r="X75" i="12"/>
  <c r="Y75" i="12" s="1"/>
  <c r="AH75" i="12"/>
  <c r="AI75" i="12" s="1"/>
  <c r="N76" i="12"/>
  <c r="O76" i="12"/>
  <c r="P76" i="12" s="1"/>
  <c r="X76" i="12"/>
  <c r="Y76" i="12" s="1"/>
  <c r="Z76" i="12" s="1"/>
  <c r="AH76" i="12"/>
  <c r="AI76" i="12"/>
  <c r="I80" i="12"/>
  <c r="S80" i="12"/>
  <c r="AC80" i="12"/>
  <c r="X84" i="12" s="1"/>
  <c r="Y84" i="12" s="1"/>
  <c r="Z84" i="12" s="1"/>
  <c r="AM80" i="12"/>
  <c r="D85" i="12"/>
  <c r="E85" i="12" s="1"/>
  <c r="X85" i="12"/>
  <c r="Y85" i="12" s="1"/>
  <c r="D86" i="12"/>
  <c r="E86" i="12" s="1"/>
  <c r="F86" i="12"/>
  <c r="X86" i="12"/>
  <c r="Y86" i="12"/>
  <c r="Z86" i="12" s="1"/>
  <c r="AH88" i="12"/>
  <c r="AI88" i="12" s="1"/>
  <c r="N89" i="12"/>
  <c r="O89" i="12"/>
  <c r="X91" i="12"/>
  <c r="Y91" i="12" s="1"/>
  <c r="N92" i="12"/>
  <c r="O92" i="12" s="1"/>
  <c r="I99" i="12"/>
  <c r="S99" i="12"/>
  <c r="AC99" i="12"/>
  <c r="AM99" i="12"/>
  <c r="AH111" i="12" s="1"/>
  <c r="AI111" i="12" s="1"/>
  <c r="D103" i="12"/>
  <c r="E103" i="12" s="1"/>
  <c r="F103" i="12" s="1"/>
  <c r="N103" i="12"/>
  <c r="O103" i="12" s="1"/>
  <c r="P103" i="12" s="1"/>
  <c r="AH103" i="12"/>
  <c r="AI103" i="12"/>
  <c r="AJ103" i="12" s="1"/>
  <c r="D104" i="12"/>
  <c r="E104" i="12"/>
  <c r="N104" i="12"/>
  <c r="O104" i="12"/>
  <c r="D105" i="12"/>
  <c r="E105" i="12"/>
  <c r="F105" i="12"/>
  <c r="N105" i="12"/>
  <c r="O105" i="12" s="1"/>
  <c r="D106" i="12"/>
  <c r="E106" i="12"/>
  <c r="N106" i="12"/>
  <c r="O106" i="12"/>
  <c r="P107" i="12" s="1"/>
  <c r="P106" i="12"/>
  <c r="D107" i="12"/>
  <c r="E107" i="12" s="1"/>
  <c r="F107" i="12" s="1"/>
  <c r="N107" i="12"/>
  <c r="O107" i="12"/>
  <c r="AH107" i="12"/>
  <c r="AI107" i="12" s="1"/>
  <c r="D108" i="12"/>
  <c r="E108" i="12"/>
  <c r="N108" i="12"/>
  <c r="O108" i="12"/>
  <c r="P108" i="12" s="1"/>
  <c r="D109" i="12"/>
  <c r="E109" i="12"/>
  <c r="F109" i="12"/>
  <c r="N109" i="12"/>
  <c r="O109" i="12" s="1"/>
  <c r="D110" i="12"/>
  <c r="E110" i="12"/>
  <c r="N110" i="12"/>
  <c r="O110" i="12"/>
  <c r="P111" i="12" s="1"/>
  <c r="P110" i="12"/>
  <c r="D111" i="12"/>
  <c r="E111" i="12" s="1"/>
  <c r="F111" i="12" s="1"/>
  <c r="N111" i="12"/>
  <c r="O111" i="12"/>
  <c r="P112" i="12" s="1"/>
  <c r="D112" i="12"/>
  <c r="E112" i="12"/>
  <c r="N112" i="12"/>
  <c r="O112" i="12"/>
  <c r="AH112" i="12"/>
  <c r="AI112" i="12" s="1"/>
  <c r="AJ112" i="12" s="1"/>
  <c r="D113" i="12"/>
  <c r="E113" i="12"/>
  <c r="F113" i="12"/>
  <c r="N113" i="12"/>
  <c r="O113" i="12"/>
  <c r="P113" i="12" s="1"/>
  <c r="D114" i="12"/>
  <c r="E114" i="12" s="1"/>
  <c r="F114" i="12" s="1"/>
  <c r="N114" i="12"/>
  <c r="O114" i="12"/>
  <c r="P114" i="12" s="1"/>
  <c r="C27" i="2"/>
  <c r="D2" i="1"/>
  <c r="P70" i="12" l="1"/>
  <c r="P69" i="12"/>
  <c r="AJ75" i="12"/>
  <c r="AJ76" i="12"/>
  <c r="AJ67" i="12"/>
  <c r="AJ68" i="12"/>
  <c r="Z91" i="12"/>
  <c r="AH85" i="12"/>
  <c r="AI85" i="12" s="1"/>
  <c r="AJ85" i="12" s="1"/>
  <c r="AH86" i="12"/>
  <c r="AI86" i="12" s="1"/>
  <c r="AJ86" i="12" s="1"/>
  <c r="AH90" i="12"/>
  <c r="AI90" i="12" s="1"/>
  <c r="AJ90" i="12" s="1"/>
  <c r="AH94" i="12"/>
  <c r="AI94" i="12" s="1"/>
  <c r="AJ94" i="12" s="1"/>
  <c r="AH87" i="12"/>
  <c r="AI87" i="12" s="1"/>
  <c r="AJ87" i="12" s="1"/>
  <c r="AH91" i="12"/>
  <c r="AI91" i="12" s="1"/>
  <c r="AH84" i="12"/>
  <c r="AI84" i="12" s="1"/>
  <c r="AJ84" i="12" s="1"/>
  <c r="AH95" i="12"/>
  <c r="AI95" i="12" s="1"/>
  <c r="Z29" i="12"/>
  <c r="Z30" i="12"/>
  <c r="Z26" i="12"/>
  <c r="Z27" i="12"/>
  <c r="F13" i="12"/>
  <c r="F112" i="12"/>
  <c r="N85" i="12"/>
  <c r="O85" i="12" s="1"/>
  <c r="P85" i="12" s="1"/>
  <c r="N90" i="12"/>
  <c r="O90" i="12" s="1"/>
  <c r="P90" i="12" s="1"/>
  <c r="N94" i="12"/>
  <c r="O94" i="12" s="1"/>
  <c r="N95" i="12"/>
  <c r="O95" i="12" s="1"/>
  <c r="P95" i="12" s="1"/>
  <c r="N84" i="12"/>
  <c r="O84" i="12" s="1"/>
  <c r="P84" i="12" s="1"/>
  <c r="N86" i="12"/>
  <c r="O86" i="12" s="1"/>
  <c r="N87" i="12"/>
  <c r="O87" i="12" s="1"/>
  <c r="P87" i="12" s="1"/>
  <c r="N91" i="12"/>
  <c r="O91" i="12" s="1"/>
  <c r="F74" i="12"/>
  <c r="D71" i="12"/>
  <c r="E71" i="12" s="1"/>
  <c r="D68" i="12"/>
  <c r="E68" i="12" s="1"/>
  <c r="D76" i="12"/>
  <c r="E76" i="12" s="1"/>
  <c r="F76" i="12" s="1"/>
  <c r="D65" i="12"/>
  <c r="E65" i="12" s="1"/>
  <c r="F65" i="12" s="1"/>
  <c r="D67" i="12"/>
  <c r="E67" i="12" s="1"/>
  <c r="D69" i="12"/>
  <c r="E69" i="12" s="1"/>
  <c r="F69" i="12" s="1"/>
  <c r="D66" i="12"/>
  <c r="E66" i="12" s="1"/>
  <c r="F66" i="12" s="1"/>
  <c r="D70" i="12"/>
  <c r="E70" i="12" s="1"/>
  <c r="F70" i="12" s="1"/>
  <c r="AJ17" i="12"/>
  <c r="AH110" i="12"/>
  <c r="AI110" i="12" s="1"/>
  <c r="F108" i="12"/>
  <c r="N93" i="12"/>
  <c r="O93" i="12" s="1"/>
  <c r="P93" i="12" s="1"/>
  <c r="AJ70" i="12"/>
  <c r="X45" i="12"/>
  <c r="Y45" i="12" s="1"/>
  <c r="Z45" i="12" s="1"/>
  <c r="X46" i="12"/>
  <c r="Y46" i="12" s="1"/>
  <c r="Z46" i="12" s="1"/>
  <c r="X47" i="12"/>
  <c r="Y47" i="12" s="1"/>
  <c r="Z47" i="12" s="1"/>
  <c r="X55" i="12"/>
  <c r="Y55" i="12" s="1"/>
  <c r="Z55" i="12" s="1"/>
  <c r="X48" i="12"/>
  <c r="Y48" i="12" s="1"/>
  <c r="Z48" i="12" s="1"/>
  <c r="X52" i="12"/>
  <c r="Y52" i="12" s="1"/>
  <c r="X51" i="12"/>
  <c r="Y51" i="12" s="1"/>
  <c r="X56" i="12"/>
  <c r="Y56" i="12" s="1"/>
  <c r="P27" i="12"/>
  <c r="AJ15" i="12"/>
  <c r="AH106" i="12"/>
  <c r="AI106" i="12" s="1"/>
  <c r="AJ106" i="12" s="1"/>
  <c r="F104" i="12"/>
  <c r="N88" i="12"/>
  <c r="O88" i="12" s="1"/>
  <c r="Z74" i="12"/>
  <c r="N56" i="12"/>
  <c r="O56" i="12" s="1"/>
  <c r="P56" i="12" s="1"/>
  <c r="N50" i="12"/>
  <c r="O50" i="12" s="1"/>
  <c r="P50" i="12" s="1"/>
  <c r="N54" i="12"/>
  <c r="O54" i="12" s="1"/>
  <c r="N46" i="12"/>
  <c r="O46" i="12" s="1"/>
  <c r="P46" i="12" s="1"/>
  <c r="N47" i="12"/>
  <c r="O47" i="12" s="1"/>
  <c r="AJ9" i="12"/>
  <c r="P109" i="12"/>
  <c r="F55" i="12"/>
  <c r="F56" i="12"/>
  <c r="X50" i="12"/>
  <c r="Y50" i="12" s="1"/>
  <c r="P12" i="12"/>
  <c r="P89" i="12"/>
  <c r="P33" i="12"/>
  <c r="P104" i="12"/>
  <c r="Z85" i="12"/>
  <c r="X88" i="12"/>
  <c r="Y88" i="12" s="1"/>
  <c r="X92" i="12"/>
  <c r="Y92" i="12" s="1"/>
  <c r="Z92" i="12" s="1"/>
  <c r="X89" i="12"/>
  <c r="Y89" i="12" s="1"/>
  <c r="Z89" i="12" s="1"/>
  <c r="X93" i="12"/>
  <c r="Y93" i="12" s="1"/>
  <c r="Z93" i="12" s="1"/>
  <c r="F72" i="12"/>
  <c r="P34" i="12"/>
  <c r="AH104" i="12"/>
  <c r="AI104" i="12" s="1"/>
  <c r="AJ104" i="12" s="1"/>
  <c r="AH108" i="12"/>
  <c r="AI108" i="12" s="1"/>
  <c r="AJ108" i="12" s="1"/>
  <c r="AH105" i="12"/>
  <c r="AI105" i="12" s="1"/>
  <c r="AJ105" i="12" s="1"/>
  <c r="AH113" i="12"/>
  <c r="AI113" i="12" s="1"/>
  <c r="AJ113" i="12" s="1"/>
  <c r="AH114" i="12"/>
  <c r="AI114" i="12" s="1"/>
  <c r="AJ114" i="12" s="1"/>
  <c r="AH109" i="12"/>
  <c r="AI109" i="12" s="1"/>
  <c r="AJ109" i="12" s="1"/>
  <c r="X95" i="12"/>
  <c r="Y95" i="12" s="1"/>
  <c r="Z95" i="12" s="1"/>
  <c r="AH92" i="12"/>
  <c r="AI92" i="12" s="1"/>
  <c r="AJ92" i="12" s="1"/>
  <c r="F11" i="12"/>
  <c r="F10" i="12"/>
  <c r="F110" i="12"/>
  <c r="X103" i="12"/>
  <c r="Y103" i="12" s="1"/>
  <c r="Z103" i="12" s="1"/>
  <c r="X104" i="12"/>
  <c r="Y104" i="12" s="1"/>
  <c r="Z104" i="12" s="1"/>
  <c r="X105" i="12"/>
  <c r="Y105" i="12" s="1"/>
  <c r="Z105" i="12" s="1"/>
  <c r="X106" i="12"/>
  <c r="Y106" i="12" s="1"/>
  <c r="X107" i="12"/>
  <c r="Y107" i="12" s="1"/>
  <c r="Z107" i="12" s="1"/>
  <c r="X108" i="12"/>
  <c r="Y108" i="12" s="1"/>
  <c r="Z108" i="12" s="1"/>
  <c r="X109" i="12"/>
  <c r="Y109" i="12" s="1"/>
  <c r="Z109" i="12" s="1"/>
  <c r="X110" i="12"/>
  <c r="Y110" i="12" s="1"/>
  <c r="Z110" i="12" s="1"/>
  <c r="X111" i="12"/>
  <c r="Y111" i="12" s="1"/>
  <c r="Z111" i="12" s="1"/>
  <c r="X112" i="12"/>
  <c r="Y112" i="12" s="1"/>
  <c r="Z112" i="12" s="1"/>
  <c r="X113" i="12"/>
  <c r="Y113" i="12" s="1"/>
  <c r="Z113" i="12" s="1"/>
  <c r="X90" i="12"/>
  <c r="Y90" i="12" s="1"/>
  <c r="AH89" i="12"/>
  <c r="AI89" i="12" s="1"/>
  <c r="AJ89" i="12" s="1"/>
  <c r="P30" i="12"/>
  <c r="F106" i="12"/>
  <c r="X87" i="12"/>
  <c r="Y87" i="12" s="1"/>
  <c r="Z87" i="12" s="1"/>
  <c r="P53" i="12"/>
  <c r="X49" i="12"/>
  <c r="Y49" i="12" s="1"/>
  <c r="N45" i="12"/>
  <c r="O45" i="12" s="1"/>
  <c r="P45" i="12" s="1"/>
  <c r="AJ18" i="12"/>
  <c r="X114" i="12"/>
  <c r="Y114" i="12" s="1"/>
  <c r="Z114" i="12" s="1"/>
  <c r="AJ71" i="12"/>
  <c r="P105" i="12"/>
  <c r="X94" i="12"/>
  <c r="Y94" i="12" s="1"/>
  <c r="AH93" i="12"/>
  <c r="AI93" i="12" s="1"/>
  <c r="AJ93" i="12" s="1"/>
  <c r="D73" i="12"/>
  <c r="E73" i="12" s="1"/>
  <c r="F73" i="12" s="1"/>
  <c r="P72" i="12"/>
  <c r="N51" i="12"/>
  <c r="O51" i="12" s="1"/>
  <c r="N49" i="12"/>
  <c r="O49" i="12" s="1"/>
  <c r="N48" i="12"/>
  <c r="O48" i="12" s="1"/>
  <c r="P48" i="12" s="1"/>
  <c r="AJ38" i="12"/>
  <c r="P9" i="12"/>
  <c r="P10" i="12"/>
  <c r="Z36" i="12"/>
  <c r="N31" i="12"/>
  <c r="O31" i="12" s="1"/>
  <c r="P31" i="12" s="1"/>
  <c r="N28" i="12"/>
  <c r="O28" i="12" s="1"/>
  <c r="P28" i="12" s="1"/>
  <c r="N36" i="12"/>
  <c r="O36" i="12" s="1"/>
  <c r="Z68" i="12"/>
  <c r="D26" i="12"/>
  <c r="E26" i="12" s="1"/>
  <c r="F26" i="12" s="1"/>
  <c r="D27" i="12"/>
  <c r="E27" i="12" s="1"/>
  <c r="F27" i="12" s="1"/>
  <c r="D28" i="12"/>
  <c r="E28" i="12" s="1"/>
  <c r="F28" i="12" s="1"/>
  <c r="D29" i="12"/>
  <c r="E29" i="12" s="1"/>
  <c r="F29" i="12" s="1"/>
  <c r="D30" i="12"/>
  <c r="E30" i="12" s="1"/>
  <c r="F30" i="12" s="1"/>
  <c r="D31" i="12"/>
  <c r="E31" i="12" s="1"/>
  <c r="F31" i="12" s="1"/>
  <c r="D32" i="12"/>
  <c r="E32" i="12" s="1"/>
  <c r="F32" i="12" s="1"/>
  <c r="D33" i="12"/>
  <c r="E33" i="12" s="1"/>
  <c r="F33" i="12" s="1"/>
  <c r="D34" i="12"/>
  <c r="E34" i="12" s="1"/>
  <c r="D35" i="12"/>
  <c r="E35" i="12" s="1"/>
  <c r="F35" i="12" s="1"/>
  <c r="D36" i="12"/>
  <c r="E36" i="12" s="1"/>
  <c r="F36" i="12" s="1"/>
  <c r="D37" i="12"/>
  <c r="E37" i="12" s="1"/>
  <c r="F37" i="12" s="1"/>
  <c r="F15" i="12"/>
  <c r="F16" i="12"/>
  <c r="X7" i="12"/>
  <c r="Y7" i="12" s="1"/>
  <c r="Z7" i="12" s="1"/>
  <c r="X8" i="12"/>
  <c r="Y8" i="12" s="1"/>
  <c r="Z8" i="12" s="1"/>
  <c r="X9" i="12"/>
  <c r="Y9" i="12" s="1"/>
  <c r="X10" i="12"/>
  <c r="Y10" i="12" s="1"/>
  <c r="Z10" i="12" s="1"/>
  <c r="X11" i="12"/>
  <c r="Y11" i="12" s="1"/>
  <c r="Z11" i="12" s="1"/>
  <c r="X12" i="12"/>
  <c r="Y12" i="12" s="1"/>
  <c r="Z12" i="12" s="1"/>
  <c r="X13" i="12"/>
  <c r="Y13" i="12" s="1"/>
  <c r="Z13" i="12" s="1"/>
  <c r="X14" i="12"/>
  <c r="Y14" i="12" s="1"/>
  <c r="Z14" i="12" s="1"/>
  <c r="X15" i="12"/>
  <c r="Y15" i="12" s="1"/>
  <c r="Z15" i="12" s="1"/>
  <c r="X16" i="12"/>
  <c r="Y16" i="12" s="1"/>
  <c r="Z16" i="12" s="1"/>
  <c r="X17" i="12"/>
  <c r="Y17" i="12" s="1"/>
  <c r="X18" i="12"/>
  <c r="Y18" i="12" s="1"/>
  <c r="Z18" i="12" s="1"/>
  <c r="AJ35" i="12"/>
  <c r="D84" i="12"/>
  <c r="E84" i="12" s="1"/>
  <c r="D87" i="12"/>
  <c r="E87" i="12" s="1"/>
  <c r="F87" i="12" s="1"/>
  <c r="D88" i="12"/>
  <c r="E88" i="12" s="1"/>
  <c r="F88" i="12" s="1"/>
  <c r="D89" i="12"/>
  <c r="E89" i="12" s="1"/>
  <c r="F89" i="12" s="1"/>
  <c r="D90" i="12"/>
  <c r="E90" i="12" s="1"/>
  <c r="F90" i="12" s="1"/>
  <c r="D91" i="12"/>
  <c r="E91" i="12" s="1"/>
  <c r="D92" i="12"/>
  <c r="E92" i="12" s="1"/>
  <c r="F92" i="12" s="1"/>
  <c r="D93" i="12"/>
  <c r="E93" i="12" s="1"/>
  <c r="F93" i="12" s="1"/>
  <c r="D94" i="12"/>
  <c r="E94" i="12" s="1"/>
  <c r="F94" i="12" s="1"/>
  <c r="D95" i="12"/>
  <c r="E95" i="12" s="1"/>
  <c r="F95" i="12" s="1"/>
  <c r="N35" i="12"/>
  <c r="O35" i="12" s="1"/>
  <c r="P35" i="12" s="1"/>
  <c r="P19" i="12"/>
  <c r="AJ32" i="12"/>
  <c r="N32" i="12"/>
  <c r="O32" i="12" s="1"/>
  <c r="N29" i="12"/>
  <c r="O29" i="12" s="1"/>
  <c r="N26" i="12"/>
  <c r="O26" i="12" s="1"/>
  <c r="P26" i="12" s="1"/>
  <c r="P16" i="12"/>
  <c r="AH11" i="12"/>
  <c r="AI11" i="12" s="1"/>
  <c r="AJ11" i="12" s="1"/>
  <c r="AH8" i="12"/>
  <c r="AI8" i="12" s="1"/>
  <c r="AH16" i="12"/>
  <c r="AI16" i="12" s="1"/>
  <c r="AJ16" i="12" s="1"/>
  <c r="AH7" i="12"/>
  <c r="AI7" i="12" s="1"/>
  <c r="AJ7" i="12" s="1"/>
  <c r="AH10" i="12"/>
  <c r="AI10" i="12" s="1"/>
  <c r="AJ10" i="12" s="1"/>
  <c r="Z75" i="12"/>
  <c r="AH45" i="12"/>
  <c r="AI45" i="12" s="1"/>
  <c r="AJ45" i="12" s="1"/>
  <c r="AH48" i="12"/>
  <c r="AI48" i="12" s="1"/>
  <c r="AJ48" i="12" s="1"/>
  <c r="AH49" i="12"/>
  <c r="AI49" i="12" s="1"/>
  <c r="AJ49" i="12" s="1"/>
  <c r="AH50" i="12"/>
  <c r="AI50" i="12" s="1"/>
  <c r="AH51" i="12"/>
  <c r="AI51" i="12" s="1"/>
  <c r="AJ51" i="12" s="1"/>
  <c r="AH52" i="12"/>
  <c r="AI52" i="12" s="1"/>
  <c r="AJ52" i="12" s="1"/>
  <c r="AH53" i="12"/>
  <c r="AI53" i="12" s="1"/>
  <c r="AJ53" i="12" s="1"/>
  <c r="AH54" i="12"/>
  <c r="AI54" i="12" s="1"/>
  <c r="F14" i="12"/>
  <c r="P13" i="12"/>
  <c r="F52" i="12"/>
  <c r="F57" i="12" s="1"/>
  <c r="AH37" i="12"/>
  <c r="AI37" i="12" s="1"/>
  <c r="AJ37" i="12" s="1"/>
  <c r="N18" i="12"/>
  <c r="O18" i="12" s="1"/>
  <c r="P18" i="12" s="1"/>
  <c r="M3" i="8"/>
  <c r="R23" i="8" s="1"/>
  <c r="L3" i="8"/>
  <c r="J3" i="8"/>
  <c r="Q23" i="8" s="1"/>
  <c r="I3" i="8"/>
  <c r="G3" i="8"/>
  <c r="P23" i="8" s="1"/>
  <c r="F3" i="8"/>
  <c r="D8" i="7"/>
  <c r="B25" i="2"/>
  <c r="C4" i="2"/>
  <c r="G57" i="12" l="1"/>
  <c r="G48" i="12"/>
  <c r="H49" i="12" s="1"/>
  <c r="I49" i="12" s="1"/>
  <c r="G45" i="12"/>
  <c r="H51" i="12" s="1"/>
  <c r="I51" i="12" s="1"/>
  <c r="G50" i="12"/>
  <c r="H48" i="12" s="1"/>
  <c r="I48" i="12" s="1"/>
  <c r="G54" i="12"/>
  <c r="H46" i="12" s="1"/>
  <c r="I46" i="12" s="1"/>
  <c r="G47" i="12"/>
  <c r="H52" i="12" s="1"/>
  <c r="I52" i="12" s="1"/>
  <c r="G53" i="12"/>
  <c r="H55" i="12" s="1"/>
  <c r="I55" i="12" s="1"/>
  <c r="G49" i="12"/>
  <c r="H53" i="12" s="1"/>
  <c r="I53" i="12" s="1"/>
  <c r="G51" i="12"/>
  <c r="H54" i="12" s="1"/>
  <c r="I54" i="12" s="1"/>
  <c r="G46" i="12"/>
  <c r="H50" i="12" s="1"/>
  <c r="I50" i="12" s="1"/>
  <c r="Q7" i="12"/>
  <c r="R13" i="12" s="1"/>
  <c r="S13" i="12" s="1"/>
  <c r="Q14" i="12"/>
  <c r="R9" i="12" s="1"/>
  <c r="S9" i="12" s="1"/>
  <c r="Q19" i="12"/>
  <c r="Z52" i="12"/>
  <c r="Z53" i="12"/>
  <c r="Z38" i="12"/>
  <c r="AA26" i="12"/>
  <c r="AB32" i="12" s="1"/>
  <c r="AC32" i="12" s="1"/>
  <c r="AK76" i="12"/>
  <c r="AL65" i="12" s="1"/>
  <c r="AJ12" i="12"/>
  <c r="Z19" i="12"/>
  <c r="AA19" i="12" s="1"/>
  <c r="P36" i="12"/>
  <c r="AA30" i="12"/>
  <c r="AB34" i="12" s="1"/>
  <c r="AC34" i="12" s="1"/>
  <c r="G31" i="12"/>
  <c r="H29" i="12" s="1"/>
  <c r="I29" i="12" s="1"/>
  <c r="Q12" i="12"/>
  <c r="R10" i="12" s="1"/>
  <c r="S10" i="12" s="1"/>
  <c r="Q69" i="12"/>
  <c r="R73" i="12" s="1"/>
  <c r="S73" i="12" s="1"/>
  <c r="AA75" i="12"/>
  <c r="AB76" i="12" s="1"/>
  <c r="AC76" i="12" s="1"/>
  <c r="Q16" i="12"/>
  <c r="R8" i="12" s="1"/>
  <c r="S8" i="12" s="1"/>
  <c r="Z94" i="12"/>
  <c r="AK68" i="12"/>
  <c r="AL69" i="12" s="1"/>
  <c r="AM69" i="12" s="1"/>
  <c r="Q70" i="12"/>
  <c r="R68" i="12" s="1"/>
  <c r="S68" i="12" s="1"/>
  <c r="Q18" i="12"/>
  <c r="R7" i="12" s="1"/>
  <c r="P49" i="12"/>
  <c r="Q105" i="12"/>
  <c r="R110" i="12" s="1"/>
  <c r="S110" i="12" s="1"/>
  <c r="P37" i="12"/>
  <c r="P38" i="12" s="1"/>
  <c r="G52" i="12"/>
  <c r="H47" i="12" s="1"/>
  <c r="I47" i="12" s="1"/>
  <c r="AK38" i="12"/>
  <c r="AK28" i="12"/>
  <c r="AL33" i="12" s="1"/>
  <c r="AM33" i="12" s="1"/>
  <c r="AK34" i="12"/>
  <c r="AL36" i="12" s="1"/>
  <c r="AM36" i="12" s="1"/>
  <c r="AK31" i="12"/>
  <c r="AL29" i="12" s="1"/>
  <c r="AM29" i="12" s="1"/>
  <c r="G55" i="12"/>
  <c r="H56" i="12" s="1"/>
  <c r="I56" i="12" s="1"/>
  <c r="AK29" i="12"/>
  <c r="AL30" i="12" s="1"/>
  <c r="AM30" i="12" s="1"/>
  <c r="Q13" i="12"/>
  <c r="R16" i="12" s="1"/>
  <c r="S16" i="12" s="1"/>
  <c r="Z77" i="12"/>
  <c r="Q8" i="12"/>
  <c r="R12" i="12" s="1"/>
  <c r="S12" i="12" s="1"/>
  <c r="P54" i="12"/>
  <c r="P55" i="12"/>
  <c r="AJ57" i="12"/>
  <c r="AK45" i="12"/>
  <c r="AL51" i="12" s="1"/>
  <c r="AM51" i="12" s="1"/>
  <c r="AJ110" i="12"/>
  <c r="P91" i="12"/>
  <c r="AA29" i="12"/>
  <c r="AB30" i="12" s="1"/>
  <c r="AC30" i="12" s="1"/>
  <c r="AJ54" i="12"/>
  <c r="AJ55" i="12"/>
  <c r="G30" i="12"/>
  <c r="H34" i="12" s="1"/>
  <c r="I34" i="12" s="1"/>
  <c r="AK27" i="12"/>
  <c r="AL31" i="12" s="1"/>
  <c r="AM31" i="12" s="1"/>
  <c r="Q109" i="12"/>
  <c r="R112" i="12" s="1"/>
  <c r="S112" i="12" s="1"/>
  <c r="Q11" i="12"/>
  <c r="R15" i="12" s="1"/>
  <c r="S15" i="12" s="1"/>
  <c r="F67" i="12"/>
  <c r="F84" i="12"/>
  <c r="F85" i="12"/>
  <c r="G37" i="12"/>
  <c r="H26" i="12" s="1"/>
  <c r="AA36" i="12"/>
  <c r="AB37" i="12" s="1"/>
  <c r="AC37" i="12" s="1"/>
  <c r="Z88" i="12"/>
  <c r="P77" i="12"/>
  <c r="Q72" i="12" s="1"/>
  <c r="R67" i="12" s="1"/>
  <c r="S67" i="12" s="1"/>
  <c r="AK30" i="12"/>
  <c r="AL34" i="12" s="1"/>
  <c r="AM34" i="12" s="1"/>
  <c r="F77" i="12"/>
  <c r="G72" i="12" s="1"/>
  <c r="H67" i="12" s="1"/>
  <c r="I67" i="12" s="1"/>
  <c r="P86" i="12"/>
  <c r="Q15" i="12"/>
  <c r="R17" i="12" s="1"/>
  <c r="S17" i="12" s="1"/>
  <c r="AK67" i="12"/>
  <c r="AL72" i="12" s="1"/>
  <c r="AM72" i="12" s="1"/>
  <c r="AJ88" i="12"/>
  <c r="AK37" i="12"/>
  <c r="AL26" i="12" s="1"/>
  <c r="AK52" i="12"/>
  <c r="AL47" i="12" s="1"/>
  <c r="AM47" i="12" s="1"/>
  <c r="P29" i="12"/>
  <c r="AK35" i="12"/>
  <c r="AL27" i="12" s="1"/>
  <c r="AM27" i="12" s="1"/>
  <c r="G36" i="12"/>
  <c r="H37" i="12" s="1"/>
  <c r="I37" i="12" s="1"/>
  <c r="G28" i="12"/>
  <c r="H33" i="12" s="1"/>
  <c r="I33" i="12" s="1"/>
  <c r="Q10" i="12"/>
  <c r="R11" i="12" s="1"/>
  <c r="S11" i="12" s="1"/>
  <c r="P51" i="12"/>
  <c r="P52" i="12"/>
  <c r="Z49" i="12"/>
  <c r="G10" i="12"/>
  <c r="H11" i="12" s="1"/>
  <c r="I11" i="12" s="1"/>
  <c r="Z50" i="12"/>
  <c r="AA74" i="12"/>
  <c r="AB66" i="12" s="1"/>
  <c r="AC66" i="12" s="1"/>
  <c r="Z57" i="12"/>
  <c r="AA48" i="12" s="1"/>
  <c r="AB49" i="12" s="1"/>
  <c r="AC49" i="12" s="1"/>
  <c r="AK33" i="12"/>
  <c r="AL28" i="12" s="1"/>
  <c r="AM28" i="12" s="1"/>
  <c r="AJ95" i="12"/>
  <c r="AK36" i="12"/>
  <c r="AL37" i="12" s="1"/>
  <c r="AM37" i="12" s="1"/>
  <c r="AJ111" i="12"/>
  <c r="P92" i="12"/>
  <c r="P32" i="12"/>
  <c r="G35" i="12"/>
  <c r="H27" i="12" s="1"/>
  <c r="I27" i="12" s="1"/>
  <c r="G27" i="12"/>
  <c r="H31" i="12" s="1"/>
  <c r="I31" i="12" s="1"/>
  <c r="Q9" i="12"/>
  <c r="R14" i="12" s="1"/>
  <c r="S14" i="12" s="1"/>
  <c r="Q104" i="12"/>
  <c r="R108" i="12" s="1"/>
  <c r="S108" i="12" s="1"/>
  <c r="Q17" i="12"/>
  <c r="R18" i="12" s="1"/>
  <c r="S18" i="12" s="1"/>
  <c r="P88" i="12"/>
  <c r="Z56" i="12"/>
  <c r="AK70" i="12"/>
  <c r="AL68" i="12" s="1"/>
  <c r="AM68" i="12" s="1"/>
  <c r="AJ46" i="12"/>
  <c r="F68" i="12"/>
  <c r="G13" i="12"/>
  <c r="H16" i="12" s="1"/>
  <c r="I16" i="12" s="1"/>
  <c r="P115" i="12"/>
  <c r="AJ107" i="12"/>
  <c r="AJ50" i="12"/>
  <c r="AJ8" i="12"/>
  <c r="AK32" i="12"/>
  <c r="AL35" i="12" s="1"/>
  <c r="AM35" i="12" s="1"/>
  <c r="F91" i="12"/>
  <c r="Z17" i="12"/>
  <c r="Z9" i="12"/>
  <c r="F34" i="12"/>
  <c r="F38" i="12"/>
  <c r="G38" i="12" s="1"/>
  <c r="G26" i="12"/>
  <c r="H32" i="12" s="1"/>
  <c r="I32" i="12" s="1"/>
  <c r="AK26" i="12"/>
  <c r="AL32" i="12" s="1"/>
  <c r="AM32" i="12" s="1"/>
  <c r="AK71" i="12"/>
  <c r="AL74" i="12" s="1"/>
  <c r="AM74" i="12" s="1"/>
  <c r="AJ77" i="12"/>
  <c r="AK75" i="12" s="1"/>
  <c r="AL76" i="12" s="1"/>
  <c r="AM76" i="12" s="1"/>
  <c r="Z90" i="12"/>
  <c r="Z106" i="12"/>
  <c r="F19" i="12"/>
  <c r="G16" i="12" s="1"/>
  <c r="H8" i="12" s="1"/>
  <c r="I8" i="12" s="1"/>
  <c r="G56" i="12"/>
  <c r="H45" i="12" s="1"/>
  <c r="P47" i="12"/>
  <c r="Z51" i="12"/>
  <c r="F71" i="12"/>
  <c r="P94" i="12"/>
  <c r="AA27" i="12"/>
  <c r="AB31" i="12" s="1"/>
  <c r="AC31" i="12" s="1"/>
  <c r="AJ91" i="12"/>
  <c r="F115" i="12"/>
  <c r="G110" i="12" s="1"/>
  <c r="H105" i="12" s="1"/>
  <c r="I105" i="12" s="1"/>
  <c r="D25" i="8"/>
  <c r="D32" i="8"/>
  <c r="D34" i="8"/>
  <c r="D27" i="8"/>
  <c r="D28" i="8"/>
  <c r="D29" i="8"/>
  <c r="D24" i="8"/>
  <c r="D33" i="8"/>
  <c r="D26" i="8"/>
  <c r="D35" i="8"/>
  <c r="D31" i="8"/>
  <c r="D30" i="8"/>
  <c r="C15" i="2"/>
  <c r="C14" i="2"/>
  <c r="C13" i="2"/>
  <c r="C12" i="2"/>
  <c r="C11" i="2"/>
  <c r="C10" i="2"/>
  <c r="C9" i="2"/>
  <c r="C8" i="2"/>
  <c r="C7" i="2"/>
  <c r="C6" i="2"/>
  <c r="C5" i="2"/>
  <c r="C31" i="2" s="1"/>
  <c r="Q38" i="12" l="1"/>
  <c r="Q27" i="12"/>
  <c r="R31" i="12" s="1"/>
  <c r="S31" i="12" s="1"/>
  <c r="Q30" i="12"/>
  <c r="R34" i="12" s="1"/>
  <c r="S34" i="12" s="1"/>
  <c r="Q34" i="12"/>
  <c r="R36" i="12" s="1"/>
  <c r="S36" i="12" s="1"/>
  <c r="Q33" i="12"/>
  <c r="R28" i="12" s="1"/>
  <c r="S28" i="12" s="1"/>
  <c r="Q28" i="12"/>
  <c r="R33" i="12" s="1"/>
  <c r="S33" i="12" s="1"/>
  <c r="Q26" i="12"/>
  <c r="R32" i="12" s="1"/>
  <c r="S32" i="12" s="1"/>
  <c r="Q31" i="12"/>
  <c r="R29" i="12" s="1"/>
  <c r="S29" i="12" s="1"/>
  <c r="Q35" i="12"/>
  <c r="R27" i="12" s="1"/>
  <c r="S27" i="12" s="1"/>
  <c r="H57" i="12"/>
  <c r="I45" i="12"/>
  <c r="I57" i="12" s="1"/>
  <c r="G73" i="12"/>
  <c r="H75" i="12" s="1"/>
  <c r="I75" i="12" s="1"/>
  <c r="AM26" i="12"/>
  <c r="AM38" i="12" s="1"/>
  <c r="AL38" i="12"/>
  <c r="I26" i="12"/>
  <c r="AK57" i="12"/>
  <c r="AK56" i="12"/>
  <c r="AL45" i="12" s="1"/>
  <c r="AK47" i="12"/>
  <c r="AL52" i="12" s="1"/>
  <c r="AM52" i="12" s="1"/>
  <c r="G106" i="12"/>
  <c r="H107" i="12" s="1"/>
  <c r="I107" i="12" s="1"/>
  <c r="AA7" i="12"/>
  <c r="AB13" i="12" s="1"/>
  <c r="AC13" i="12" s="1"/>
  <c r="G11" i="12"/>
  <c r="H15" i="12" s="1"/>
  <c r="I15" i="12" s="1"/>
  <c r="AA10" i="12"/>
  <c r="AB11" i="12" s="1"/>
  <c r="AC11" i="12" s="1"/>
  <c r="AA45" i="12"/>
  <c r="AB51" i="12" s="1"/>
  <c r="AC51" i="12" s="1"/>
  <c r="AK88" i="12"/>
  <c r="AL92" i="12" s="1"/>
  <c r="AM92" i="12" s="1"/>
  <c r="G85" i="12"/>
  <c r="H89" i="12" s="1"/>
  <c r="I89" i="12" s="1"/>
  <c r="AA47" i="12"/>
  <c r="AB52" i="12" s="1"/>
  <c r="AC52" i="12" s="1"/>
  <c r="AK46" i="12"/>
  <c r="AL50" i="12" s="1"/>
  <c r="AM50" i="12" s="1"/>
  <c r="AA18" i="12"/>
  <c r="AB7" i="12" s="1"/>
  <c r="F96" i="12"/>
  <c r="G84" i="12"/>
  <c r="H90" i="12" s="1"/>
  <c r="I90" i="12" s="1"/>
  <c r="AA13" i="12"/>
  <c r="AB16" i="12" s="1"/>
  <c r="AC16" i="12" s="1"/>
  <c r="Q94" i="12"/>
  <c r="R95" i="12" s="1"/>
  <c r="S95" i="12" s="1"/>
  <c r="AA77" i="12"/>
  <c r="AA65" i="12"/>
  <c r="AB71" i="12" s="1"/>
  <c r="AC71" i="12" s="1"/>
  <c r="AA69" i="12"/>
  <c r="AB73" i="12" s="1"/>
  <c r="AC73" i="12" s="1"/>
  <c r="AA71" i="12"/>
  <c r="AB74" i="12" s="1"/>
  <c r="AC74" i="12" s="1"/>
  <c r="AA70" i="12"/>
  <c r="AB68" i="12" s="1"/>
  <c r="AC68" i="12" s="1"/>
  <c r="AA72" i="12"/>
  <c r="AB67" i="12" s="1"/>
  <c r="AC67" i="12" s="1"/>
  <c r="AA67" i="12"/>
  <c r="AB72" i="12" s="1"/>
  <c r="AC72" i="12" s="1"/>
  <c r="AA76" i="12"/>
  <c r="AB65" i="12" s="1"/>
  <c r="AA73" i="12"/>
  <c r="AB75" i="12" s="1"/>
  <c r="AC75" i="12" s="1"/>
  <c r="AA66" i="12"/>
  <c r="AB70" i="12" s="1"/>
  <c r="AC70" i="12" s="1"/>
  <c r="AM65" i="12"/>
  <c r="G71" i="12"/>
  <c r="H74" i="12" s="1"/>
  <c r="I74" i="12" s="1"/>
  <c r="AA106" i="12"/>
  <c r="AB107" i="12" s="1"/>
  <c r="AC107" i="12" s="1"/>
  <c r="G34" i="12"/>
  <c r="H36" i="12" s="1"/>
  <c r="I36" i="12" s="1"/>
  <c r="Q115" i="12"/>
  <c r="Q106" i="12"/>
  <c r="R107" i="12" s="1"/>
  <c r="S107" i="12" s="1"/>
  <c r="Q110" i="12"/>
  <c r="R105" i="12" s="1"/>
  <c r="S105" i="12" s="1"/>
  <c r="Q103" i="12"/>
  <c r="R109" i="12" s="1"/>
  <c r="S109" i="12" s="1"/>
  <c r="Q107" i="12"/>
  <c r="R111" i="12" s="1"/>
  <c r="S111" i="12" s="1"/>
  <c r="Q112" i="12"/>
  <c r="R104" i="12" s="1"/>
  <c r="S104" i="12" s="1"/>
  <c r="Q111" i="12"/>
  <c r="R113" i="12" s="1"/>
  <c r="S113" i="12" s="1"/>
  <c r="Q113" i="12"/>
  <c r="R114" i="12" s="1"/>
  <c r="S114" i="12" s="1"/>
  <c r="Q108" i="12"/>
  <c r="R106" i="12" s="1"/>
  <c r="S106" i="12" s="1"/>
  <c r="Q114" i="12"/>
  <c r="R103" i="12" s="1"/>
  <c r="AA56" i="12"/>
  <c r="AB45" i="12" s="1"/>
  <c r="Q32" i="12"/>
  <c r="R35" i="12" s="1"/>
  <c r="S35" i="12" s="1"/>
  <c r="P96" i="12"/>
  <c r="AA50" i="12"/>
  <c r="AB48" i="12" s="1"/>
  <c r="AC48" i="12" s="1"/>
  <c r="Q29" i="12"/>
  <c r="R30" i="12" s="1"/>
  <c r="S30" i="12" s="1"/>
  <c r="AK55" i="12"/>
  <c r="AL56" i="12" s="1"/>
  <c r="AM56" i="12" s="1"/>
  <c r="G108" i="12"/>
  <c r="H106" i="12" s="1"/>
  <c r="I106" i="12" s="1"/>
  <c r="G32" i="12"/>
  <c r="H35" i="12" s="1"/>
  <c r="I35" i="12" s="1"/>
  <c r="G33" i="12"/>
  <c r="H28" i="12" s="1"/>
  <c r="I28" i="12" s="1"/>
  <c r="G15" i="12"/>
  <c r="H17" i="12" s="1"/>
  <c r="I17" i="12" s="1"/>
  <c r="G14" i="12"/>
  <c r="H9" i="12" s="1"/>
  <c r="I9" i="12" s="1"/>
  <c r="AK49" i="12"/>
  <c r="AL53" i="12" s="1"/>
  <c r="AM53" i="12" s="1"/>
  <c r="AA51" i="12"/>
  <c r="AB54" i="12" s="1"/>
  <c r="AC54" i="12" s="1"/>
  <c r="AA90" i="12"/>
  <c r="AB93" i="12" s="1"/>
  <c r="AC93" i="12" s="1"/>
  <c r="AA9" i="12"/>
  <c r="AB14" i="12" s="1"/>
  <c r="AC14" i="12" s="1"/>
  <c r="Q88" i="12"/>
  <c r="R92" i="12" s="1"/>
  <c r="S92" i="12" s="1"/>
  <c r="Q86" i="12"/>
  <c r="R91" i="12" s="1"/>
  <c r="S91" i="12" s="1"/>
  <c r="P57" i="12"/>
  <c r="AK53" i="12"/>
  <c r="AL55" i="12" s="1"/>
  <c r="AM55" i="12" s="1"/>
  <c r="AK54" i="12"/>
  <c r="AL46" i="12" s="1"/>
  <c r="AM46" i="12" s="1"/>
  <c r="AA15" i="12"/>
  <c r="AB17" i="12" s="1"/>
  <c r="AC17" i="12" s="1"/>
  <c r="G29" i="12"/>
  <c r="H30" i="12" s="1"/>
  <c r="I30" i="12" s="1"/>
  <c r="AA34" i="12"/>
  <c r="AB36" i="12" s="1"/>
  <c r="AC36" i="12" s="1"/>
  <c r="AA38" i="12"/>
  <c r="AA33" i="12"/>
  <c r="AB28" i="12" s="1"/>
  <c r="AC28" i="12" s="1"/>
  <c r="AA32" i="12"/>
  <c r="AB35" i="12" s="1"/>
  <c r="AC35" i="12" s="1"/>
  <c r="AA28" i="12"/>
  <c r="AB33" i="12" s="1"/>
  <c r="AC33" i="12" s="1"/>
  <c r="AA35" i="12"/>
  <c r="AB27" i="12" s="1"/>
  <c r="AC27" i="12" s="1"/>
  <c r="AA37" i="12"/>
  <c r="AB26" i="12" s="1"/>
  <c r="AA31" i="12"/>
  <c r="AB29" i="12" s="1"/>
  <c r="AC29" i="12" s="1"/>
  <c r="G77" i="12"/>
  <c r="G75" i="12"/>
  <c r="H76" i="12" s="1"/>
  <c r="I76" i="12" s="1"/>
  <c r="G67" i="12"/>
  <c r="H72" i="12" s="1"/>
  <c r="I72" i="12" s="1"/>
  <c r="G70" i="12"/>
  <c r="H68" i="12" s="1"/>
  <c r="I68" i="12" s="1"/>
  <c r="AA8" i="12"/>
  <c r="AB12" i="12" s="1"/>
  <c r="AC12" i="12" s="1"/>
  <c r="G115" i="12"/>
  <c r="G105" i="12"/>
  <c r="H110" i="12" s="1"/>
  <c r="I110" i="12" s="1"/>
  <c r="G107" i="12"/>
  <c r="H111" i="12" s="1"/>
  <c r="I111" i="12" s="1"/>
  <c r="G103" i="12"/>
  <c r="H109" i="12" s="1"/>
  <c r="I109" i="12" s="1"/>
  <c r="G113" i="12"/>
  <c r="H114" i="12" s="1"/>
  <c r="I114" i="12" s="1"/>
  <c r="G111" i="12"/>
  <c r="H113" i="12" s="1"/>
  <c r="I113" i="12" s="1"/>
  <c r="G114" i="12"/>
  <c r="H103" i="12" s="1"/>
  <c r="G109" i="12"/>
  <c r="H112" i="12" s="1"/>
  <c r="I112" i="12" s="1"/>
  <c r="AA57" i="12"/>
  <c r="AA54" i="12"/>
  <c r="AB46" i="12" s="1"/>
  <c r="AC46" i="12" s="1"/>
  <c r="Q37" i="12"/>
  <c r="R26" i="12" s="1"/>
  <c r="G66" i="12"/>
  <c r="H70" i="12" s="1"/>
  <c r="I70" i="12" s="1"/>
  <c r="AA53" i="12"/>
  <c r="AB55" i="12" s="1"/>
  <c r="AC55" i="12" s="1"/>
  <c r="AA16" i="12"/>
  <c r="AB8" i="12" s="1"/>
  <c r="AC8" i="12" s="1"/>
  <c r="G19" i="12"/>
  <c r="G7" i="12"/>
  <c r="H13" i="12" s="1"/>
  <c r="I13" i="12" s="1"/>
  <c r="G17" i="12"/>
  <c r="H18" i="12" s="1"/>
  <c r="I18" i="12" s="1"/>
  <c r="G12" i="12"/>
  <c r="H10" i="12" s="1"/>
  <c r="I10" i="12" s="1"/>
  <c r="G18" i="12"/>
  <c r="H7" i="12" s="1"/>
  <c r="G9" i="12"/>
  <c r="H14" i="12" s="1"/>
  <c r="I14" i="12" s="1"/>
  <c r="G8" i="12"/>
  <c r="H12" i="12" s="1"/>
  <c r="I12" i="12" s="1"/>
  <c r="G68" i="12"/>
  <c r="H69" i="12" s="1"/>
  <c r="I69" i="12" s="1"/>
  <c r="AA11" i="12"/>
  <c r="AB15" i="12" s="1"/>
  <c r="AC15" i="12" s="1"/>
  <c r="AA46" i="12"/>
  <c r="AB50" i="12" s="1"/>
  <c r="AC50" i="12" s="1"/>
  <c r="S7" i="12"/>
  <c r="S19" i="12" s="1"/>
  <c r="R19" i="12"/>
  <c r="AA52" i="12"/>
  <c r="AB47" i="12" s="1"/>
  <c r="AC47" i="12" s="1"/>
  <c r="AK50" i="12"/>
  <c r="AL48" i="12" s="1"/>
  <c r="AM48" i="12" s="1"/>
  <c r="AA49" i="12"/>
  <c r="AB53" i="12" s="1"/>
  <c r="AC53" i="12" s="1"/>
  <c r="AA94" i="12"/>
  <c r="AB95" i="12" s="1"/>
  <c r="AC95" i="12" s="1"/>
  <c r="G69" i="12"/>
  <c r="H73" i="12" s="1"/>
  <c r="I73" i="12" s="1"/>
  <c r="AK48" i="12"/>
  <c r="AL49" i="12" s="1"/>
  <c r="AM49" i="12" s="1"/>
  <c r="G112" i="12"/>
  <c r="H104" i="12" s="1"/>
  <c r="I104" i="12" s="1"/>
  <c r="AJ115" i="12"/>
  <c r="AK110" i="12" s="1"/>
  <c r="AL105" i="12" s="1"/>
  <c r="AM105" i="12" s="1"/>
  <c r="Q77" i="12"/>
  <c r="Q65" i="12"/>
  <c r="R71" i="12" s="1"/>
  <c r="S71" i="12" s="1"/>
  <c r="Q73" i="12"/>
  <c r="R75" i="12" s="1"/>
  <c r="S75" i="12" s="1"/>
  <c r="Q67" i="12"/>
  <c r="R72" i="12" s="1"/>
  <c r="S72" i="12" s="1"/>
  <c r="Q74" i="12"/>
  <c r="R66" i="12" s="1"/>
  <c r="S66" i="12" s="1"/>
  <c r="Q76" i="12"/>
  <c r="R65" i="12" s="1"/>
  <c r="Q68" i="12"/>
  <c r="R69" i="12" s="1"/>
  <c r="S69" i="12" s="1"/>
  <c r="Q75" i="12"/>
  <c r="R76" i="12" s="1"/>
  <c r="S76" i="12" s="1"/>
  <c r="Q71" i="12"/>
  <c r="R74" i="12" s="1"/>
  <c r="S74" i="12" s="1"/>
  <c r="Q66" i="12"/>
  <c r="R70" i="12" s="1"/>
  <c r="S70" i="12" s="1"/>
  <c r="G74" i="12"/>
  <c r="H66" i="12" s="1"/>
  <c r="I66" i="12" s="1"/>
  <c r="AA55" i="12"/>
  <c r="AB56" i="12" s="1"/>
  <c r="AC56" i="12" s="1"/>
  <c r="G104" i="12"/>
  <c r="H108" i="12" s="1"/>
  <c r="I108" i="12" s="1"/>
  <c r="AK77" i="12"/>
  <c r="AK74" i="12"/>
  <c r="AL66" i="12" s="1"/>
  <c r="AM66" i="12" s="1"/>
  <c r="AK69" i="12"/>
  <c r="AL73" i="12" s="1"/>
  <c r="AM73" i="12" s="1"/>
  <c r="AK66" i="12"/>
  <c r="AL70" i="12" s="1"/>
  <c r="AM70" i="12" s="1"/>
  <c r="AK73" i="12"/>
  <c r="AL75" i="12" s="1"/>
  <c r="AM75" i="12" s="1"/>
  <c r="AK72" i="12"/>
  <c r="AL67" i="12" s="1"/>
  <c r="AM67" i="12" s="1"/>
  <c r="AK65" i="12"/>
  <c r="AL71" i="12" s="1"/>
  <c r="AM71" i="12" s="1"/>
  <c r="AA17" i="12"/>
  <c r="AB18" i="12" s="1"/>
  <c r="AC18" i="12" s="1"/>
  <c r="AJ96" i="12"/>
  <c r="AK51" i="12"/>
  <c r="AL54" i="12" s="1"/>
  <c r="AM54" i="12" s="1"/>
  <c r="G76" i="12"/>
  <c r="H65" i="12" s="1"/>
  <c r="AJ19" i="12"/>
  <c r="G65" i="12"/>
  <c r="H71" i="12" s="1"/>
  <c r="I71" i="12" s="1"/>
  <c r="Z96" i="12"/>
  <c r="AA14" i="12"/>
  <c r="AB9" i="12" s="1"/>
  <c r="AC9" i="12" s="1"/>
  <c r="AA12" i="12"/>
  <c r="AB10" i="12" s="1"/>
  <c r="AC10" i="12" s="1"/>
  <c r="Z115" i="12"/>
  <c r="Q36" i="12"/>
  <c r="R37" i="12" s="1"/>
  <c r="S37" i="12" s="1"/>
  <c r="AA68" i="12"/>
  <c r="AB69" i="12" s="1"/>
  <c r="AC69" i="12" s="1"/>
  <c r="C28" i="2"/>
  <c r="B8" i="4" s="1"/>
  <c r="C29" i="2"/>
  <c r="C30" i="2" s="1"/>
  <c r="C25" i="2"/>
  <c r="I103" i="12" l="1"/>
  <c r="I115" i="12" s="1"/>
  <c r="H115" i="12"/>
  <c r="Q57" i="12"/>
  <c r="Q45" i="12"/>
  <c r="R51" i="12" s="1"/>
  <c r="S51" i="12" s="1"/>
  <c r="Q53" i="12"/>
  <c r="R55" i="12" s="1"/>
  <c r="S55" i="12" s="1"/>
  <c r="Q46" i="12"/>
  <c r="R50" i="12" s="1"/>
  <c r="S50" i="12" s="1"/>
  <c r="Q50" i="12"/>
  <c r="R48" i="12" s="1"/>
  <c r="S48" i="12" s="1"/>
  <c r="Q48" i="12"/>
  <c r="R49" i="12" s="1"/>
  <c r="S49" i="12" s="1"/>
  <c r="Q56" i="12"/>
  <c r="R45" i="12" s="1"/>
  <c r="I65" i="12"/>
  <c r="I77" i="12" s="1"/>
  <c r="H77" i="12"/>
  <c r="AM45" i="12"/>
  <c r="AM57" i="12" s="1"/>
  <c r="AL57" i="12"/>
  <c r="AA115" i="12"/>
  <c r="AA111" i="12"/>
  <c r="AB113" i="12" s="1"/>
  <c r="AC113" i="12" s="1"/>
  <c r="AA109" i="12"/>
  <c r="AB112" i="12" s="1"/>
  <c r="AC112" i="12" s="1"/>
  <c r="AA107" i="12"/>
  <c r="AB111" i="12" s="1"/>
  <c r="AC111" i="12" s="1"/>
  <c r="AA108" i="12"/>
  <c r="AB106" i="12" s="1"/>
  <c r="AC106" i="12" s="1"/>
  <c r="AA103" i="12"/>
  <c r="AB109" i="12" s="1"/>
  <c r="AC109" i="12" s="1"/>
  <c r="AA114" i="12"/>
  <c r="AB103" i="12" s="1"/>
  <c r="AA105" i="12"/>
  <c r="AB110" i="12" s="1"/>
  <c r="AC110" i="12" s="1"/>
  <c r="AA104" i="12"/>
  <c r="AB108" i="12" s="1"/>
  <c r="AC108" i="12" s="1"/>
  <c r="AA110" i="12"/>
  <c r="AB105" i="12" s="1"/>
  <c r="AC105" i="12" s="1"/>
  <c r="AA112" i="12"/>
  <c r="AB104" i="12" s="1"/>
  <c r="AC104" i="12" s="1"/>
  <c r="AA113" i="12"/>
  <c r="AB114" i="12" s="1"/>
  <c r="AC114" i="12" s="1"/>
  <c r="AK96" i="12"/>
  <c r="AK93" i="12"/>
  <c r="AL85" i="12" s="1"/>
  <c r="AM85" i="12" s="1"/>
  <c r="AK90" i="12"/>
  <c r="AL93" i="12" s="1"/>
  <c r="AM93" i="12" s="1"/>
  <c r="AK84" i="12"/>
  <c r="AL90" i="12" s="1"/>
  <c r="AM90" i="12" s="1"/>
  <c r="AK86" i="12"/>
  <c r="AL91" i="12" s="1"/>
  <c r="AM91" i="12" s="1"/>
  <c r="AK85" i="12"/>
  <c r="AL89" i="12" s="1"/>
  <c r="AM89" i="12" s="1"/>
  <c r="AK89" i="12"/>
  <c r="AL87" i="12" s="1"/>
  <c r="AM87" i="12" s="1"/>
  <c r="AK92" i="12"/>
  <c r="AL94" i="12" s="1"/>
  <c r="AM94" i="12" s="1"/>
  <c r="AK87" i="12"/>
  <c r="AL88" i="12" s="1"/>
  <c r="AM88" i="12" s="1"/>
  <c r="AK94" i="12"/>
  <c r="AL95" i="12" s="1"/>
  <c r="AM95" i="12" s="1"/>
  <c r="S65" i="12"/>
  <c r="S77" i="12" s="1"/>
  <c r="R77" i="12"/>
  <c r="AL77" i="12"/>
  <c r="AK19" i="12"/>
  <c r="AK14" i="12"/>
  <c r="AL9" i="12" s="1"/>
  <c r="AM9" i="12" s="1"/>
  <c r="AK13" i="12"/>
  <c r="AL16" i="12" s="1"/>
  <c r="AM16" i="12" s="1"/>
  <c r="AK11" i="12"/>
  <c r="AL15" i="12" s="1"/>
  <c r="AM15" i="12" s="1"/>
  <c r="AK15" i="12"/>
  <c r="AL17" i="12" s="1"/>
  <c r="AM17" i="12" s="1"/>
  <c r="AK17" i="12"/>
  <c r="AL18" i="12" s="1"/>
  <c r="AM18" i="12" s="1"/>
  <c r="AK7" i="12"/>
  <c r="AL13" i="12" s="1"/>
  <c r="AM13" i="12" s="1"/>
  <c r="AK16" i="12"/>
  <c r="AL8" i="12" s="1"/>
  <c r="AM8" i="12" s="1"/>
  <c r="AK9" i="12"/>
  <c r="AL14" i="12" s="1"/>
  <c r="AM14" i="12" s="1"/>
  <c r="AK10" i="12"/>
  <c r="AL11" i="12" s="1"/>
  <c r="AM11" i="12" s="1"/>
  <c r="AK18" i="12"/>
  <c r="AL7" i="12" s="1"/>
  <c r="AK115" i="12"/>
  <c r="AK103" i="12"/>
  <c r="AL109" i="12" s="1"/>
  <c r="AM109" i="12" s="1"/>
  <c r="AK112" i="12"/>
  <c r="AL104" i="12" s="1"/>
  <c r="AM104" i="12" s="1"/>
  <c r="AK109" i="12"/>
  <c r="AL112" i="12" s="1"/>
  <c r="AM112" i="12" s="1"/>
  <c r="AK108" i="12"/>
  <c r="AL106" i="12" s="1"/>
  <c r="AM106" i="12" s="1"/>
  <c r="AK114" i="12"/>
  <c r="AL103" i="12" s="1"/>
  <c r="AK106" i="12"/>
  <c r="AL107" i="12" s="1"/>
  <c r="AM107" i="12" s="1"/>
  <c r="AK113" i="12"/>
  <c r="AL114" i="12" s="1"/>
  <c r="AM114" i="12" s="1"/>
  <c r="AK105" i="12"/>
  <c r="AL110" i="12" s="1"/>
  <c r="AM110" i="12" s="1"/>
  <c r="AK104" i="12"/>
  <c r="AL108" i="12" s="1"/>
  <c r="AM108" i="12" s="1"/>
  <c r="I7" i="12"/>
  <c r="I19" i="12" s="1"/>
  <c r="H19" i="12"/>
  <c r="Q52" i="12"/>
  <c r="R47" i="12" s="1"/>
  <c r="S47" i="12" s="1"/>
  <c r="R38" i="12"/>
  <c r="S26" i="12"/>
  <c r="S38" i="12" s="1"/>
  <c r="Q51" i="12"/>
  <c r="R54" i="12" s="1"/>
  <c r="S54" i="12" s="1"/>
  <c r="Q49" i="12"/>
  <c r="R53" i="12" s="1"/>
  <c r="S53" i="12" s="1"/>
  <c r="Q54" i="12"/>
  <c r="R46" i="12" s="1"/>
  <c r="S46" i="12" s="1"/>
  <c r="Q96" i="12"/>
  <c r="Q90" i="12"/>
  <c r="R93" i="12" s="1"/>
  <c r="S93" i="12" s="1"/>
  <c r="Q93" i="12"/>
  <c r="R85" i="12" s="1"/>
  <c r="S85" i="12" s="1"/>
  <c r="Q89" i="12"/>
  <c r="R87" i="12" s="1"/>
  <c r="S87" i="12" s="1"/>
  <c r="Q87" i="12"/>
  <c r="R88" i="12" s="1"/>
  <c r="S88" i="12" s="1"/>
  <c r="Q84" i="12"/>
  <c r="R90" i="12" s="1"/>
  <c r="S90" i="12" s="1"/>
  <c r="Q95" i="12"/>
  <c r="R84" i="12" s="1"/>
  <c r="Q85" i="12"/>
  <c r="R89" i="12" s="1"/>
  <c r="S89" i="12" s="1"/>
  <c r="G96" i="12"/>
  <c r="G86" i="12"/>
  <c r="H91" i="12" s="1"/>
  <c r="I91" i="12" s="1"/>
  <c r="G89" i="12"/>
  <c r="H87" i="12" s="1"/>
  <c r="I87" i="12" s="1"/>
  <c r="G93" i="12"/>
  <c r="H85" i="12" s="1"/>
  <c r="I85" i="12" s="1"/>
  <c r="G92" i="12"/>
  <c r="H94" i="12" s="1"/>
  <c r="I94" i="12" s="1"/>
  <c r="G87" i="12"/>
  <c r="H88" i="12" s="1"/>
  <c r="I88" i="12" s="1"/>
  <c r="G90" i="12"/>
  <c r="H93" i="12" s="1"/>
  <c r="I93" i="12" s="1"/>
  <c r="G88" i="12"/>
  <c r="H92" i="12" s="1"/>
  <c r="I92" i="12" s="1"/>
  <c r="G95" i="12"/>
  <c r="H84" i="12" s="1"/>
  <c r="G94" i="12"/>
  <c r="H95" i="12" s="1"/>
  <c r="I95" i="12" s="1"/>
  <c r="H38" i="12"/>
  <c r="Q91" i="12"/>
  <c r="R86" i="12" s="1"/>
  <c r="S86" i="12" s="1"/>
  <c r="Q55" i="12"/>
  <c r="R56" i="12" s="1"/>
  <c r="S56" i="12" s="1"/>
  <c r="AM77" i="12"/>
  <c r="AB19" i="12"/>
  <c r="AC7" i="12"/>
  <c r="AC19" i="12" s="1"/>
  <c r="I38" i="12"/>
  <c r="Q92" i="12"/>
  <c r="R94" i="12" s="1"/>
  <c r="S94" i="12" s="1"/>
  <c r="AC26" i="12"/>
  <c r="AC38" i="12" s="1"/>
  <c r="AB38" i="12"/>
  <c r="AB57" i="12"/>
  <c r="AC45" i="12"/>
  <c r="AC57" i="12" s="1"/>
  <c r="AK8" i="12"/>
  <c r="AL12" i="12" s="1"/>
  <c r="AM12" i="12" s="1"/>
  <c r="G91" i="12"/>
  <c r="H86" i="12" s="1"/>
  <c r="I86" i="12" s="1"/>
  <c r="AA96" i="12"/>
  <c r="AA84" i="12"/>
  <c r="AB90" i="12" s="1"/>
  <c r="AC90" i="12" s="1"/>
  <c r="AA86" i="12"/>
  <c r="AB91" i="12" s="1"/>
  <c r="AC91" i="12" s="1"/>
  <c r="AA95" i="12"/>
  <c r="AB84" i="12" s="1"/>
  <c r="AA85" i="12"/>
  <c r="AB89" i="12" s="1"/>
  <c r="AC89" i="12" s="1"/>
  <c r="AA91" i="12"/>
  <c r="AB86" i="12" s="1"/>
  <c r="AC86" i="12" s="1"/>
  <c r="AA87" i="12"/>
  <c r="AB88" i="12" s="1"/>
  <c r="AC88" i="12" s="1"/>
  <c r="AA93" i="12"/>
  <c r="AB85" i="12" s="1"/>
  <c r="AC85" i="12" s="1"/>
  <c r="AA89" i="12"/>
  <c r="AB87" i="12" s="1"/>
  <c r="AC87" i="12" s="1"/>
  <c r="AA92" i="12"/>
  <c r="AB94" i="12" s="1"/>
  <c r="AC94" i="12" s="1"/>
  <c r="AK91" i="12"/>
  <c r="AL86" i="12" s="1"/>
  <c r="AM86" i="12" s="1"/>
  <c r="AK111" i="12"/>
  <c r="AL113" i="12" s="1"/>
  <c r="AM113" i="12" s="1"/>
  <c r="S103" i="12"/>
  <c r="S115" i="12" s="1"/>
  <c r="R115" i="12"/>
  <c r="AK12" i="12"/>
  <c r="AL10" i="12" s="1"/>
  <c r="AM10" i="12" s="1"/>
  <c r="Q47" i="12"/>
  <c r="R52" i="12" s="1"/>
  <c r="S52" i="12" s="1"/>
  <c r="AK95" i="12"/>
  <c r="AL84" i="12" s="1"/>
  <c r="AA88" i="12"/>
  <c r="AB92" i="12" s="1"/>
  <c r="AC92" i="12" s="1"/>
  <c r="AC65" i="12"/>
  <c r="AC77" i="12" s="1"/>
  <c r="AB77" i="12"/>
  <c r="AK107" i="12"/>
  <c r="AL111" i="12" s="1"/>
  <c r="AM111" i="12" s="1"/>
  <c r="D8" i="4"/>
  <c r="E10" i="4" s="1"/>
  <c r="C8" i="4"/>
  <c r="D4" i="2"/>
  <c r="AM103" i="12" l="1"/>
  <c r="AM115" i="12" s="1"/>
  <c r="AL115" i="12"/>
  <c r="S84" i="12"/>
  <c r="S96" i="12" s="1"/>
  <c r="R96" i="12"/>
  <c r="AC84" i="12"/>
  <c r="AC96" i="12" s="1"/>
  <c r="AB96" i="12"/>
  <c r="AL96" i="12"/>
  <c r="AM84" i="12"/>
  <c r="AM96" i="12" s="1"/>
  <c r="I84" i="12"/>
  <c r="I96" i="12" s="1"/>
  <c r="H96" i="12"/>
  <c r="AB115" i="12"/>
  <c r="AC103" i="12"/>
  <c r="AC115" i="12" s="1"/>
  <c r="AM7" i="12"/>
  <c r="AM19" i="12" s="1"/>
  <c r="AL19" i="12"/>
  <c r="S45" i="12"/>
  <c r="S57" i="12" s="1"/>
  <c r="R57" i="12"/>
  <c r="E14" i="4"/>
  <c r="F14" i="4" s="1"/>
  <c r="G14" i="4" s="1"/>
  <c r="E12" i="4"/>
  <c r="F12" i="4" s="1"/>
  <c r="G12" i="4" s="1"/>
  <c r="E11" i="4"/>
  <c r="F11" i="4" s="1"/>
  <c r="G11" i="4" s="1"/>
  <c r="E13" i="4"/>
  <c r="F13" i="4" s="1"/>
  <c r="G13" i="4" s="1"/>
  <c r="F10" i="4"/>
  <c r="G10" i="4" s="1"/>
  <c r="E9" i="4"/>
  <c r="F9" i="4" s="1"/>
  <c r="G9" i="4" s="1"/>
  <c r="E8" i="4"/>
  <c r="F8" i="4" s="1"/>
  <c r="G8" i="4" s="1"/>
  <c r="E4" i="2"/>
  <c r="G4" i="2"/>
  <c r="F4" i="2"/>
  <c r="D5" i="2"/>
  <c r="D6" i="2"/>
  <c r="D14" i="2"/>
  <c r="D7" i="2"/>
  <c r="D11" i="2"/>
  <c r="D15" i="2"/>
  <c r="D8" i="2"/>
  <c r="D12" i="2"/>
  <c r="D10" i="2"/>
  <c r="D9" i="2"/>
  <c r="D13" i="2"/>
  <c r="D25" i="2" l="1"/>
  <c r="F13" i="2"/>
  <c r="E13" i="2"/>
  <c r="G13" i="2"/>
  <c r="G10" i="2"/>
  <c r="F10" i="2"/>
  <c r="E10" i="2"/>
  <c r="G11" i="2"/>
  <c r="F11" i="2"/>
  <c r="E11" i="2"/>
  <c r="G14" i="2"/>
  <c r="F14" i="2"/>
  <c r="E14" i="2"/>
  <c r="F9" i="2"/>
  <c r="E9" i="2"/>
  <c r="G9" i="2"/>
  <c r="E12" i="2"/>
  <c r="G12" i="2"/>
  <c r="F12" i="2"/>
  <c r="G6" i="2"/>
  <c r="F6" i="2"/>
  <c r="E6" i="2"/>
  <c r="C45" i="2"/>
  <c r="C44" i="2"/>
  <c r="E8" i="2"/>
  <c r="G8" i="2"/>
  <c r="F8" i="2"/>
  <c r="F5" i="2"/>
  <c r="E5" i="2"/>
  <c r="G5" i="2"/>
  <c r="G15" i="2"/>
  <c r="F15" i="2"/>
  <c r="E15" i="2"/>
  <c r="G7" i="2"/>
  <c r="E7" i="2"/>
  <c r="F7" i="2"/>
  <c r="G25" i="2" l="1"/>
  <c r="C32" i="2" s="1"/>
  <c r="E25" i="2"/>
  <c r="F25" i="2"/>
</calcChain>
</file>

<file path=xl/sharedStrings.xml><?xml version="1.0" encoding="utf-8"?>
<sst xmlns="http://schemas.openxmlformats.org/spreadsheetml/2006/main" count="676" uniqueCount="94">
  <si>
    <t>Pontianak Kota Climatology Station</t>
  </si>
  <si>
    <t>West Kalimantan Climatology Station</t>
  </si>
  <si>
    <t>Pontianak Maritime Meteorology Station</t>
  </si>
  <si>
    <t>Year</t>
  </si>
  <si>
    <t>R MAX</t>
  </si>
  <si>
    <t>No</t>
  </si>
  <si>
    <t xml:space="preserve"> STA Name</t>
  </si>
  <si>
    <t>Thiessen polygon influence zones (Km)</t>
  </si>
  <si>
    <t>Total Luas Area</t>
  </si>
  <si>
    <t>TAHUN</t>
  </si>
  <si>
    <t>No.</t>
  </si>
  <si>
    <t>Rainfall (mm)</t>
  </si>
  <si>
    <t>Thiessen</t>
  </si>
  <si>
    <t>Thiessen (mm)</t>
  </si>
  <si>
    <t>Polygon area (Km2)</t>
  </si>
  <si>
    <t>Years</t>
  </si>
  <si>
    <t>Curah Hujan (mm)</t>
  </si>
  <si>
    <t>MAX</t>
  </si>
  <si>
    <t>Sort</t>
  </si>
  <si>
    <t>Statistical Parameters of the Log-Pearson Type III Distribution</t>
  </si>
  <si>
    <t>Ri (mm)</t>
  </si>
  <si>
    <t>log Ri</t>
  </si>
  <si>
    <t>log Ri - log Ri</t>
  </si>
  <si>
    <t>(log Ri - log Ri)2</t>
  </si>
  <si>
    <t>(log Ri - log Ri)3</t>
  </si>
  <si>
    <t>(log Ri - log Ri)4</t>
  </si>
  <si>
    <t>Jumlah</t>
  </si>
  <si>
    <t xml:space="preserve">Rrata-rata </t>
  </si>
  <si>
    <t>=</t>
  </si>
  <si>
    <t>log Rrata-rata</t>
  </si>
  <si>
    <t>Sd</t>
  </si>
  <si>
    <t>Cv</t>
  </si>
  <si>
    <t>Cs</t>
  </si>
  <si>
    <t>Ck</t>
  </si>
  <si>
    <t>Cs  =</t>
  </si>
  <si>
    <t>Ck  =</t>
  </si>
  <si>
    <t>Tabel 20 Distribusi Log Pearson III untuk Koefisien Kemencengan (Cs)</t>
  </si>
  <si>
    <t>Koefisien</t>
  </si>
  <si>
    <t>Waktu Balik (Tahun)</t>
  </si>
  <si>
    <t>Peluang (%)</t>
  </si>
  <si>
    <t>Dikutip dari Ir. CD. Soemarto, B.I.E. Dipl. HE / Hidrologi Teknik</t>
  </si>
  <si>
    <t>OK</t>
  </si>
  <si>
    <t>Design Rainfall log pearson III</t>
  </si>
  <si>
    <t>Tahun rencana</t>
  </si>
  <si>
    <t>log R</t>
  </si>
  <si>
    <r>
      <t>K</t>
    </r>
    <r>
      <rPr>
        <vertAlign val="subscript"/>
        <sz val="11"/>
        <rFont val="Arial"/>
        <family val="2"/>
      </rPr>
      <t>T</t>
    </r>
  </si>
  <si>
    <r>
      <t>Log R</t>
    </r>
    <r>
      <rPr>
        <vertAlign val="subscript"/>
        <sz val="11"/>
        <rFont val="Arial"/>
        <family val="2"/>
      </rPr>
      <t>T</t>
    </r>
  </si>
  <si>
    <r>
      <t>R</t>
    </r>
    <r>
      <rPr>
        <vertAlign val="subscript"/>
        <sz val="11"/>
        <rFont val="Arial"/>
        <family val="2"/>
      </rPr>
      <t>T</t>
    </r>
  </si>
  <si>
    <t>(T)</t>
  </si>
  <si>
    <r>
      <t>(</t>
    </r>
    <r>
      <rPr>
        <i/>
        <sz val="11"/>
        <rFont val="Arial"/>
        <family val="2"/>
      </rPr>
      <t>mm</t>
    </r>
    <r>
      <rPr>
        <sz val="11"/>
        <rFont val="Arial"/>
        <family val="2"/>
      </rPr>
      <t>)</t>
    </r>
  </si>
  <si>
    <t>RT</t>
  </si>
  <si>
    <t>(mm)</t>
  </si>
  <si>
    <t>Return Period (years)</t>
  </si>
  <si>
    <t xml:space="preserve"> RT (mm)</t>
  </si>
  <si>
    <t>RT With RCP 2.6  (mm)</t>
  </si>
  <si>
    <t>RT With RCP 4.5  (mm)</t>
  </si>
  <si>
    <t>RT With RCP 8.5  (mm)</t>
  </si>
  <si>
    <t>Normal Condition</t>
  </si>
  <si>
    <t>RCP 2.6</t>
  </si>
  <si>
    <t>RCP 4.5</t>
  </si>
  <si>
    <t>RCP 8.5</t>
  </si>
  <si>
    <t>ABM Method 2 Year Return Period</t>
  </si>
  <si>
    <t>P2 =</t>
  </si>
  <si>
    <t>T (jam)</t>
  </si>
  <si>
    <t>Dt (jam)</t>
  </si>
  <si>
    <t>It (mm/jam)</t>
  </si>
  <si>
    <t>It T      (mm)</t>
  </si>
  <si>
    <t>Dp (mm)</t>
  </si>
  <si>
    <t>Pt (%)</t>
  </si>
  <si>
    <t>hyetograph</t>
  </si>
  <si>
    <t>%</t>
  </si>
  <si>
    <t>0 1</t>
  </si>
  <si>
    <t>1 2</t>
  </si>
  <si>
    <t>2 3</t>
  </si>
  <si>
    <t>3 4</t>
  </si>
  <si>
    <t>4 5</t>
  </si>
  <si>
    <t>5 6</t>
  </si>
  <si>
    <t>6 7</t>
  </si>
  <si>
    <t>7 8</t>
  </si>
  <si>
    <t>8 9</t>
  </si>
  <si>
    <t>9 10</t>
  </si>
  <si>
    <t>11 12</t>
  </si>
  <si>
    <t>12 13</t>
  </si>
  <si>
    <t>Total</t>
  </si>
  <si>
    <t>ABM Method 5 Year Return Period</t>
  </si>
  <si>
    <t>P5 =</t>
  </si>
  <si>
    <t>ABM Method 10 Year Return Period</t>
  </si>
  <si>
    <t>P10 =</t>
  </si>
  <si>
    <t>ABM Method 25 Year Return Period</t>
  </si>
  <si>
    <t>P25 =</t>
  </si>
  <si>
    <t>ABM Method 50 Year Return Period</t>
  </si>
  <si>
    <t>P50 =</t>
  </si>
  <si>
    <t>ABM Method 100 Year Return Period</t>
  </si>
  <si>
    <t>P100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</si>
</sst>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??_-;_-@_-"/>
    <numFmt numFmtId="166" formatCode="##__"/>
    <numFmt numFmtId="167" formatCode="#,##0.00____"/>
    <numFmt numFmtId="168" formatCode="0.000"/>
    <numFmt numFmtId="169" formatCode="0.0000"/>
    <numFmt numFmtId="170" formatCode="0.000000"/>
    <numFmt numFmtId="171" formatCode="0.0000000000"/>
    <numFmt numFmtId="172" formatCode="0.0"/>
    <numFmt numFmtId="173" formatCode="0.000%"/>
    <numFmt numFmtId="174" formatCode="0.0000%"/>
    <numFmt numFmtId="175" formatCode="#,##0.000"/>
  </numFmts>
  <fonts count="2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badi MT Condensed Light"/>
      <family val="2"/>
    </font>
    <font>
      <sz val="10"/>
      <name val="Abadi MT Condensed Light"/>
      <family val="2"/>
    </font>
    <font>
      <sz val="10"/>
      <name val="Arial Narrow"/>
      <family val="2"/>
    </font>
    <font>
      <i/>
      <sz val="11"/>
      <name val="Times New Roman"/>
      <family val="1"/>
    </font>
    <font>
      <sz val="10"/>
      <name val="garamond"/>
      <family val="1"/>
    </font>
    <font>
      <sz val="11"/>
      <name val="Arial"/>
      <family val="2"/>
    </font>
    <font>
      <u/>
      <sz val="11"/>
      <name val="Arial"/>
      <family val="2"/>
    </font>
    <font>
      <vertAlign val="subscript"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2"/>
      <name val="Arial Narrow"/>
      <family val="2"/>
    </font>
    <font>
      <sz val="10"/>
      <name val="Book Antiqua"/>
      <family val="1"/>
    </font>
    <font>
      <sz val="12"/>
      <name val="Arial Narrow"/>
      <family val="2"/>
    </font>
    <font>
      <i/>
      <sz val="10"/>
      <name val="Arial Narrow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0" fontId="4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/>
    <xf numFmtId="0" fontId="2" fillId="0" borderId="0"/>
  </cellStyleXfs>
  <cellXfs count="167">
    <xf numFmtId="0" fontId="0" fillId="0" borderId="0" xfId="0"/>
    <xf numFmtId="166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1" applyNumberFormat="1" applyFont="1" applyBorder="1" applyAlignment="1">
      <alignment horizontal="center"/>
    </xf>
    <xf numFmtId="167" fontId="8" fillId="0" borderId="0" xfId="0" applyNumberFormat="1" applyFont="1" applyAlignment="1">
      <alignment horizontal="right"/>
    </xf>
    <xf numFmtId="0" fontId="9" fillId="0" borderId="0" xfId="1" applyNumberFormat="1" applyFont="1" applyBorder="1" applyAlignment="1">
      <alignment horizontal="center"/>
    </xf>
    <xf numFmtId="166" fontId="8" fillId="0" borderId="0" xfId="1" applyNumberFormat="1" applyFont="1" applyBorder="1" applyAlignment="1">
      <alignment horizontal="center"/>
    </xf>
    <xf numFmtId="0" fontId="10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68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8" fontId="11" fillId="0" borderId="1" xfId="0" applyNumberFormat="1" applyFont="1" applyBorder="1"/>
    <xf numFmtId="0" fontId="0" fillId="0" borderId="1" xfId="0" applyBorder="1" applyAlignment="1">
      <alignment horizontal="center"/>
    </xf>
    <xf numFmtId="1" fontId="8" fillId="2" borderId="1" xfId="3" applyNumberFormat="1" applyFont="1" applyFill="1" applyBorder="1" applyAlignment="1">
      <alignment horizontal="center" vertical="center"/>
    </xf>
    <xf numFmtId="1" fontId="8" fillId="0" borderId="1" xfId="3" applyNumberFormat="1" applyFont="1" applyBorder="1" applyAlignment="1">
      <alignment horizontal="center" vertical="center"/>
    </xf>
    <xf numFmtId="0" fontId="18" fillId="0" borderId="0" xfId="7" applyFont="1" applyAlignment="1">
      <alignment horizontal="center"/>
    </xf>
    <xf numFmtId="0" fontId="19" fillId="0" borderId="0" xfId="7" applyFont="1"/>
    <xf numFmtId="0" fontId="8" fillId="0" borderId="0" xfId="7" applyFont="1"/>
    <xf numFmtId="0" fontId="18" fillId="0" borderId="8" xfId="7" applyFont="1" applyBorder="1" applyAlignment="1">
      <alignment horizontal="center"/>
    </xf>
    <xf numFmtId="172" fontId="20" fillId="0" borderId="10" xfId="7" applyNumberFormat="1" applyFont="1" applyBorder="1"/>
    <xf numFmtId="172" fontId="20" fillId="0" borderId="12" xfId="7" applyNumberFormat="1" applyFont="1" applyBorder="1"/>
    <xf numFmtId="172" fontId="20" fillId="0" borderId="7" xfId="7" applyNumberFormat="1" applyFont="1" applyBorder="1"/>
    <xf numFmtId="0" fontId="21" fillId="0" borderId="0" xfId="7" applyFont="1"/>
    <xf numFmtId="0" fontId="19" fillId="3" borderId="0" xfId="7" applyFont="1" applyFill="1"/>
    <xf numFmtId="0" fontId="18" fillId="0" borderId="16" xfId="7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2" fillId="5" borderId="1" xfId="8" applyFill="1" applyBorder="1" applyAlignment="1">
      <alignment horizontal="center" vertical="center"/>
    </xf>
    <xf numFmtId="0" fontId="2" fillId="0" borderId="0" xfId="8"/>
    <xf numFmtId="0" fontId="2" fillId="0" borderId="1" xfId="8" applyBorder="1" applyAlignment="1">
      <alignment horizontal="center" vertical="center"/>
    </xf>
    <xf numFmtId="0" fontId="5" fillId="0" borderId="1" xfId="8" applyFont="1" applyBorder="1"/>
    <xf numFmtId="0" fontId="5" fillId="0" borderId="1" xfId="8" applyFont="1" applyBorder="1" applyAlignment="1">
      <alignment horizontal="center"/>
    </xf>
    <xf numFmtId="168" fontId="2" fillId="0" borderId="1" xfId="8" applyNumberFormat="1" applyBorder="1" applyAlignment="1">
      <alignment horizontal="center"/>
    </xf>
    <xf numFmtId="0" fontId="2" fillId="0" borderId="1" xfId="8" applyBorder="1" applyAlignment="1">
      <alignment horizontal="center"/>
    </xf>
    <xf numFmtId="0" fontId="2" fillId="0" borderId="0" xfId="8" applyAlignment="1">
      <alignment horizontal="center"/>
    </xf>
    <xf numFmtId="172" fontId="2" fillId="0" borderId="1" xfId="8" applyNumberFormat="1" applyBorder="1" applyAlignment="1">
      <alignment horizontal="center"/>
    </xf>
    <xf numFmtId="2" fontId="2" fillId="0" borderId="1" xfId="8" applyNumberFormat="1" applyBorder="1" applyAlignment="1">
      <alignment horizontal="center"/>
    </xf>
    <xf numFmtId="0" fontId="2" fillId="6" borderId="1" xfId="8" applyFill="1" applyBorder="1" applyAlignment="1">
      <alignment horizontal="center"/>
    </xf>
    <xf numFmtId="0" fontId="2" fillId="6" borderId="1" xfId="8" applyFill="1" applyBorder="1"/>
    <xf numFmtId="1" fontId="2" fillId="0" borderId="1" xfId="8" applyNumberFormat="1" applyBorder="1" applyAlignment="1">
      <alignment horizontal="center"/>
    </xf>
    <xf numFmtId="1" fontId="0" fillId="0" borderId="0" xfId="0" applyNumberFormat="1"/>
    <xf numFmtId="172" fontId="20" fillId="7" borderId="12" xfId="7" applyNumberFormat="1" applyFont="1" applyFill="1" applyBorder="1"/>
    <xf numFmtId="0" fontId="19" fillId="7" borderId="0" xfId="7" applyFont="1" applyFill="1"/>
    <xf numFmtId="0" fontId="8" fillId="8" borderId="0" xfId="7" applyFont="1" applyFill="1"/>
    <xf numFmtId="168" fontId="20" fillId="8" borderId="1" xfId="7" applyNumberFormat="1" applyFont="1" applyFill="1" applyBorder="1"/>
    <xf numFmtId="0" fontId="22" fillId="8" borderId="0" xfId="7" applyFont="1" applyFill="1" applyAlignment="1">
      <alignment vertical="center"/>
    </xf>
    <xf numFmtId="0" fontId="19" fillId="8" borderId="0" xfId="7" applyFont="1" applyFill="1"/>
    <xf numFmtId="169" fontId="20" fillId="8" borderId="1" xfId="7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175" fontId="0" fillId="0" borderId="1" xfId="0" applyNumberFormat="1" applyBorder="1" applyAlignment="1">
      <alignment horizontal="center" vertical="center" wrapText="1"/>
    </xf>
    <xf numFmtId="0" fontId="2" fillId="0" borderId="0" xfId="8" applyAlignment="1">
      <alignment horizontal="center" vertical="center" wrapText="1"/>
    </xf>
    <xf numFmtId="0" fontId="2" fillId="10" borderId="1" xfId="8" applyFill="1" applyBorder="1" applyAlignment="1">
      <alignment horizontal="center" vertical="center" wrapText="1"/>
    </xf>
    <xf numFmtId="168" fontId="2" fillId="10" borderId="1" xfId="8" applyNumberFormat="1" applyFill="1" applyBorder="1" applyAlignment="1">
      <alignment horizontal="center" vertical="center"/>
    </xf>
    <xf numFmtId="0" fontId="2" fillId="6" borderId="3" xfId="8" applyFill="1" applyBorder="1" applyAlignment="1">
      <alignment horizontal="center"/>
    </xf>
    <xf numFmtId="0" fontId="2" fillId="6" borderId="1" xfId="8" applyFill="1" applyBorder="1" applyAlignment="1">
      <alignment horizontal="center" vertical="center" wrapText="1"/>
    </xf>
    <xf numFmtId="0" fontId="2" fillId="6" borderId="1" xfId="8" applyFill="1" applyBorder="1" applyAlignment="1">
      <alignment vertical="center" wrapText="1"/>
    </xf>
    <xf numFmtId="0" fontId="2" fillId="2" borderId="1" xfId="8" applyFill="1" applyBorder="1" applyAlignment="1">
      <alignment horizontal="center" vertical="center" wrapText="1"/>
    </xf>
    <xf numFmtId="0" fontId="0" fillId="0" borderId="1" xfId="8" applyFont="1" applyBorder="1"/>
    <xf numFmtId="0" fontId="1" fillId="5" borderId="1" xfId="8" applyFont="1" applyFill="1" applyBorder="1" applyAlignment="1">
      <alignment horizontal="center" vertical="center"/>
    </xf>
    <xf numFmtId="0" fontId="1" fillId="5" borderId="1" xfId="8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7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6" fontId="6" fillId="11" borderId="1" xfId="0" applyNumberFormat="1" applyFont="1" applyFill="1" applyBorder="1" applyAlignment="1">
      <alignment horizontal="center"/>
    </xf>
    <xf numFmtId="0" fontId="8" fillId="2" borderId="0" xfId="7" applyFont="1" applyFill="1"/>
    <xf numFmtId="0" fontId="19" fillId="2" borderId="0" xfId="7" applyFont="1" applyFill="1"/>
    <xf numFmtId="2" fontId="18" fillId="2" borderId="8" xfId="7" applyNumberFormat="1" applyFont="1" applyFill="1" applyBorder="1" applyAlignment="1">
      <alignment horizontal="center"/>
    </xf>
    <xf numFmtId="0" fontId="18" fillId="2" borderId="8" xfId="7" applyFont="1" applyFill="1" applyBorder="1" applyAlignment="1">
      <alignment horizontal="center"/>
    </xf>
    <xf numFmtId="168" fontId="18" fillId="2" borderId="8" xfId="7" applyNumberFormat="1" applyFont="1" applyFill="1" applyBorder="1" applyAlignment="1">
      <alignment horizontal="center"/>
    </xf>
    <xf numFmtId="0" fontId="18" fillId="2" borderId="9" xfId="7" applyFont="1" applyFill="1" applyBorder="1" applyAlignment="1">
      <alignment horizontal="center"/>
    </xf>
    <xf numFmtId="0" fontId="18" fillId="2" borderId="8" xfId="7" applyFont="1" applyFill="1" applyBorder="1" applyAlignment="1">
      <alignment horizontal="center" vertical="center"/>
    </xf>
    <xf numFmtId="168" fontId="20" fillId="2" borderId="3" xfId="7" applyNumberFormat="1" applyFont="1" applyFill="1" applyBorder="1"/>
    <xf numFmtId="169" fontId="20" fillId="2" borderId="3" xfId="7" applyNumberFormat="1" applyFont="1" applyFill="1" applyBorder="1"/>
    <xf numFmtId="168" fontId="20" fillId="2" borderId="11" xfId="7" applyNumberFormat="1" applyFont="1" applyFill="1" applyBorder="1"/>
    <xf numFmtId="168" fontId="20" fillId="2" borderId="1" xfId="7" applyNumberFormat="1" applyFont="1" applyFill="1" applyBorder="1"/>
    <xf numFmtId="169" fontId="20" fillId="2" borderId="1" xfId="7" applyNumberFormat="1" applyFont="1" applyFill="1" applyBorder="1"/>
    <xf numFmtId="168" fontId="20" fillId="2" borderId="13" xfId="7" applyNumberFormat="1" applyFont="1" applyFill="1" applyBorder="1"/>
    <xf numFmtId="168" fontId="20" fillId="2" borderId="14" xfId="7" applyNumberFormat="1" applyFont="1" applyFill="1" applyBorder="1"/>
    <xf numFmtId="169" fontId="20" fillId="2" borderId="14" xfId="7" applyNumberFormat="1" applyFont="1" applyFill="1" applyBorder="1"/>
    <xf numFmtId="168" fontId="20" fillId="2" borderId="15" xfId="7" applyNumberFormat="1" applyFont="1" applyFill="1" applyBorder="1"/>
    <xf numFmtId="0" fontId="21" fillId="2" borderId="0" xfId="7" applyFont="1" applyFill="1"/>
    <xf numFmtId="172" fontId="20" fillId="2" borderId="12" xfId="7" applyNumberFormat="1" applyFont="1" applyFill="1" applyBorder="1"/>
    <xf numFmtId="0" fontId="0" fillId="2" borderId="0" xfId="0" applyFill="1" applyAlignment="1">
      <alignment horizontal="center" vertical="center"/>
    </xf>
    <xf numFmtId="168" fontId="20" fillId="2" borderId="0" xfId="7" applyNumberFormat="1" applyFont="1" applyFill="1"/>
    <xf numFmtId="9" fontId="2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2" fontId="20" fillId="0" borderId="0" xfId="7" applyNumberFormat="1" applyFont="1"/>
    <xf numFmtId="168" fontId="20" fillId="0" borderId="0" xfId="7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1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2" fontId="26" fillId="0" borderId="13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172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5" fillId="0" borderId="31" xfId="0" applyFont="1" applyBorder="1"/>
    <xf numFmtId="0" fontId="25" fillId="0" borderId="32" xfId="0" applyFont="1" applyBorder="1"/>
    <xf numFmtId="0" fontId="0" fillId="0" borderId="31" xfId="0" applyBorder="1"/>
    <xf numFmtId="0" fontId="0" fillId="0" borderId="32" xfId="0" applyBorder="1"/>
    <xf numFmtId="0" fontId="15" fillId="12" borderId="33" xfId="0" applyFont="1" applyFill="1" applyBorder="1"/>
    <xf numFmtId="0" fontId="15" fillId="12" borderId="34" xfId="0" applyFont="1" applyFill="1" applyBorder="1"/>
    <xf numFmtId="0" fontId="15" fillId="12" borderId="35" xfId="0" applyFont="1" applyFill="1" applyBorder="1"/>
    <xf numFmtId="0" fontId="15" fillId="0" borderId="0" xfId="0" applyFont="1"/>
    <xf numFmtId="0" fontId="0" fillId="6" borderId="1" xfId="0" applyFill="1" applyBorder="1" applyAlignment="1">
      <alignment horizontal="center" vertical="center" wrapText="1"/>
    </xf>
    <xf numFmtId="0" fontId="2" fillId="0" borderId="1" xfId="8" applyBorder="1" applyAlignment="1">
      <alignment horizontal="center" vertical="center"/>
    </xf>
    <xf numFmtId="0" fontId="2" fillId="10" borderId="1" xfId="8" applyFill="1" applyBorder="1" applyAlignment="1">
      <alignment horizontal="center" vertical="center"/>
    </xf>
    <xf numFmtId="0" fontId="2" fillId="10" borderId="1" xfId="8" applyFill="1" applyBorder="1" applyAlignment="1">
      <alignment horizontal="center" vertical="center" wrapText="1"/>
    </xf>
    <xf numFmtId="0" fontId="2" fillId="0" borderId="1" xfId="8" applyBorder="1" applyAlignment="1">
      <alignment horizontal="center"/>
    </xf>
    <xf numFmtId="167" fontId="9" fillId="0" borderId="0" xfId="0" applyNumberFormat="1" applyFont="1" applyAlignment="1">
      <alignment horizontal="center"/>
    </xf>
    <xf numFmtId="0" fontId="9" fillId="0" borderId="0" xfId="1" applyNumberFormat="1" applyFont="1" applyBorder="1" applyAlignment="1">
      <alignment horizontal="center"/>
    </xf>
    <xf numFmtId="166" fontId="15" fillId="0" borderId="1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18" fillId="0" borderId="0" xfId="7" applyFont="1" applyAlignment="1">
      <alignment horizontal="center"/>
    </xf>
    <xf numFmtId="0" fontId="18" fillId="0" borderId="4" xfId="7" applyFont="1" applyBorder="1" applyAlignment="1">
      <alignment horizontal="center" vertical="center"/>
    </xf>
    <xf numFmtId="0" fontId="18" fillId="0" borderId="7" xfId="7" applyFont="1" applyBorder="1" applyAlignment="1">
      <alignment horizontal="center" vertical="center"/>
    </xf>
    <xf numFmtId="0" fontId="18" fillId="2" borderId="5" xfId="7" applyFont="1" applyFill="1" applyBorder="1" applyAlignment="1">
      <alignment horizontal="center"/>
    </xf>
    <xf numFmtId="0" fontId="18" fillId="2" borderId="6" xfId="7" applyFont="1" applyFill="1" applyBorder="1" applyAlignment="1">
      <alignment horizontal="center"/>
    </xf>
    <xf numFmtId="168" fontId="11" fillId="0" borderId="1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" fillId="10" borderId="1" xfId="8" applyFont="1" applyFill="1" applyBorder="1" applyAlignment="1">
      <alignment horizontal="center" vertical="center"/>
    </xf>
    <xf numFmtId="0" fontId="1" fillId="10" borderId="19" xfId="8" applyFont="1" applyFill="1" applyBorder="1" applyAlignment="1">
      <alignment horizontal="center" vertical="center"/>
    </xf>
    <xf numFmtId="0" fontId="1" fillId="10" borderId="21" xfId="8" applyFont="1" applyFill="1" applyBorder="1" applyAlignment="1">
      <alignment horizontal="center" vertical="center"/>
    </xf>
    <xf numFmtId="0" fontId="1" fillId="10" borderId="1" xfId="8" applyFont="1" applyFill="1" applyBorder="1" applyAlignment="1">
      <alignment horizontal="center" vertical="center" wrapText="1"/>
    </xf>
    <xf numFmtId="0" fontId="1" fillId="10" borderId="17" xfId="8" applyFont="1" applyFill="1" applyBorder="1" applyAlignment="1">
      <alignment horizontal="center" vertical="center" wrapText="1"/>
    </xf>
    <xf numFmtId="0" fontId="1" fillId="10" borderId="23" xfId="8" applyFont="1" applyFill="1" applyBorder="1" applyAlignment="1">
      <alignment horizontal="center" vertical="center" wrapText="1"/>
    </xf>
    <xf numFmtId="0" fontId="1" fillId="10" borderId="24" xfId="8" applyFont="1" applyFill="1" applyBorder="1" applyAlignment="1">
      <alignment horizontal="center" vertical="center" wrapText="1"/>
    </xf>
    <xf numFmtId="0" fontId="1" fillId="10" borderId="22" xfId="8" applyFont="1" applyFill="1" applyBorder="1" applyAlignment="1">
      <alignment horizontal="center" vertical="center"/>
    </xf>
    <xf numFmtId="0" fontId="1" fillId="0" borderId="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/>
    </xf>
    <xf numFmtId="0" fontId="1" fillId="0" borderId="1" xfId="8" applyFont="1" applyBorder="1" applyAlignment="1">
      <alignment horizontal="center" wrapText="1"/>
    </xf>
  </cellXfs>
  <cellStyles count="9">
    <cellStyle name="Comma [0] 2" xfId="5" xr:uid="{00000000-0005-0000-0000-000000000000}"/>
    <cellStyle name="Comma 2" xfId="4" xr:uid="{00000000-0005-0000-0000-000001000000}"/>
    <cellStyle name="Comma 3" xfId="6" xr:uid="{00000000-0005-0000-0000-000002000000}"/>
    <cellStyle name="Normal" xfId="0" builtinId="0"/>
    <cellStyle name="Normal 14" xfId="7" xr:uid="{00000000-0005-0000-0000-000004000000}"/>
    <cellStyle name="Normal 2" xfId="3" xr:uid="{00000000-0005-0000-0000-000005000000}"/>
    <cellStyle name="Normal 2 8" xfId="8" xr:uid="{00000000-0005-0000-0000-000006000000}"/>
    <cellStyle name="Normal 5" xfId="2" xr:uid="{00000000-0005-0000-0000-000007000000}"/>
    <cellStyle name="Percent" xfId="1" builtinId="5"/>
  </cellStyles>
  <dxfs count="0"/>
  <tableStyles count="0" defaultTableStyle="TableStyleMedium2" defaultPivotStyle="PivotStyleLight16"/>
  <colors>
    <mruColors>
      <color rgb="FF4DDA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Design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2225" cap="rnd">
              <a:solidFill>
                <a:schemeClr val="accent1">
                  <a:tint val="65000"/>
                </a:schemeClr>
              </a:solidFill>
            </a:ln>
            <a:effectLst>
              <a:glow rad="139700">
                <a:schemeClr val="accent1">
                  <a:tint val="65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'Design Rainfall'!$H$20:$I$26</c:f>
              <c:multiLvlStrCache>
                <c:ptCount val="7"/>
                <c:lvl/>
                <c:lvl>
                  <c:pt idx="0">
                    <c:v>2</c:v>
                  </c:pt>
                  <c:pt idx="1">
                    <c:v>5</c:v>
                  </c:pt>
                  <c:pt idx="2">
                    <c:v>10</c:v>
                  </c:pt>
                  <c:pt idx="3">
                    <c:v>20</c:v>
                  </c:pt>
                  <c:pt idx="4">
                    <c:v>25</c:v>
                  </c:pt>
                  <c:pt idx="5">
                    <c:v>50</c:v>
                  </c:pt>
                  <c:pt idx="6">
                    <c:v>100</c:v>
                  </c:pt>
                </c:lvl>
              </c:multiLvlStrCache>
            </c:multiLvlStrRef>
          </c:cat>
          <c:val>
            <c:numRef>
              <c:f>'Design Rainfall'!$J$20:$J$26</c:f>
              <c:numCache>
                <c:formatCode>0.000</c:formatCode>
                <c:ptCount val="7"/>
                <c:pt idx="0">
                  <c:v>123.28661522495837</c:v>
                </c:pt>
                <c:pt idx="1">
                  <c:v>147.98406910720186</c:v>
                </c:pt>
                <c:pt idx="2">
                  <c:v>161.95312011620706</c:v>
                </c:pt>
                <c:pt idx="3">
                  <c:v>174.92856765191468</c:v>
                </c:pt>
                <c:pt idx="4">
                  <c:v>177.64583276336745</c:v>
                </c:pt>
                <c:pt idx="5">
                  <c:v>188.20833603124191</c:v>
                </c:pt>
                <c:pt idx="6">
                  <c:v>197.9444815533418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4-40F1-9823-5EBA84572C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7960832"/>
        <c:axId val="670236672"/>
      </c:lineChart>
      <c:catAx>
        <c:axId val="707960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Return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36672"/>
        <c:crosses val="autoZero"/>
        <c:auto val="1"/>
        <c:lblAlgn val="ctr"/>
        <c:lblOffset val="100"/>
        <c:noMultiLvlLbl val="0"/>
      </c:catAx>
      <c:valAx>
        <c:axId val="670236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96083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Design Rainfall Affected by Climate Change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'Design Rainfall'!$J$18</c:f>
              <c:strCache>
                <c:ptCount val="1"/>
                <c:pt idx="0">
                  <c:v>RT</c:v>
                </c:pt>
              </c:strCache>
            </c:strRef>
          </c:tx>
          <c:spPr>
            <a:ln w="22225" cap="rnd">
              <a:solidFill>
                <a:schemeClr val="accent1">
                  <a:tint val="86000"/>
                </a:schemeClr>
              </a:solidFill>
            </a:ln>
            <a:effectLst>
              <a:glow rad="139700">
                <a:schemeClr val="accent1">
                  <a:tint val="8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tint val="86000"/>
                    <a:alpha val="50000"/>
                  </a:schemeClr>
                </a:solidFill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2.4608215712255282E-2"/>
                  <c:y val="0.1671819585230449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RT = y = 36.968ln(x) + 122.4</a:t>
                    </a:r>
                    <a:br>
                      <a:rPr lang="en-US" baseline="0"/>
                    </a:br>
                    <a:r>
                      <a:rPr lang="en-US" baseline="0"/>
                      <a:t>R² = 0.991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'Design Rainfall'!$H$20:$H$26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cat>
          <c:val>
            <c:numRef>
              <c:f>'Design Rainfall'!$J$20:$J$26</c:f>
              <c:numCache>
                <c:formatCode>0.000</c:formatCode>
                <c:ptCount val="7"/>
                <c:pt idx="0">
                  <c:v>123.28661522495837</c:v>
                </c:pt>
                <c:pt idx="1">
                  <c:v>147.98406910720186</c:v>
                </c:pt>
                <c:pt idx="2">
                  <c:v>161.95312011620706</c:v>
                </c:pt>
                <c:pt idx="3">
                  <c:v>174.92856765191468</c:v>
                </c:pt>
                <c:pt idx="4">
                  <c:v>177.64583276336745</c:v>
                </c:pt>
                <c:pt idx="5">
                  <c:v>188.20833603124191</c:v>
                </c:pt>
                <c:pt idx="6">
                  <c:v>197.9444815533418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E-4CDE-ACEC-F17F07ACA75D}"/>
            </c:ext>
          </c:extLst>
        </c:ser>
        <c:ser>
          <c:idx val="0"/>
          <c:order val="1"/>
          <c:tx>
            <c:strRef>
              <c:f>'Design Rainfall'!$G$33</c:f>
              <c:strCache>
                <c:ptCount val="1"/>
                <c:pt idx="0">
                  <c:v>RT With RCP 8.5  (mm)</c:v>
                </c:pt>
              </c:strCache>
            </c:strRef>
          </c:tx>
          <c:spPr>
            <a:ln w="22225" cap="rnd">
              <a:solidFill>
                <a:schemeClr val="accent1">
                  <a:shade val="58000"/>
                </a:schemeClr>
              </a:solidFill>
            </a:ln>
            <a:effectLst>
              <a:glow rad="139700">
                <a:schemeClr val="accent1">
                  <a:shade val="58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shade val="58000"/>
                    <a:alpha val="50000"/>
                  </a:schemeClr>
                </a:solidFill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5419588214512409E-2"/>
                  <c:y val="0.504635169568287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RT RCP 8.5 = y = 44.361ln(x) + 146.88</a:t>
                    </a:r>
                    <a:br>
                      <a:rPr lang="en-US" baseline="0"/>
                    </a:br>
                    <a:r>
                      <a:rPr lang="en-US" baseline="0"/>
                      <a:t>R² = 0.991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'Design Rainfall'!$H$20:$H$26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cat>
          <c:val>
            <c:numRef>
              <c:f>'Design Rainfall'!$G$34:$G$40</c:f>
              <c:numCache>
                <c:formatCode>General</c:formatCode>
                <c:ptCount val="7"/>
                <c:pt idx="0">
                  <c:v>147.94399999999999</c:v>
                </c:pt>
                <c:pt idx="1">
                  <c:v>177.58</c:v>
                </c:pt>
                <c:pt idx="2">
                  <c:v>194.34299999999999</c:v>
                </c:pt>
                <c:pt idx="3">
                  <c:v>209.91499999999999</c:v>
                </c:pt>
                <c:pt idx="4">
                  <c:v>213.17500000000001</c:v>
                </c:pt>
                <c:pt idx="5">
                  <c:v>225.85</c:v>
                </c:pt>
                <c:pt idx="6">
                  <c:v>237.53200000000001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E-4CDE-ACEC-F17F07ACA75D}"/>
            </c:ext>
          </c:extLst>
        </c:ser>
        <c:ser>
          <c:idx val="1"/>
          <c:order val="2"/>
          <c:tx>
            <c:strRef>
              <c:f>'Design Rainfall'!$E$33</c:f>
              <c:strCache>
                <c:ptCount val="1"/>
                <c:pt idx="0">
                  <c:v>RT With RCP 2.6  (mm)</c:v>
                </c:pt>
              </c:strCache>
            </c:strRef>
          </c:tx>
          <c:spPr>
            <a:ln w="22225" cap="rnd">
              <a:solidFill>
                <a:schemeClr val="accent1">
                  <a:shade val="86000"/>
                </a:schemeClr>
              </a:solidFill>
            </a:ln>
            <a:effectLst>
              <a:glow rad="139700">
                <a:schemeClr val="accent1">
                  <a:shade val="8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shade val="86000"/>
                    <a:alpha val="50000"/>
                  </a:schemeClr>
                </a:solidFill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3068030742818124E-2"/>
                  <c:y val="0.2742397332351073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RT RCP 2.6 = y = 38.816ln(x) + 128.52</a:t>
                    </a:r>
                    <a:br>
                      <a:rPr lang="en-US" baseline="0"/>
                    </a:br>
                    <a:r>
                      <a:rPr lang="en-US" baseline="0"/>
                      <a:t>R² = 0.991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'Design Rainfall'!$E$34:$E$40</c:f>
              <c:numCache>
                <c:formatCode>General</c:formatCode>
                <c:ptCount val="7"/>
                <c:pt idx="0">
                  <c:v>129.45099999999999</c:v>
                </c:pt>
                <c:pt idx="1">
                  <c:v>155.38300000000001</c:v>
                </c:pt>
                <c:pt idx="2">
                  <c:v>170.05099999999999</c:v>
                </c:pt>
                <c:pt idx="3">
                  <c:v>183.67599999999999</c:v>
                </c:pt>
                <c:pt idx="4">
                  <c:v>186.52799999999999</c:v>
                </c:pt>
                <c:pt idx="5">
                  <c:v>197.61799999999999</c:v>
                </c:pt>
                <c:pt idx="6">
                  <c:v>207.84100000000001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D-46F8-B8BB-4F0FC7A074DD}"/>
            </c:ext>
          </c:extLst>
        </c:ser>
        <c:ser>
          <c:idx val="3"/>
          <c:order val="3"/>
          <c:tx>
            <c:strRef>
              <c:f>'Design Rainfall'!$F$33</c:f>
              <c:strCache>
                <c:ptCount val="1"/>
                <c:pt idx="0">
                  <c:v>RT With RCP 4.5  (mm)</c:v>
                </c:pt>
              </c:strCache>
            </c:strRef>
          </c:tx>
          <c:spPr>
            <a:ln w="22225" cap="rnd">
              <a:solidFill>
                <a:schemeClr val="accent1">
                  <a:tint val="58000"/>
                </a:schemeClr>
              </a:solidFill>
            </a:ln>
            <a:effectLst>
              <a:glow rad="139700">
                <a:schemeClr val="accent1">
                  <a:tint val="58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tint val="58000"/>
                    <a:alpha val="50000"/>
                  </a:schemeClr>
                </a:solidFill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5419588214512409E-2"/>
                  <c:y val="0.378175824386927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RT RCP 4.5 = y = 40.706ln(x) + 134.45</a:t>
                    </a:r>
                    <a:br>
                      <a:rPr lang="en-US" baseline="0"/>
                    </a:br>
                    <a:r>
                      <a:rPr lang="en-US" baseline="0"/>
                      <a:t>R² = 0.9904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'Design Rainfall'!$F$34:$F$40</c:f>
              <c:numCache>
                <c:formatCode>General</c:formatCode>
                <c:ptCount val="7"/>
                <c:pt idx="0">
                  <c:v>135.61600000000001</c:v>
                </c:pt>
                <c:pt idx="1">
                  <c:v>162.78200000000001</c:v>
                </c:pt>
                <c:pt idx="2">
                  <c:v>177.148</c:v>
                </c:pt>
                <c:pt idx="3">
                  <c:v>192.422</c:v>
                </c:pt>
                <c:pt idx="4">
                  <c:v>195.411</c:v>
                </c:pt>
                <c:pt idx="5">
                  <c:v>207.029</c:v>
                </c:pt>
                <c:pt idx="6">
                  <c:v>217.738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D-46F8-B8BB-4F0FC7A074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8422671"/>
        <c:axId val="228410191"/>
      </c:lineChart>
      <c:catAx>
        <c:axId val="22842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Return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10191"/>
        <c:crosses val="autoZero"/>
        <c:auto val="1"/>
        <c:lblAlgn val="ctr"/>
        <c:lblOffset val="100"/>
        <c:noMultiLvlLbl val="0"/>
      </c:catAx>
      <c:valAx>
        <c:axId val="228410191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22671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15</xdr:row>
      <xdr:rowOff>142875</xdr:rowOff>
    </xdr:from>
    <xdr:to>
      <xdr:col>5</xdr:col>
      <xdr:colOff>866775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2627F-C250-C367-DBEE-B1B4BB423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44</xdr:row>
      <xdr:rowOff>9523</xdr:rowOff>
    </xdr:from>
    <xdr:to>
      <xdr:col>6</xdr:col>
      <xdr:colOff>695325</xdr:colOff>
      <xdr:row>71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5832A-78B6-439B-B466-0FE94068F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dentifikasi%20laptop/Neraca-Air/Neraca-air1/Neraca-wd-ben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dentifikasi%20laptop\Neraca-Air\Neraca-air1\Neraca-wd-ben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DYAH/PROYEK%202007/embung%20lambadeuk/HIDROLOGI/HIDROLOGI%20blang%20bintang%20bar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AGISTER%20koe/Semester%20II/HYDROLOGY/AMY_TUGAS%20hidrologi/TUGAS%20BESAR/Analisis%20Frekuensi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dmrc24laptop/Downloads/Hujan%20Rancangan%20kluet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tdmrc25laptop\Desktop\Design%20Rainfall%20PONTIANAK_DTM_ABM.xlsx" TargetMode="External"/><Relationship Id="rId2" Type="http://schemas.microsoft.com/office/2019/04/relationships/externalLinkLongPath" Target="Design%20Rainfall%20PONTIANAK_DTM_ABM.xlsx?BE1AAA91" TargetMode="External"/><Relationship Id="rId1" Type="http://schemas.openxmlformats.org/officeDocument/2006/relationships/externalLinkPath" Target="file:///\\BE1AAA91\Design%20Rainfall%20PONTIANAK_DTM_AB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DYAH/PROYEK%202007/embung%20lambadeuk/HIDROLOGI/hidrologi%20p.nungk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LE%20DYAH\PROYEK%202007\embung%20lambadeuk\HIDROLOGI\hidrologi%20p.nungk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KRIPSI%20UONG/perhitungan%20banjir%201/snyd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OH%20LAP.%20HIDROLOGI/excel%20hidrologi/CH%20dan%20Debit%20Banjir%20LEMATANG/CH%20Rancangan/Kuliah/Tugas-Risk-Analisis-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/FI3%20H/GLOBAL%20REKAYASA/PEKERJAAN%202018/SIBULOH/LAPORAN%20HIDROLOGI/WASYUL/project/2014/PULO/EMBUNG%20PULO%20IE/LAPORAN-LAPORAN/6.%20laporan%20hidrologi%20OKE/hitungan%20hidrologi/Kuliah/Tugas-Risk-Analisis-1.xls?06DDEE72" TargetMode="External"/><Relationship Id="rId1" Type="http://schemas.openxmlformats.org/officeDocument/2006/relationships/externalLinkPath" Target="file:///\\06DDEE72\Tugas-Risk-Analisis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Local/Temp/Rar$DI41.572/FILE%20DYAH/PROYEK%202007/embung%20lambadeuk/HIDROLOGI/hidrologi%20p.nungk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DYAH%20KURNIAWATI%20(2011)/peureulak/LAPORAN%20PEUREULAK/LAPORAN%20SISTEM%20PLANNING/Analisa%20hidrologi/FILE%20DYAH/PROYEK%202007/KRUENG%20PERLAK/hidrologi/HIDROLOGI%20STASIUN%20GEUDABANG-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rebon\CIMANGGUNG,CIKUDA\ARSIP\ANALISA%20HIDROLOGI%20DI%20DOD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%20DYAH%20KURNIAWATI%20(2011)/peureulak/LAPORAN%20PEUREULAK/LAPORAN%20SISTEM%20PLANNING/Analisa%20hidrologi/FILE%20DYAH/PROYEK%202007/KRUENG%20PERLAK/hidrologi/hidrologi%20p.nungk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%202007/PROYEK%20PAYA%20SEUNARA%202007/LAP.%20HIDROLOGI%20ANYAR/FILE%20DYAH/PROYEK%202007/RAJUI/hidrologi%20alur%20tanjung%206%20ja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%202007\PROYEK%20PAYA%20SEUNARA%202007\LAP.%20HIDROLOGI%20ANYAR\FILE%20DYAH\PROYEK%202007\RAJUI\hidrologi%20alur%20tanjung%206%20j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r-seri (4)"/>
      <sheetName val="Sheet3"/>
      <sheetName val="bener-seri (3)"/>
      <sheetName val="bener-seri (2)"/>
      <sheetName val="bener-seri"/>
      <sheetName val="opt-Q80"/>
      <sheetName val="opt-Qrerata"/>
      <sheetName val="bener-PLTA (3)"/>
      <sheetName val="Sheet2"/>
      <sheetName val="bener-PLTA (2)"/>
      <sheetName val="bener-PLTA"/>
      <sheetName val="bener (4)"/>
      <sheetName val="bener (3)"/>
      <sheetName val="bener (2)"/>
      <sheetName val="ben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r-seri (4)"/>
      <sheetName val="Sheet3"/>
      <sheetName val="bener-seri (3)"/>
      <sheetName val="bener-seri (2)"/>
      <sheetName val="bener-seri"/>
      <sheetName val="opt-Q80"/>
      <sheetName val="opt-Qrerata"/>
      <sheetName val="bener-PLTA (3)"/>
      <sheetName val="Sheet2"/>
      <sheetName val="bener-PLTA (2)"/>
      <sheetName val="bener-PLTA"/>
      <sheetName val="bener (4)"/>
      <sheetName val="bener (3)"/>
      <sheetName val="bener (2)"/>
      <sheetName val="ben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2"/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CH HARIAN MAKS. TAHUNAN"/>
      <sheetName val="DATA TERURUT"/>
      <sheetName val="REKAP CH BULANAN"/>
      <sheetName val="METODE GUMBEL TYPE I"/>
      <sheetName val="TABEL HUB. n, Yn dan Sn"/>
      <sheetName val="UJI CHI GUMBEL"/>
      <sheetName val="TABEL CHI-SQUARE"/>
      <sheetName val="UJI SMIRNOV GUMBEL"/>
      <sheetName val="TABEL SMIRNOV-KOLMOGOROF"/>
      <sheetName val="LOG NORMAL 2 PARAMETER"/>
      <sheetName val="TABEL CV"/>
      <sheetName val="UJI CHI LOG NORM 2 PRMTR"/>
      <sheetName val="UJI SMIRNOV LOG NORMAL 2 PRMTR"/>
      <sheetName val="LOG PEARSON TYPE III"/>
      <sheetName val="TABEL CS DAN G"/>
      <sheetName val="UJI CHI LOG PEARSON III"/>
      <sheetName val="UJI SMIRNOV LOG PEARSON III"/>
      <sheetName val="DISTRIBUSI FRECHET"/>
      <sheetName val="Tabel VARIABEL REDUKSI GUMBEL"/>
      <sheetName val="UJI CHI FRECHET"/>
      <sheetName val="UJI SMIRNOV FRECHET"/>
      <sheetName val=" CH RANC. UNTUK BEBERAPA METODA"/>
      <sheetName val="DATA UMUM"/>
      <sheetName val="METODE HASPERS"/>
      <sheetName val="MELCHIOR"/>
      <sheetName val="Melchior (2)"/>
      <sheetName val="melchior3"/>
      <sheetName val="Tabel Hub. Luas Ellips &amp; R1"/>
      <sheetName val="METODE RATIONAL MONONOBE"/>
      <sheetName val="HUJAN JAM-JAMAN"/>
      <sheetName val="distribusi hujan"/>
      <sheetName val="DIST. JAM-JAMAN"/>
      <sheetName val="GRAFIK INTENSITAS HUJAN"/>
      <sheetName val="koef-red"/>
      <sheetName val="Grafik (2)"/>
      <sheetName val="Hnet"/>
      <sheetName val="Grafik"/>
      <sheetName val="huj-ranc"/>
      <sheetName val="PMP"/>
      <sheetName val="RkpG"/>
      <sheetName val="Gama"/>
      <sheetName val="H2G"/>
      <sheetName val="H5G"/>
      <sheetName val="H10G"/>
      <sheetName val="H20G"/>
      <sheetName val="H25G"/>
      <sheetName val="H50G"/>
      <sheetName val="H100G"/>
      <sheetName val="H200G"/>
      <sheetName val="H500G"/>
      <sheetName val="H1000G"/>
      <sheetName val="Hpmf"/>
      <sheetName val="Rekap gama"/>
      <sheetName val="grafik gama"/>
      <sheetName val="data gama"/>
      <sheetName val="HSS NAK. Banda"/>
      <sheetName val="GRAFIK HSS NAK. Banda"/>
      <sheetName val="NAKA"/>
      <sheetName val="RkpN"/>
      <sheetName val="H2N"/>
      <sheetName val="H5N"/>
      <sheetName val="H10N"/>
      <sheetName val="H20N"/>
      <sheetName val="H25N"/>
      <sheetName val="H50N"/>
      <sheetName val="H100N"/>
      <sheetName val="H200N"/>
      <sheetName val="H500N"/>
      <sheetName val="H1000N"/>
      <sheetName val="HPMF-N"/>
      <sheetName val="HBR 1 TAHUN"/>
      <sheetName val="HBR 2 TAHUN"/>
      <sheetName val="HBR 5 TAHUN"/>
      <sheetName val="HBR 10 TAHUN"/>
      <sheetName val="HBR 20 TAHUN"/>
      <sheetName val="HBR 25 TAHUN"/>
      <sheetName val="HBR 50 TAHUN"/>
      <sheetName val="HBR 100 TAHUN"/>
      <sheetName val="HBR 200 TAHUN"/>
      <sheetName val="HBR 500 TAHUN"/>
      <sheetName val="HBR 1000 TAHUN"/>
      <sheetName val="HBR pmf"/>
      <sheetName val="2, 5, 10, 20, 25,50, 100"/>
      <sheetName val="GRAFIK DEBIT BANJIR RANCANGAN"/>
      <sheetName val="METODE WEDUWEN"/>
      <sheetName val="DATA DEBIT BANJIR RANCANGAN"/>
      <sheetName val="Grafik Q Banjir"/>
      <sheetName val="BLNGBINTANG"/>
      <sheetName val="DATA KLIMATOLOGI"/>
      <sheetName val="METODE PENMANN MODIFIKASI"/>
      <sheetName val="DRAINAGE MODUL"/>
      <sheetName val="DATA UMUM FJ Mock"/>
      <sheetName val="Q &amp; FJ MOCK"/>
      <sheetName val="Grfk Dbt Andln FJ MOK"/>
      <sheetName val="NRECA"/>
      <sheetName val="METODE BASIC YEAR"/>
      <sheetName val="METODE BASIC MONTH50"/>
      <sheetName val="METODE BASIC MONTH80"/>
      <sheetName val="METODE R 80"/>
      <sheetName val="RATA-RATA"/>
      <sheetName val="GRAFIK CURAH HUJAN ANDALAN"/>
      <sheetName val="PL"/>
      <sheetName val="R rerata"/>
      <sheetName val="Re"/>
      <sheetName val="P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Input Data"/>
      <sheetName val="Statistik Dasar"/>
      <sheetName val="Uji Chi-Square"/>
      <sheetName val="Uji Smirnov-Kolmogorov"/>
      <sheetName val="Kala Ulang"/>
      <sheetName val="Tabel Smirnov-Kolmogor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 maksimum"/>
      <sheetName val="CH areal"/>
      <sheetName val="Informasi"/>
      <sheetName val="Input Data"/>
      <sheetName val="Statistik Dasar"/>
      <sheetName val="Uji Chi-Square"/>
      <sheetName val="Uji Smirnov-Kolmogorov"/>
      <sheetName val="Kala Ulang"/>
      <sheetName val="Tabel Smirnov-Kolmogorov"/>
      <sheetName val="prameter statistik"/>
      <sheetName val="distribusi"/>
      <sheetName val="curah hujan rencana"/>
      <sheetName val="ABM"/>
      <sheetName val="persentase hietograf"/>
      <sheetName val="nakayashu"/>
      <sheetName val="limpasan nakayasu"/>
      <sheetName val="snyder"/>
      <sheetName val="UH snyder"/>
      <sheetName val="rekap snyder"/>
      <sheetName val="rekapitulasi snyder"/>
      <sheetName val="SCS 2"/>
      <sheetName val="SCS 5"/>
      <sheetName val="SCS 10"/>
      <sheetName val="SCS 25"/>
      <sheetName val="SCS 50"/>
      <sheetName val="SCS 100"/>
      <sheetName val="rekap SCS"/>
      <sheetName val="hidrograf has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ainfall Data"/>
      <sheetName val="Thiessen Polygon Influence Zone"/>
      <sheetName val="Thiessen"/>
      <sheetName val="Input Data"/>
      <sheetName val="Statistical Parameters"/>
      <sheetName val="TABEL CS &amp; G"/>
      <sheetName val="Design Rainfal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34">
          <cell r="D34">
            <v>123.28700000000001</v>
          </cell>
          <cell r="E34">
            <v>129.45099999999999</v>
          </cell>
          <cell r="F34">
            <v>135.61600000000001</v>
          </cell>
          <cell r="G34">
            <v>147.94399999999999</v>
          </cell>
        </row>
        <row r="35">
          <cell r="D35">
            <v>147.98400000000001</v>
          </cell>
          <cell r="E35">
            <v>155.38300000000001</v>
          </cell>
          <cell r="F35">
            <v>162.78200000000001</v>
          </cell>
          <cell r="G35">
            <v>177.58</v>
          </cell>
        </row>
        <row r="36">
          <cell r="D36">
            <v>161.953</v>
          </cell>
          <cell r="E36">
            <v>170.05099999999999</v>
          </cell>
          <cell r="F36">
            <v>177.148</v>
          </cell>
          <cell r="G36">
            <v>194.34299999999999</v>
          </cell>
        </row>
        <row r="38">
          <cell r="D38">
            <v>177.64599999999999</v>
          </cell>
          <cell r="E38">
            <v>186.52799999999999</v>
          </cell>
          <cell r="F38">
            <v>195.411</v>
          </cell>
          <cell r="G38">
            <v>213.17500000000001</v>
          </cell>
        </row>
        <row r="39">
          <cell r="D39">
            <v>188.208</v>
          </cell>
          <cell r="E39">
            <v>197.61799999999999</v>
          </cell>
          <cell r="F39">
            <v>207.029</v>
          </cell>
          <cell r="G39">
            <v>225.85</v>
          </cell>
        </row>
        <row r="40">
          <cell r="D40">
            <v>197.94399999999999</v>
          </cell>
          <cell r="E40">
            <v>207.84100000000001</v>
          </cell>
          <cell r="F40">
            <v>217.738</v>
          </cell>
          <cell r="G40">
            <v>237.53200000000001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gkrah"/>
      <sheetName val="Japah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NAKA"/>
      <sheetName val="RkpG"/>
      <sheetName val="RkpN"/>
      <sheetName val="H2G"/>
      <sheetName val="H5G"/>
      <sheetName val="H10G"/>
      <sheetName val="H15G"/>
      <sheetName val="H20G"/>
      <sheetName val="H25G"/>
      <sheetName val="H50G"/>
      <sheetName val="H75G"/>
      <sheetName val="H100G"/>
      <sheetName val="H150G"/>
      <sheetName val="H200G"/>
      <sheetName val="H500G"/>
      <sheetName val="H1000G"/>
      <sheetName val="HPMF-G"/>
      <sheetName val="H2N"/>
      <sheetName val="H5N"/>
      <sheetName val="H10N"/>
      <sheetName val="H15N"/>
      <sheetName val="H20N"/>
      <sheetName val="H25N"/>
      <sheetName val="H50N"/>
      <sheetName val="H75N"/>
      <sheetName val="H100N"/>
      <sheetName val="H150N"/>
      <sheetName val="H200N"/>
      <sheetName val="H500N"/>
      <sheetName val="H1000N"/>
      <sheetName val="HPMF-N"/>
      <sheetName val="Crea"/>
      <sheetName val="Crea-gab"/>
      <sheetName val="Sney"/>
      <sheetName val="S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gkrah"/>
      <sheetName val="Japah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NAKA"/>
      <sheetName val="RkpG"/>
      <sheetName val="RkpN"/>
      <sheetName val="H2G"/>
      <sheetName val="H5G"/>
      <sheetName val="H10G"/>
      <sheetName val="H15G"/>
      <sheetName val="H20G"/>
      <sheetName val="H25G"/>
      <sheetName val="H50G"/>
      <sheetName val="H75G"/>
      <sheetName val="H100G"/>
      <sheetName val="H150G"/>
      <sheetName val="H200G"/>
      <sheetName val="H500G"/>
      <sheetName val="H1000G"/>
      <sheetName val="HPMF-G"/>
      <sheetName val="H2N"/>
      <sheetName val="H5N"/>
      <sheetName val="H10N"/>
      <sheetName val="H15N"/>
      <sheetName val="H20N"/>
      <sheetName val="H25N"/>
      <sheetName val="H50N"/>
      <sheetName val="H75N"/>
      <sheetName val="H100N"/>
      <sheetName val="H150N"/>
      <sheetName val="H200N"/>
      <sheetName val="H500N"/>
      <sheetName val="H1000N"/>
      <sheetName val="HPMF-N"/>
      <sheetName val="Crea"/>
      <sheetName val="Crea-gab"/>
      <sheetName val="Sney"/>
      <sheetName val="S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Input Data"/>
      <sheetName val="Statistik Dasar"/>
      <sheetName val="Uji Chi-Square"/>
      <sheetName val="Uji Smirnov-Kolmogorov"/>
      <sheetName val="Kala Ulang"/>
      <sheetName val="Tabel Smirnov-Kolmogorov"/>
      <sheetName val="paramtr statistk"/>
      <sheetName val="hujn rcna"/>
      <sheetName val="intensitas"/>
      <sheetName val="pola distribusi"/>
      <sheetName val="ABM"/>
      <sheetName val="UH Snyder"/>
      <sheetName val="UH Snyder (2)"/>
      <sheetName val="snyder2"/>
      <sheetName val="snyder5"/>
      <sheetName val="snyder10"/>
      <sheetName val="snyder25"/>
      <sheetName val="snyder50"/>
      <sheetName val="snyder100"/>
      <sheetName val="rekap snyder"/>
      <sheetName val="Chart SNyder"/>
      <sheetName val="nakayasu 2"/>
      <sheetName val="nakayasu 5"/>
      <sheetName val="nakayasu 10"/>
      <sheetName val="nakayasu 25"/>
      <sheetName val="nakayasu 50"/>
      <sheetName val="nakayasu 100"/>
      <sheetName val="rekap nayasu"/>
      <sheetName val="kurv nakayasu"/>
      <sheetName val="gabiu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g bintang 1982-2008"/>
      <sheetName val="rata aljabar"/>
      <sheetName val="koef-red"/>
      <sheetName val="an hranc"/>
      <sheetName val="Smirnov"/>
      <sheetName val="Dist-Frek"/>
      <sheetName val="statis"/>
      <sheetName val="syar"/>
      <sheetName val="analis"/>
      <sheetName val="Grafik"/>
      <sheetName val="huj-ranc"/>
      <sheetName val="PMP"/>
      <sheetName val="distrib"/>
      <sheetName val="Hnet"/>
      <sheetName val="sloop"/>
      <sheetName val="Gama"/>
      <sheetName val="RkpG"/>
      <sheetName val="H2G"/>
      <sheetName val="H5G"/>
      <sheetName val="H10G"/>
      <sheetName val="H20G"/>
      <sheetName val="H25G"/>
      <sheetName val="H50G"/>
      <sheetName val="H100G"/>
      <sheetName val="H200G"/>
      <sheetName val="H500G"/>
      <sheetName val="H1000G"/>
      <sheetName val="H0.5PMF-G"/>
      <sheetName val="HPMF-G"/>
      <sheetName val="NAKA"/>
      <sheetName val="RkpN"/>
      <sheetName val="H2N"/>
      <sheetName val="H5N"/>
      <sheetName val="H10N"/>
      <sheetName val="H20N"/>
      <sheetName val="H25N"/>
      <sheetName val="H50N"/>
      <sheetName val="H100N"/>
      <sheetName val="H200N"/>
      <sheetName val="H500N"/>
      <sheetName val="H1000N"/>
      <sheetName val="H0.5PMF-N"/>
      <sheetName val="HPMF-N"/>
      <sheetName val="Cre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g bintang 1982-2008"/>
      <sheetName val="rata aljabar"/>
      <sheetName val="koef-red"/>
      <sheetName val="an hranc"/>
      <sheetName val="Smirnov"/>
      <sheetName val="Dist-Frek"/>
      <sheetName val="statis"/>
      <sheetName val="syar"/>
      <sheetName val="analis"/>
      <sheetName val="Grafik"/>
      <sheetName val="huj-ranc"/>
      <sheetName val="PMP"/>
      <sheetName val="distrib"/>
      <sheetName val="Hnet"/>
      <sheetName val="sloop"/>
      <sheetName val="Gama"/>
      <sheetName val="RkpG"/>
      <sheetName val="H2G"/>
      <sheetName val="H5G"/>
      <sheetName val="H10G"/>
      <sheetName val="H20G"/>
      <sheetName val="H25G"/>
      <sheetName val="H50G"/>
      <sheetName val="H100G"/>
      <sheetName val="H200G"/>
      <sheetName val="H500G"/>
      <sheetName val="H1000G"/>
      <sheetName val="H0.5PMF-G"/>
      <sheetName val="HPMF-G"/>
      <sheetName val="NAKA"/>
      <sheetName val="RkpN"/>
      <sheetName val="H2N"/>
      <sheetName val="H5N"/>
      <sheetName val="H10N"/>
      <sheetName val="H20N"/>
      <sheetName val="H25N"/>
      <sheetName val="H50N"/>
      <sheetName val="H100N"/>
      <sheetName val="H200N"/>
      <sheetName val="H500N"/>
      <sheetName val="H1000N"/>
      <sheetName val="H0.5PMF-N"/>
      <sheetName val="HPMF-N"/>
      <sheetName val="Cre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gkrah"/>
      <sheetName val="Japah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NAKA"/>
      <sheetName val="RkpG"/>
      <sheetName val="RkpN"/>
      <sheetName val="H2G"/>
      <sheetName val="H5G"/>
      <sheetName val="H10G"/>
      <sheetName val="H15G"/>
      <sheetName val="H20G"/>
      <sheetName val="H25G"/>
      <sheetName val="H50G"/>
      <sheetName val="H75G"/>
      <sheetName val="H100G"/>
      <sheetName val="H150G"/>
      <sheetName val="H200G"/>
      <sheetName val="H500G"/>
      <sheetName val="H1000G"/>
      <sheetName val="HPMF-G"/>
      <sheetName val="H2N"/>
      <sheetName val="H5N"/>
      <sheetName val="H10N"/>
      <sheetName val="H15N"/>
      <sheetName val="H20N"/>
      <sheetName val="H25N"/>
      <sheetName val="H50N"/>
      <sheetName val="H75N"/>
      <sheetName val="H100N"/>
      <sheetName val="H150N"/>
      <sheetName val="H200N"/>
      <sheetName val="H500N"/>
      <sheetName val="H1000N"/>
      <sheetName val="HPMF-N"/>
      <sheetName val="Crea"/>
      <sheetName val="Crea-gab"/>
      <sheetName val="Sney"/>
      <sheetName val="S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3"/>
      <sheetName val="1984"/>
      <sheetName val="1985"/>
      <sheetName val="1986"/>
      <sheetName val="1987"/>
      <sheetName val="1988"/>
      <sheetName val="1989"/>
      <sheetName val="1990"/>
      <sheetName val="1991"/>
      <sheetName val="1992"/>
      <sheetName val="1993"/>
      <sheetName val="1994"/>
      <sheetName val="1995"/>
      <sheetName val="CH HARIAN MAKS. TAHUNAN"/>
      <sheetName val="DATA TERURUT"/>
      <sheetName val="REKAP CH BULANAN"/>
      <sheetName val="METODE GUMBEL TYPE I"/>
      <sheetName val="TABEL HUB. n, Yn dan Sn"/>
      <sheetName val="UJI CHI GUMBEL"/>
      <sheetName val="TABEL CHI-SQUARE"/>
      <sheetName val="UJI SMIRNOV GUMBEL"/>
      <sheetName val="TABEL SMIRNOV-KOLMOGOROF"/>
      <sheetName val="LOG NORMAL 2 PARAMETER"/>
      <sheetName val="TABEL CV"/>
      <sheetName val="UJI CHI LOG NORM 2 PRMTR"/>
      <sheetName val="UJI SMIRNOV LOG NORMAL 2 PRMTR"/>
      <sheetName val="LOG PEARSON TYPE III"/>
      <sheetName val="TABEL CS DAN G"/>
      <sheetName val="UJI CHI LOG PEARSON III"/>
      <sheetName val="UJI SMIRNOV LOG PEARSON III"/>
      <sheetName val="DISTRIBUSI FRECHET"/>
      <sheetName val="Tabel VARIABEL REDUKSI GUMBEL"/>
      <sheetName val="UJI CHI FRECHET"/>
      <sheetName val="UJI SMIRNOV FRECHET"/>
      <sheetName val=" CH RANC. UNTUK BEBERAPA METODA"/>
      <sheetName val="DATA UMUM"/>
      <sheetName val="METODE HASPERS"/>
      <sheetName val="MELCHIOR"/>
      <sheetName val="Melchior (2)"/>
      <sheetName val="melchior3"/>
      <sheetName val="Tabel Hub. Luas Ellips &amp; R1"/>
      <sheetName val="METODE RATIONAL MONONOBE"/>
      <sheetName val="HUJAN JAM-JAMAN"/>
      <sheetName val="distribusi hujan"/>
      <sheetName val="DIST. JAM-JAMAN"/>
      <sheetName val="GRAFIK INTENSITAS HUJAN"/>
      <sheetName val="DATA DEBIT BANJIR RANCANGAN"/>
      <sheetName val="Hnet"/>
      <sheetName val="Gama"/>
      <sheetName val="H2G"/>
      <sheetName val="H5G"/>
      <sheetName val="H10G"/>
      <sheetName val="H20G"/>
      <sheetName val="H25G"/>
      <sheetName val="H50G"/>
      <sheetName val="H100G"/>
      <sheetName val="Rekap gama"/>
      <sheetName val="grafik gama"/>
      <sheetName val="data gama"/>
      <sheetName val="HSS NAK. Banda"/>
      <sheetName val="GRAFIK HSS NAK. Banda"/>
      <sheetName val="HBR 2 TAHUN"/>
      <sheetName val="HBR 5 TAHUN"/>
      <sheetName val="HBR 10 TAHUN"/>
      <sheetName val="HBR 20 TAHUN"/>
      <sheetName val="HBR 25 TAHUN"/>
      <sheetName val="HBR 50 TAHUN"/>
      <sheetName val="HBR 100 TAHUN"/>
      <sheetName val="2, 5, 10, 20, 25,50, 100"/>
      <sheetName val="GRAFIK DEBIT BANJIR RANCANGAN"/>
      <sheetName val="METODE WEDUWEN"/>
      <sheetName val="Grafik Q Banjir"/>
      <sheetName val="DATA KLIMATOLOGI"/>
      <sheetName val="METODE PENMANN MODIFIKASI"/>
      <sheetName val="DRAINAGE MODUL"/>
      <sheetName val="DATA UMUM FJ Mock"/>
      <sheetName val="Q &amp; FJ MOCK"/>
      <sheetName val="Grfk Dbt Andln FJ MOK"/>
      <sheetName val="NRECA"/>
      <sheetName val="METODE BASIC YEAR"/>
      <sheetName val="METODE BASIC MONTH50"/>
      <sheetName val="METODE BASIC MONTH80"/>
      <sheetName val="METODE R 80"/>
      <sheetName val="RATA-RATA"/>
      <sheetName val="GRAFIK CURAH HUJAN ANDALAN"/>
      <sheetName val="PL"/>
      <sheetName val="R rerata"/>
      <sheetName val="Re"/>
      <sheetName val="P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 W"/>
      <sheetName val="1989 W"/>
      <sheetName val="1990 W"/>
      <sheetName val="1991 W"/>
      <sheetName val="1992 W"/>
      <sheetName val="1993 W"/>
      <sheetName val="1994 W"/>
      <sheetName val="1995 W"/>
      <sheetName val="1996 W"/>
      <sheetName val="1997 W"/>
      <sheetName val="1998 W"/>
      <sheetName val="1999 W"/>
      <sheetName val="2000 W"/>
      <sheetName val="2001 W"/>
      <sheetName val="2002 W"/>
      <sheetName val="HUJAN BULANAN St. WUASA"/>
      <sheetName val="CH MAKS TAHUNAN St. WUASA"/>
      <sheetName val="1988 K"/>
      <sheetName val="1989 K"/>
      <sheetName val="1990 K"/>
      <sheetName val="1991 K"/>
      <sheetName val="1992 K"/>
      <sheetName val="1993 K"/>
      <sheetName val="1994 K"/>
      <sheetName val="1995 K"/>
      <sheetName val="1996 K"/>
      <sheetName val="1997 K"/>
      <sheetName val="1998 K"/>
      <sheetName val="1999 K"/>
      <sheetName val="2000 K"/>
      <sheetName val="2001 K"/>
      <sheetName val="2002 K"/>
      <sheetName val="HUJAN BULANAN St. KULAWI"/>
      <sheetName val="CH MAKS TAHUNAN St. KULAWI"/>
      <sheetName val="CH MAKSIMUM TAHUNAN RERATA"/>
      <sheetName val="DATA TERURUT"/>
      <sheetName val="METODE GUMBEL TYPE I"/>
      <sheetName val="TABEL HUB. n, Yn dan Sn"/>
      <sheetName val="UJI CHI GUMBEL"/>
      <sheetName val="TABEL CHI-SQUARE"/>
      <sheetName val="UJI SMIRNOV GUMBEL"/>
      <sheetName val="TABEL SMIRNOV-KOLMOGOROF"/>
      <sheetName val="LOG NORMAL 2 PARAMETER"/>
      <sheetName val="TABEL LOG NORMAL 2 PARAMETER"/>
      <sheetName val="UJI CHI LOG NORM 2 PRMTR"/>
      <sheetName val="UJI SMIRNOV LOG NORMAL 2 PRMTR"/>
      <sheetName val="LOG PEARSON TYPE III"/>
      <sheetName val="TABEL CS DAN G"/>
      <sheetName val="UJI CHI LOG PEARSON III"/>
      <sheetName val="UJI SMIRNOV LOG PEARSON III"/>
      <sheetName val="DISTRIBUSI FRECHET"/>
      <sheetName val="NILAI VARIABEL REDUKSI GUMBEL"/>
      <sheetName val="UJI CHI FRECHET"/>
      <sheetName val="UJI SMIRNOV FRECHET"/>
      <sheetName val="UJI CHI SQUARE DAN UJI SMIRNOV "/>
      <sheetName val=" CH RANC. UNTUK BEBERAPA METODA"/>
      <sheetName val="GRAFIK ANALISIS"/>
      <sheetName val="DATA UMUM"/>
      <sheetName val="METODE HASPERS"/>
      <sheetName val="METODE RATIONAL MONONOBE"/>
      <sheetName val="METODE WEDUWEN"/>
      <sheetName val="HUJAN JAM-JAMAN"/>
      <sheetName val="DIST. JAM-JAMAN"/>
      <sheetName val="GRAFIK DISTR. HUJAN"/>
      <sheetName val="GRAFIK INTENSITAS HUJAN"/>
      <sheetName val="HSS NAKA. UWIE BOMBAI"/>
      <sheetName val="GRAFIK HSS NAKA. UWIE BOMBAI"/>
      <sheetName val="HBR 2 TAHUN UWIE BOMBAI"/>
      <sheetName val="HBR 5 TAHUN  UWIE BOMBAI"/>
      <sheetName val="HBR 10 TAHUN  UWIE BOMBAI"/>
      <sheetName val="HBR 20 TAHUN  UWIE BOMBAI"/>
      <sheetName val="HBR 25 TAHUN  UWIE BOMBAI"/>
      <sheetName val="HBR 50 TAHUN  UWIE BOMBAI"/>
      <sheetName val="HBR 100 TAHUN  UWIE BOMBAI"/>
      <sheetName val="REKAP Q BANJIR UWIE BOMBAI"/>
      <sheetName val="GRAFIK Q BANJIR UWIE BOMBAI"/>
      <sheetName val="HSS NAKA. UWIE TORIRE"/>
      <sheetName val="GRAFIK HSS NAKA. UWIE TORIRE"/>
      <sheetName val="HBR 2 TAHUN UWIE TORIRE"/>
      <sheetName val="HBR 5 TAHUN  UWIE TORIRE"/>
      <sheetName val="HBR 10 TAHUN  UWIE TORIRE"/>
      <sheetName val="HBR 20 TAHUN  UWIE TORIRE"/>
      <sheetName val="HBR 25 TAHUN  UWIE TORIRE"/>
      <sheetName val="HBR 50 TAHUN  UWIE TORIRE"/>
      <sheetName val="HBR 100 TAHUN  UWIE TORIRE"/>
      <sheetName val="REKAP Q BANJIR UWIE TORIRE"/>
      <sheetName val="GRAFIK Q BANJIR UWIE TORIRE"/>
      <sheetName val="DATA DEBIT BANJIR RANCANGAN"/>
      <sheetName val="GRA. Q BANJ. RANC. UWIE TORIRE"/>
      <sheetName val="GRA. Q BANJ. RANC. UWIE BOMBAI"/>
      <sheetName val="DATA KLIMATALOGI St. BOLADANGKO"/>
      <sheetName val="METODE PENMANN MODIFIKASI"/>
      <sheetName val="DATA UMUM FJ Mock"/>
      <sheetName val="Q AND. FJ MOCK UWIE TORIRE"/>
      <sheetName val="GRAFIK FJ MOCK UWIE TORIRE"/>
      <sheetName val="Q AND. FJ MOCK UWIE BOMBAI"/>
      <sheetName val="GRAFIK FJ MOCK UWIE BOMBAI"/>
      <sheetName val="DATA UMUM SMEC"/>
      <sheetName val="SMEC Uwie Torire"/>
      <sheetName val="GRAFIK-SMEC Uwie Tor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gkrah"/>
      <sheetName val="Japah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NAKA"/>
      <sheetName val="RkpG"/>
      <sheetName val="RkpN"/>
      <sheetName val="H2G"/>
      <sheetName val="H5G"/>
      <sheetName val="H10G"/>
      <sheetName val="H15G"/>
      <sheetName val="H20G"/>
      <sheetName val="H25G"/>
      <sheetName val="H50G"/>
      <sheetName val="H75G"/>
      <sheetName val="H100G"/>
      <sheetName val="H150G"/>
      <sheetName val="H200G"/>
      <sheetName val="H500G"/>
      <sheetName val="H1000G"/>
      <sheetName val="HPMF-G"/>
      <sheetName val="H2N"/>
      <sheetName val="H5N"/>
      <sheetName val="H10N"/>
      <sheetName val="H15N"/>
      <sheetName val="H20N"/>
      <sheetName val="H25N"/>
      <sheetName val="H50N"/>
      <sheetName val="H75N"/>
      <sheetName val="H100N"/>
      <sheetName val="H150N"/>
      <sheetName val="H200N"/>
      <sheetName val="H500N"/>
      <sheetName val="H1000N"/>
      <sheetName val="HPMF-N"/>
      <sheetName val="Crea"/>
      <sheetName val="Crea-gab"/>
      <sheetName val="Sney"/>
      <sheetName val="S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1981"/>
      <sheetName val="kb1982"/>
      <sheetName val="kb1983"/>
      <sheetName val="kb1984"/>
      <sheetName val="kb1985"/>
      <sheetName val="kb1986"/>
      <sheetName val="kb1987"/>
      <sheetName val="kb1988"/>
      <sheetName val="kb1989"/>
      <sheetName val="kb1990"/>
      <sheetName val="kb1991"/>
      <sheetName val="kb1992"/>
      <sheetName val="kb1993"/>
      <sheetName val="kb1994"/>
      <sheetName val="kb1995"/>
      <sheetName val="kb1996"/>
      <sheetName val="pt1982"/>
      <sheetName val="pt1983"/>
      <sheetName val="pt1984"/>
      <sheetName val="pt1985"/>
      <sheetName val="pt1986"/>
      <sheetName val="pt1987"/>
      <sheetName val="pt1988"/>
      <sheetName val="pt1989"/>
      <sheetName val="pt1990"/>
      <sheetName val="pt1991"/>
      <sheetName val="pt1992"/>
      <sheetName val="pt1993"/>
      <sheetName val="pt1995"/>
      <sheetName val="pt1996"/>
      <sheetName val="Kota Bhakti"/>
      <sheetName val="Padang tiji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RkpG"/>
      <sheetName val="H2G"/>
      <sheetName val="H5G"/>
      <sheetName val="H10G"/>
      <sheetName val="H20G"/>
      <sheetName val="H25G"/>
      <sheetName val="H50G"/>
      <sheetName val="H100G"/>
      <sheetName val="H200G"/>
      <sheetName val="H500G"/>
      <sheetName val="H1000G"/>
      <sheetName val="HPMF-G"/>
      <sheetName val="Crea"/>
      <sheetName val="Crea-gab"/>
      <sheetName val="Sney"/>
      <sheetName val="SCS"/>
      <sheetName val="DEBIT MAX BEBERAPA METODE"/>
      <sheetName val="Klimat"/>
      <sheetName val="DATA KLIMATOLOGI"/>
      <sheetName val="METODE PENMANN MODIFIK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1981"/>
      <sheetName val="kb1982"/>
      <sheetName val="kb1983"/>
      <sheetName val="kb1984"/>
      <sheetName val="kb1985"/>
      <sheetName val="kb1986"/>
      <sheetName val="kb1987"/>
      <sheetName val="kb1988"/>
      <sheetName val="kb1989"/>
      <sheetName val="kb1990"/>
      <sheetName val="kb1991"/>
      <sheetName val="kb1992"/>
      <sheetName val="kb1993"/>
      <sheetName val="kb1994"/>
      <sheetName val="kb1995"/>
      <sheetName val="kb1996"/>
      <sheetName val="pt1982"/>
      <sheetName val="pt1983"/>
      <sheetName val="pt1984"/>
      <sheetName val="pt1985"/>
      <sheetName val="pt1986"/>
      <sheetName val="pt1987"/>
      <sheetName val="pt1988"/>
      <sheetName val="pt1989"/>
      <sheetName val="pt1990"/>
      <sheetName val="pt1991"/>
      <sheetName val="pt1992"/>
      <sheetName val="pt1993"/>
      <sheetName val="pt1995"/>
      <sheetName val="pt1996"/>
      <sheetName val="Kota Bhakti"/>
      <sheetName val="Padang tiji"/>
      <sheetName val="rata aljabar"/>
      <sheetName val="koef-red"/>
      <sheetName val="an hranc"/>
      <sheetName val="statis"/>
      <sheetName val="syar"/>
      <sheetName val="analis"/>
      <sheetName val="Grafik"/>
      <sheetName val="PMP"/>
      <sheetName val="huj-ranc"/>
      <sheetName val="distrib"/>
      <sheetName val="Hnet"/>
      <sheetName val="sloop"/>
      <sheetName val="Gama"/>
      <sheetName val="RkpG"/>
      <sheetName val="H2G"/>
      <sheetName val="H5G"/>
      <sheetName val="H10G"/>
      <sheetName val="H20G"/>
      <sheetName val="H25G"/>
      <sheetName val="H50G"/>
      <sheetName val="H100G"/>
      <sheetName val="H200G"/>
      <sheetName val="H500G"/>
      <sheetName val="H1000G"/>
      <sheetName val="HPMF-G"/>
      <sheetName val="Crea"/>
      <sheetName val="Crea-gab"/>
      <sheetName val="Sney"/>
      <sheetName val="SCS"/>
      <sheetName val="DEBIT MAX BEBERAPA METODE"/>
      <sheetName val="Klimat"/>
      <sheetName val="DATA KLIMATOLOGI"/>
      <sheetName val="METODE PENMANN MODIFIK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9DA5-93E4-4D08-873B-D5BA3D35B944}">
  <dimension ref="A1:J14"/>
  <sheetViews>
    <sheetView workbookViewId="0">
      <selection activeCell="L11" sqref="L11"/>
    </sheetView>
  </sheetViews>
  <sheetFormatPr defaultRowHeight="12.75"/>
  <sheetData>
    <row r="1" spans="1:10" ht="49.5" customHeight="1">
      <c r="A1" s="132" t="s">
        <v>0</v>
      </c>
      <c r="B1" s="132"/>
      <c r="C1" s="109"/>
      <c r="D1" s="132" t="s">
        <v>1</v>
      </c>
      <c r="E1" s="132"/>
      <c r="F1" s="109"/>
      <c r="G1" s="132" t="s">
        <v>2</v>
      </c>
      <c r="H1" s="132"/>
      <c r="I1" s="108"/>
      <c r="J1" s="108"/>
    </row>
    <row r="2" spans="1:10">
      <c r="A2" s="110" t="s">
        <v>3</v>
      </c>
      <c r="B2" s="110" t="s">
        <v>4</v>
      </c>
      <c r="C2" s="110"/>
      <c r="D2" s="110" t="s">
        <v>3</v>
      </c>
      <c r="E2" s="110" t="s">
        <v>4</v>
      </c>
      <c r="F2" s="110"/>
      <c r="G2" s="110" t="s">
        <v>3</v>
      </c>
      <c r="H2" s="110" t="s">
        <v>4</v>
      </c>
    </row>
    <row r="3" spans="1:10">
      <c r="A3" s="20">
        <v>2013</v>
      </c>
      <c r="B3" s="20">
        <v>112</v>
      </c>
      <c r="C3" s="20"/>
      <c r="D3" s="20">
        <v>2013</v>
      </c>
      <c r="E3" s="20">
        <v>84</v>
      </c>
      <c r="F3" s="20"/>
      <c r="G3" s="20">
        <v>2013</v>
      </c>
      <c r="H3" s="20">
        <v>120</v>
      </c>
    </row>
    <row r="4" spans="1:10">
      <c r="A4" s="20">
        <v>2014</v>
      </c>
      <c r="B4" s="20">
        <v>155</v>
      </c>
      <c r="C4" s="20"/>
      <c r="D4" s="20">
        <v>2014</v>
      </c>
      <c r="E4" s="20">
        <v>109</v>
      </c>
      <c r="F4" s="20"/>
      <c r="G4" s="20">
        <v>2014</v>
      </c>
      <c r="H4" s="20">
        <v>150</v>
      </c>
    </row>
    <row r="5" spans="1:10">
      <c r="A5" s="20">
        <v>2015</v>
      </c>
      <c r="B5" s="20">
        <v>79</v>
      </c>
      <c r="C5" s="20"/>
      <c r="D5" s="20">
        <v>2015</v>
      </c>
      <c r="E5" s="20">
        <v>66</v>
      </c>
      <c r="F5" s="20"/>
      <c r="G5" s="20">
        <v>2015</v>
      </c>
      <c r="H5" s="20">
        <v>87</v>
      </c>
    </row>
    <row r="6" spans="1:10">
      <c r="A6" s="20">
        <v>2016</v>
      </c>
      <c r="B6" s="20">
        <v>85</v>
      </c>
      <c r="C6" s="20"/>
      <c r="D6" s="20">
        <v>2016</v>
      </c>
      <c r="E6" s="20">
        <v>70</v>
      </c>
      <c r="F6" s="20"/>
      <c r="G6" s="20">
        <v>2016</v>
      </c>
      <c r="H6" s="20">
        <v>87</v>
      </c>
    </row>
    <row r="7" spans="1:10">
      <c r="A7" s="20">
        <v>2017</v>
      </c>
      <c r="B7" s="20">
        <v>165</v>
      </c>
      <c r="C7" s="20"/>
      <c r="D7" s="20">
        <v>2017</v>
      </c>
      <c r="E7" s="20">
        <v>111</v>
      </c>
      <c r="F7" s="20"/>
      <c r="G7" s="20">
        <v>2017</v>
      </c>
      <c r="H7" s="20">
        <v>102</v>
      </c>
    </row>
    <row r="8" spans="1:10">
      <c r="A8" s="20">
        <v>2018</v>
      </c>
      <c r="B8" s="20">
        <v>115</v>
      </c>
      <c r="C8" s="20"/>
      <c r="D8" s="20">
        <v>2018</v>
      </c>
      <c r="E8" s="20">
        <v>116</v>
      </c>
      <c r="F8" s="20"/>
      <c r="G8" s="20">
        <v>2018</v>
      </c>
      <c r="H8" s="20">
        <v>119</v>
      </c>
    </row>
    <row r="9" spans="1:10">
      <c r="A9" s="20">
        <v>2019</v>
      </c>
      <c r="B9" s="20">
        <v>112</v>
      </c>
      <c r="C9" s="20"/>
      <c r="D9" s="20">
        <v>2019</v>
      </c>
      <c r="E9" s="20">
        <v>121</v>
      </c>
      <c r="F9" s="20"/>
      <c r="G9" s="20">
        <v>2019</v>
      </c>
      <c r="H9" s="20">
        <v>136</v>
      </c>
    </row>
    <row r="10" spans="1:10">
      <c r="A10" s="20">
        <v>2020</v>
      </c>
      <c r="B10" s="20">
        <v>154</v>
      </c>
      <c r="C10" s="20"/>
      <c r="D10" s="20">
        <v>2020</v>
      </c>
      <c r="E10" s="20">
        <v>164</v>
      </c>
      <c r="F10" s="20"/>
      <c r="G10" s="20">
        <v>2020</v>
      </c>
      <c r="H10" s="20">
        <v>168</v>
      </c>
    </row>
    <row r="11" spans="1:10">
      <c r="A11" s="20">
        <v>2021</v>
      </c>
      <c r="B11" s="20">
        <v>200</v>
      </c>
      <c r="C11" s="20"/>
      <c r="D11" s="20">
        <v>2021</v>
      </c>
      <c r="E11" s="20">
        <v>194</v>
      </c>
      <c r="F11" s="20"/>
      <c r="G11" s="20">
        <v>2021</v>
      </c>
      <c r="H11" s="20">
        <v>154</v>
      </c>
    </row>
    <row r="12" spans="1:10">
      <c r="A12" s="20">
        <v>2022</v>
      </c>
      <c r="B12" s="20">
        <v>112</v>
      </c>
      <c r="C12" s="20"/>
      <c r="D12" s="20">
        <v>2022</v>
      </c>
      <c r="E12" s="20">
        <v>106</v>
      </c>
      <c r="F12" s="20"/>
      <c r="G12" s="20">
        <v>2022</v>
      </c>
      <c r="H12" s="20">
        <v>119</v>
      </c>
    </row>
    <row r="13" spans="1:10">
      <c r="A13" s="20">
        <v>2023</v>
      </c>
      <c r="B13" s="20">
        <v>89</v>
      </c>
      <c r="C13" s="20"/>
      <c r="D13" s="20">
        <v>2023</v>
      </c>
      <c r="E13" s="20">
        <v>107</v>
      </c>
      <c r="F13" s="20"/>
      <c r="G13" s="20">
        <v>2023</v>
      </c>
      <c r="H13" s="20">
        <v>103</v>
      </c>
    </row>
    <row r="14" spans="1:10">
      <c r="A14" s="20">
        <v>2024</v>
      </c>
      <c r="B14" s="20">
        <v>129</v>
      </c>
      <c r="C14" s="20"/>
      <c r="D14" s="20">
        <v>2024</v>
      </c>
      <c r="E14" s="20">
        <v>130</v>
      </c>
      <c r="F14" s="20"/>
      <c r="G14" s="20">
        <v>2024</v>
      </c>
      <c r="H14" s="20">
        <v>154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8"/>
  <sheetViews>
    <sheetView workbookViewId="0">
      <selection activeCell="E14" sqref="E14"/>
    </sheetView>
  </sheetViews>
  <sheetFormatPr defaultColWidth="9.140625" defaultRowHeight="15"/>
  <cols>
    <col min="1" max="2" width="9.140625" style="42"/>
    <col min="3" max="3" width="40.85546875" style="42" customWidth="1"/>
    <col min="4" max="4" width="20.140625" style="42" customWidth="1"/>
    <col min="5" max="16384" width="9.140625" style="42"/>
  </cols>
  <sheetData>
    <row r="3" spans="2:4" ht="36" customHeight="1">
      <c r="B3" s="41" t="s">
        <v>5</v>
      </c>
      <c r="C3" s="75" t="s">
        <v>6</v>
      </c>
      <c r="D3" s="76" t="s">
        <v>7</v>
      </c>
    </row>
    <row r="4" spans="2:4">
      <c r="B4" s="43">
        <v>1</v>
      </c>
      <c r="C4" s="74" t="s">
        <v>0</v>
      </c>
      <c r="D4" s="45">
        <v>54.488492000000001</v>
      </c>
    </row>
    <row r="5" spans="2:4">
      <c r="B5" s="43">
        <v>2</v>
      </c>
      <c r="C5" s="44" t="s">
        <v>1</v>
      </c>
      <c r="D5" s="45">
        <v>2.1782919999999999</v>
      </c>
    </row>
    <row r="6" spans="2:4">
      <c r="B6" s="43">
        <v>3</v>
      </c>
      <c r="C6" s="44" t="s">
        <v>2</v>
      </c>
      <c r="D6" s="45">
        <v>229.577382</v>
      </c>
    </row>
    <row r="7" spans="2:4">
      <c r="B7" s="43"/>
      <c r="C7" s="44"/>
      <c r="D7" s="45"/>
    </row>
    <row r="8" spans="2:4">
      <c r="B8" s="133" t="s">
        <v>8</v>
      </c>
      <c r="C8" s="133"/>
      <c r="D8" s="46">
        <f>SUM(D4:D7)</f>
        <v>286.24416600000001</v>
      </c>
    </row>
  </sheetData>
  <mergeCells count="1">
    <mergeCell ref="B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S52"/>
  <sheetViews>
    <sheetView zoomScale="80" zoomScaleNormal="80" workbookViewId="0">
      <selection activeCell="F3" sqref="F3:M16"/>
    </sheetView>
  </sheetViews>
  <sheetFormatPr defaultColWidth="9.140625" defaultRowHeight="15"/>
  <cols>
    <col min="1" max="3" width="9.140625" style="42"/>
    <col min="4" max="4" width="12.28515625" style="42" customWidth="1"/>
    <col min="5" max="5" width="9.140625" style="42"/>
    <col min="6" max="6" width="12.140625" style="42" customWidth="1"/>
    <col min="7" max="7" width="11.5703125" style="42" customWidth="1"/>
    <col min="8" max="8" width="9.140625" style="42"/>
    <col min="9" max="9" width="12.85546875" style="42" customWidth="1"/>
    <col min="10" max="10" width="12.140625" style="42" customWidth="1"/>
    <col min="11" max="11" width="9.140625" style="42"/>
    <col min="12" max="12" width="12.7109375" style="42" customWidth="1"/>
    <col min="13" max="13" width="12.42578125" style="42" customWidth="1"/>
    <col min="14" max="14" width="7.7109375" style="42" customWidth="1"/>
    <col min="15" max="15" width="15.85546875" style="42" customWidth="1"/>
    <col min="16" max="16" width="13.85546875" style="42" customWidth="1"/>
    <col min="17" max="17" width="13.28515625" style="42" customWidth="1"/>
    <col min="18" max="18" width="14.5703125" style="42" customWidth="1"/>
    <col min="19" max="19" width="11.7109375" style="42" customWidth="1"/>
    <col min="20" max="16384" width="9.140625" style="42"/>
  </cols>
  <sheetData>
    <row r="3" spans="3:13" ht="59.25" customHeight="1">
      <c r="F3" s="71" t="str">
        <f>'Thiessen Polygon Influence Zone'!C4</f>
        <v>Pontianak Kota Climatology Station</v>
      </c>
      <c r="G3" s="71">
        <f>'Thiessen Polygon Influence Zone'!D4</f>
        <v>54.488492000000001</v>
      </c>
      <c r="H3" s="73"/>
      <c r="I3" s="71" t="str">
        <f>'Thiessen Polygon Influence Zone'!C5</f>
        <v>West Kalimantan Climatology Station</v>
      </c>
      <c r="J3" s="71">
        <f>'Thiessen Polygon Influence Zone'!D5</f>
        <v>2.1782919999999999</v>
      </c>
      <c r="K3" s="73"/>
      <c r="L3" s="71" t="str">
        <f>'Thiessen Polygon Influence Zone'!C6</f>
        <v>Pontianak Maritime Meteorology Station</v>
      </c>
      <c r="M3" s="72">
        <f>'Thiessen Polygon Influence Zone'!D6</f>
        <v>229.577382</v>
      </c>
    </row>
    <row r="4" spans="3:13">
      <c r="C4" s="48"/>
      <c r="D4" s="48"/>
      <c r="F4" s="70" t="s">
        <v>9</v>
      </c>
      <c r="G4" s="70" t="s">
        <v>4</v>
      </c>
      <c r="I4" s="70" t="s">
        <v>9</v>
      </c>
      <c r="J4" s="70" t="s">
        <v>4</v>
      </c>
      <c r="L4" s="70" t="s">
        <v>9</v>
      </c>
      <c r="M4" s="70" t="s">
        <v>4</v>
      </c>
    </row>
    <row r="5" spans="3:13">
      <c r="C5" s="48"/>
      <c r="D5" s="48"/>
      <c r="E5" s="48"/>
      <c r="F5" s="47">
        <v>2013</v>
      </c>
      <c r="G5" s="53">
        <v>112</v>
      </c>
      <c r="H5" s="48"/>
      <c r="I5" s="47">
        <v>2013</v>
      </c>
      <c r="J5" s="47">
        <v>84</v>
      </c>
      <c r="L5" s="47">
        <v>2013</v>
      </c>
      <c r="M5" s="47">
        <v>120</v>
      </c>
    </row>
    <row r="6" spans="3:13">
      <c r="C6" s="48"/>
      <c r="D6" s="48"/>
      <c r="E6" s="48"/>
      <c r="F6" s="47">
        <v>2014</v>
      </c>
      <c r="G6" s="53">
        <v>155</v>
      </c>
      <c r="H6" s="48"/>
      <c r="I6" s="47">
        <v>2014</v>
      </c>
      <c r="J6" s="47">
        <v>109</v>
      </c>
      <c r="L6" s="47">
        <v>2014</v>
      </c>
      <c r="M6" s="47">
        <v>150</v>
      </c>
    </row>
    <row r="7" spans="3:13">
      <c r="C7" s="48"/>
      <c r="D7" s="48"/>
      <c r="E7" s="48"/>
      <c r="F7" s="47">
        <v>2015</v>
      </c>
      <c r="G7" s="47">
        <v>79</v>
      </c>
      <c r="H7" s="48"/>
      <c r="I7" s="47">
        <v>2015</v>
      </c>
      <c r="J7" s="47">
        <v>66</v>
      </c>
      <c r="L7" s="47">
        <v>2015</v>
      </c>
      <c r="M7" s="47">
        <v>87</v>
      </c>
    </row>
    <row r="8" spans="3:13">
      <c r="C8" s="48"/>
      <c r="D8" s="48"/>
      <c r="E8" s="48"/>
      <c r="F8" s="47">
        <v>2016</v>
      </c>
      <c r="G8" s="47">
        <v>85</v>
      </c>
      <c r="H8" s="48"/>
      <c r="I8" s="47">
        <v>2016</v>
      </c>
      <c r="J8" s="47">
        <v>70</v>
      </c>
      <c r="L8" s="47">
        <v>2016</v>
      </c>
      <c r="M8" s="47">
        <v>87</v>
      </c>
    </row>
    <row r="9" spans="3:13">
      <c r="C9" s="48"/>
      <c r="D9" s="48"/>
      <c r="E9" s="48"/>
      <c r="F9" s="47">
        <v>2017</v>
      </c>
      <c r="G9" s="47">
        <v>165</v>
      </c>
      <c r="H9" s="48"/>
      <c r="I9" s="47">
        <v>2017</v>
      </c>
      <c r="J9" s="47">
        <v>111</v>
      </c>
      <c r="L9" s="47">
        <v>2017</v>
      </c>
      <c r="M9" s="47">
        <v>102</v>
      </c>
    </row>
    <row r="10" spans="3:13">
      <c r="C10" s="48"/>
      <c r="D10" s="48"/>
      <c r="E10" s="48"/>
      <c r="F10" s="47">
        <v>2018</v>
      </c>
      <c r="G10" s="47">
        <v>115</v>
      </c>
      <c r="H10" s="48"/>
      <c r="I10" s="47">
        <v>2018</v>
      </c>
      <c r="J10" s="47">
        <v>116</v>
      </c>
      <c r="L10" s="47">
        <v>2018</v>
      </c>
      <c r="M10" s="47">
        <v>119</v>
      </c>
    </row>
    <row r="11" spans="3:13">
      <c r="C11" s="48"/>
      <c r="D11" s="48"/>
      <c r="E11" s="48"/>
      <c r="F11" s="47">
        <v>2019</v>
      </c>
      <c r="G11" s="47">
        <v>112</v>
      </c>
      <c r="H11" s="48"/>
      <c r="I11" s="47">
        <v>2019</v>
      </c>
      <c r="J11" s="47">
        <v>121</v>
      </c>
      <c r="L11" s="47">
        <v>2019</v>
      </c>
      <c r="M11" s="47">
        <v>136</v>
      </c>
    </row>
    <row r="12" spans="3:13">
      <c r="C12" s="48"/>
      <c r="D12" s="48"/>
      <c r="E12" s="48"/>
      <c r="F12" s="47">
        <v>2020</v>
      </c>
      <c r="G12" s="47">
        <v>154</v>
      </c>
      <c r="H12" s="48"/>
      <c r="I12" s="47">
        <v>2020</v>
      </c>
      <c r="J12" s="49">
        <v>164</v>
      </c>
      <c r="L12" s="47">
        <v>2020</v>
      </c>
      <c r="M12" s="47">
        <v>168</v>
      </c>
    </row>
    <row r="13" spans="3:13">
      <c r="C13" s="48"/>
      <c r="D13" s="48"/>
      <c r="E13" s="48"/>
      <c r="F13" s="47">
        <v>2021</v>
      </c>
      <c r="G13" s="47">
        <v>200</v>
      </c>
      <c r="H13" s="48"/>
      <c r="I13" s="47">
        <v>2021</v>
      </c>
      <c r="J13" s="49">
        <v>194</v>
      </c>
      <c r="L13" s="47">
        <v>2021</v>
      </c>
      <c r="M13" s="47">
        <v>154</v>
      </c>
    </row>
    <row r="14" spans="3:13">
      <c r="C14" s="48"/>
      <c r="D14" s="48"/>
      <c r="E14" s="48"/>
      <c r="F14" s="47">
        <v>2022</v>
      </c>
      <c r="G14" s="47">
        <v>112</v>
      </c>
      <c r="H14" s="48"/>
      <c r="I14" s="47">
        <v>2022</v>
      </c>
      <c r="J14" s="47">
        <v>106</v>
      </c>
      <c r="L14" s="47">
        <v>2022</v>
      </c>
      <c r="M14" s="47">
        <v>119</v>
      </c>
    </row>
    <row r="15" spans="3:13">
      <c r="C15" s="48"/>
      <c r="D15" s="48"/>
      <c r="E15" s="48"/>
      <c r="F15" s="47">
        <v>2023</v>
      </c>
      <c r="G15" s="47">
        <v>89</v>
      </c>
      <c r="H15" s="48"/>
      <c r="I15" s="47">
        <v>2023</v>
      </c>
      <c r="J15" s="47">
        <v>107</v>
      </c>
      <c r="L15" s="47">
        <v>2023</v>
      </c>
      <c r="M15" s="47">
        <v>103</v>
      </c>
    </row>
    <row r="16" spans="3:13">
      <c r="C16" s="48"/>
      <c r="D16" s="48"/>
      <c r="E16" s="48"/>
      <c r="F16" s="47">
        <v>2024</v>
      </c>
      <c r="G16" s="47">
        <v>129</v>
      </c>
      <c r="H16" s="48"/>
      <c r="I16" s="47">
        <v>2024</v>
      </c>
      <c r="J16" s="47">
        <v>130</v>
      </c>
      <c r="L16" s="47">
        <v>2024</v>
      </c>
      <c r="M16" s="47">
        <v>154</v>
      </c>
    </row>
    <row r="17" spans="3:19">
      <c r="C17" s="48"/>
      <c r="D17" s="48"/>
      <c r="E17" s="48"/>
      <c r="F17" s="47"/>
      <c r="G17" s="47"/>
      <c r="H17" s="48"/>
      <c r="I17" s="47"/>
      <c r="J17" s="47"/>
      <c r="L17" s="47"/>
      <c r="M17" s="47"/>
    </row>
    <row r="20" spans="3:19" ht="23.25" customHeight="1">
      <c r="N20" s="156" t="s">
        <v>10</v>
      </c>
      <c r="O20" s="157" t="s">
        <v>3</v>
      </c>
      <c r="P20" s="134" t="s">
        <v>11</v>
      </c>
      <c r="Q20" s="134"/>
      <c r="R20" s="134"/>
      <c r="S20" s="134"/>
    </row>
    <row r="21" spans="3:19" ht="60">
      <c r="C21" s="42" t="s">
        <v>12</v>
      </c>
      <c r="N21" s="134"/>
      <c r="O21" s="158"/>
      <c r="P21" s="68" t="s">
        <v>0</v>
      </c>
      <c r="Q21" s="68" t="s">
        <v>1</v>
      </c>
      <c r="R21" s="159" t="s">
        <v>2</v>
      </c>
      <c r="S21" s="135" t="s">
        <v>13</v>
      </c>
    </row>
    <row r="22" spans="3:19">
      <c r="N22" s="134"/>
      <c r="O22" s="158"/>
      <c r="P22" s="160" t="s">
        <v>14</v>
      </c>
      <c r="Q22" s="161"/>
      <c r="R22" s="162"/>
      <c r="S22" s="135"/>
    </row>
    <row r="23" spans="3:19" ht="23.25" customHeight="1">
      <c r="C23" s="52" t="s">
        <v>9</v>
      </c>
      <c r="D23" s="51" t="s">
        <v>4</v>
      </c>
      <c r="N23" s="134"/>
      <c r="O23" s="163"/>
      <c r="P23" s="69">
        <f>G3</f>
        <v>54.488492000000001</v>
      </c>
      <c r="Q23" s="69">
        <f>J3</f>
        <v>2.1782919999999999</v>
      </c>
      <c r="R23" s="69">
        <f>M3</f>
        <v>229.577382</v>
      </c>
      <c r="S23" s="135"/>
    </row>
    <row r="24" spans="3:19">
      <c r="C24" s="47">
        <v>2013</v>
      </c>
      <c r="D24" s="50">
        <f>((G5*$G$3)+(J5*$J$3)+(M5*$M$3))/'Thiessen Polygon Influence Zone'!$D$8</f>
        <v>118.20318976212775</v>
      </c>
      <c r="N24" s="47">
        <v>1</v>
      </c>
      <c r="O24" s="47">
        <v>2013</v>
      </c>
      <c r="P24" s="47">
        <v>112</v>
      </c>
      <c r="Q24" s="47">
        <v>84</v>
      </c>
      <c r="R24" s="47">
        <v>120</v>
      </c>
      <c r="S24" s="50">
        <v>118.20318976212775</v>
      </c>
    </row>
    <row r="25" spans="3:19">
      <c r="C25" s="47">
        <v>2014</v>
      </c>
      <c r="D25" s="50">
        <f>((G6*$G$3)+(J6*$J$3)+(M6*$M$3))/'Thiessen Polygon Influence Zone'!$D$8</f>
        <v>150.63977718938034</v>
      </c>
      <c r="N25" s="47">
        <v>2</v>
      </c>
      <c r="O25" s="47">
        <v>2014</v>
      </c>
      <c r="P25" s="47">
        <v>155</v>
      </c>
      <c r="Q25" s="47">
        <v>109</v>
      </c>
      <c r="R25" s="47">
        <v>150</v>
      </c>
      <c r="S25" s="50">
        <v>150.63977718938034</v>
      </c>
    </row>
    <row r="26" spans="3:19">
      <c r="C26" s="47">
        <v>2015</v>
      </c>
      <c r="D26" s="50">
        <f>((G7*$G$3)+(J7*$J$3)+(M7*$M$3))/'Thiessen Polygon Influence Zone'!$D$8</f>
        <v>85.317338394243464</v>
      </c>
      <c r="N26" s="47">
        <v>3</v>
      </c>
      <c r="O26" s="47">
        <v>2015</v>
      </c>
      <c r="P26" s="47">
        <v>79</v>
      </c>
      <c r="Q26" s="47">
        <v>66</v>
      </c>
      <c r="R26" s="47">
        <v>87</v>
      </c>
      <c r="S26" s="50">
        <v>85.317338394243464</v>
      </c>
    </row>
    <row r="27" spans="3:19">
      <c r="C27" s="47">
        <v>2016</v>
      </c>
      <c r="D27" s="50">
        <f>((G8*$G$3)+(J8*$J$3)+(M8*$M$3))/'Thiessen Polygon Influence Zone'!$D$8</f>
        <v>86.489918170070226</v>
      </c>
      <c r="N27" s="47">
        <v>4</v>
      </c>
      <c r="O27" s="47">
        <v>2016</v>
      </c>
      <c r="P27" s="47">
        <v>85</v>
      </c>
      <c r="Q27" s="47">
        <v>70</v>
      </c>
      <c r="R27" s="47">
        <v>87</v>
      </c>
      <c r="S27" s="50">
        <v>86.489918170070226</v>
      </c>
    </row>
    <row r="28" spans="3:19">
      <c r="C28" s="47">
        <v>2017</v>
      </c>
      <c r="D28" s="50">
        <f>((G9*$G$3)+(J9*$J$3)+(M9*$M$3))/'Thiessen Polygon Influence Zone'!$D$8</f>
        <v>114.0609606555265</v>
      </c>
      <c r="N28" s="47">
        <v>5</v>
      </c>
      <c r="O28" s="47">
        <v>2017</v>
      </c>
      <c r="P28" s="47">
        <v>165</v>
      </c>
      <c r="Q28" s="47">
        <v>111</v>
      </c>
      <c r="R28" s="47">
        <v>102</v>
      </c>
      <c r="S28" s="50">
        <v>114.0609606555265</v>
      </c>
    </row>
    <row r="29" spans="3:19">
      <c r="C29" s="47">
        <v>2018</v>
      </c>
      <c r="D29" s="50">
        <f>((G10*$G$3)+(J10*$J$3)+(M10*$M$3))/'Thiessen Polygon Influence Zone'!$D$8</f>
        <v>118.21574351317959</v>
      </c>
      <c r="N29" s="47">
        <v>6</v>
      </c>
      <c r="O29" s="47">
        <v>2018</v>
      </c>
      <c r="P29" s="47">
        <v>115</v>
      </c>
      <c r="Q29" s="47">
        <v>116</v>
      </c>
      <c r="R29" s="47">
        <v>119</v>
      </c>
      <c r="S29" s="50">
        <v>118.21574351317959</v>
      </c>
    </row>
    <row r="30" spans="3:19">
      <c r="C30" s="47">
        <v>2019</v>
      </c>
      <c r="D30" s="50">
        <f>((G11*$G$3)+(J11*$J$3)+(M11*$M$3))/'Thiessen Polygon Influence Zone'!$D$8</f>
        <v>131.31729080550062</v>
      </c>
      <c r="N30" s="47">
        <v>7</v>
      </c>
      <c r="O30" s="47">
        <v>2019</v>
      </c>
      <c r="P30" s="47">
        <v>112</v>
      </c>
      <c r="Q30" s="47">
        <v>121</v>
      </c>
      <c r="R30" s="47">
        <v>136</v>
      </c>
      <c r="S30" s="50">
        <v>131.31729080550062</v>
      </c>
    </row>
    <row r="31" spans="3:19">
      <c r="C31" s="47">
        <v>2020</v>
      </c>
      <c r="D31" s="50">
        <f>((G12*$G$3)+(J12*$J$3)+(M12*$M$3))/'Thiessen Polygon Influence Zone'!$D$8</f>
        <v>165.3045667033787</v>
      </c>
      <c r="N31" s="47">
        <v>8</v>
      </c>
      <c r="O31" s="47">
        <v>2020</v>
      </c>
      <c r="P31" s="47">
        <v>154</v>
      </c>
      <c r="Q31" s="47">
        <v>164</v>
      </c>
      <c r="R31" s="47">
        <v>168</v>
      </c>
      <c r="S31" s="50">
        <v>165.3045667033787</v>
      </c>
    </row>
    <row r="32" spans="3:19">
      <c r="C32" s="47">
        <v>2021</v>
      </c>
      <c r="D32" s="50">
        <f>((G13*$G$3)+(J13*$J$3)+(M13*$M$3))/'Thiessen Polygon Influence Zone'!$D$8</f>
        <v>163.06080409687721</v>
      </c>
      <c r="N32" s="47">
        <v>9</v>
      </c>
      <c r="O32" s="47">
        <v>2021</v>
      </c>
      <c r="P32" s="47">
        <v>200</v>
      </c>
      <c r="Q32" s="47">
        <v>194</v>
      </c>
      <c r="R32" s="47">
        <v>154</v>
      </c>
      <c r="S32" s="50">
        <v>163.06080409687721</v>
      </c>
    </row>
    <row r="33" spans="3:19">
      <c r="C33" s="47">
        <v>2022</v>
      </c>
      <c r="D33" s="50">
        <f>((G14*$G$3)+(J14*$J$3)+(M14*$M$3))/'Thiessen Polygon Influence Zone'!$D$8</f>
        <v>117.56857435480448</v>
      </c>
      <c r="N33" s="47">
        <v>10</v>
      </c>
      <c r="O33" s="47">
        <v>2022</v>
      </c>
      <c r="P33" s="47">
        <v>112</v>
      </c>
      <c r="Q33" s="47">
        <v>106</v>
      </c>
      <c r="R33" s="47">
        <v>119</v>
      </c>
      <c r="S33" s="50">
        <v>117.56857435480448</v>
      </c>
    </row>
    <row r="34" spans="3:19">
      <c r="C34" s="47">
        <v>2023</v>
      </c>
      <c r="D34" s="50">
        <f>((G15*$G$3)+(J15*$J$3)+(M15*$M$3))/'Thiessen Polygon Influence Zone'!$D$8</f>
        <v>100.36544597384038</v>
      </c>
      <c r="N34" s="47">
        <v>11</v>
      </c>
      <c r="O34" s="47">
        <v>2023</v>
      </c>
      <c r="P34" s="47">
        <v>89</v>
      </c>
      <c r="Q34" s="47">
        <v>107</v>
      </c>
      <c r="R34" s="47">
        <v>103</v>
      </c>
      <c r="S34" s="50">
        <v>100.36544597384038</v>
      </c>
    </row>
    <row r="35" spans="3:19">
      <c r="C35" s="47">
        <v>2024</v>
      </c>
      <c r="D35" s="50">
        <f>((G16*$G$3)+(J16*$J$3)+(M16*$M$3))/'Thiessen Polygon Influence Zone'!$D$8</f>
        <v>149.05844493613191</v>
      </c>
      <c r="N35" s="47">
        <v>12</v>
      </c>
      <c r="O35" s="47">
        <v>2024</v>
      </c>
      <c r="P35" s="47">
        <v>129</v>
      </c>
      <c r="Q35" s="47">
        <v>130</v>
      </c>
      <c r="R35" s="47">
        <v>154</v>
      </c>
      <c r="S35" s="50">
        <v>149.05844493613191</v>
      </c>
    </row>
    <row r="39" spans="3:19">
      <c r="N39" s="164" t="s">
        <v>5</v>
      </c>
      <c r="O39" s="164" t="s">
        <v>15</v>
      </c>
      <c r="P39" s="165" t="s">
        <v>11</v>
      </c>
      <c r="Q39" s="136"/>
      <c r="R39" s="136"/>
    </row>
    <row r="40" spans="3:19" ht="60">
      <c r="N40" s="164"/>
      <c r="O40" s="164"/>
      <c r="P40" s="166" t="s">
        <v>0</v>
      </c>
      <c r="Q40" s="166" t="s">
        <v>1</v>
      </c>
      <c r="R40" s="166" t="s">
        <v>2</v>
      </c>
      <c r="S40" s="67"/>
    </row>
    <row r="41" spans="3:19">
      <c r="N41" s="47">
        <v>1</v>
      </c>
      <c r="O41" s="47">
        <v>2013</v>
      </c>
      <c r="P41" s="47">
        <v>112</v>
      </c>
      <c r="Q41" s="47">
        <v>84</v>
      </c>
      <c r="R41" s="47">
        <v>120</v>
      </c>
    </row>
    <row r="42" spans="3:19">
      <c r="N42" s="47">
        <v>2</v>
      </c>
      <c r="O42" s="47">
        <v>2014</v>
      </c>
      <c r="P42" s="47">
        <v>155</v>
      </c>
      <c r="Q42" s="47">
        <v>109</v>
      </c>
      <c r="R42" s="47">
        <v>150</v>
      </c>
    </row>
    <row r="43" spans="3:19">
      <c r="N43" s="47">
        <v>3</v>
      </c>
      <c r="O43" s="47">
        <v>2015</v>
      </c>
      <c r="P43" s="47">
        <v>79</v>
      </c>
      <c r="Q43" s="47">
        <v>66</v>
      </c>
      <c r="R43" s="47">
        <v>87</v>
      </c>
    </row>
    <row r="44" spans="3:19">
      <c r="N44" s="47">
        <v>4</v>
      </c>
      <c r="O44" s="47">
        <v>2016</v>
      </c>
      <c r="P44" s="47">
        <v>85</v>
      </c>
      <c r="Q44" s="47">
        <v>70</v>
      </c>
      <c r="R44" s="47">
        <v>87</v>
      </c>
    </row>
    <row r="45" spans="3:19">
      <c r="N45" s="47">
        <v>5</v>
      </c>
      <c r="O45" s="47">
        <v>2017</v>
      </c>
      <c r="P45" s="47">
        <v>165</v>
      </c>
      <c r="Q45" s="47">
        <v>111</v>
      </c>
      <c r="R45" s="47">
        <v>102</v>
      </c>
    </row>
    <row r="46" spans="3:19">
      <c r="N46" s="47">
        <v>6</v>
      </c>
      <c r="O46" s="47">
        <v>2018</v>
      </c>
      <c r="P46" s="47">
        <v>115</v>
      </c>
      <c r="Q46" s="47">
        <v>116</v>
      </c>
      <c r="R46" s="47">
        <v>119</v>
      </c>
    </row>
    <row r="47" spans="3:19">
      <c r="N47" s="47">
        <v>7</v>
      </c>
      <c r="O47" s="47">
        <v>2019</v>
      </c>
      <c r="P47" s="47">
        <v>112</v>
      </c>
      <c r="Q47" s="47">
        <v>121</v>
      </c>
      <c r="R47" s="47">
        <v>136</v>
      </c>
    </row>
    <row r="48" spans="3:19">
      <c r="N48" s="47">
        <v>8</v>
      </c>
      <c r="O48" s="47">
        <v>2020</v>
      </c>
      <c r="P48" s="47">
        <v>154</v>
      </c>
      <c r="Q48" s="47">
        <v>164</v>
      </c>
      <c r="R48" s="47">
        <v>168</v>
      </c>
    </row>
    <row r="49" spans="14:18">
      <c r="N49" s="47">
        <v>9</v>
      </c>
      <c r="O49" s="47">
        <v>2021</v>
      </c>
      <c r="P49" s="47">
        <v>200</v>
      </c>
      <c r="Q49" s="47">
        <v>194</v>
      </c>
      <c r="R49" s="47">
        <v>154</v>
      </c>
    </row>
    <row r="50" spans="14:18">
      <c r="N50" s="47">
        <v>10</v>
      </c>
      <c r="O50" s="47">
        <v>2022</v>
      </c>
      <c r="P50" s="47">
        <v>112</v>
      </c>
      <c r="Q50" s="47">
        <v>106</v>
      </c>
      <c r="R50" s="47">
        <v>119</v>
      </c>
    </row>
    <row r="51" spans="14:18">
      <c r="N51" s="47">
        <v>11</v>
      </c>
      <c r="O51" s="47">
        <v>2023</v>
      </c>
      <c r="P51" s="47">
        <v>89</v>
      </c>
      <c r="Q51" s="47">
        <v>107</v>
      </c>
      <c r="R51" s="47">
        <v>103</v>
      </c>
    </row>
    <row r="52" spans="14:18">
      <c r="N52" s="47">
        <v>12</v>
      </c>
      <c r="O52" s="47">
        <v>2024</v>
      </c>
      <c r="P52" s="47">
        <v>129</v>
      </c>
      <c r="Q52" s="47">
        <v>130</v>
      </c>
      <c r="R52" s="47">
        <v>154</v>
      </c>
    </row>
  </sheetData>
  <mergeCells count="8">
    <mergeCell ref="P20:S20"/>
    <mergeCell ref="S21:S23"/>
    <mergeCell ref="P39:R39"/>
    <mergeCell ref="O39:O40"/>
    <mergeCell ref="N39:N40"/>
    <mergeCell ref="O20:O23"/>
    <mergeCell ref="N20:N23"/>
    <mergeCell ref="P22:R2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"/>
  <sheetViews>
    <sheetView showGridLines="0" zoomScale="83" workbookViewId="0">
      <selection activeCell="G18" sqref="G18"/>
    </sheetView>
  </sheetViews>
  <sheetFormatPr defaultRowHeight="12.75"/>
  <cols>
    <col min="1" max="1" width="5" customWidth="1"/>
    <col min="2" max="2" width="12.7109375" customWidth="1"/>
    <col min="3" max="3" width="18.5703125" customWidth="1"/>
    <col min="4" max="4" width="13.85546875" customWidth="1"/>
    <col min="5" max="5" width="12.85546875" customWidth="1"/>
    <col min="6" max="6" width="8" customWidth="1"/>
    <col min="7" max="7" width="12.7109375" customWidth="1"/>
    <col min="12" max="12" width="10.5703125" style="54" bestFit="1" customWidth="1"/>
  </cols>
  <sheetData>
    <row r="1" spans="1:8" ht="28.5" customHeight="1">
      <c r="A1" s="78" t="s">
        <v>5</v>
      </c>
      <c r="B1" s="79" t="s">
        <v>3</v>
      </c>
      <c r="C1" s="79" t="s">
        <v>16</v>
      </c>
      <c r="D1" s="80" t="s">
        <v>17</v>
      </c>
      <c r="E1" s="80" t="s">
        <v>18</v>
      </c>
      <c r="F1" s="1"/>
      <c r="H1" s="2"/>
    </row>
    <row r="2" spans="1:8" ht="15">
      <c r="A2" s="20">
        <v>1</v>
      </c>
      <c r="B2" s="47">
        <v>2013</v>
      </c>
      <c r="C2" s="21">
        <v>118.20318976212775</v>
      </c>
      <c r="D2" s="139">
        <f>MAX(C2:C13)</f>
        <v>165.3045667033787</v>
      </c>
      <c r="E2" s="77">
        <v>85.317338394243464</v>
      </c>
      <c r="F2" s="1"/>
      <c r="H2" s="2"/>
    </row>
    <row r="3" spans="1:8" ht="15">
      <c r="A3" s="20">
        <v>2</v>
      </c>
      <c r="B3" s="47">
        <v>2014</v>
      </c>
      <c r="C3" s="21">
        <v>150.63977718938034</v>
      </c>
      <c r="D3" s="139"/>
      <c r="E3" s="77">
        <v>86.489918170070226</v>
      </c>
      <c r="F3" s="1"/>
      <c r="H3" s="2"/>
    </row>
    <row r="4" spans="1:8" ht="15">
      <c r="A4" s="20">
        <v>3</v>
      </c>
      <c r="B4" s="47">
        <v>2015</v>
      </c>
      <c r="C4" s="21">
        <v>85.317338394243464</v>
      </c>
      <c r="D4" s="139"/>
      <c r="E4" s="77">
        <v>100.36544597384038</v>
      </c>
      <c r="F4" s="1"/>
      <c r="H4" s="2"/>
    </row>
    <row r="5" spans="1:8" ht="15">
      <c r="A5" s="20">
        <v>4</v>
      </c>
      <c r="B5" s="47">
        <v>2016</v>
      </c>
      <c r="C5" s="21">
        <v>86.489918170070226</v>
      </c>
      <c r="D5" s="139"/>
      <c r="E5" s="77">
        <v>114.0609606555265</v>
      </c>
      <c r="F5" s="1"/>
      <c r="H5" s="2"/>
    </row>
    <row r="6" spans="1:8" ht="15">
      <c r="A6" s="20">
        <v>5</v>
      </c>
      <c r="B6" s="47">
        <v>2017</v>
      </c>
      <c r="C6" s="21">
        <v>114.0609606555265</v>
      </c>
      <c r="D6" s="139"/>
      <c r="E6" s="77">
        <v>117.56857435480448</v>
      </c>
      <c r="F6" s="1"/>
      <c r="G6" s="2"/>
      <c r="H6" s="1"/>
    </row>
    <row r="7" spans="1:8" ht="15">
      <c r="A7" s="20">
        <v>6</v>
      </c>
      <c r="B7" s="47">
        <v>2018</v>
      </c>
      <c r="C7" s="21">
        <v>118.21574351317959</v>
      </c>
      <c r="D7" s="139"/>
      <c r="E7" s="77">
        <v>118.20318976212775</v>
      </c>
      <c r="F7" s="1"/>
      <c r="G7" s="2"/>
      <c r="H7" s="2"/>
    </row>
    <row r="8" spans="1:8" ht="15">
      <c r="A8" s="20">
        <v>7</v>
      </c>
      <c r="B8" s="47">
        <v>2019</v>
      </c>
      <c r="C8" s="21">
        <v>131.31729080550062</v>
      </c>
      <c r="D8" s="139"/>
      <c r="E8" s="77">
        <v>118.21574351317959</v>
      </c>
      <c r="F8" s="2"/>
      <c r="H8" s="2"/>
    </row>
    <row r="9" spans="1:8" ht="15">
      <c r="A9" s="20">
        <v>8</v>
      </c>
      <c r="B9" s="47">
        <v>2020</v>
      </c>
      <c r="C9" s="21">
        <v>165.3045667033787</v>
      </c>
      <c r="D9" s="139"/>
      <c r="E9" s="77">
        <v>131.31729080550062</v>
      </c>
      <c r="F9" s="2"/>
      <c r="G9" s="2"/>
      <c r="H9" s="2"/>
    </row>
    <row r="10" spans="1:8" ht="15">
      <c r="A10" s="20">
        <v>9</v>
      </c>
      <c r="B10" s="47">
        <v>2021</v>
      </c>
      <c r="C10" s="21">
        <v>163.06080409687721</v>
      </c>
      <c r="D10" s="139"/>
      <c r="E10" s="77">
        <v>149.05844493613191</v>
      </c>
      <c r="F10" s="2"/>
      <c r="G10" s="2"/>
      <c r="H10" s="2"/>
    </row>
    <row r="11" spans="1:8" ht="15">
      <c r="A11" s="20">
        <v>10</v>
      </c>
      <c r="B11" s="47">
        <v>2022</v>
      </c>
      <c r="C11" s="22">
        <v>117.56857435480448</v>
      </c>
      <c r="D11" s="139"/>
      <c r="E11" s="77">
        <v>150.63977718938034</v>
      </c>
      <c r="F11" s="2"/>
      <c r="G11" s="2"/>
      <c r="H11" s="2"/>
    </row>
    <row r="12" spans="1:8" ht="15">
      <c r="A12" s="20">
        <v>11</v>
      </c>
      <c r="B12" s="47">
        <v>2023</v>
      </c>
      <c r="C12" s="22">
        <v>100.36544597384038</v>
      </c>
      <c r="D12" s="139"/>
      <c r="E12" s="77">
        <v>163.06080409687721</v>
      </c>
      <c r="F12" s="2"/>
      <c r="G12" s="2"/>
      <c r="H12" s="2"/>
    </row>
    <row r="13" spans="1:8" ht="15">
      <c r="A13" s="20">
        <v>12</v>
      </c>
      <c r="B13" s="47">
        <v>2024</v>
      </c>
      <c r="C13" s="22">
        <v>149.05844493613191</v>
      </c>
      <c r="D13" s="139"/>
      <c r="E13" s="77">
        <v>165.3045667033787</v>
      </c>
      <c r="F13" s="2"/>
      <c r="G13" s="2"/>
      <c r="H13" s="2"/>
    </row>
    <row r="14" spans="1:8">
      <c r="B14" s="3"/>
      <c r="C14" s="4"/>
      <c r="D14" s="2"/>
    </row>
    <row r="15" spans="1:8">
      <c r="B15" s="3"/>
      <c r="C15" s="4"/>
    </row>
    <row r="16" spans="1:8">
      <c r="B16" s="3"/>
      <c r="C16" s="4"/>
    </row>
    <row r="17" spans="2:7">
      <c r="B17" s="3"/>
      <c r="C17" s="4"/>
    </row>
    <row r="18" spans="2:7">
      <c r="B18" s="3"/>
      <c r="C18" s="4"/>
    </row>
    <row r="19" spans="2:7">
      <c r="B19" s="3"/>
      <c r="C19" s="4"/>
    </row>
    <row r="20" spans="2:7">
      <c r="B20" s="3"/>
      <c r="C20" s="4"/>
    </row>
    <row r="21" spans="2:7">
      <c r="B21" s="3"/>
      <c r="C21" s="4"/>
    </row>
    <row r="22" spans="2:7" ht="15">
      <c r="B22" s="137"/>
      <c r="C22" s="137"/>
      <c r="D22" s="137"/>
      <c r="E22" s="137"/>
      <c r="F22" s="137"/>
    </row>
    <row r="23" spans="2:7" ht="15">
      <c r="B23" s="138"/>
      <c r="C23" s="138"/>
      <c r="D23" s="138"/>
      <c r="E23" s="138"/>
      <c r="F23" s="138"/>
    </row>
    <row r="24" spans="2:7" ht="15" customHeight="1">
      <c r="G24" s="5"/>
    </row>
    <row r="25" spans="2:7" ht="15" customHeight="1">
      <c r="B25" s="5"/>
      <c r="C25" s="5"/>
      <c r="D25" s="5"/>
      <c r="E25" s="5"/>
      <c r="F25" s="5"/>
      <c r="G25" s="5"/>
    </row>
    <row r="26" spans="2:7" ht="15" customHeight="1">
      <c r="B26" s="5"/>
      <c r="C26" s="5"/>
      <c r="D26" s="5"/>
      <c r="E26" s="5"/>
      <c r="F26" s="5"/>
      <c r="G26" s="5"/>
    </row>
    <row r="27" spans="2:7">
      <c r="B27" s="3"/>
      <c r="C27" s="4"/>
    </row>
    <row r="28" spans="2:7">
      <c r="B28" s="3"/>
    </row>
    <row r="29" spans="2:7">
      <c r="B29" s="3"/>
      <c r="C29" s="4"/>
    </row>
    <row r="30" spans="2:7">
      <c r="B30" s="3"/>
      <c r="C30" s="4"/>
    </row>
    <row r="31" spans="2:7">
      <c r="B31" s="3"/>
      <c r="C31" s="4"/>
    </row>
    <row r="32" spans="2:7">
      <c r="B32" s="3"/>
      <c r="C32" s="4"/>
    </row>
    <row r="33" spans="2:3">
      <c r="B33" s="3"/>
      <c r="C33" s="4"/>
    </row>
    <row r="34" spans="2:3">
      <c r="B34" s="3"/>
      <c r="C34" s="4"/>
    </row>
    <row r="35" spans="2:3">
      <c r="B35" s="3"/>
      <c r="C35" s="4"/>
    </row>
    <row r="36" spans="2:3">
      <c r="B36" s="3"/>
      <c r="C36" s="4"/>
    </row>
    <row r="37" spans="2:3">
      <c r="B37" s="3"/>
      <c r="C37" s="4"/>
    </row>
    <row r="40" spans="2:3">
      <c r="B40" s="6"/>
      <c r="C40" s="4"/>
    </row>
    <row r="41" spans="2:3">
      <c r="B41" s="6"/>
      <c r="C41" s="4"/>
    </row>
    <row r="42" spans="2:3">
      <c r="B42" s="6"/>
      <c r="C42" s="4"/>
    </row>
    <row r="43" spans="2:3">
      <c r="B43" s="3"/>
      <c r="C43" s="4"/>
    </row>
    <row r="44" spans="2:3">
      <c r="B44" s="3"/>
      <c r="C44" s="4"/>
    </row>
    <row r="45" spans="2:3">
      <c r="B45" s="3"/>
      <c r="C45" s="4"/>
    </row>
    <row r="46" spans="2:3">
      <c r="B46" s="3"/>
      <c r="C46" s="4"/>
    </row>
    <row r="47" spans="2:3">
      <c r="B47" s="3"/>
      <c r="C47" s="4"/>
    </row>
    <row r="48" spans="2:3">
      <c r="B48" s="3"/>
      <c r="C48" s="4"/>
    </row>
    <row r="49" spans="2:5">
      <c r="B49" s="3"/>
      <c r="C49" s="4"/>
      <c r="E49" s="7"/>
    </row>
    <row r="50" spans="2:5">
      <c r="B50" s="3"/>
      <c r="C50" s="4"/>
      <c r="E50" s="7"/>
    </row>
    <row r="51" spans="2:5">
      <c r="B51" s="3"/>
      <c r="C51" s="4"/>
      <c r="E51" s="7"/>
    </row>
    <row r="52" spans="2:5">
      <c r="B52" s="3"/>
      <c r="C52" s="4"/>
      <c r="E52" s="7"/>
    </row>
    <row r="53" spans="2:5">
      <c r="B53" s="3"/>
      <c r="C53" s="4"/>
      <c r="E53" s="7"/>
    </row>
    <row r="54" spans="2:5">
      <c r="B54" s="3"/>
      <c r="C54" s="4"/>
      <c r="E54" s="7"/>
    </row>
    <row r="55" spans="2:5">
      <c r="B55" s="3"/>
      <c r="C55" s="4"/>
      <c r="E55" s="7"/>
    </row>
    <row r="56" spans="2:5">
      <c r="B56" s="3"/>
      <c r="C56" s="4"/>
      <c r="E56" s="7"/>
    </row>
    <row r="57" spans="2:5">
      <c r="B57" s="3"/>
      <c r="C57" s="4"/>
      <c r="E57" s="7"/>
    </row>
    <row r="58" spans="2:5">
      <c r="B58" s="3"/>
      <c r="C58" s="4"/>
      <c r="E58" s="7"/>
    </row>
    <row r="59" spans="2:5">
      <c r="B59" s="3"/>
      <c r="C59" s="4"/>
      <c r="E59" s="7"/>
    </row>
    <row r="60" spans="2:5">
      <c r="B60" s="3"/>
      <c r="C60" s="4"/>
      <c r="E60" s="7"/>
    </row>
    <row r="61" spans="2:5">
      <c r="B61" s="3"/>
      <c r="C61" s="4"/>
      <c r="E61" s="7"/>
    </row>
    <row r="62" spans="2:5">
      <c r="B62" s="3"/>
      <c r="C62" s="4"/>
      <c r="E62" s="7"/>
    </row>
    <row r="63" spans="2:5">
      <c r="B63" s="3"/>
      <c r="C63" s="4"/>
      <c r="E63" s="7"/>
    </row>
    <row r="64" spans="2:5">
      <c r="B64" s="3"/>
      <c r="C64" s="4"/>
      <c r="D64" s="7"/>
      <c r="E64" s="7"/>
    </row>
    <row r="65" spans="2:5">
      <c r="B65" s="7"/>
      <c r="C65" s="7"/>
      <c r="D65" s="7"/>
      <c r="E65" s="7"/>
    </row>
    <row r="66" spans="2:5">
      <c r="B66" s="7"/>
      <c r="C66" s="7"/>
      <c r="D66" s="7"/>
      <c r="E66" s="7"/>
    </row>
    <row r="67" spans="2:5">
      <c r="B67" s="7"/>
      <c r="C67" s="7"/>
      <c r="D67" s="7"/>
      <c r="E67" s="7"/>
    </row>
    <row r="68" spans="2:5">
      <c r="B68" s="7"/>
      <c r="C68" s="7"/>
      <c r="D68" s="7"/>
      <c r="E68" s="7"/>
    </row>
    <row r="69" spans="2:5">
      <c r="B69" s="7"/>
      <c r="C69" s="7"/>
      <c r="D69" s="7"/>
      <c r="E69" s="7"/>
    </row>
    <row r="70" spans="2:5">
      <c r="B70" s="7"/>
      <c r="C70" s="7"/>
      <c r="D70" s="7"/>
      <c r="E70" s="7"/>
    </row>
    <row r="71" spans="2:5">
      <c r="B71" s="7"/>
      <c r="C71" s="7"/>
      <c r="D71" s="7"/>
      <c r="E71" s="7"/>
    </row>
    <row r="72" spans="2:5">
      <c r="B72" s="7"/>
      <c r="C72" s="7"/>
      <c r="D72" s="7"/>
      <c r="E72" s="7"/>
    </row>
    <row r="73" spans="2:5">
      <c r="B73" s="7"/>
      <c r="C73" s="7"/>
      <c r="D73" s="7"/>
      <c r="E73" s="7"/>
    </row>
    <row r="74" spans="2:5">
      <c r="B74" s="7"/>
      <c r="C74" s="7"/>
      <c r="D74" s="7"/>
      <c r="E74" s="7"/>
    </row>
    <row r="75" spans="2:5">
      <c r="B75" s="7"/>
      <c r="C75" s="7"/>
      <c r="D75" s="7"/>
      <c r="E75" s="7"/>
    </row>
    <row r="76" spans="2:5">
      <c r="B76" s="7"/>
      <c r="C76" s="7"/>
      <c r="D76" s="7"/>
      <c r="E76" s="7"/>
    </row>
    <row r="77" spans="2:5">
      <c r="B77" s="7"/>
      <c r="C77" s="7"/>
      <c r="D77" s="7"/>
      <c r="E77" s="7"/>
    </row>
    <row r="78" spans="2:5">
      <c r="B78" s="7"/>
      <c r="C78" s="7"/>
      <c r="D78" s="7"/>
      <c r="E78" s="7"/>
    </row>
    <row r="79" spans="2:5">
      <c r="B79" s="7"/>
      <c r="C79" s="7"/>
      <c r="D79" s="7"/>
      <c r="E79" s="7"/>
    </row>
    <row r="80" spans="2:5">
      <c r="B80" s="7"/>
      <c r="C80" s="7"/>
      <c r="D80" s="7"/>
      <c r="E80" s="7"/>
    </row>
    <row r="81" spans="2:5">
      <c r="B81" s="7"/>
      <c r="C81" s="7"/>
      <c r="D81" s="7"/>
      <c r="E81" s="7"/>
    </row>
    <row r="82" spans="2:5">
      <c r="B82" s="7"/>
      <c r="C82" s="7"/>
      <c r="D82" s="7"/>
      <c r="E82" s="7"/>
    </row>
    <row r="83" spans="2:5">
      <c r="B83" s="7"/>
      <c r="C83" s="7"/>
      <c r="D83" s="7"/>
      <c r="E83" s="7"/>
    </row>
    <row r="84" spans="2:5">
      <c r="B84" s="7"/>
      <c r="C84" s="7"/>
      <c r="D84" s="7"/>
      <c r="E84" s="7"/>
    </row>
    <row r="85" spans="2:5">
      <c r="B85" s="7"/>
      <c r="C85" s="7"/>
      <c r="D85" s="7"/>
      <c r="E85" s="7"/>
    </row>
    <row r="86" spans="2:5">
      <c r="B86" s="7"/>
      <c r="C86" s="7"/>
      <c r="D86" s="7"/>
      <c r="E86" s="7"/>
    </row>
    <row r="87" spans="2:5">
      <c r="B87" s="7"/>
      <c r="C87" s="7"/>
      <c r="D87" s="7"/>
      <c r="E87" s="7"/>
    </row>
    <row r="88" spans="2:5">
      <c r="B88" s="7"/>
      <c r="C88" s="7"/>
      <c r="D88" s="7"/>
      <c r="E88" s="7"/>
    </row>
    <row r="89" spans="2:5">
      <c r="B89" s="7"/>
      <c r="C89" s="7"/>
      <c r="D89" s="7"/>
      <c r="E89" s="7"/>
    </row>
    <row r="90" spans="2:5">
      <c r="B90" s="7"/>
      <c r="C90" s="7"/>
      <c r="D90" s="7"/>
      <c r="E90" s="7"/>
    </row>
    <row r="91" spans="2:5">
      <c r="B91" s="7"/>
      <c r="C91" s="7"/>
      <c r="D91" s="7"/>
      <c r="E91" s="7"/>
    </row>
    <row r="92" spans="2:5">
      <c r="B92" s="7"/>
      <c r="C92" s="7"/>
      <c r="D92" s="7"/>
      <c r="E92" s="7"/>
    </row>
    <row r="93" spans="2:5">
      <c r="B93" s="7"/>
      <c r="C93" s="7"/>
      <c r="D93" s="7"/>
      <c r="E93" s="7"/>
    </row>
    <row r="94" spans="2:5">
      <c r="B94" s="7"/>
      <c r="C94" s="7"/>
      <c r="D94" s="7"/>
      <c r="E94" s="7"/>
    </row>
    <row r="95" spans="2:5">
      <c r="B95" s="7"/>
      <c r="C95" s="7"/>
      <c r="D95" s="7"/>
      <c r="E95" s="7"/>
    </row>
    <row r="96" spans="2:5">
      <c r="B96" s="7"/>
      <c r="C96" s="7"/>
      <c r="D96" s="7"/>
      <c r="E96" s="7"/>
    </row>
    <row r="97" spans="2:5">
      <c r="B97" s="7"/>
      <c r="C97" s="7"/>
      <c r="D97" s="7"/>
      <c r="E97" s="7"/>
    </row>
    <row r="98" spans="2:5">
      <c r="B98" s="7"/>
      <c r="C98" s="7"/>
      <c r="D98" s="7"/>
      <c r="E98" s="7"/>
    </row>
    <row r="99" spans="2:5">
      <c r="B99" s="7"/>
      <c r="C99" s="7"/>
      <c r="D99" s="7"/>
      <c r="E99" s="7"/>
    </row>
    <row r="100" spans="2:5">
      <c r="B100" s="7"/>
      <c r="C100" s="7"/>
      <c r="D100" s="7"/>
      <c r="E100" s="7"/>
    </row>
    <row r="101" spans="2:5">
      <c r="B101" s="7"/>
      <c r="C101" s="7"/>
      <c r="D101" s="7"/>
      <c r="E101" s="7"/>
    </row>
    <row r="102" spans="2:5">
      <c r="B102" s="7"/>
      <c r="C102" s="7"/>
      <c r="D102" s="7"/>
      <c r="E102" s="7"/>
    </row>
  </sheetData>
  <sortState xmlns:xlrd2="http://schemas.microsoft.com/office/spreadsheetml/2017/richdata2" ref="L1:L103">
    <sortCondition ref="L1:L103"/>
  </sortState>
  <mergeCells count="3">
    <mergeCell ref="B22:F22"/>
    <mergeCell ref="B23:F23"/>
    <mergeCell ref="D2:D13"/>
  </mergeCells>
  <pageMargins left="1.5" right="0" top="1.5" bottom="1" header="0.5" footer="0.5"/>
  <pageSetup paperSize="9" orientation="portrait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5"/>
  <sheetViews>
    <sheetView view="pageBreakPreview" topLeftCell="A7" zoomScale="102" zoomScaleNormal="100" zoomScaleSheetLayoutView="100" workbookViewId="0">
      <selection activeCell="F27" sqref="F27"/>
    </sheetView>
  </sheetViews>
  <sheetFormatPr defaultRowHeight="12.75"/>
  <cols>
    <col min="1" max="1" width="14.28515625" customWidth="1"/>
    <col min="2" max="2" width="14.5703125" customWidth="1"/>
    <col min="4" max="4" width="14.42578125" customWidth="1"/>
    <col min="5" max="5" width="15.7109375" customWidth="1"/>
    <col min="6" max="6" width="15.140625" customWidth="1"/>
    <col min="7" max="7" width="14.85546875" customWidth="1"/>
  </cols>
  <sheetData>
    <row r="2" spans="1:7" ht="31.5" customHeight="1">
      <c r="A2" s="140" t="s">
        <v>19</v>
      </c>
      <c r="B2" s="140"/>
      <c r="C2" s="140"/>
      <c r="D2" s="140"/>
      <c r="E2" s="140"/>
      <c r="F2" s="140"/>
      <c r="G2" s="140"/>
    </row>
    <row r="3" spans="1:7" ht="26.25" customHeight="1">
      <c r="A3" s="35" t="s">
        <v>5</v>
      </c>
      <c r="B3" s="35" t="s">
        <v>20</v>
      </c>
      <c r="C3" s="35" t="s">
        <v>21</v>
      </c>
      <c r="D3" s="35" t="s">
        <v>22</v>
      </c>
      <c r="E3" s="35" t="s">
        <v>23</v>
      </c>
      <c r="F3" s="35" t="s">
        <v>24</v>
      </c>
      <c r="G3" s="35" t="s">
        <v>25</v>
      </c>
    </row>
    <row r="4" spans="1:7">
      <c r="A4" s="9">
        <v>1</v>
      </c>
      <c r="B4" s="21">
        <v>85.317338394243464</v>
      </c>
      <c r="C4" s="11">
        <f>LOG(B4)</f>
        <v>1.9310372985035604</v>
      </c>
      <c r="D4" s="11">
        <f>C4-$C$28</f>
        <v>-0.15584373407667496</v>
      </c>
      <c r="E4" s="12">
        <f>D4^2</f>
        <v>2.428726945096138E-2</v>
      </c>
      <c r="F4" s="13">
        <f>D4^3</f>
        <v>-3.7850187617641767E-3</v>
      </c>
      <c r="G4" s="14">
        <f>D4^4</f>
        <v>5.8987145738360186E-4</v>
      </c>
    </row>
    <row r="5" spans="1:7">
      <c r="A5" s="9">
        <v>2</v>
      </c>
      <c r="B5" s="21">
        <v>86.489918170070226</v>
      </c>
      <c r="C5" s="11">
        <f t="shared" ref="C5:C15" si="0">LOG(B5)</f>
        <v>1.9369654862129255</v>
      </c>
      <c r="D5" s="11">
        <f t="shared" ref="D5:D15" si="1">C5-$C$28</f>
        <v>-0.14991554636730986</v>
      </c>
      <c r="E5" s="12">
        <f t="shared" ref="E5:E15" si="2">D5^2</f>
        <v>2.2474671042609033E-2</v>
      </c>
      <c r="F5" s="13">
        <f t="shared" ref="F5:F15" si="3">D5^3</f>
        <v>-3.3693025887782907E-3</v>
      </c>
      <c r="G5" s="14">
        <f t="shared" ref="G5:G15" si="4">D5^4</f>
        <v>5.0511083847348901E-4</v>
      </c>
    </row>
    <row r="6" spans="1:7">
      <c r="A6" s="9">
        <v>3</v>
      </c>
      <c r="B6" s="22">
        <v>100.36544597384038</v>
      </c>
      <c r="C6" s="11">
        <f t="shared" si="0"/>
        <v>2.0015842187268484</v>
      </c>
      <c r="D6" s="11">
        <f t="shared" si="1"/>
        <v>-8.5296813853386944E-2</v>
      </c>
      <c r="E6" s="12">
        <f t="shared" si="2"/>
        <v>7.2755464535393432E-3</v>
      </c>
      <c r="F6" s="13">
        <f t="shared" si="3"/>
        <v>-6.205809315292149E-4</v>
      </c>
      <c r="G6" s="14">
        <f t="shared" si="4"/>
        <v>5.2933576197608916E-5</v>
      </c>
    </row>
    <row r="7" spans="1:7">
      <c r="A7" s="9">
        <v>4</v>
      </c>
      <c r="B7" s="22">
        <v>114.0609606555265</v>
      </c>
      <c r="C7" s="11">
        <f t="shared" si="0"/>
        <v>2.0571370250225152</v>
      </c>
      <c r="D7" s="11">
        <f t="shared" si="1"/>
        <v>-2.974400755772022E-2</v>
      </c>
      <c r="E7" s="12">
        <f t="shared" si="2"/>
        <v>8.847059855937176E-4</v>
      </c>
      <c r="F7" s="13">
        <f t="shared" si="3"/>
        <v>-2.6314701521859852E-5</v>
      </c>
      <c r="G7" s="14">
        <f t="shared" si="4"/>
        <v>7.8270468094535121E-7</v>
      </c>
    </row>
    <row r="8" spans="1:7">
      <c r="A8" s="9">
        <v>5</v>
      </c>
      <c r="B8" s="22">
        <v>117.56857435480448</v>
      </c>
      <c r="C8" s="11">
        <f t="shared" si="0"/>
        <v>2.0702912519428063</v>
      </c>
      <c r="D8" s="11">
        <f t="shared" si="1"/>
        <v>-1.6589780637429108E-2</v>
      </c>
      <c r="E8" s="12">
        <f t="shared" si="2"/>
        <v>2.7522082159801771E-4</v>
      </c>
      <c r="F8" s="13">
        <f t="shared" si="3"/>
        <v>-4.5658530571641254E-6</v>
      </c>
      <c r="G8" s="14">
        <f t="shared" si="4"/>
        <v>7.5746500641087894E-8</v>
      </c>
    </row>
    <row r="9" spans="1:7">
      <c r="A9" s="9">
        <v>6</v>
      </c>
      <c r="B9" s="21">
        <v>118.20318976212775</v>
      </c>
      <c r="C9" s="11">
        <f t="shared" si="0"/>
        <v>2.0726291963201868</v>
      </c>
      <c r="D9" s="11">
        <f t="shared" si="1"/>
        <v>-1.4251836260048556E-2</v>
      </c>
      <c r="E9" s="12">
        <f t="shared" si="2"/>
        <v>2.0311483678323481E-4</v>
      </c>
      <c r="F9" s="13">
        <f t="shared" si="3"/>
        <v>-2.8947593958211502E-6</v>
      </c>
      <c r="G9" s="14">
        <f t="shared" si="4"/>
        <v>4.1255636921480114E-8</v>
      </c>
    </row>
    <row r="10" spans="1:7">
      <c r="A10" s="9">
        <v>7</v>
      </c>
      <c r="B10" s="21">
        <v>118.21574351317959</v>
      </c>
      <c r="C10" s="11">
        <f t="shared" si="0"/>
        <v>2.0726753180477369</v>
      </c>
      <c r="D10" s="11">
        <f t="shared" si="1"/>
        <v>-1.4205714532498526E-2</v>
      </c>
      <c r="E10" s="12">
        <f t="shared" si="2"/>
        <v>2.0180232537883981E-4</v>
      </c>
      <c r="F10" s="13">
        <f t="shared" si="3"/>
        <v>-2.8667462263261807E-6</v>
      </c>
      <c r="G10" s="14">
        <f t="shared" si="4"/>
        <v>4.0724178528307133E-8</v>
      </c>
    </row>
    <row r="11" spans="1:7">
      <c r="A11" s="9">
        <v>8</v>
      </c>
      <c r="B11" s="22">
        <v>131.31729080550062</v>
      </c>
      <c r="C11" s="11">
        <f t="shared" si="0"/>
        <v>2.1183219142617005</v>
      </c>
      <c r="D11" s="11">
        <f t="shared" si="1"/>
        <v>3.1440881681465083E-2</v>
      </c>
      <c r="E11" s="12">
        <f t="shared" si="2"/>
        <v>9.885290409078866E-4</v>
      </c>
      <c r="F11" s="13">
        <f t="shared" si="3"/>
        <v>3.1080224613877018E-5</v>
      </c>
      <c r="G11" s="14">
        <f t="shared" si="4"/>
        <v>9.7718966471826607E-7</v>
      </c>
    </row>
    <row r="12" spans="1:7">
      <c r="A12" s="9">
        <v>9</v>
      </c>
      <c r="B12" s="21">
        <v>149.05844493613191</v>
      </c>
      <c r="C12" s="11">
        <f t="shared" si="0"/>
        <v>2.1733565861067654</v>
      </c>
      <c r="D12" s="11">
        <f t="shared" si="1"/>
        <v>8.6475553526530025E-2</v>
      </c>
      <c r="E12" s="12">
        <f t="shared" si="2"/>
        <v>7.4780213577197597E-3</v>
      </c>
      <c r="F12" s="13">
        <f t="shared" si="3"/>
        <v>6.4666603619202979E-4</v>
      </c>
      <c r="G12" s="14">
        <f t="shared" si="4"/>
        <v>5.592080342651288E-5</v>
      </c>
    </row>
    <row r="13" spans="1:7">
      <c r="A13" s="9">
        <v>10</v>
      </c>
      <c r="B13" s="22">
        <v>150.63977718938034</v>
      </c>
      <c r="C13" s="11">
        <f t="shared" si="0"/>
        <v>2.1779396646460607</v>
      </c>
      <c r="D13" s="11">
        <f t="shared" si="1"/>
        <v>9.1058632065825318E-2</v>
      </c>
      <c r="E13" s="12">
        <f t="shared" si="2"/>
        <v>8.2916744736993512E-3</v>
      </c>
      <c r="F13" s="13">
        <f t="shared" si="3"/>
        <v>7.5502853511018504E-4</v>
      </c>
      <c r="G13" s="14">
        <f t="shared" si="4"/>
        <v>6.8751865577797419E-5</v>
      </c>
    </row>
    <row r="14" spans="1:7">
      <c r="A14" s="9">
        <v>11</v>
      </c>
      <c r="B14" s="22">
        <v>163.06080409687721</v>
      </c>
      <c r="C14" s="11">
        <f t="shared" si="0"/>
        <v>2.2123495796167107</v>
      </c>
      <c r="D14" s="11">
        <f t="shared" si="1"/>
        <v>0.12546854703647536</v>
      </c>
      <c r="E14" s="12">
        <f t="shared" si="2"/>
        <v>1.5742356295444231E-2</v>
      </c>
      <c r="F14" s="13">
        <f t="shared" si="3"/>
        <v>1.9751705713198986E-3</v>
      </c>
      <c r="G14" s="14">
        <f t="shared" si="4"/>
        <v>2.4782178173271259E-4</v>
      </c>
    </row>
    <row r="15" spans="1:7">
      <c r="A15" s="9">
        <v>12</v>
      </c>
      <c r="B15" s="22">
        <v>165.3045667033787</v>
      </c>
      <c r="C15" s="11">
        <f t="shared" si="0"/>
        <v>2.2182848515550071</v>
      </c>
      <c r="D15" s="11">
        <f t="shared" si="1"/>
        <v>0.13140381897477171</v>
      </c>
      <c r="E15" s="12">
        <f t="shared" si="2"/>
        <v>1.7266963641154574E-2</v>
      </c>
      <c r="F15" s="13">
        <f t="shared" si="3"/>
        <v>2.2689449645462408E-3</v>
      </c>
      <c r="G15" s="14">
        <f t="shared" si="4"/>
        <v>2.9814803338495401E-4</v>
      </c>
    </row>
    <row r="16" spans="1:7">
      <c r="A16" s="9"/>
      <c r="B16" s="22"/>
      <c r="C16" s="11"/>
      <c r="D16" s="11"/>
      <c r="E16" s="12"/>
      <c r="F16" s="13"/>
      <c r="G16" s="14"/>
    </row>
    <row r="17" spans="1:7">
      <c r="A17" s="9"/>
      <c r="B17" s="22"/>
      <c r="C17" s="11"/>
      <c r="D17" s="11"/>
      <c r="E17" s="12"/>
      <c r="F17" s="13"/>
      <c r="G17" s="14"/>
    </row>
    <row r="18" spans="1:7">
      <c r="A18" s="9"/>
      <c r="B18" s="22"/>
      <c r="C18" s="11"/>
      <c r="D18" s="11"/>
      <c r="E18" s="12"/>
      <c r="F18" s="13"/>
      <c r="G18" s="14"/>
    </row>
    <row r="19" spans="1:7">
      <c r="A19" s="9"/>
      <c r="B19" s="21"/>
      <c r="C19" s="11"/>
      <c r="D19" s="11"/>
      <c r="E19" s="12"/>
      <c r="F19" s="13"/>
      <c r="G19" s="14"/>
    </row>
    <row r="20" spans="1:7">
      <c r="A20" s="9"/>
      <c r="B20" s="21"/>
      <c r="C20" s="11"/>
      <c r="D20" s="11"/>
      <c r="E20" s="12"/>
      <c r="F20" s="13"/>
      <c r="G20" s="14"/>
    </row>
    <row r="21" spans="1:7">
      <c r="A21" s="9"/>
      <c r="B21" s="21"/>
      <c r="C21" s="11"/>
      <c r="D21" s="11"/>
      <c r="E21" s="12"/>
      <c r="F21" s="13"/>
      <c r="G21" s="14"/>
    </row>
    <row r="22" spans="1:7">
      <c r="A22" s="9"/>
      <c r="B22" s="22"/>
      <c r="C22" s="11"/>
      <c r="D22" s="11"/>
      <c r="E22" s="12"/>
      <c r="F22" s="13"/>
      <c r="G22" s="14"/>
    </row>
    <row r="23" spans="1:7">
      <c r="A23" s="9"/>
      <c r="B23" s="21"/>
      <c r="C23" s="11"/>
      <c r="D23" s="11"/>
      <c r="E23" s="12"/>
      <c r="F23" s="13"/>
      <c r="G23" s="14"/>
    </row>
    <row r="24" spans="1:7">
      <c r="A24" s="9"/>
      <c r="B24" s="10"/>
      <c r="C24" s="11"/>
      <c r="D24" s="11"/>
      <c r="E24" s="12"/>
      <c r="F24" s="13"/>
      <c r="G24" s="14"/>
    </row>
    <row r="25" spans="1:7">
      <c r="A25" s="33" t="s">
        <v>26</v>
      </c>
      <c r="B25" s="11">
        <f>SUM(B4:B23)</f>
        <v>1499.6020545550612</v>
      </c>
      <c r="C25" s="11">
        <f>SUM(C4:C23)</f>
        <v>25.042572390962825</v>
      </c>
      <c r="D25" s="11">
        <f>SUM(D4:D15)</f>
        <v>-6.6613381477509392E-16</v>
      </c>
      <c r="E25" s="11">
        <f>SUM(E4:E15)</f>
        <v>0.10536987572538936</v>
      </c>
      <c r="F25" s="11">
        <f>SUM(F4:F15)</f>
        <v>-2.134654010490622E-3</v>
      </c>
      <c r="G25" s="11">
        <f>SUM(G4:G15)</f>
        <v>1.8204759768384311E-3</v>
      </c>
    </row>
    <row r="27" spans="1:7">
      <c r="A27" t="s">
        <v>27</v>
      </c>
      <c r="B27" s="34" t="s">
        <v>28</v>
      </c>
      <c r="C27" s="15">
        <f>AVERAGE(B4:B15)</f>
        <v>124.96683787958843</v>
      </c>
    </row>
    <row r="28" spans="1:7">
      <c r="A28" t="s">
        <v>29</v>
      </c>
      <c r="B28" s="34" t="s">
        <v>28</v>
      </c>
      <c r="C28" s="15">
        <f>AVERAGE(C4:C15)</f>
        <v>2.0868810325802354</v>
      </c>
    </row>
    <row r="29" spans="1:7">
      <c r="A29" t="s">
        <v>30</v>
      </c>
      <c r="B29" s="34" t="s">
        <v>28</v>
      </c>
      <c r="C29">
        <f>STDEV(C4:C15)</f>
        <v>9.7872772574393904E-2</v>
      </c>
    </row>
    <row r="30" spans="1:7">
      <c r="A30" t="s">
        <v>31</v>
      </c>
      <c r="B30" s="34" t="s">
        <v>28</v>
      </c>
      <c r="C30">
        <f>C29/C28</f>
        <v>4.6899066619712035E-2</v>
      </c>
    </row>
    <row r="31" spans="1:7">
      <c r="A31" t="s">
        <v>32</v>
      </c>
      <c r="B31" s="34" t="s">
        <v>28</v>
      </c>
      <c r="C31">
        <f>SKEW(C4:C15)</f>
        <v>-0.24838786841051488</v>
      </c>
    </row>
    <row r="32" spans="1:7">
      <c r="A32" t="s">
        <v>33</v>
      </c>
      <c r="B32" s="34" t="s">
        <v>28</v>
      </c>
      <c r="C32">
        <f>((A15^2)/((A15-1)*(A15-2)*(A15-3)*(C29^4)))*G25</f>
        <v>2.8857897363223857</v>
      </c>
    </row>
    <row r="44" spans="2:3">
      <c r="B44" s="8" t="s">
        <v>34</v>
      </c>
      <c r="C44">
        <f>(C30^3) + (3*C30)</f>
        <v>0.14080035540904082</v>
      </c>
    </row>
    <row r="45" spans="2:3">
      <c r="B45" s="8" t="s">
        <v>35</v>
      </c>
      <c r="C45">
        <f>(C30^8)+(6*(C30^6))+(15*(C30^4))+(16*(C30^2))+3</f>
        <v>3.0352649915517209</v>
      </c>
    </row>
  </sheetData>
  <mergeCells count="1">
    <mergeCell ref="A2:G2"/>
  </mergeCells>
  <pageMargins left="0.7" right="0.7" top="0.75" bottom="0.75" header="0.3" footer="0.3"/>
  <pageSetup paperSize="9" scale="90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U50"/>
  <sheetViews>
    <sheetView view="pageBreakPreview" topLeftCell="A6" zoomScale="90" zoomScaleNormal="62" zoomScaleSheetLayoutView="90" workbookViewId="0">
      <selection activeCell="K25" sqref="K25"/>
    </sheetView>
  </sheetViews>
  <sheetFormatPr defaultRowHeight="13.5"/>
  <cols>
    <col min="1" max="1" width="0.140625" style="24" customWidth="1"/>
    <col min="2" max="5" width="9.42578125" style="24" customWidth="1"/>
    <col min="6" max="6" width="9.7109375" style="24" customWidth="1"/>
    <col min="7" max="7" width="9.42578125" style="24" customWidth="1"/>
    <col min="8" max="8" width="9.42578125" style="60" customWidth="1"/>
    <col min="9" max="9" width="9.42578125" style="24" customWidth="1"/>
    <col min="10" max="15" width="9.42578125" style="60" customWidth="1"/>
    <col min="16" max="17" width="9.42578125" style="24" customWidth="1"/>
    <col min="18" max="18" width="1.140625" style="24" customWidth="1"/>
    <col min="19" max="256" width="9.140625" style="24"/>
    <col min="257" max="257" width="0.140625" style="24" customWidth="1"/>
    <col min="258" max="273" width="9.42578125" style="24" customWidth="1"/>
    <col min="274" max="274" width="1.140625" style="24" customWidth="1"/>
    <col min="275" max="512" width="9.140625" style="24"/>
    <col min="513" max="513" width="0.140625" style="24" customWidth="1"/>
    <col min="514" max="529" width="9.42578125" style="24" customWidth="1"/>
    <col min="530" max="530" width="1.140625" style="24" customWidth="1"/>
    <col min="531" max="768" width="9.140625" style="24"/>
    <col min="769" max="769" width="0.140625" style="24" customWidth="1"/>
    <col min="770" max="785" width="9.42578125" style="24" customWidth="1"/>
    <col min="786" max="786" width="1.140625" style="24" customWidth="1"/>
    <col min="787" max="1024" width="9.140625" style="24"/>
    <col min="1025" max="1025" width="0.140625" style="24" customWidth="1"/>
    <col min="1026" max="1041" width="9.42578125" style="24" customWidth="1"/>
    <col min="1042" max="1042" width="1.140625" style="24" customWidth="1"/>
    <col min="1043" max="1280" width="9.140625" style="24"/>
    <col min="1281" max="1281" width="0.140625" style="24" customWidth="1"/>
    <col min="1282" max="1297" width="9.42578125" style="24" customWidth="1"/>
    <col min="1298" max="1298" width="1.140625" style="24" customWidth="1"/>
    <col min="1299" max="1536" width="9.140625" style="24"/>
    <col min="1537" max="1537" width="0.140625" style="24" customWidth="1"/>
    <col min="1538" max="1553" width="9.42578125" style="24" customWidth="1"/>
    <col min="1554" max="1554" width="1.140625" style="24" customWidth="1"/>
    <col min="1555" max="1792" width="9.140625" style="24"/>
    <col min="1793" max="1793" width="0.140625" style="24" customWidth="1"/>
    <col min="1794" max="1809" width="9.42578125" style="24" customWidth="1"/>
    <col min="1810" max="1810" width="1.140625" style="24" customWidth="1"/>
    <col min="1811" max="2048" width="9.140625" style="24"/>
    <col min="2049" max="2049" width="0.140625" style="24" customWidth="1"/>
    <col min="2050" max="2065" width="9.42578125" style="24" customWidth="1"/>
    <col min="2066" max="2066" width="1.140625" style="24" customWidth="1"/>
    <col min="2067" max="2304" width="9.140625" style="24"/>
    <col min="2305" max="2305" width="0.140625" style="24" customWidth="1"/>
    <col min="2306" max="2321" width="9.42578125" style="24" customWidth="1"/>
    <col min="2322" max="2322" width="1.140625" style="24" customWidth="1"/>
    <col min="2323" max="2560" width="9.140625" style="24"/>
    <col min="2561" max="2561" width="0.140625" style="24" customWidth="1"/>
    <col min="2562" max="2577" width="9.42578125" style="24" customWidth="1"/>
    <col min="2578" max="2578" width="1.140625" style="24" customWidth="1"/>
    <col min="2579" max="2816" width="9.140625" style="24"/>
    <col min="2817" max="2817" width="0.140625" style="24" customWidth="1"/>
    <col min="2818" max="2833" width="9.42578125" style="24" customWidth="1"/>
    <col min="2834" max="2834" width="1.140625" style="24" customWidth="1"/>
    <col min="2835" max="3072" width="9.140625" style="24"/>
    <col min="3073" max="3073" width="0.140625" style="24" customWidth="1"/>
    <col min="3074" max="3089" width="9.42578125" style="24" customWidth="1"/>
    <col min="3090" max="3090" width="1.140625" style="24" customWidth="1"/>
    <col min="3091" max="3328" width="9.140625" style="24"/>
    <col min="3329" max="3329" width="0.140625" style="24" customWidth="1"/>
    <col min="3330" max="3345" width="9.42578125" style="24" customWidth="1"/>
    <col min="3346" max="3346" width="1.140625" style="24" customWidth="1"/>
    <col min="3347" max="3584" width="9.140625" style="24"/>
    <col min="3585" max="3585" width="0.140625" style="24" customWidth="1"/>
    <col min="3586" max="3601" width="9.42578125" style="24" customWidth="1"/>
    <col min="3602" max="3602" width="1.140625" style="24" customWidth="1"/>
    <col min="3603" max="3840" width="9.140625" style="24"/>
    <col min="3841" max="3841" width="0.140625" style="24" customWidth="1"/>
    <col min="3842" max="3857" width="9.42578125" style="24" customWidth="1"/>
    <col min="3858" max="3858" width="1.140625" style="24" customWidth="1"/>
    <col min="3859" max="4096" width="9.140625" style="24"/>
    <col min="4097" max="4097" width="0.140625" style="24" customWidth="1"/>
    <col min="4098" max="4113" width="9.42578125" style="24" customWidth="1"/>
    <col min="4114" max="4114" width="1.140625" style="24" customWidth="1"/>
    <col min="4115" max="4352" width="9.140625" style="24"/>
    <col min="4353" max="4353" width="0.140625" style="24" customWidth="1"/>
    <col min="4354" max="4369" width="9.42578125" style="24" customWidth="1"/>
    <col min="4370" max="4370" width="1.140625" style="24" customWidth="1"/>
    <col min="4371" max="4608" width="9.140625" style="24"/>
    <col min="4609" max="4609" width="0.140625" style="24" customWidth="1"/>
    <col min="4610" max="4625" width="9.42578125" style="24" customWidth="1"/>
    <col min="4626" max="4626" width="1.140625" style="24" customWidth="1"/>
    <col min="4627" max="4864" width="9.140625" style="24"/>
    <col min="4865" max="4865" width="0.140625" style="24" customWidth="1"/>
    <col min="4866" max="4881" width="9.42578125" style="24" customWidth="1"/>
    <col min="4882" max="4882" width="1.140625" style="24" customWidth="1"/>
    <col min="4883" max="5120" width="9.140625" style="24"/>
    <col min="5121" max="5121" width="0.140625" style="24" customWidth="1"/>
    <col min="5122" max="5137" width="9.42578125" style="24" customWidth="1"/>
    <col min="5138" max="5138" width="1.140625" style="24" customWidth="1"/>
    <col min="5139" max="5376" width="9.140625" style="24"/>
    <col min="5377" max="5377" width="0.140625" style="24" customWidth="1"/>
    <col min="5378" max="5393" width="9.42578125" style="24" customWidth="1"/>
    <col min="5394" max="5394" width="1.140625" style="24" customWidth="1"/>
    <col min="5395" max="5632" width="9.140625" style="24"/>
    <col min="5633" max="5633" width="0.140625" style="24" customWidth="1"/>
    <col min="5634" max="5649" width="9.42578125" style="24" customWidth="1"/>
    <col min="5650" max="5650" width="1.140625" style="24" customWidth="1"/>
    <col min="5651" max="5888" width="9.140625" style="24"/>
    <col min="5889" max="5889" width="0.140625" style="24" customWidth="1"/>
    <col min="5890" max="5905" width="9.42578125" style="24" customWidth="1"/>
    <col min="5906" max="5906" width="1.140625" style="24" customWidth="1"/>
    <col min="5907" max="6144" width="9.140625" style="24"/>
    <col min="6145" max="6145" width="0.140625" style="24" customWidth="1"/>
    <col min="6146" max="6161" width="9.42578125" style="24" customWidth="1"/>
    <col min="6162" max="6162" width="1.140625" style="24" customWidth="1"/>
    <col min="6163" max="6400" width="9.140625" style="24"/>
    <col min="6401" max="6401" width="0.140625" style="24" customWidth="1"/>
    <col min="6402" max="6417" width="9.42578125" style="24" customWidth="1"/>
    <col min="6418" max="6418" width="1.140625" style="24" customWidth="1"/>
    <col min="6419" max="6656" width="9.140625" style="24"/>
    <col min="6657" max="6657" width="0.140625" style="24" customWidth="1"/>
    <col min="6658" max="6673" width="9.42578125" style="24" customWidth="1"/>
    <col min="6674" max="6674" width="1.140625" style="24" customWidth="1"/>
    <col min="6675" max="6912" width="9.140625" style="24"/>
    <col min="6913" max="6913" width="0.140625" style="24" customWidth="1"/>
    <col min="6914" max="6929" width="9.42578125" style="24" customWidth="1"/>
    <col min="6930" max="6930" width="1.140625" style="24" customWidth="1"/>
    <col min="6931" max="7168" width="9.140625" style="24"/>
    <col min="7169" max="7169" width="0.140625" style="24" customWidth="1"/>
    <col min="7170" max="7185" width="9.42578125" style="24" customWidth="1"/>
    <col min="7186" max="7186" width="1.140625" style="24" customWidth="1"/>
    <col min="7187" max="7424" width="9.140625" style="24"/>
    <col min="7425" max="7425" width="0.140625" style="24" customWidth="1"/>
    <col min="7426" max="7441" width="9.42578125" style="24" customWidth="1"/>
    <col min="7442" max="7442" width="1.140625" style="24" customWidth="1"/>
    <col min="7443" max="7680" width="9.140625" style="24"/>
    <col min="7681" max="7681" width="0.140625" style="24" customWidth="1"/>
    <col min="7682" max="7697" width="9.42578125" style="24" customWidth="1"/>
    <col min="7698" max="7698" width="1.140625" style="24" customWidth="1"/>
    <col min="7699" max="7936" width="9.140625" style="24"/>
    <col min="7937" max="7937" width="0.140625" style="24" customWidth="1"/>
    <col min="7938" max="7953" width="9.42578125" style="24" customWidth="1"/>
    <col min="7954" max="7954" width="1.140625" style="24" customWidth="1"/>
    <col min="7955" max="8192" width="9.140625" style="24"/>
    <col min="8193" max="8193" width="0.140625" style="24" customWidth="1"/>
    <col min="8194" max="8209" width="9.42578125" style="24" customWidth="1"/>
    <col min="8210" max="8210" width="1.140625" style="24" customWidth="1"/>
    <col min="8211" max="8448" width="9.140625" style="24"/>
    <col min="8449" max="8449" width="0.140625" style="24" customWidth="1"/>
    <col min="8450" max="8465" width="9.42578125" style="24" customWidth="1"/>
    <col min="8466" max="8466" width="1.140625" style="24" customWidth="1"/>
    <col min="8467" max="8704" width="9.140625" style="24"/>
    <col min="8705" max="8705" width="0.140625" style="24" customWidth="1"/>
    <col min="8706" max="8721" width="9.42578125" style="24" customWidth="1"/>
    <col min="8722" max="8722" width="1.140625" style="24" customWidth="1"/>
    <col min="8723" max="8960" width="9.140625" style="24"/>
    <col min="8961" max="8961" width="0.140625" style="24" customWidth="1"/>
    <col min="8962" max="8977" width="9.42578125" style="24" customWidth="1"/>
    <col min="8978" max="8978" width="1.140625" style="24" customWidth="1"/>
    <col min="8979" max="9216" width="9.140625" style="24"/>
    <col min="9217" max="9217" width="0.140625" style="24" customWidth="1"/>
    <col min="9218" max="9233" width="9.42578125" style="24" customWidth="1"/>
    <col min="9234" max="9234" width="1.140625" style="24" customWidth="1"/>
    <col min="9235" max="9472" width="9.140625" style="24"/>
    <col min="9473" max="9473" width="0.140625" style="24" customWidth="1"/>
    <col min="9474" max="9489" width="9.42578125" style="24" customWidth="1"/>
    <col min="9490" max="9490" width="1.140625" style="24" customWidth="1"/>
    <col min="9491" max="9728" width="9.140625" style="24"/>
    <col min="9729" max="9729" width="0.140625" style="24" customWidth="1"/>
    <col min="9730" max="9745" width="9.42578125" style="24" customWidth="1"/>
    <col min="9746" max="9746" width="1.140625" style="24" customWidth="1"/>
    <col min="9747" max="9984" width="9.140625" style="24"/>
    <col min="9985" max="9985" width="0.140625" style="24" customWidth="1"/>
    <col min="9986" max="10001" width="9.42578125" style="24" customWidth="1"/>
    <col min="10002" max="10002" width="1.140625" style="24" customWidth="1"/>
    <col min="10003" max="10240" width="9.140625" style="24"/>
    <col min="10241" max="10241" width="0.140625" style="24" customWidth="1"/>
    <col min="10242" max="10257" width="9.42578125" style="24" customWidth="1"/>
    <col min="10258" max="10258" width="1.140625" style="24" customWidth="1"/>
    <col min="10259" max="10496" width="9.140625" style="24"/>
    <col min="10497" max="10497" width="0.140625" style="24" customWidth="1"/>
    <col min="10498" max="10513" width="9.42578125" style="24" customWidth="1"/>
    <col min="10514" max="10514" width="1.140625" style="24" customWidth="1"/>
    <col min="10515" max="10752" width="9.140625" style="24"/>
    <col min="10753" max="10753" width="0.140625" style="24" customWidth="1"/>
    <col min="10754" max="10769" width="9.42578125" style="24" customWidth="1"/>
    <col min="10770" max="10770" width="1.140625" style="24" customWidth="1"/>
    <col min="10771" max="11008" width="9.140625" style="24"/>
    <col min="11009" max="11009" width="0.140625" style="24" customWidth="1"/>
    <col min="11010" max="11025" width="9.42578125" style="24" customWidth="1"/>
    <col min="11026" max="11026" width="1.140625" style="24" customWidth="1"/>
    <col min="11027" max="11264" width="9.140625" style="24"/>
    <col min="11265" max="11265" width="0.140625" style="24" customWidth="1"/>
    <col min="11266" max="11281" width="9.42578125" style="24" customWidth="1"/>
    <col min="11282" max="11282" width="1.140625" style="24" customWidth="1"/>
    <col min="11283" max="11520" width="9.140625" style="24"/>
    <col min="11521" max="11521" width="0.140625" style="24" customWidth="1"/>
    <col min="11522" max="11537" width="9.42578125" style="24" customWidth="1"/>
    <col min="11538" max="11538" width="1.140625" style="24" customWidth="1"/>
    <col min="11539" max="11776" width="9.140625" style="24"/>
    <col min="11777" max="11777" width="0.140625" style="24" customWidth="1"/>
    <col min="11778" max="11793" width="9.42578125" style="24" customWidth="1"/>
    <col min="11794" max="11794" width="1.140625" style="24" customWidth="1"/>
    <col min="11795" max="12032" width="9.140625" style="24"/>
    <col min="12033" max="12033" width="0.140625" style="24" customWidth="1"/>
    <col min="12034" max="12049" width="9.42578125" style="24" customWidth="1"/>
    <col min="12050" max="12050" width="1.140625" style="24" customWidth="1"/>
    <col min="12051" max="12288" width="9.140625" style="24"/>
    <col min="12289" max="12289" width="0.140625" style="24" customWidth="1"/>
    <col min="12290" max="12305" width="9.42578125" style="24" customWidth="1"/>
    <col min="12306" max="12306" width="1.140625" style="24" customWidth="1"/>
    <col min="12307" max="12544" width="9.140625" style="24"/>
    <col min="12545" max="12545" width="0.140625" style="24" customWidth="1"/>
    <col min="12546" max="12561" width="9.42578125" style="24" customWidth="1"/>
    <col min="12562" max="12562" width="1.140625" style="24" customWidth="1"/>
    <col min="12563" max="12800" width="9.140625" style="24"/>
    <col min="12801" max="12801" width="0.140625" style="24" customWidth="1"/>
    <col min="12802" max="12817" width="9.42578125" style="24" customWidth="1"/>
    <col min="12818" max="12818" width="1.140625" style="24" customWidth="1"/>
    <col min="12819" max="13056" width="9.140625" style="24"/>
    <col min="13057" max="13057" width="0.140625" style="24" customWidth="1"/>
    <col min="13058" max="13073" width="9.42578125" style="24" customWidth="1"/>
    <col min="13074" max="13074" width="1.140625" style="24" customWidth="1"/>
    <col min="13075" max="13312" width="9.140625" style="24"/>
    <col min="13313" max="13313" width="0.140625" style="24" customWidth="1"/>
    <col min="13314" max="13329" width="9.42578125" style="24" customWidth="1"/>
    <col min="13330" max="13330" width="1.140625" style="24" customWidth="1"/>
    <col min="13331" max="13568" width="9.140625" style="24"/>
    <col min="13569" max="13569" width="0.140625" style="24" customWidth="1"/>
    <col min="13570" max="13585" width="9.42578125" style="24" customWidth="1"/>
    <col min="13586" max="13586" width="1.140625" style="24" customWidth="1"/>
    <col min="13587" max="13824" width="9.140625" style="24"/>
    <col min="13825" max="13825" width="0.140625" style="24" customWidth="1"/>
    <col min="13826" max="13841" width="9.42578125" style="24" customWidth="1"/>
    <col min="13842" max="13842" width="1.140625" style="24" customWidth="1"/>
    <col min="13843" max="14080" width="9.140625" style="24"/>
    <col min="14081" max="14081" width="0.140625" style="24" customWidth="1"/>
    <col min="14082" max="14097" width="9.42578125" style="24" customWidth="1"/>
    <col min="14098" max="14098" width="1.140625" style="24" customWidth="1"/>
    <col min="14099" max="14336" width="9.140625" style="24"/>
    <col min="14337" max="14337" width="0.140625" style="24" customWidth="1"/>
    <col min="14338" max="14353" width="9.42578125" style="24" customWidth="1"/>
    <col min="14354" max="14354" width="1.140625" style="24" customWidth="1"/>
    <col min="14355" max="14592" width="9.140625" style="24"/>
    <col min="14593" max="14593" width="0.140625" style="24" customWidth="1"/>
    <col min="14594" max="14609" width="9.42578125" style="24" customWidth="1"/>
    <col min="14610" max="14610" width="1.140625" style="24" customWidth="1"/>
    <col min="14611" max="14848" width="9.140625" style="24"/>
    <col min="14849" max="14849" width="0.140625" style="24" customWidth="1"/>
    <col min="14850" max="14865" width="9.42578125" style="24" customWidth="1"/>
    <col min="14866" max="14866" width="1.140625" style="24" customWidth="1"/>
    <col min="14867" max="15104" width="9.140625" style="24"/>
    <col min="15105" max="15105" width="0.140625" style="24" customWidth="1"/>
    <col min="15106" max="15121" width="9.42578125" style="24" customWidth="1"/>
    <col min="15122" max="15122" width="1.140625" style="24" customWidth="1"/>
    <col min="15123" max="15360" width="9.140625" style="24"/>
    <col min="15361" max="15361" width="0.140625" style="24" customWidth="1"/>
    <col min="15362" max="15377" width="9.42578125" style="24" customWidth="1"/>
    <col min="15378" max="15378" width="1.140625" style="24" customWidth="1"/>
    <col min="15379" max="15616" width="9.140625" style="24"/>
    <col min="15617" max="15617" width="0.140625" style="24" customWidth="1"/>
    <col min="15618" max="15633" width="9.42578125" style="24" customWidth="1"/>
    <col min="15634" max="15634" width="1.140625" style="24" customWidth="1"/>
    <col min="15635" max="15872" width="9.140625" style="24"/>
    <col min="15873" max="15873" width="0.140625" style="24" customWidth="1"/>
    <col min="15874" max="15889" width="9.42578125" style="24" customWidth="1"/>
    <col min="15890" max="15890" width="1.140625" style="24" customWidth="1"/>
    <col min="15891" max="16128" width="9.140625" style="24"/>
    <col min="16129" max="16129" width="0.140625" style="24" customWidth="1"/>
    <col min="16130" max="16145" width="9.42578125" style="24" customWidth="1"/>
    <col min="16146" max="16146" width="1.140625" style="24" customWidth="1"/>
    <col min="16147" max="16384" width="9.140625" style="24"/>
  </cols>
  <sheetData>
    <row r="2" spans="2:21" ht="15.75">
      <c r="B2" s="141" t="s">
        <v>36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82"/>
    </row>
    <row r="3" spans="2:21" ht="14.25" thickBot="1">
      <c r="B3" s="25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2"/>
      <c r="P3" s="82"/>
      <c r="Q3" s="82"/>
    </row>
    <row r="4" spans="2:21" ht="16.5" thickBot="1">
      <c r="B4" s="142" t="s">
        <v>37</v>
      </c>
      <c r="C4" s="144" t="s">
        <v>38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5"/>
      <c r="S4" s="23"/>
      <c r="T4" s="23"/>
      <c r="U4" s="23"/>
    </row>
    <row r="5" spans="2:21" ht="16.5" thickBot="1">
      <c r="B5" s="143"/>
      <c r="C5" s="83">
        <v>1.0101010101010102</v>
      </c>
      <c r="D5" s="83">
        <v>1.0526315789473684</v>
      </c>
      <c r="E5" s="83">
        <v>1.1111111111111112</v>
      </c>
      <c r="F5" s="84">
        <v>1.25</v>
      </c>
      <c r="G5" s="85">
        <v>1.6666666666666667</v>
      </c>
      <c r="H5" s="84">
        <v>2</v>
      </c>
      <c r="I5" s="84">
        <v>2.5</v>
      </c>
      <c r="J5" s="84">
        <v>5</v>
      </c>
      <c r="K5" s="84">
        <v>10</v>
      </c>
      <c r="L5" s="84">
        <v>20</v>
      </c>
      <c r="M5" s="84">
        <v>25</v>
      </c>
      <c r="N5" s="84">
        <v>50</v>
      </c>
      <c r="O5" s="84">
        <v>100</v>
      </c>
      <c r="P5" s="84">
        <v>200</v>
      </c>
      <c r="Q5" s="86">
        <v>1000</v>
      </c>
    </row>
    <row r="6" spans="2:21" ht="16.5" thickBot="1">
      <c r="B6" s="142" t="s">
        <v>32</v>
      </c>
      <c r="C6" s="144" t="s">
        <v>39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5"/>
    </row>
    <row r="7" spans="2:21" ht="16.5" thickBot="1">
      <c r="B7" s="143"/>
      <c r="C7" s="87">
        <v>99</v>
      </c>
      <c r="D7" s="87">
        <v>95</v>
      </c>
      <c r="E7" s="87">
        <v>90</v>
      </c>
      <c r="F7" s="87">
        <v>80</v>
      </c>
      <c r="G7" s="84">
        <v>60</v>
      </c>
      <c r="H7" s="84">
        <v>50</v>
      </c>
      <c r="I7" s="84">
        <v>40</v>
      </c>
      <c r="J7" s="84">
        <v>20</v>
      </c>
      <c r="K7" s="84">
        <v>10</v>
      </c>
      <c r="L7" s="84">
        <v>5</v>
      </c>
      <c r="M7" s="84">
        <v>4</v>
      </c>
      <c r="N7" s="84">
        <v>2</v>
      </c>
      <c r="O7" s="84">
        <v>1</v>
      </c>
      <c r="P7" s="84">
        <v>0.5</v>
      </c>
      <c r="Q7" s="86">
        <v>0.1</v>
      </c>
    </row>
    <row r="8" spans="2:21" ht="15.75">
      <c r="B8" s="27">
        <v>3</v>
      </c>
      <c r="C8" s="88">
        <v>-0.66700000000000004</v>
      </c>
      <c r="D8" s="88">
        <v>-0.66500000000000004</v>
      </c>
      <c r="E8" s="88">
        <v>-0.66</v>
      </c>
      <c r="F8" s="88">
        <v>-0.63600000000000001</v>
      </c>
      <c r="G8" s="89">
        <v>-0.47599999999999992</v>
      </c>
      <c r="H8" s="88">
        <v>-0.39600000000000002</v>
      </c>
      <c r="I8" s="89">
        <v>-0.124</v>
      </c>
      <c r="J8" s="88">
        <v>0.42</v>
      </c>
      <c r="K8" s="88">
        <v>1.18</v>
      </c>
      <c r="L8" s="89">
        <v>2.0950000000000002</v>
      </c>
      <c r="M8" s="88">
        <v>2.278</v>
      </c>
      <c r="N8" s="88">
        <v>3.1520000000000001</v>
      </c>
      <c r="O8" s="88">
        <v>4.0510000000000002</v>
      </c>
      <c r="P8" s="88">
        <v>4.97</v>
      </c>
      <c r="Q8" s="90">
        <v>7.25</v>
      </c>
    </row>
    <row r="9" spans="2:21" ht="15.75">
      <c r="B9" s="28">
        <v>2.5</v>
      </c>
      <c r="C9" s="91">
        <v>-0.79900000000000004</v>
      </c>
      <c r="D9" s="91">
        <v>-0.79</v>
      </c>
      <c r="E9" s="91">
        <v>-0.77100000000000002</v>
      </c>
      <c r="F9" s="91">
        <v>-0.71099999999999997</v>
      </c>
      <c r="G9" s="92">
        <v>-0.47699999999999998</v>
      </c>
      <c r="H9" s="91">
        <v>-0.36</v>
      </c>
      <c r="I9" s="92">
        <v>-6.7333333333333245E-2</v>
      </c>
      <c r="J9" s="91">
        <v>0.51800000000000002</v>
      </c>
      <c r="K9" s="91">
        <v>1.25</v>
      </c>
      <c r="L9" s="92">
        <v>2.0933333333333328</v>
      </c>
      <c r="M9" s="91">
        <v>2.262</v>
      </c>
      <c r="N9" s="91">
        <v>3.048</v>
      </c>
      <c r="O9" s="91">
        <v>3.8450000000000002</v>
      </c>
      <c r="P9" s="91">
        <v>4.6520000000000001</v>
      </c>
      <c r="Q9" s="93">
        <v>6.6</v>
      </c>
    </row>
    <row r="10" spans="2:21" ht="15.75">
      <c r="B10" s="28">
        <v>2.2000000000000002</v>
      </c>
      <c r="C10" s="91">
        <v>-0.90500000000000003</v>
      </c>
      <c r="D10" s="91">
        <v>-0.88200000000000001</v>
      </c>
      <c r="E10" s="91">
        <v>-0.84399999999999997</v>
      </c>
      <c r="F10" s="91">
        <v>-0.752</v>
      </c>
      <c r="G10" s="92">
        <v>-0.47066666666666668</v>
      </c>
      <c r="H10" s="91">
        <v>-0.33</v>
      </c>
      <c r="I10" s="92">
        <v>-2.866666666666684E-2</v>
      </c>
      <c r="J10" s="91">
        <v>0.57399999999999995</v>
      </c>
      <c r="K10" s="91">
        <v>1.284</v>
      </c>
      <c r="L10" s="92">
        <v>2.0806666666666667</v>
      </c>
      <c r="M10" s="91">
        <v>2.2400000000000002</v>
      </c>
      <c r="N10" s="91">
        <v>2.97</v>
      </c>
      <c r="O10" s="91">
        <v>3.7050000000000001</v>
      </c>
      <c r="P10" s="91">
        <v>4.444</v>
      </c>
      <c r="Q10" s="93">
        <v>6.2</v>
      </c>
    </row>
    <row r="11" spans="2:21" ht="15.75">
      <c r="B11" s="28">
        <v>2</v>
      </c>
      <c r="C11" s="91">
        <v>-0.99</v>
      </c>
      <c r="D11" s="91">
        <v>-0.94899999999999995</v>
      </c>
      <c r="E11" s="91">
        <v>-0.89500000000000002</v>
      </c>
      <c r="F11" s="91">
        <v>-0.77700000000000002</v>
      </c>
      <c r="G11" s="92">
        <v>-0.46366666666666667</v>
      </c>
      <c r="H11" s="91">
        <v>-0.307</v>
      </c>
      <c r="I11" s="92">
        <v>-1.6666666666667052E-3</v>
      </c>
      <c r="J11" s="91">
        <v>0.60899999999999999</v>
      </c>
      <c r="K11" s="91">
        <v>1.302</v>
      </c>
      <c r="L11" s="92">
        <v>2.0661666666666667</v>
      </c>
      <c r="M11" s="91">
        <v>2.2189999999999999</v>
      </c>
      <c r="N11" s="91">
        <v>2.9119999999999999</v>
      </c>
      <c r="O11" s="91">
        <v>3.605</v>
      </c>
      <c r="P11" s="91">
        <v>4.298</v>
      </c>
      <c r="Q11" s="93">
        <v>5.91</v>
      </c>
    </row>
    <row r="12" spans="2:21" ht="15.75">
      <c r="B12" s="28">
        <v>1.8</v>
      </c>
      <c r="C12" s="91">
        <v>-1.087</v>
      </c>
      <c r="D12" s="91">
        <v>-1.02</v>
      </c>
      <c r="E12" s="91">
        <v>-0.94499999999999995</v>
      </c>
      <c r="F12" s="91">
        <v>-0.79900000000000004</v>
      </c>
      <c r="G12" s="92">
        <v>-0.45433333333333326</v>
      </c>
      <c r="H12" s="91">
        <v>-0.28199999999999997</v>
      </c>
      <c r="I12" s="92">
        <v>2.633333333333332E-2</v>
      </c>
      <c r="J12" s="91">
        <v>0.64300000000000002</v>
      </c>
      <c r="K12" s="91">
        <v>1.3180000000000001</v>
      </c>
      <c r="L12" s="92">
        <v>2.0471666666666675</v>
      </c>
      <c r="M12" s="91">
        <v>2.1930000000000001</v>
      </c>
      <c r="N12" s="91">
        <v>2.8479999999999999</v>
      </c>
      <c r="O12" s="91">
        <v>3.4990000000000001</v>
      </c>
      <c r="P12" s="91">
        <v>4.1470000000000002</v>
      </c>
      <c r="Q12" s="93">
        <v>5.66</v>
      </c>
    </row>
    <row r="13" spans="2:21" ht="15.75">
      <c r="B13" s="28">
        <v>1.6</v>
      </c>
      <c r="C13" s="91">
        <v>-1.1970000000000001</v>
      </c>
      <c r="D13" s="91">
        <v>-1.093</v>
      </c>
      <c r="E13" s="91">
        <v>-0.99399999999999999</v>
      </c>
      <c r="F13" s="91">
        <v>-0.81699999999999995</v>
      </c>
      <c r="G13" s="92">
        <v>-0.44166666666666654</v>
      </c>
      <c r="H13" s="91">
        <v>-0.254</v>
      </c>
      <c r="I13" s="92">
        <v>5.5666666666666753E-2</v>
      </c>
      <c r="J13" s="91">
        <v>0.67500000000000004</v>
      </c>
      <c r="K13" s="91">
        <v>1.329</v>
      </c>
      <c r="L13" s="92">
        <v>2.024</v>
      </c>
      <c r="M13" s="91">
        <v>2.1629999999999998</v>
      </c>
      <c r="N13" s="91">
        <v>2.78</v>
      </c>
      <c r="O13" s="91">
        <v>3.3879999999999999</v>
      </c>
      <c r="P13" s="91">
        <v>3.99</v>
      </c>
      <c r="Q13" s="93">
        <v>5.39</v>
      </c>
    </row>
    <row r="14" spans="2:21" ht="15.75">
      <c r="B14" s="28">
        <v>1.4</v>
      </c>
      <c r="C14" s="91">
        <v>-1.3180000000000001</v>
      </c>
      <c r="D14" s="91">
        <v>-1.1679999999999999</v>
      </c>
      <c r="E14" s="91">
        <v>-1.0409999999999999</v>
      </c>
      <c r="F14" s="91">
        <v>-0.83199999999999996</v>
      </c>
      <c r="G14" s="92">
        <v>-0.42733333333333334</v>
      </c>
      <c r="H14" s="91">
        <v>-0.22500000000000001</v>
      </c>
      <c r="I14" s="92">
        <v>8.5000000000000006E-2</v>
      </c>
      <c r="J14" s="91">
        <v>0.70499999999999996</v>
      </c>
      <c r="K14" s="91">
        <v>1.337</v>
      </c>
      <c r="L14" s="92">
        <v>1.9961666666666666</v>
      </c>
      <c r="M14" s="91">
        <v>2.1280000000000001</v>
      </c>
      <c r="N14" s="91">
        <v>2.706</v>
      </c>
      <c r="O14" s="91">
        <v>3.2709999999999999</v>
      </c>
      <c r="P14" s="91">
        <v>3.8279999999999998</v>
      </c>
      <c r="Q14" s="93">
        <v>5.1100000000000003</v>
      </c>
    </row>
    <row r="15" spans="2:21" ht="15.75">
      <c r="B15" s="28">
        <v>1.2</v>
      </c>
      <c r="C15" s="91">
        <v>-1.4490000000000001</v>
      </c>
      <c r="D15" s="91">
        <v>-1.2430000000000001</v>
      </c>
      <c r="E15" s="91">
        <v>-1.0860000000000001</v>
      </c>
      <c r="F15" s="91">
        <v>-0.84399999999999997</v>
      </c>
      <c r="G15" s="92">
        <v>-0.41133333333333322</v>
      </c>
      <c r="H15" s="91">
        <v>-0.19500000000000001</v>
      </c>
      <c r="I15" s="92">
        <v>0.11399999999999988</v>
      </c>
      <c r="J15" s="91">
        <v>0.73199999999999998</v>
      </c>
      <c r="K15" s="91">
        <v>1.34</v>
      </c>
      <c r="L15" s="92">
        <v>1.9624999999999999</v>
      </c>
      <c r="M15" s="91">
        <v>2.0870000000000002</v>
      </c>
      <c r="N15" s="91">
        <v>2.6259999999999999</v>
      </c>
      <c r="O15" s="91">
        <v>3.149</v>
      </c>
      <c r="P15" s="91">
        <v>3.661</v>
      </c>
      <c r="Q15" s="93">
        <v>4.82</v>
      </c>
    </row>
    <row r="16" spans="2:21" ht="15.75">
      <c r="B16" s="28">
        <v>1</v>
      </c>
      <c r="C16" s="91">
        <v>-1.5880000000000001</v>
      </c>
      <c r="D16" s="91">
        <v>-1.3169999999999999</v>
      </c>
      <c r="E16" s="91">
        <v>-1.1279999999999999</v>
      </c>
      <c r="F16" s="91">
        <v>-0.85199999999999998</v>
      </c>
      <c r="G16" s="92">
        <v>-0.39333333333333353</v>
      </c>
      <c r="H16" s="91">
        <v>-0.16400000000000001</v>
      </c>
      <c r="I16" s="92">
        <v>0.14333333333333331</v>
      </c>
      <c r="J16" s="91">
        <v>0.75800000000000001</v>
      </c>
      <c r="K16" s="91">
        <v>1.34</v>
      </c>
      <c r="L16" s="92">
        <v>1.9258333333333328</v>
      </c>
      <c r="M16" s="91">
        <v>2.0430000000000001</v>
      </c>
      <c r="N16" s="91">
        <v>2.5419999999999998</v>
      </c>
      <c r="O16" s="91">
        <v>3.0219999999999998</v>
      </c>
      <c r="P16" s="91">
        <v>3.4889999999999999</v>
      </c>
      <c r="Q16" s="93">
        <v>4.54</v>
      </c>
    </row>
    <row r="17" spans="2:19" ht="15.75">
      <c r="B17" s="28">
        <v>0.9</v>
      </c>
      <c r="C17" s="91">
        <v>-1.66</v>
      </c>
      <c r="D17" s="91">
        <v>-1.353</v>
      </c>
      <c r="E17" s="91">
        <v>-1.147</v>
      </c>
      <c r="F17" s="91">
        <v>-0.85399999999999998</v>
      </c>
      <c r="G17" s="92">
        <v>-0.3833333333333333</v>
      </c>
      <c r="H17" s="91">
        <v>-0.14799999999999999</v>
      </c>
      <c r="I17" s="92">
        <v>0.15766666666666662</v>
      </c>
      <c r="J17" s="91">
        <v>0.76900000000000002</v>
      </c>
      <c r="K17" s="91">
        <v>1.339</v>
      </c>
      <c r="L17" s="92">
        <v>1.9048333333333334</v>
      </c>
      <c r="M17" s="91">
        <v>2.0179999999999998</v>
      </c>
      <c r="N17" s="91">
        <v>2.4980000000000002</v>
      </c>
      <c r="O17" s="91">
        <v>2.9569999999999999</v>
      </c>
      <c r="P17" s="91">
        <v>3.4009999999999998</v>
      </c>
      <c r="Q17" s="93">
        <v>4.3949999999999996</v>
      </c>
    </row>
    <row r="18" spans="2:19" ht="15.75">
      <c r="B18" s="28">
        <v>0.8</v>
      </c>
      <c r="C18" s="91">
        <v>-1.7330000000000001</v>
      </c>
      <c r="D18" s="91">
        <v>-1.3879999999999999</v>
      </c>
      <c r="E18" s="91">
        <v>-1.1160000000000001</v>
      </c>
      <c r="F18" s="91">
        <v>-0.85599999999999998</v>
      </c>
      <c r="G18" s="92">
        <v>-0.37333333333333329</v>
      </c>
      <c r="H18" s="91">
        <v>-0.13200000000000001</v>
      </c>
      <c r="I18" s="92">
        <v>0.17200000000000015</v>
      </c>
      <c r="J18" s="91">
        <v>0.78</v>
      </c>
      <c r="K18" s="91">
        <v>1.3360000000000001</v>
      </c>
      <c r="L18" s="92">
        <v>1.887666666666667</v>
      </c>
      <c r="M18" s="91">
        <v>1.998</v>
      </c>
      <c r="N18" s="91">
        <v>2.4529999999999998</v>
      </c>
      <c r="O18" s="91">
        <v>2.891</v>
      </c>
      <c r="P18" s="91">
        <v>3.3119999999999998</v>
      </c>
      <c r="Q18" s="93">
        <v>4.25</v>
      </c>
    </row>
    <row r="19" spans="2:19" ht="15.75">
      <c r="B19" s="28">
        <v>0.7</v>
      </c>
      <c r="C19" s="91">
        <v>-1.806</v>
      </c>
      <c r="D19" s="91">
        <v>-1.423</v>
      </c>
      <c r="E19" s="91">
        <v>-1.1830000000000001</v>
      </c>
      <c r="F19" s="91">
        <v>-0.85699999999999998</v>
      </c>
      <c r="G19" s="92">
        <v>-0.36299999999999999</v>
      </c>
      <c r="H19" s="91">
        <v>-0.11600000000000001</v>
      </c>
      <c r="I19" s="92">
        <v>0.18599999999999994</v>
      </c>
      <c r="J19" s="91">
        <v>0.79</v>
      </c>
      <c r="K19" s="91">
        <v>1.333</v>
      </c>
      <c r="L19" s="92">
        <v>1.8613333333333328</v>
      </c>
      <c r="M19" s="91">
        <v>1.9670000000000001</v>
      </c>
      <c r="N19" s="91">
        <v>2.407</v>
      </c>
      <c r="O19" s="91">
        <v>2.8239999999999998</v>
      </c>
      <c r="P19" s="91">
        <v>3.2229999999999999</v>
      </c>
      <c r="Q19" s="93">
        <v>4.1050000000000004</v>
      </c>
    </row>
    <row r="20" spans="2:19" ht="15.75">
      <c r="B20" s="28">
        <v>0.6</v>
      </c>
      <c r="C20" s="91">
        <v>-1.88</v>
      </c>
      <c r="D20" s="91">
        <v>-1.458</v>
      </c>
      <c r="E20" s="91">
        <v>-1.2</v>
      </c>
      <c r="F20" s="91">
        <v>-0.85699999999999998</v>
      </c>
      <c r="G20" s="92">
        <v>-0.35166666666666657</v>
      </c>
      <c r="H20" s="91">
        <v>-9.9000000000000005E-2</v>
      </c>
      <c r="I20" s="92">
        <v>0.20066666666666655</v>
      </c>
      <c r="J20" s="91">
        <v>0.8</v>
      </c>
      <c r="K20" s="91">
        <v>1.3280000000000001</v>
      </c>
      <c r="L20" s="92">
        <v>1.8371666666666671</v>
      </c>
      <c r="M20" s="91">
        <v>1.9390000000000001</v>
      </c>
      <c r="N20" s="91">
        <v>2.359</v>
      </c>
      <c r="O20" s="91">
        <v>2.7549999999999999</v>
      </c>
      <c r="P20" s="91">
        <v>3.1320000000000001</v>
      </c>
      <c r="Q20" s="93">
        <v>3.96</v>
      </c>
    </row>
    <row r="21" spans="2:19" ht="15.75">
      <c r="B21" s="28">
        <v>0.5</v>
      </c>
      <c r="C21" s="91">
        <v>-1.9550000000000001</v>
      </c>
      <c r="D21" s="91">
        <v>-1.4910000000000001</v>
      </c>
      <c r="E21" s="91">
        <v>-1.216</v>
      </c>
      <c r="F21" s="91">
        <v>-0.85599999999999998</v>
      </c>
      <c r="G21" s="92">
        <v>-0.34066666666666645</v>
      </c>
      <c r="H21" s="91">
        <v>-8.3000000000000004E-2</v>
      </c>
      <c r="I21" s="92">
        <v>0.21399999999999997</v>
      </c>
      <c r="J21" s="91">
        <v>0.80800000000000005</v>
      </c>
      <c r="K21" s="91">
        <v>1.323</v>
      </c>
      <c r="L21" s="92">
        <v>1.8121666666666658</v>
      </c>
      <c r="M21" s="91">
        <v>1.91</v>
      </c>
      <c r="N21" s="91">
        <v>2.3109999999999999</v>
      </c>
      <c r="O21" s="91">
        <v>2.6859999999999999</v>
      </c>
      <c r="P21" s="91">
        <v>3.0409999999999999</v>
      </c>
      <c r="Q21" s="93">
        <v>3.8149999999999999</v>
      </c>
    </row>
    <row r="22" spans="2:19" ht="15.75">
      <c r="B22" s="98">
        <v>0.4</v>
      </c>
      <c r="C22" s="91">
        <v>-2.0289999999999999</v>
      </c>
      <c r="D22" s="91">
        <v>-1.524</v>
      </c>
      <c r="E22" s="91">
        <v>-1.2310000000000001</v>
      </c>
      <c r="F22" s="91">
        <v>-0.85499999999999998</v>
      </c>
      <c r="G22" s="92">
        <v>-0.32899999999999996</v>
      </c>
      <c r="H22" s="91">
        <v>-6.6000000000000003E-2</v>
      </c>
      <c r="I22" s="92">
        <v>0.22799999999999998</v>
      </c>
      <c r="J22" s="91">
        <v>0.81599999999999995</v>
      </c>
      <c r="K22" s="91">
        <v>1.3169999999999999</v>
      </c>
      <c r="L22" s="92">
        <v>1.7861666666666669</v>
      </c>
      <c r="M22" s="91">
        <v>1.88</v>
      </c>
      <c r="N22" s="91">
        <v>2.2610000000000001</v>
      </c>
      <c r="O22" s="91">
        <v>2.6150000000000002</v>
      </c>
      <c r="P22" s="91">
        <v>2.9489999999999998</v>
      </c>
      <c r="Q22" s="93">
        <v>3.67</v>
      </c>
      <c r="R22" s="82"/>
      <c r="S22" s="82"/>
    </row>
    <row r="23" spans="2:19" s="31" customFormat="1" ht="15.75">
      <c r="B23" s="98">
        <v>0.3</v>
      </c>
      <c r="C23" s="91">
        <v>-2.1040000000000001</v>
      </c>
      <c r="D23" s="91">
        <v>-1.5549999999999999</v>
      </c>
      <c r="E23" s="91">
        <v>-1.2450000000000001</v>
      </c>
      <c r="F23" s="91">
        <v>-0.85299999999999998</v>
      </c>
      <c r="G23" s="92">
        <v>-0.31766666666666676</v>
      </c>
      <c r="H23" s="91">
        <v>-0.05</v>
      </c>
      <c r="I23" s="92">
        <v>0.2413333333333334</v>
      </c>
      <c r="J23" s="91">
        <v>0.82399999999999995</v>
      </c>
      <c r="K23" s="91">
        <v>1.3089999999999999</v>
      </c>
      <c r="L23" s="92">
        <v>1.7589999999999995</v>
      </c>
      <c r="M23" s="91">
        <v>1.849</v>
      </c>
      <c r="N23" s="91">
        <v>2.2109999999999999</v>
      </c>
      <c r="O23" s="91">
        <v>2.544</v>
      </c>
      <c r="P23" s="91">
        <v>2.8559999999999999</v>
      </c>
      <c r="Q23" s="93">
        <v>3.5249999999999999</v>
      </c>
      <c r="R23" s="82"/>
      <c r="S23" s="82"/>
    </row>
    <row r="24" spans="2:19" s="31" customFormat="1" ht="15.75">
      <c r="B24" s="98">
        <v>0.2</v>
      </c>
      <c r="C24" s="91">
        <v>-2.1779999999999999</v>
      </c>
      <c r="D24" s="91">
        <v>-1.5860000000000001</v>
      </c>
      <c r="E24" s="91">
        <v>-1.258</v>
      </c>
      <c r="F24" s="91">
        <v>-0.85</v>
      </c>
      <c r="G24" s="92">
        <v>-0.30533333333333323</v>
      </c>
      <c r="H24" s="91">
        <v>-3.3000000000000002E-2</v>
      </c>
      <c r="I24" s="92">
        <v>0.2546666666666666</v>
      </c>
      <c r="J24" s="91">
        <v>0.83</v>
      </c>
      <c r="K24" s="91">
        <v>1.3009999999999999</v>
      </c>
      <c r="L24" s="92">
        <v>1.7318333333333329</v>
      </c>
      <c r="M24" s="91">
        <v>1.8180000000000001</v>
      </c>
      <c r="N24" s="91">
        <v>2.1589999999999998</v>
      </c>
      <c r="O24" s="91">
        <v>2.472</v>
      </c>
      <c r="P24" s="91">
        <v>2.7629999999999999</v>
      </c>
      <c r="Q24" s="93">
        <v>3.38</v>
      </c>
      <c r="R24" s="82"/>
      <c r="S24" s="82"/>
    </row>
    <row r="25" spans="2:19" ht="15.75">
      <c r="B25" s="98">
        <v>0.1</v>
      </c>
      <c r="C25" s="91">
        <v>-2.2519999999999998</v>
      </c>
      <c r="D25" s="91">
        <v>-1.6160000000000001</v>
      </c>
      <c r="E25" s="91">
        <v>-1.27</v>
      </c>
      <c r="F25" s="91">
        <v>-0.84599999999999997</v>
      </c>
      <c r="G25" s="92">
        <v>-0.29333333333333345</v>
      </c>
      <c r="H25" s="91">
        <v>-1.7000000000000001E-2</v>
      </c>
      <c r="I25" s="92">
        <v>0.26733333333333342</v>
      </c>
      <c r="J25" s="91">
        <v>0.83599999999999997</v>
      </c>
      <c r="K25" s="91">
        <v>1.292</v>
      </c>
      <c r="L25" s="92">
        <v>1.7028333333333339</v>
      </c>
      <c r="M25" s="91">
        <v>1.7849999999999999</v>
      </c>
      <c r="N25" s="91">
        <v>2.1070000000000002</v>
      </c>
      <c r="O25" s="91">
        <v>2.4</v>
      </c>
      <c r="P25" s="91">
        <v>2.67</v>
      </c>
      <c r="Q25" s="93">
        <v>3.2349999999999999</v>
      </c>
      <c r="R25" s="82"/>
      <c r="S25" s="82"/>
    </row>
    <row r="26" spans="2:19" ht="15.75">
      <c r="B26" s="98">
        <v>0</v>
      </c>
      <c r="C26" s="91">
        <v>-2.3260000000000001</v>
      </c>
      <c r="D26" s="91">
        <v>-1.645</v>
      </c>
      <c r="E26" s="91">
        <v>-1.282</v>
      </c>
      <c r="F26" s="91">
        <v>-0.84199999999999997</v>
      </c>
      <c r="G26" s="92">
        <v>-0.28066666666666662</v>
      </c>
      <c r="H26" s="91">
        <v>0</v>
      </c>
      <c r="I26" s="92">
        <v>0.28066666666666662</v>
      </c>
      <c r="J26" s="91">
        <v>0.84199999999999997</v>
      </c>
      <c r="K26" s="91">
        <v>1.282</v>
      </c>
      <c r="L26" s="92">
        <v>1.672833333333333</v>
      </c>
      <c r="M26" s="91">
        <v>1.7509999999999999</v>
      </c>
      <c r="N26" s="91">
        <v>2.0539999999999998</v>
      </c>
      <c r="O26" s="91">
        <v>2.3260000000000001</v>
      </c>
      <c r="P26" s="91">
        <v>2.5760000000000001</v>
      </c>
      <c r="Q26" s="93">
        <v>3.09</v>
      </c>
      <c r="R26" s="82"/>
      <c r="S26" s="82"/>
    </row>
    <row r="27" spans="2:19" ht="15.75">
      <c r="B27" s="98">
        <v>-0.1</v>
      </c>
      <c r="C27" s="91">
        <v>-2.4</v>
      </c>
      <c r="D27" s="91">
        <v>-1.673</v>
      </c>
      <c r="E27" s="91">
        <v>-1.292</v>
      </c>
      <c r="F27" s="91">
        <v>-0.83599999999999997</v>
      </c>
      <c r="G27" s="92">
        <v>-0.26733333333333342</v>
      </c>
      <c r="H27" s="91">
        <v>1.7000000000000001E-2</v>
      </c>
      <c r="I27" s="92">
        <v>0.28999999999999998</v>
      </c>
      <c r="J27" s="91">
        <v>0.83599999999999997</v>
      </c>
      <c r="K27" s="91">
        <v>1.27</v>
      </c>
      <c r="L27" s="92">
        <v>1.6416666666666664</v>
      </c>
      <c r="M27" s="91">
        <v>1.716</v>
      </c>
      <c r="N27" s="91">
        <v>2</v>
      </c>
      <c r="O27" s="91">
        <v>2.2519999999999998</v>
      </c>
      <c r="P27" s="91">
        <v>2.4820000000000002</v>
      </c>
      <c r="Q27" s="93">
        <v>2.95</v>
      </c>
      <c r="R27" s="82"/>
      <c r="S27" s="82"/>
    </row>
    <row r="28" spans="2:19" s="56" customFormat="1" ht="15.75">
      <c r="B28" s="98">
        <v>-0.2</v>
      </c>
      <c r="C28" s="91">
        <v>-2.472</v>
      </c>
      <c r="D28" s="91">
        <v>-1.7</v>
      </c>
      <c r="E28" s="91">
        <v>-1.3009999999999999</v>
      </c>
      <c r="F28" s="91">
        <v>-0.83</v>
      </c>
      <c r="G28" s="92">
        <v>-0.2546666666666666</v>
      </c>
      <c r="H28" s="91">
        <v>3.3000000000000002E-2</v>
      </c>
      <c r="I28" s="92">
        <v>0.30533333333333323</v>
      </c>
      <c r="J28" s="91">
        <v>0.85</v>
      </c>
      <c r="K28" s="91">
        <v>1.258</v>
      </c>
      <c r="L28" s="92">
        <v>1.6096666666666664</v>
      </c>
      <c r="M28" s="91">
        <v>1.68</v>
      </c>
      <c r="N28" s="91">
        <v>1.9450000000000001</v>
      </c>
      <c r="O28" s="91">
        <v>2.1779999999999999</v>
      </c>
      <c r="P28" s="91">
        <v>2.3879999999999999</v>
      </c>
      <c r="Q28" s="93">
        <v>2.81</v>
      </c>
      <c r="R28" s="82"/>
      <c r="S28" s="82"/>
    </row>
    <row r="29" spans="2:19" s="56" customFormat="1" ht="15.75">
      <c r="B29" s="98">
        <v>-0.3</v>
      </c>
      <c r="C29" s="91">
        <v>-2.544</v>
      </c>
      <c r="D29" s="91">
        <v>-1.726</v>
      </c>
      <c r="E29" s="91">
        <v>-1.3089999999999999</v>
      </c>
      <c r="F29" s="91">
        <v>-0.82399999999999995</v>
      </c>
      <c r="G29" s="92">
        <v>-0.24133333333333318</v>
      </c>
      <c r="H29" s="91">
        <v>0.05</v>
      </c>
      <c r="I29" s="92">
        <v>0.31766666666666676</v>
      </c>
      <c r="J29" s="91">
        <v>0.85299999999999998</v>
      </c>
      <c r="K29" s="91">
        <v>1.2450000000000001</v>
      </c>
      <c r="L29" s="92">
        <v>1.5766666666666667</v>
      </c>
      <c r="M29" s="91">
        <v>1.643</v>
      </c>
      <c r="N29" s="91">
        <v>1.89</v>
      </c>
      <c r="O29" s="91">
        <v>2.1040000000000001</v>
      </c>
      <c r="P29" s="91">
        <v>2.294</v>
      </c>
      <c r="Q29" s="93">
        <v>2.6749999999999998</v>
      </c>
      <c r="R29" s="82"/>
      <c r="S29" s="82"/>
    </row>
    <row r="30" spans="2:19" ht="15.75">
      <c r="B30" s="98">
        <v>-0.4</v>
      </c>
      <c r="C30" s="91">
        <v>-2.6150000000000002</v>
      </c>
      <c r="D30" s="91">
        <v>-1.75</v>
      </c>
      <c r="E30" s="91">
        <v>-1.3169999999999999</v>
      </c>
      <c r="F30" s="91">
        <v>-0.81599999999999995</v>
      </c>
      <c r="G30" s="92">
        <v>-0.22799999999999998</v>
      </c>
      <c r="H30" s="91">
        <v>6.6000000000000003E-2</v>
      </c>
      <c r="I30" s="92">
        <v>0.32899999999999996</v>
      </c>
      <c r="J30" s="91">
        <v>0.85499999999999998</v>
      </c>
      <c r="K30" s="91">
        <v>1.2310000000000001</v>
      </c>
      <c r="L30" s="92">
        <v>1.5435000000000001</v>
      </c>
      <c r="M30" s="91">
        <v>1.6060000000000001</v>
      </c>
      <c r="N30" s="91">
        <v>1.8340000000000001</v>
      </c>
      <c r="O30" s="91">
        <v>2.0289999999999999</v>
      </c>
      <c r="P30" s="91">
        <v>2.2010000000000001</v>
      </c>
      <c r="Q30" s="93">
        <v>2.54</v>
      </c>
      <c r="R30" s="82"/>
      <c r="S30" s="82"/>
    </row>
    <row r="31" spans="2:19" ht="15.75">
      <c r="B31" s="98">
        <v>-0.5</v>
      </c>
      <c r="C31" s="91">
        <v>-2.6859999999999999</v>
      </c>
      <c r="D31" s="91">
        <v>-1.774</v>
      </c>
      <c r="E31" s="91">
        <v>-1.323</v>
      </c>
      <c r="F31" s="91">
        <v>-0.80800000000000005</v>
      </c>
      <c r="G31" s="92">
        <v>-0.21399999999999997</v>
      </c>
      <c r="H31" s="91">
        <v>8.3000000000000004E-2</v>
      </c>
      <c r="I31" s="92">
        <v>0.34066666666666667</v>
      </c>
      <c r="J31" s="91">
        <v>0.85599999999999998</v>
      </c>
      <c r="K31" s="91">
        <v>1.216</v>
      </c>
      <c r="L31" s="92">
        <v>1.5084999999999995</v>
      </c>
      <c r="M31" s="91">
        <v>1.5669999999999999</v>
      </c>
      <c r="N31" s="91">
        <v>1.7769999999999999</v>
      </c>
      <c r="O31" s="91">
        <v>1.9550000000000001</v>
      </c>
      <c r="P31" s="91">
        <v>2.1080000000000001</v>
      </c>
      <c r="Q31" s="93">
        <v>2.4</v>
      </c>
      <c r="R31" s="82"/>
      <c r="S31" s="82"/>
    </row>
    <row r="32" spans="2:19" ht="15.75">
      <c r="B32" s="28">
        <v>-0.6</v>
      </c>
      <c r="C32" s="91">
        <v>-2.7549999999999999</v>
      </c>
      <c r="D32" s="91">
        <v>-1.7969999999999999</v>
      </c>
      <c r="E32" s="91">
        <v>-1.3280000000000001</v>
      </c>
      <c r="F32" s="91">
        <v>-0.8</v>
      </c>
      <c r="G32" s="92">
        <v>-0.20066666666666677</v>
      </c>
      <c r="H32" s="91">
        <v>9.9000000000000005E-2</v>
      </c>
      <c r="I32" s="92">
        <v>0.35166666666666657</v>
      </c>
      <c r="J32" s="91">
        <v>0.85699999999999998</v>
      </c>
      <c r="K32" s="91">
        <v>1.2</v>
      </c>
      <c r="L32" s="92">
        <v>1.4733333333333325</v>
      </c>
      <c r="M32" s="91">
        <v>1.528</v>
      </c>
      <c r="N32" s="91">
        <v>1.72</v>
      </c>
      <c r="O32" s="91">
        <v>1.88</v>
      </c>
      <c r="P32" s="91">
        <v>2.016</v>
      </c>
      <c r="Q32" s="93">
        <v>2.2749999999999999</v>
      </c>
    </row>
    <row r="33" spans="2:17" ht="15.75">
      <c r="B33" s="28">
        <v>-0.7</v>
      </c>
      <c r="C33" s="91">
        <v>-2.8239999999999998</v>
      </c>
      <c r="D33" s="91">
        <v>-1.819</v>
      </c>
      <c r="E33" s="91">
        <v>-1.333</v>
      </c>
      <c r="F33" s="91">
        <v>-0.79</v>
      </c>
      <c r="G33" s="92">
        <v>-0.18599999999999994</v>
      </c>
      <c r="H33" s="91">
        <v>0.11600000000000001</v>
      </c>
      <c r="I33" s="92">
        <v>0.36299999999999988</v>
      </c>
      <c r="J33" s="91">
        <v>0.85699999999999998</v>
      </c>
      <c r="K33" s="91">
        <v>1.1830000000000001</v>
      </c>
      <c r="L33" s="92">
        <v>1.4371666666666671</v>
      </c>
      <c r="M33" s="91">
        <v>1.488</v>
      </c>
      <c r="N33" s="91">
        <v>1.663</v>
      </c>
      <c r="O33" s="91">
        <v>1.806</v>
      </c>
      <c r="P33" s="91">
        <v>1.9259999999999999</v>
      </c>
      <c r="Q33" s="93">
        <v>2.15</v>
      </c>
    </row>
    <row r="34" spans="2:17" ht="15.75">
      <c r="B34" s="28">
        <v>-0.8</v>
      </c>
      <c r="C34" s="91">
        <v>-2.891</v>
      </c>
      <c r="D34" s="91">
        <v>-1.839</v>
      </c>
      <c r="E34" s="91">
        <v>-1.3360000000000001</v>
      </c>
      <c r="F34" s="91">
        <v>-0.78</v>
      </c>
      <c r="G34" s="92">
        <v>-0.17200000000000015</v>
      </c>
      <c r="H34" s="91">
        <v>0.13200000000000001</v>
      </c>
      <c r="I34" s="92">
        <v>0.37333333333333329</v>
      </c>
      <c r="J34" s="91">
        <v>0.85599999999999998</v>
      </c>
      <c r="K34" s="91">
        <v>1.1659999999999999</v>
      </c>
      <c r="L34" s="92">
        <v>1.401</v>
      </c>
      <c r="M34" s="91">
        <v>1.448</v>
      </c>
      <c r="N34" s="91">
        <v>1.6060000000000001</v>
      </c>
      <c r="O34" s="91">
        <v>1.7330000000000001</v>
      </c>
      <c r="P34" s="91">
        <v>1.837</v>
      </c>
      <c r="Q34" s="93">
        <v>2.0350000000000001</v>
      </c>
    </row>
    <row r="35" spans="2:17" ht="15.75">
      <c r="B35" s="28">
        <v>-0.9</v>
      </c>
      <c r="C35" s="91">
        <v>-2.9569999999999999</v>
      </c>
      <c r="D35" s="91">
        <v>-1.8580000000000001</v>
      </c>
      <c r="E35" s="91">
        <v>-1.339</v>
      </c>
      <c r="F35" s="91">
        <v>-0.76900000000000002</v>
      </c>
      <c r="G35" s="92">
        <v>-0.15766666666666662</v>
      </c>
      <c r="H35" s="91">
        <v>0.14799999999999999</v>
      </c>
      <c r="I35" s="92">
        <v>0.3833333333333333</v>
      </c>
      <c r="J35" s="91">
        <v>0.85399999999999998</v>
      </c>
      <c r="K35" s="91">
        <v>1.147</v>
      </c>
      <c r="L35" s="92">
        <v>1.3636666666666668</v>
      </c>
      <c r="M35" s="91">
        <v>1.407</v>
      </c>
      <c r="N35" s="91">
        <v>1.5489999999999999</v>
      </c>
      <c r="O35" s="91">
        <v>1.66</v>
      </c>
      <c r="P35" s="91">
        <v>1.7490000000000001</v>
      </c>
      <c r="Q35" s="93">
        <v>1.91</v>
      </c>
    </row>
    <row r="36" spans="2:17" ht="15.75">
      <c r="B36" s="28">
        <v>-1</v>
      </c>
      <c r="C36" s="91">
        <v>-3.0219999999999998</v>
      </c>
      <c r="D36" s="91">
        <v>-1.877</v>
      </c>
      <c r="E36" s="91">
        <v>-1.34</v>
      </c>
      <c r="F36" s="91">
        <v>-0.75800000000000001</v>
      </c>
      <c r="G36" s="92">
        <v>-0.14333333333333331</v>
      </c>
      <c r="H36" s="91">
        <v>0.16400000000000001</v>
      </c>
      <c r="I36" s="92">
        <v>0.39333333333333331</v>
      </c>
      <c r="J36" s="91">
        <v>0.85199999999999998</v>
      </c>
      <c r="K36" s="91">
        <v>1.1279999999999999</v>
      </c>
      <c r="L36" s="92">
        <v>1.3263333333333331</v>
      </c>
      <c r="M36" s="91">
        <v>1.3660000000000001</v>
      </c>
      <c r="N36" s="91">
        <v>1.492</v>
      </c>
      <c r="O36" s="91">
        <v>1.5880000000000001</v>
      </c>
      <c r="P36" s="91">
        <v>1.6639999999999999</v>
      </c>
      <c r="Q36" s="93">
        <v>1.8</v>
      </c>
    </row>
    <row r="37" spans="2:17" ht="15.75">
      <c r="B37" s="28">
        <v>-1.2</v>
      </c>
      <c r="C37" s="91">
        <v>-3.149</v>
      </c>
      <c r="D37" s="91">
        <v>-1.91</v>
      </c>
      <c r="E37" s="91">
        <v>-1.34</v>
      </c>
      <c r="F37" s="91">
        <v>-0.73199999999999998</v>
      </c>
      <c r="G37" s="92">
        <v>-0.11399999999999988</v>
      </c>
      <c r="H37" s="91">
        <v>0.19500000000000001</v>
      </c>
      <c r="I37" s="92">
        <v>0.41133333333333344</v>
      </c>
      <c r="J37" s="91">
        <v>0.84399999999999997</v>
      </c>
      <c r="K37" s="91">
        <v>1.0860000000000001</v>
      </c>
      <c r="L37" s="92">
        <v>1.2493333333333334</v>
      </c>
      <c r="M37" s="91">
        <v>1.282</v>
      </c>
      <c r="N37" s="91">
        <v>1.379</v>
      </c>
      <c r="O37" s="91">
        <v>1.4490000000000001</v>
      </c>
      <c r="P37" s="91">
        <v>1.5009999999999999</v>
      </c>
      <c r="Q37" s="93">
        <v>1.625</v>
      </c>
    </row>
    <row r="38" spans="2:17" ht="15.75">
      <c r="B38" s="28">
        <v>-1.4</v>
      </c>
      <c r="C38" s="91">
        <v>-3.2709999999999999</v>
      </c>
      <c r="D38" s="91">
        <v>-1.9379999999999999</v>
      </c>
      <c r="E38" s="91">
        <v>-1.337</v>
      </c>
      <c r="F38" s="91">
        <v>-0.70499999999999996</v>
      </c>
      <c r="G38" s="92">
        <v>-8.4999999999999742E-2</v>
      </c>
      <c r="H38" s="91">
        <v>0.22500000000000001</v>
      </c>
      <c r="I38" s="92">
        <v>0.42733333333333334</v>
      </c>
      <c r="J38" s="91">
        <v>0.83199999999999996</v>
      </c>
      <c r="K38" s="91">
        <v>1.0409999999999999</v>
      </c>
      <c r="L38" s="92">
        <v>1.1718333333333331</v>
      </c>
      <c r="M38" s="91">
        <v>1.198</v>
      </c>
      <c r="N38" s="91">
        <v>1.27</v>
      </c>
      <c r="O38" s="91">
        <v>1.3180000000000001</v>
      </c>
      <c r="P38" s="91">
        <v>1.351</v>
      </c>
      <c r="Q38" s="93">
        <v>1.4650000000000001</v>
      </c>
    </row>
    <row r="39" spans="2:17" ht="15.75">
      <c r="B39" s="28">
        <v>-1.6</v>
      </c>
      <c r="C39" s="91">
        <v>-3.3879999999999999</v>
      </c>
      <c r="D39" s="91">
        <v>-1.962</v>
      </c>
      <c r="E39" s="91">
        <v>-1.329</v>
      </c>
      <c r="F39" s="91">
        <v>-0.67500000000000004</v>
      </c>
      <c r="G39" s="92">
        <v>-5.5666666666666975E-2</v>
      </c>
      <c r="H39" s="91">
        <v>0.254</v>
      </c>
      <c r="I39" s="92">
        <v>0.44166666666666676</v>
      </c>
      <c r="J39" s="91">
        <v>0.81699999999999995</v>
      </c>
      <c r="K39" s="91">
        <v>0.99399999999999999</v>
      </c>
      <c r="L39" s="92">
        <v>1.0956666666666672</v>
      </c>
      <c r="M39" s="91">
        <v>1.1160000000000001</v>
      </c>
      <c r="N39" s="91">
        <v>1.1659999999999999</v>
      </c>
      <c r="O39" s="91">
        <v>1.1970000000000001</v>
      </c>
      <c r="P39" s="91">
        <v>1.216</v>
      </c>
      <c r="Q39" s="93">
        <v>1.28</v>
      </c>
    </row>
    <row r="40" spans="2:17" ht="15.75">
      <c r="B40" s="28">
        <v>-1.8</v>
      </c>
      <c r="C40" s="91">
        <v>-3.4990000000000001</v>
      </c>
      <c r="D40" s="91">
        <v>-1.9810000000000001</v>
      </c>
      <c r="E40" s="91">
        <v>-1.3180000000000001</v>
      </c>
      <c r="F40" s="91">
        <v>-0.64300000000000002</v>
      </c>
      <c r="G40" s="92">
        <v>-2.633333333333332E-2</v>
      </c>
      <c r="H40" s="91">
        <v>0.28199999999999997</v>
      </c>
      <c r="I40" s="92">
        <v>0.45433333333333326</v>
      </c>
      <c r="J40" s="91">
        <v>0.79900000000000004</v>
      </c>
      <c r="K40" s="91">
        <v>0.94499999999999995</v>
      </c>
      <c r="L40" s="92">
        <v>1.02</v>
      </c>
      <c r="M40" s="91">
        <v>1.0349999999999999</v>
      </c>
      <c r="N40" s="91">
        <v>1.069</v>
      </c>
      <c r="O40" s="91">
        <v>1.087</v>
      </c>
      <c r="P40" s="91">
        <v>1.097</v>
      </c>
      <c r="Q40" s="93">
        <v>1.1299999999999999</v>
      </c>
    </row>
    <row r="41" spans="2:17" ht="15.75">
      <c r="B41" s="28">
        <v>-2</v>
      </c>
      <c r="C41" s="91">
        <v>-3.605</v>
      </c>
      <c r="D41" s="91">
        <v>-1.996</v>
      </c>
      <c r="E41" s="91">
        <v>-1.302</v>
      </c>
      <c r="F41" s="91">
        <v>-0.6</v>
      </c>
      <c r="G41" s="92">
        <v>4.6666666666665968E-3</v>
      </c>
      <c r="H41" s="91">
        <v>0.307</v>
      </c>
      <c r="I41" s="92">
        <v>0.46366666666666656</v>
      </c>
      <c r="J41" s="91">
        <v>0.77700000000000002</v>
      </c>
      <c r="K41" s="91">
        <v>0.89500000000000002</v>
      </c>
      <c r="L41" s="92">
        <v>0.94833333333333347</v>
      </c>
      <c r="M41" s="91">
        <v>0.95899999999999996</v>
      </c>
      <c r="N41" s="91">
        <v>0.98</v>
      </c>
      <c r="O41" s="91">
        <v>0.99</v>
      </c>
      <c r="P41" s="91">
        <v>0.995</v>
      </c>
      <c r="Q41" s="93">
        <v>1</v>
      </c>
    </row>
    <row r="42" spans="2:17" ht="15.75">
      <c r="B42" s="28">
        <v>-2.2000000000000002</v>
      </c>
      <c r="C42" s="91">
        <v>-3.7050000000000001</v>
      </c>
      <c r="D42" s="91">
        <v>-2.0059999999999998</v>
      </c>
      <c r="E42" s="91">
        <v>-1.284</v>
      </c>
      <c r="F42" s="91">
        <v>-0.57399999999999995</v>
      </c>
      <c r="G42" s="92">
        <v>2.866666666666684E-2</v>
      </c>
      <c r="H42" s="91">
        <v>0.33</v>
      </c>
      <c r="I42" s="92">
        <v>0.47066666666666657</v>
      </c>
      <c r="J42" s="91">
        <v>0.752</v>
      </c>
      <c r="K42" s="91">
        <v>0.84399999999999997</v>
      </c>
      <c r="L42" s="92">
        <v>0.88066666666666682</v>
      </c>
      <c r="M42" s="91">
        <v>0.88800000000000001</v>
      </c>
      <c r="N42" s="91">
        <v>0.9</v>
      </c>
      <c r="O42" s="91">
        <v>0.90500000000000003</v>
      </c>
      <c r="P42" s="91">
        <v>0.90700000000000003</v>
      </c>
      <c r="Q42" s="93">
        <v>0.91</v>
      </c>
    </row>
    <row r="43" spans="2:17" ht="15.75">
      <c r="B43" s="28">
        <v>-2.5</v>
      </c>
      <c r="C43" s="91">
        <v>-3.8450000000000002</v>
      </c>
      <c r="D43" s="91">
        <v>-2.012</v>
      </c>
      <c r="E43" s="91">
        <v>-1.25</v>
      </c>
      <c r="F43" s="91">
        <v>-0.51800000000000002</v>
      </c>
      <c r="G43" s="92">
        <v>6.7333333333333245E-2</v>
      </c>
      <c r="H43" s="91">
        <v>0.36</v>
      </c>
      <c r="I43" s="92">
        <v>0.47699999999999998</v>
      </c>
      <c r="J43" s="91">
        <v>0.71099999999999997</v>
      </c>
      <c r="K43" s="91">
        <v>0.77100000000000002</v>
      </c>
      <c r="L43" s="92">
        <v>0.78933333333333344</v>
      </c>
      <c r="M43" s="91">
        <v>0.79300000000000004</v>
      </c>
      <c r="N43" s="91">
        <v>0.79800000000000004</v>
      </c>
      <c r="O43" s="91">
        <v>0.79900000000000004</v>
      </c>
      <c r="P43" s="91">
        <v>0.8</v>
      </c>
      <c r="Q43" s="93">
        <v>0.80200000000000005</v>
      </c>
    </row>
    <row r="44" spans="2:17" ht="16.5" thickBot="1">
      <c r="B44" s="29">
        <v>-3</v>
      </c>
      <c r="C44" s="94">
        <v>-4.0510000000000002</v>
      </c>
      <c r="D44" s="94">
        <v>-2.0030000000000001</v>
      </c>
      <c r="E44" s="94">
        <v>-1.18</v>
      </c>
      <c r="F44" s="94">
        <v>-0.42</v>
      </c>
      <c r="G44" s="95">
        <v>0.12400000000000011</v>
      </c>
      <c r="H44" s="94">
        <v>0.39600000000000002</v>
      </c>
      <c r="I44" s="95">
        <v>0.47599999999999998</v>
      </c>
      <c r="J44" s="94">
        <v>0.63600000000000001</v>
      </c>
      <c r="K44" s="94">
        <v>0.66</v>
      </c>
      <c r="L44" s="95">
        <v>0.66500000000000004</v>
      </c>
      <c r="M44" s="94">
        <v>0.66600000000000004</v>
      </c>
      <c r="N44" s="94">
        <v>0.66600000000000004</v>
      </c>
      <c r="O44" s="94">
        <v>0.66700000000000004</v>
      </c>
      <c r="P44" s="94">
        <v>0.66700000000000004</v>
      </c>
      <c r="Q44" s="96">
        <v>0.66800000000000004</v>
      </c>
    </row>
    <row r="45" spans="2:17">
      <c r="B45" s="30" t="s">
        <v>40</v>
      </c>
      <c r="C45" s="97"/>
      <c r="D45" s="97"/>
      <c r="E45" s="97"/>
      <c r="F45" s="97"/>
      <c r="G45" s="81"/>
      <c r="H45" s="81"/>
      <c r="I45" s="81"/>
      <c r="J45" s="81"/>
      <c r="K45" s="81"/>
      <c r="L45" s="81"/>
      <c r="M45" s="81"/>
      <c r="N45" s="81"/>
      <c r="O45" s="82"/>
      <c r="P45" s="82"/>
      <c r="Q45" s="82"/>
    </row>
    <row r="46" spans="2:17">
      <c r="B46" s="25"/>
      <c r="C46" s="25"/>
      <c r="D46" s="25"/>
      <c r="E46" s="25"/>
      <c r="F46" s="25"/>
      <c r="G46" s="25"/>
      <c r="H46" s="57"/>
      <c r="I46" s="25"/>
      <c r="J46" s="57"/>
      <c r="K46" s="57"/>
      <c r="L46" s="57"/>
      <c r="M46" s="57"/>
      <c r="N46" s="57"/>
    </row>
    <row r="47" spans="2:17">
      <c r="B47" s="25"/>
      <c r="C47" s="25"/>
      <c r="D47" s="25"/>
      <c r="E47" s="25"/>
      <c r="F47" s="25"/>
      <c r="G47" s="25"/>
      <c r="H47" s="57"/>
      <c r="I47" s="25"/>
      <c r="J47" s="57"/>
      <c r="K47" s="57"/>
      <c r="L47" s="57"/>
      <c r="M47" s="57"/>
      <c r="N47" s="57"/>
    </row>
    <row r="48" spans="2:17">
      <c r="B48" s="25"/>
      <c r="C48" s="25"/>
      <c r="D48" s="25"/>
      <c r="E48" s="25"/>
      <c r="F48" s="25"/>
      <c r="G48" s="25"/>
      <c r="H48" s="57"/>
      <c r="I48" s="25"/>
      <c r="J48" s="57"/>
      <c r="K48" s="57"/>
      <c r="L48" s="57"/>
      <c r="M48" s="57"/>
      <c r="N48" s="57"/>
    </row>
    <row r="49" spans="2:14">
      <c r="B49" s="25"/>
      <c r="C49" s="25"/>
      <c r="D49" s="25"/>
      <c r="E49" s="25"/>
      <c r="F49" s="25"/>
      <c r="G49" s="25"/>
      <c r="H49" s="59" t="s">
        <v>41</v>
      </c>
      <c r="I49" s="25"/>
      <c r="J49" s="57"/>
      <c r="K49" s="57"/>
      <c r="L49" s="57"/>
      <c r="M49" s="57"/>
      <c r="N49" s="57"/>
    </row>
    <row r="50" spans="2:14">
      <c r="B50" s="25"/>
      <c r="C50" s="25"/>
      <c r="D50" s="25"/>
      <c r="E50" s="25"/>
      <c r="F50" s="25"/>
      <c r="G50" s="25"/>
      <c r="H50" s="57"/>
      <c r="I50" s="25"/>
      <c r="J50" s="57"/>
      <c r="K50" s="57"/>
      <c r="L50" s="57"/>
      <c r="M50" s="57"/>
      <c r="N50" s="57"/>
    </row>
  </sheetData>
  <mergeCells count="5">
    <mergeCell ref="B2:N2"/>
    <mergeCell ref="B4:B5"/>
    <mergeCell ref="C4:Q4"/>
    <mergeCell ref="B6:B7"/>
    <mergeCell ref="C6:Q6"/>
  </mergeCells>
  <printOptions horizontalCentered="1"/>
  <pageMargins left="0.81" right="0.59" top="0.78" bottom="0.56999999999999995" header="0.5" footer="0.5"/>
  <pageSetup paperSize="9" scale="70" orientation="landscape" horizont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Q40"/>
  <sheetViews>
    <sheetView view="pageBreakPreview" topLeftCell="A25" zoomScaleNormal="100" zoomScaleSheetLayoutView="100" workbookViewId="0">
      <selection activeCell="E6" sqref="E6"/>
    </sheetView>
  </sheetViews>
  <sheetFormatPr defaultRowHeight="12.75"/>
  <cols>
    <col min="3" max="7" width="13.5703125" customWidth="1"/>
    <col min="8" max="8" width="11.28515625" bestFit="1" customWidth="1"/>
    <col min="9" max="9" width="16.42578125" bestFit="1" customWidth="1"/>
  </cols>
  <sheetData>
    <row r="3" spans="1:17" ht="14.25">
      <c r="A3" s="16" t="s">
        <v>42</v>
      </c>
      <c r="B3" s="16"/>
      <c r="C3" s="16"/>
      <c r="D3" s="16"/>
      <c r="E3" s="16"/>
      <c r="F3" s="16"/>
      <c r="G3" s="16"/>
    </row>
    <row r="4" spans="1:17" ht="14.25">
      <c r="A4" s="16"/>
      <c r="B4" s="16"/>
      <c r="C4" s="16"/>
      <c r="D4" s="16"/>
      <c r="E4" s="16"/>
      <c r="F4" s="16"/>
      <c r="G4" s="16"/>
    </row>
    <row r="5" spans="1:17" ht="14.25">
      <c r="A5" s="16"/>
      <c r="B5" s="16"/>
      <c r="C5" s="16"/>
      <c r="D5" s="16"/>
      <c r="E5" s="16"/>
      <c r="F5" s="16"/>
      <c r="G5" s="16"/>
    </row>
    <row r="6" spans="1:17" ht="28.5">
      <c r="A6" s="36" t="s">
        <v>43</v>
      </c>
      <c r="B6" s="37" t="s">
        <v>44</v>
      </c>
      <c r="C6" s="38" t="s">
        <v>30</v>
      </c>
      <c r="D6" s="38" t="s">
        <v>32</v>
      </c>
      <c r="E6" s="38" t="s">
        <v>45</v>
      </c>
      <c r="F6" s="38" t="s">
        <v>46</v>
      </c>
      <c r="G6" s="38" t="s">
        <v>47</v>
      </c>
      <c r="H6" s="103"/>
      <c r="I6" s="17"/>
      <c r="J6" s="17"/>
      <c r="K6" s="104"/>
      <c r="L6" s="104"/>
      <c r="M6" s="104"/>
      <c r="N6" s="104"/>
      <c r="O6" s="104"/>
      <c r="P6" s="99"/>
    </row>
    <row r="7" spans="1:17" ht="15.75">
      <c r="A7" s="39" t="s">
        <v>48</v>
      </c>
      <c r="B7" s="40" t="s">
        <v>49</v>
      </c>
      <c r="C7" s="40" t="s">
        <v>49</v>
      </c>
      <c r="D7" s="40"/>
      <c r="E7" s="40"/>
      <c r="F7" s="40" t="s">
        <v>49</v>
      </c>
      <c r="G7" s="40" t="s">
        <v>49</v>
      </c>
      <c r="J7" s="105"/>
      <c r="K7" s="106"/>
      <c r="L7" s="106"/>
      <c r="M7" s="106"/>
      <c r="N7" s="106"/>
      <c r="O7" s="106"/>
      <c r="P7" s="100"/>
    </row>
    <row r="8" spans="1:17" ht="15.75">
      <c r="A8" s="18">
        <v>2</v>
      </c>
      <c r="B8" s="146">
        <f>'Statistical Parameters'!C28</f>
        <v>2.0868810325802354</v>
      </c>
      <c r="C8" s="146">
        <f>'Statistical Parameters'!C29</f>
        <v>9.7872772574393904E-2</v>
      </c>
      <c r="D8" s="146">
        <f>'Statistical Parameters'!C31</f>
        <v>-0.24838786841051488</v>
      </c>
      <c r="E8" s="19">
        <f>FORECAST(D$8,K13:K14,J13:J14)</f>
        <v>4.1225937629787532E-2</v>
      </c>
      <c r="F8" s="19">
        <f>B$8+C$8*E8</f>
        <v>2.0909159293980419</v>
      </c>
      <c r="G8" s="19">
        <f t="shared" ref="G8:G13" si="0">10^F8</f>
        <v>123.28661522495837</v>
      </c>
      <c r="I8" s="15"/>
      <c r="J8" s="105"/>
      <c r="K8" s="106"/>
      <c r="L8" s="106"/>
      <c r="M8" s="106"/>
      <c r="N8" s="106"/>
      <c r="O8" s="106"/>
      <c r="P8" s="100"/>
    </row>
    <row r="9" spans="1:17" ht="14.25">
      <c r="A9" s="18">
        <v>5</v>
      </c>
      <c r="B9" s="146"/>
      <c r="C9" s="146"/>
      <c r="D9" s="146"/>
      <c r="E9" s="19">
        <f>FORECAST(D$8,L13:L14,J13:J14)</f>
        <v>0.85145163605231533</v>
      </c>
      <c r="F9" s="19">
        <f t="shared" ref="F9:F14" si="1">B$8+C$8*E9</f>
        <v>2.1702149649136793</v>
      </c>
      <c r="G9" s="19">
        <f>10^F9</f>
        <v>147.98406910720186</v>
      </c>
      <c r="I9" s="15"/>
    </row>
    <row r="10" spans="1:17" ht="16.5" thickBot="1">
      <c r="A10" s="18">
        <v>10</v>
      </c>
      <c r="B10" s="146"/>
      <c r="C10" s="146"/>
      <c r="D10" s="146"/>
      <c r="E10" s="19">
        <f>FORECAST(D$8,M13:M14,J13:J14)</f>
        <v>1.2517095771066331</v>
      </c>
      <c r="F10" s="19">
        <f>B$8+C$8*E10</f>
        <v>2.2093893193495835</v>
      </c>
      <c r="G10" s="19">
        <f t="shared" si="0"/>
        <v>161.95312011620706</v>
      </c>
      <c r="I10" s="15"/>
      <c r="J10" s="17" t="s">
        <v>32</v>
      </c>
      <c r="K10" s="32">
        <v>2</v>
      </c>
      <c r="L10" s="26">
        <v>5</v>
      </c>
      <c r="M10" s="26">
        <v>10</v>
      </c>
      <c r="N10" s="26">
        <v>20</v>
      </c>
      <c r="O10" s="26">
        <v>25</v>
      </c>
      <c r="P10" s="26">
        <v>50</v>
      </c>
      <c r="Q10" s="26">
        <v>100</v>
      </c>
    </row>
    <row r="11" spans="1:17" ht="15.75">
      <c r="A11" s="18">
        <v>20</v>
      </c>
      <c r="B11" s="146"/>
      <c r="C11" s="146"/>
      <c r="D11" s="146"/>
      <c r="E11" s="19">
        <f>FORECAST(D$8,N13:N14,J13:J14)</f>
        <v>1.5936986700911966</v>
      </c>
      <c r="F11" s="19">
        <f>B$8+C$8*E11</f>
        <v>2.242860740070185</v>
      </c>
      <c r="G11" s="19">
        <f>10^F11</f>
        <v>174.92856765191468</v>
      </c>
      <c r="I11" s="15"/>
      <c r="J11" s="17"/>
      <c r="K11" s="23"/>
      <c r="L11" s="23"/>
      <c r="M11" s="23"/>
      <c r="N11" s="23"/>
      <c r="O11" s="23"/>
      <c r="P11" s="23"/>
      <c r="Q11" s="23"/>
    </row>
    <row r="12" spans="1:17" ht="14.25">
      <c r="A12" s="18">
        <v>25</v>
      </c>
      <c r="B12" s="146"/>
      <c r="C12" s="146"/>
      <c r="D12" s="146"/>
      <c r="E12" s="19">
        <f>FORECAST(D$8,O13:O14,J13:J14)</f>
        <v>1.6620964886881096</v>
      </c>
      <c r="F12" s="19">
        <f>B$8+C$8*E12</f>
        <v>2.2495550242143052</v>
      </c>
      <c r="G12" s="19">
        <f t="shared" si="0"/>
        <v>177.64583276336745</v>
      </c>
      <c r="I12" s="15"/>
    </row>
    <row r="13" spans="1:17" ht="15.75">
      <c r="A13" s="18">
        <v>50</v>
      </c>
      <c r="B13" s="146"/>
      <c r="C13" s="146"/>
      <c r="D13" s="146"/>
      <c r="E13" s="19">
        <f>FORECAST(D$8,P13:P14,J13:J14)</f>
        <v>1.9183866723742171</v>
      </c>
      <c r="F13" s="19">
        <f t="shared" si="1"/>
        <v>2.2746388550752656</v>
      </c>
      <c r="G13" s="19">
        <f t="shared" si="0"/>
        <v>188.20833603124191</v>
      </c>
      <c r="I13" s="15"/>
      <c r="J13" s="55">
        <v>-0.2</v>
      </c>
      <c r="K13" s="58">
        <v>3.3000000000000002E-2</v>
      </c>
      <c r="L13" s="58">
        <v>0.85</v>
      </c>
      <c r="M13" s="58">
        <v>1.258</v>
      </c>
      <c r="N13" s="61">
        <v>1.6096666666666664</v>
      </c>
      <c r="O13" s="58">
        <v>1.68</v>
      </c>
      <c r="P13" s="58">
        <v>1.9450000000000001</v>
      </c>
      <c r="Q13" s="58">
        <v>2.1779999999999999</v>
      </c>
    </row>
    <row r="14" spans="1:17" ht="15.75">
      <c r="A14" s="18">
        <v>100</v>
      </c>
      <c r="B14" s="146"/>
      <c r="C14" s="146"/>
      <c r="D14" s="146"/>
      <c r="E14" s="19">
        <f>FORECAST(D$8,Q13:Q14,J13:J14)</f>
        <v>2.1421929773762187</v>
      </c>
      <c r="F14" s="19">
        <f t="shared" si="1"/>
        <v>2.2965433986654418</v>
      </c>
      <c r="G14" s="19">
        <f>10^F14</f>
        <v>197.9444815533418</v>
      </c>
      <c r="I14" s="15"/>
      <c r="J14" s="55">
        <v>-0.3</v>
      </c>
      <c r="K14" s="58">
        <v>0.05</v>
      </c>
      <c r="L14" s="58">
        <v>0.85299999999999998</v>
      </c>
      <c r="M14" s="58">
        <v>1.2450000000000001</v>
      </c>
      <c r="N14" s="61">
        <v>1.5766666666666667</v>
      </c>
      <c r="O14" s="58">
        <v>1.643</v>
      </c>
      <c r="P14" s="58">
        <v>1.89</v>
      </c>
      <c r="Q14" s="58">
        <v>2.1040000000000001</v>
      </c>
    </row>
    <row r="18" spans="8:10">
      <c r="H18" s="107" t="s">
        <v>3</v>
      </c>
      <c r="J18" s="107" t="s">
        <v>50</v>
      </c>
    </row>
    <row r="19" spans="8:10">
      <c r="J19" s="107" t="s">
        <v>51</v>
      </c>
    </row>
    <row r="20" spans="8:10">
      <c r="H20">
        <v>2</v>
      </c>
      <c r="J20" s="15">
        <v>123.28661522495837</v>
      </c>
    </row>
    <row r="21" spans="8:10">
      <c r="H21">
        <v>5</v>
      </c>
      <c r="J21" s="15">
        <v>147.98406910720186</v>
      </c>
    </row>
    <row r="22" spans="8:10">
      <c r="H22">
        <v>10</v>
      </c>
      <c r="J22" s="15">
        <v>161.95312011620706</v>
      </c>
    </row>
    <row r="23" spans="8:10">
      <c r="H23">
        <v>20</v>
      </c>
      <c r="J23" s="15">
        <v>174.92856765191468</v>
      </c>
    </row>
    <row r="24" spans="8:10">
      <c r="H24">
        <v>25</v>
      </c>
      <c r="J24" s="15">
        <v>177.64583276336745</v>
      </c>
    </row>
    <row r="25" spans="8:10">
      <c r="H25">
        <v>50</v>
      </c>
      <c r="J25" s="15">
        <v>188.20833603124191</v>
      </c>
    </row>
    <row r="26" spans="8:10">
      <c r="H26">
        <v>100</v>
      </c>
      <c r="J26" s="15">
        <v>197.9444815533418</v>
      </c>
    </row>
    <row r="27" spans="8:10">
      <c r="J27" s="15"/>
    </row>
    <row r="28" spans="8:10">
      <c r="J28" s="15"/>
    </row>
    <row r="29" spans="8:10">
      <c r="J29" s="15"/>
    </row>
    <row r="33" spans="3:9" ht="38.25">
      <c r="C33" s="63" t="s">
        <v>52</v>
      </c>
      <c r="D33" s="63" t="s">
        <v>53</v>
      </c>
      <c r="E33" s="63" t="s">
        <v>54</v>
      </c>
      <c r="F33" s="63" t="s">
        <v>55</v>
      </c>
      <c r="G33" s="63" t="s">
        <v>56</v>
      </c>
      <c r="H33" s="101"/>
      <c r="I33" s="102"/>
    </row>
    <row r="34" spans="3:9" ht="20.25" customHeight="1">
      <c r="C34" s="62">
        <v>2</v>
      </c>
      <c r="D34" s="66">
        <v>123.28700000000001</v>
      </c>
      <c r="E34" s="62">
        <v>129.45099999999999</v>
      </c>
      <c r="F34" s="62">
        <v>135.61600000000001</v>
      </c>
      <c r="G34" s="62">
        <v>147.94399999999999</v>
      </c>
      <c r="H34" s="64"/>
    </row>
    <row r="35" spans="3:9" ht="20.25" customHeight="1">
      <c r="C35" s="62">
        <v>5</v>
      </c>
      <c r="D35" s="62">
        <v>147.98400000000001</v>
      </c>
      <c r="E35" s="62">
        <v>155.38300000000001</v>
      </c>
      <c r="F35" s="62">
        <v>162.78200000000001</v>
      </c>
      <c r="G35" s="62">
        <v>177.58</v>
      </c>
    </row>
    <row r="36" spans="3:9" ht="20.25" customHeight="1">
      <c r="C36" s="62">
        <v>10</v>
      </c>
      <c r="D36" s="62">
        <v>161.953</v>
      </c>
      <c r="E36" s="62">
        <v>170.05099999999999</v>
      </c>
      <c r="F36" s="62">
        <v>177.148</v>
      </c>
      <c r="G36" s="62">
        <v>194.34299999999999</v>
      </c>
      <c r="I36" s="65"/>
    </row>
    <row r="37" spans="3:9" ht="20.25" customHeight="1">
      <c r="C37" s="62">
        <v>20</v>
      </c>
      <c r="D37" s="62">
        <v>174.929</v>
      </c>
      <c r="E37" s="62">
        <v>183.67599999999999</v>
      </c>
      <c r="F37" s="62">
        <v>192.422</v>
      </c>
      <c r="G37" s="62">
        <v>209.91499999999999</v>
      </c>
      <c r="I37" s="65"/>
    </row>
    <row r="38" spans="3:9" ht="20.25" customHeight="1">
      <c r="C38" s="62">
        <v>25</v>
      </c>
      <c r="D38" s="62">
        <v>177.64599999999999</v>
      </c>
      <c r="E38" s="62">
        <v>186.52799999999999</v>
      </c>
      <c r="F38" s="62">
        <v>195.411</v>
      </c>
      <c r="G38" s="62">
        <v>213.17500000000001</v>
      </c>
    </row>
    <row r="39" spans="3:9" ht="20.25" customHeight="1">
      <c r="C39" s="62">
        <v>50</v>
      </c>
      <c r="D39" s="62">
        <v>188.208</v>
      </c>
      <c r="E39" s="62">
        <v>197.61799999999999</v>
      </c>
      <c r="F39" s="62">
        <v>207.029</v>
      </c>
      <c r="G39" s="62">
        <v>225.85</v>
      </c>
    </row>
    <row r="40" spans="3:9" ht="20.25" customHeight="1">
      <c r="C40" s="62">
        <v>100</v>
      </c>
      <c r="D40" s="62">
        <v>197.94399999999999</v>
      </c>
      <c r="E40" s="62">
        <v>207.84100000000001</v>
      </c>
      <c r="F40" s="62">
        <v>217.738</v>
      </c>
      <c r="G40" s="62">
        <v>237.53200000000001</v>
      </c>
    </row>
  </sheetData>
  <mergeCells count="3">
    <mergeCell ref="B8:B14"/>
    <mergeCell ref="C8:C14"/>
    <mergeCell ref="D8:D14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64E3-560F-497F-AD89-BAD495C746B5}">
  <dimension ref="B1:AM116"/>
  <sheetViews>
    <sheetView tabSelected="1" zoomScale="94" workbookViewId="0">
      <selection activeCell="D11" sqref="D11"/>
    </sheetView>
  </sheetViews>
  <sheetFormatPr defaultRowHeight="12.75"/>
  <sheetData>
    <row r="1" spans="2:39" ht="13.5" thickBot="1"/>
    <row r="2" spans="2:39">
      <c r="B2" s="130" t="s">
        <v>57</v>
      </c>
      <c r="C2" s="129"/>
      <c r="D2" s="129"/>
      <c r="E2" s="129"/>
      <c r="F2" s="129"/>
      <c r="G2" s="129"/>
      <c r="H2" s="129"/>
      <c r="I2" s="128"/>
      <c r="J2" s="131"/>
      <c r="K2" s="131"/>
      <c r="L2" s="130" t="s">
        <v>58</v>
      </c>
      <c r="M2" s="129"/>
      <c r="N2" s="129"/>
      <c r="O2" s="129"/>
      <c r="P2" s="129"/>
      <c r="Q2" s="129"/>
      <c r="R2" s="129"/>
      <c r="S2" s="128"/>
      <c r="T2" s="131"/>
      <c r="U2" s="131"/>
      <c r="V2" s="130" t="s">
        <v>59</v>
      </c>
      <c r="W2" s="129"/>
      <c r="X2" s="129"/>
      <c r="Y2" s="129"/>
      <c r="Z2" s="129"/>
      <c r="AA2" s="129"/>
      <c r="AB2" s="129"/>
      <c r="AC2" s="128"/>
      <c r="AD2" s="131"/>
      <c r="AE2" s="131"/>
      <c r="AF2" s="130" t="s">
        <v>60</v>
      </c>
      <c r="AG2" s="129"/>
      <c r="AH2" s="129"/>
      <c r="AI2" s="129"/>
      <c r="AJ2" s="129"/>
      <c r="AK2" s="129"/>
      <c r="AL2" s="129"/>
      <c r="AM2" s="128"/>
    </row>
    <row r="3" spans="2:39" ht="15">
      <c r="B3" s="125"/>
      <c r="C3" s="112" t="s">
        <v>61</v>
      </c>
      <c r="D3" s="112"/>
      <c r="E3" s="112"/>
      <c r="F3" s="112"/>
      <c r="G3" s="113" t="s">
        <v>62</v>
      </c>
      <c r="H3" s="113"/>
      <c r="I3" s="126">
        <f>'[6]Design Rainfall'!D34</f>
        <v>123.28700000000001</v>
      </c>
      <c r="L3" s="125"/>
      <c r="M3" s="112" t="s">
        <v>61</v>
      </c>
      <c r="N3" s="112"/>
      <c r="O3" s="112"/>
      <c r="P3" s="112"/>
      <c r="Q3" s="113" t="s">
        <v>62</v>
      </c>
      <c r="R3" s="113"/>
      <c r="S3" s="126">
        <f>'[6]Design Rainfall'!E34</f>
        <v>129.45099999999999</v>
      </c>
      <c r="V3" s="125"/>
      <c r="W3" s="112" t="s">
        <v>61</v>
      </c>
      <c r="X3" s="112"/>
      <c r="Y3" s="112"/>
      <c r="Z3" s="112"/>
      <c r="AA3" s="113" t="s">
        <v>62</v>
      </c>
      <c r="AB3" s="113"/>
      <c r="AC3" s="126">
        <f>'[6]Design Rainfall'!F34</f>
        <v>135.61600000000001</v>
      </c>
      <c r="AF3" s="125"/>
      <c r="AG3" s="112" t="s">
        <v>61</v>
      </c>
      <c r="AH3" s="112"/>
      <c r="AI3" s="112"/>
      <c r="AJ3" s="112"/>
      <c r="AK3" s="113" t="s">
        <v>62</v>
      </c>
      <c r="AL3" s="113"/>
      <c r="AM3" s="126">
        <f>'[6]Design Rainfall'!G34</f>
        <v>147.94399999999999</v>
      </c>
    </row>
    <row r="4" spans="2:39" ht="15">
      <c r="B4" s="125"/>
      <c r="C4" s="112"/>
      <c r="D4" s="112"/>
      <c r="E4" s="112"/>
      <c r="F4" s="112"/>
      <c r="G4" s="112"/>
      <c r="H4" s="112"/>
      <c r="I4" s="124"/>
      <c r="L4" s="125"/>
      <c r="M4" s="112"/>
      <c r="N4" s="112"/>
      <c r="O4" s="112"/>
      <c r="P4" s="112"/>
      <c r="Q4" s="112"/>
      <c r="R4" s="112"/>
      <c r="S4" s="124"/>
      <c r="T4" s="111"/>
      <c r="V4" s="125"/>
      <c r="W4" s="112"/>
      <c r="X4" s="112"/>
      <c r="Y4" s="112"/>
      <c r="Z4" s="112"/>
      <c r="AA4" s="112"/>
      <c r="AB4" s="112"/>
      <c r="AC4" s="124"/>
      <c r="AF4" s="125"/>
      <c r="AG4" s="112"/>
      <c r="AH4" s="112"/>
      <c r="AI4" s="112"/>
      <c r="AJ4" s="112"/>
      <c r="AK4" s="112"/>
      <c r="AL4" s="112"/>
      <c r="AM4" s="124"/>
    </row>
    <row r="5" spans="2:39" ht="12.75" customHeight="1">
      <c r="B5" s="152" t="s">
        <v>63</v>
      </c>
      <c r="C5" s="154" t="s">
        <v>64</v>
      </c>
      <c r="D5" s="154" t="s">
        <v>65</v>
      </c>
      <c r="E5" s="154" t="s">
        <v>66</v>
      </c>
      <c r="F5" s="154" t="s">
        <v>67</v>
      </c>
      <c r="G5" s="154" t="s">
        <v>68</v>
      </c>
      <c r="H5" s="147" t="s">
        <v>69</v>
      </c>
      <c r="I5" s="148"/>
      <c r="L5" s="152" t="s">
        <v>63</v>
      </c>
      <c r="M5" s="154" t="s">
        <v>64</v>
      </c>
      <c r="N5" s="154" t="s">
        <v>65</v>
      </c>
      <c r="O5" s="154" t="s">
        <v>66</v>
      </c>
      <c r="P5" s="154" t="s">
        <v>67</v>
      </c>
      <c r="Q5" s="154" t="s">
        <v>68</v>
      </c>
      <c r="R5" s="147" t="s">
        <v>69</v>
      </c>
      <c r="S5" s="148"/>
      <c r="T5" s="121"/>
      <c r="V5" s="152" t="s">
        <v>63</v>
      </c>
      <c r="W5" s="154" t="s">
        <v>64</v>
      </c>
      <c r="X5" s="154" t="s">
        <v>65</v>
      </c>
      <c r="Y5" s="154" t="s">
        <v>66</v>
      </c>
      <c r="Z5" s="154" t="s">
        <v>67</v>
      </c>
      <c r="AA5" s="154" t="s">
        <v>68</v>
      </c>
      <c r="AB5" s="147" t="s">
        <v>69</v>
      </c>
      <c r="AC5" s="148"/>
      <c r="AF5" s="152" t="s">
        <v>63</v>
      </c>
      <c r="AG5" s="154" t="s">
        <v>64</v>
      </c>
      <c r="AH5" s="154" t="s">
        <v>65</v>
      </c>
      <c r="AI5" s="154" t="s">
        <v>66</v>
      </c>
      <c r="AJ5" s="154" t="s">
        <v>67</v>
      </c>
      <c r="AK5" s="154" t="s">
        <v>68</v>
      </c>
      <c r="AL5" s="147" t="s">
        <v>69</v>
      </c>
      <c r="AM5" s="148"/>
    </row>
    <row r="6" spans="2:39">
      <c r="B6" s="153"/>
      <c r="C6" s="155"/>
      <c r="D6" s="155"/>
      <c r="E6" s="155"/>
      <c r="F6" s="155"/>
      <c r="G6" s="155"/>
      <c r="H6" s="114" t="s">
        <v>70</v>
      </c>
      <c r="I6" s="123" t="s">
        <v>51</v>
      </c>
      <c r="L6" s="153"/>
      <c r="M6" s="155"/>
      <c r="N6" s="155"/>
      <c r="O6" s="155"/>
      <c r="P6" s="155"/>
      <c r="Q6" s="155"/>
      <c r="R6" s="114" t="s">
        <v>70</v>
      </c>
      <c r="S6" s="123" t="s">
        <v>51</v>
      </c>
      <c r="T6" s="121"/>
      <c r="V6" s="153"/>
      <c r="W6" s="155"/>
      <c r="X6" s="155"/>
      <c r="Y6" s="155"/>
      <c r="Z6" s="155"/>
      <c r="AA6" s="155"/>
      <c r="AB6" s="114" t="s">
        <v>70</v>
      </c>
      <c r="AC6" s="123" t="s">
        <v>51</v>
      </c>
      <c r="AF6" s="153"/>
      <c r="AG6" s="155"/>
      <c r="AH6" s="155"/>
      <c r="AI6" s="155"/>
      <c r="AJ6" s="155"/>
      <c r="AK6" s="155"/>
      <c r="AL6" s="114" t="s">
        <v>70</v>
      </c>
      <c r="AM6" s="123" t="s">
        <v>51</v>
      </c>
    </row>
    <row r="7" spans="2:39">
      <c r="B7" s="122">
        <v>1</v>
      </c>
      <c r="C7" s="114" t="s">
        <v>71</v>
      </c>
      <c r="D7" s="120">
        <f>($I$3/24)*((24/B7)^(2/3))</f>
        <v>42.741215715433349</v>
      </c>
      <c r="E7" s="120">
        <f>D7*B7</f>
        <v>42.741215715433349</v>
      </c>
      <c r="F7" s="120">
        <f>E7</f>
        <v>42.741215715433349</v>
      </c>
      <c r="G7" s="119">
        <f>(F7*100)/$F$19</f>
        <v>43.679023236814949</v>
      </c>
      <c r="H7" s="119">
        <f>G18</f>
        <v>2.8587219458090392</v>
      </c>
      <c r="I7" s="118">
        <f>(H7*$I$3)/100</f>
        <v>3.5244325253295905</v>
      </c>
      <c r="L7" s="122">
        <v>1</v>
      </c>
      <c r="M7" s="114" t="s">
        <v>71</v>
      </c>
      <c r="N7" s="120">
        <f>($S$3/24)*((24/L7)^(2/3))</f>
        <v>44.878155162982004</v>
      </c>
      <c r="O7" s="120">
        <f>N7*L7</f>
        <v>44.878155162982004</v>
      </c>
      <c r="P7" s="120">
        <f>O7</f>
        <v>44.878155162982004</v>
      </c>
      <c r="Q7" s="119">
        <f>(P7*100)/$P$19</f>
        <v>43.679023236814949</v>
      </c>
      <c r="R7" s="119">
        <f>Q18</f>
        <v>2.8587219458090578</v>
      </c>
      <c r="S7" s="118">
        <f>(R7*$S$3)/100</f>
        <v>3.7006441460692834</v>
      </c>
      <c r="T7" s="121"/>
      <c r="V7" s="122">
        <v>1</v>
      </c>
      <c r="W7" s="114" t="s">
        <v>71</v>
      </c>
      <c r="X7" s="120">
        <f>($AC$3/24)*((24/V7)^(2/3))</f>
        <v>47.015441291167839</v>
      </c>
      <c r="Y7" s="120">
        <f>X7*V7</f>
        <v>47.015441291167839</v>
      </c>
      <c r="Z7" s="120">
        <f>Y7</f>
        <v>47.015441291167839</v>
      </c>
      <c r="AA7" s="119">
        <f>(Z7*100)/$Z$19</f>
        <v>43.679023236814949</v>
      </c>
      <c r="AB7" s="119">
        <f>AA18</f>
        <v>2.8587219458090498</v>
      </c>
      <c r="AC7" s="118">
        <f>(AB7*$AC$3)/100</f>
        <v>3.8768843540284013</v>
      </c>
      <c r="AF7" s="122">
        <v>1</v>
      </c>
      <c r="AG7" s="114" t="s">
        <v>71</v>
      </c>
      <c r="AH7" s="120">
        <f>($AM$3/24)*((24/AF7)^(2/3))</f>
        <v>51.289320186265144</v>
      </c>
      <c r="AI7" s="120">
        <f>AH7*AF7</f>
        <v>51.289320186265144</v>
      </c>
      <c r="AJ7" s="120">
        <f>AI7</f>
        <v>51.289320186265144</v>
      </c>
      <c r="AK7" s="119">
        <f>(AJ7*100)/$AJ$19</f>
        <v>43.679023236814942</v>
      </c>
      <c r="AL7" s="119">
        <f>AK18</f>
        <v>2.8587219458090578</v>
      </c>
      <c r="AM7" s="118">
        <f>(AL7*$AM$3)/100</f>
        <v>4.2293075955077519</v>
      </c>
    </row>
    <row r="8" spans="2:39">
      <c r="B8" s="122">
        <v>2</v>
      </c>
      <c r="C8" s="114" t="s">
        <v>72</v>
      </c>
      <c r="D8" s="120">
        <f>($I$3/24)*((24/B8)^(2/3))</f>
        <v>26.925278688986023</v>
      </c>
      <c r="E8" s="120">
        <f>D8*B8</f>
        <v>53.850557377972045</v>
      </c>
      <c r="F8" s="120">
        <f>E8-E7</f>
        <v>11.109341662538696</v>
      </c>
      <c r="G8" s="119">
        <f>(F8*100)/$F$19</f>
        <v>11.353097578095511</v>
      </c>
      <c r="H8" s="119">
        <f>G16</f>
        <v>3.2475732464958726</v>
      </c>
      <c r="I8" s="118">
        <f>(H8*$I$3)/100</f>
        <v>4.0038356284073666</v>
      </c>
      <c r="L8" s="122">
        <v>2</v>
      </c>
      <c r="M8" s="114" t="s">
        <v>72</v>
      </c>
      <c r="N8" s="120">
        <f>($S$3/24)*((24/L8)^(2/3))</f>
        <v>28.271466185144657</v>
      </c>
      <c r="O8" s="120">
        <f>N8*L8</f>
        <v>56.542932370289314</v>
      </c>
      <c r="P8" s="120">
        <f>O8-O7</f>
        <v>11.66477720730731</v>
      </c>
      <c r="Q8" s="119">
        <f>(P8*100)/$P$19</f>
        <v>11.353097578095507</v>
      </c>
      <c r="R8" s="119">
        <f>Q16</f>
        <v>3.247573246495874</v>
      </c>
      <c r="S8" s="118">
        <f>(R8*$S$3)/100</f>
        <v>4.2040160433213734</v>
      </c>
      <c r="T8" s="121"/>
      <c r="V8" s="122">
        <v>2</v>
      </c>
      <c r="W8" s="114" t="s">
        <v>72</v>
      </c>
      <c r="X8" s="120">
        <f>($AC$3/24)*((24/V8)^(2/3))</f>
        <v>29.617872076419481</v>
      </c>
      <c r="Y8" s="120">
        <f>X8*V8</f>
        <v>59.235744152838961</v>
      </c>
      <c r="Z8" s="120">
        <f>Y8-Y7</f>
        <v>12.220302861671122</v>
      </c>
      <c r="AA8" s="119">
        <f>(Z8*100)/$Z$19</f>
        <v>11.353097578095509</v>
      </c>
      <c r="AB8" s="119">
        <f>AA16</f>
        <v>3.2475732464958638</v>
      </c>
      <c r="AC8" s="118">
        <f>(AB8*$AC$3)/100</f>
        <v>4.4042289339678309</v>
      </c>
      <c r="AF8" s="122">
        <v>2</v>
      </c>
      <c r="AG8" s="114" t="s">
        <v>72</v>
      </c>
      <c r="AH8" s="120">
        <f>($AM$3/24)*((24/AF8)^(2/3))</f>
        <v>32.31024706873675</v>
      </c>
      <c r="AI8" s="120">
        <f>AH8*AF8</f>
        <v>64.6204941374735</v>
      </c>
      <c r="AJ8" s="120">
        <f>AI8-AI7</f>
        <v>13.331173951208356</v>
      </c>
      <c r="AK8" s="119">
        <f>(AJ8*100)/$AJ$19</f>
        <v>11.353097578095509</v>
      </c>
      <c r="AL8" s="119">
        <f>AK16</f>
        <v>3.2475732464958549</v>
      </c>
      <c r="AM8" s="118">
        <f>(AL8*$AM$3)/100</f>
        <v>4.8045897637958275</v>
      </c>
    </row>
    <row r="9" spans="2:39">
      <c r="B9" s="122">
        <v>3</v>
      </c>
      <c r="C9" s="114" t="s">
        <v>73</v>
      </c>
      <c r="D9" s="120">
        <f>($I$3/24)*((24/B9)^(2/3))</f>
        <v>20.54783333333333</v>
      </c>
      <c r="E9" s="120">
        <f>D9*B9</f>
        <v>61.643499999999989</v>
      </c>
      <c r="F9" s="120">
        <f>E9-E8</f>
        <v>7.7929426220279439</v>
      </c>
      <c r="G9" s="119">
        <f>(F9*100)/$F$19</f>
        <v>7.9639316798331974</v>
      </c>
      <c r="H9" s="119">
        <f>G14</f>
        <v>3.803080890886799</v>
      </c>
      <c r="I9" s="118">
        <f>(H9*$I$3)/100</f>
        <v>4.6887043379476081</v>
      </c>
      <c r="L9" s="122">
        <v>3</v>
      </c>
      <c r="M9" s="114" t="s">
        <v>73</v>
      </c>
      <c r="N9" s="120">
        <f>($S$3/24)*((24/L9)^(2/3))</f>
        <v>21.575166666666661</v>
      </c>
      <c r="O9" s="120">
        <f>N9*L9</f>
        <v>64.725499999999982</v>
      </c>
      <c r="P9" s="120">
        <f>O9-O8</f>
        <v>8.1825676297106682</v>
      </c>
      <c r="Q9" s="119">
        <f>(P9*100)/$P$19</f>
        <v>7.9639316798331956</v>
      </c>
      <c r="R9" s="119">
        <f>Q14</f>
        <v>3.8030808908868088</v>
      </c>
      <c r="S9" s="118">
        <f>(R9*$S$3)/100</f>
        <v>4.9231262440618826</v>
      </c>
      <c r="T9" s="121"/>
      <c r="V9" s="122">
        <v>3</v>
      </c>
      <c r="W9" s="114" t="s">
        <v>73</v>
      </c>
      <c r="X9" s="120">
        <f>($AC$3/24)*((24/V9)^(2/3))</f>
        <v>22.602666666666664</v>
      </c>
      <c r="Y9" s="120">
        <f>X9*V9</f>
        <v>67.807999999999993</v>
      </c>
      <c r="Z9" s="120">
        <f>Y9-Y8</f>
        <v>8.5722558471610313</v>
      </c>
      <c r="AA9" s="119">
        <f>(Z9*100)/$Z$19</f>
        <v>7.9639316798332009</v>
      </c>
      <c r="AB9" s="119">
        <f>AA14</f>
        <v>3.8030808908868128</v>
      </c>
      <c r="AC9" s="118">
        <f>(AB9*$AC$3)/100</f>
        <v>5.1575861809850609</v>
      </c>
      <c r="AF9" s="122">
        <v>3</v>
      </c>
      <c r="AG9" s="114" t="s">
        <v>73</v>
      </c>
      <c r="AH9" s="120">
        <f>($AM$3/24)*((24/AF9)^(2/3))</f>
        <v>24.657333333333323</v>
      </c>
      <c r="AI9" s="120">
        <f>AH9*AF9</f>
        <v>73.971999999999966</v>
      </c>
      <c r="AJ9" s="120">
        <f>AI9-AI8</f>
        <v>9.3515058625264658</v>
      </c>
      <c r="AK9" s="119">
        <f>(AJ9*100)/$AJ$19</f>
        <v>7.9639316798331858</v>
      </c>
      <c r="AL9" s="119">
        <f>AK14</f>
        <v>3.8030808908868052</v>
      </c>
      <c r="AM9" s="118">
        <f>(AL9*$AM$3)/100</f>
        <v>5.6264299932135744</v>
      </c>
    </row>
    <row r="10" spans="2:39">
      <c r="B10" s="122">
        <v>4</v>
      </c>
      <c r="C10" s="114" t="s">
        <v>74</v>
      </c>
      <c r="D10" s="120">
        <f>($I$3/24)*((24/B10)^(2/3))</f>
        <v>16.961862697269659</v>
      </c>
      <c r="E10" s="120">
        <f>D10*B10</f>
        <v>67.847450789078636</v>
      </c>
      <c r="F10" s="120">
        <f>E10-E9</f>
        <v>6.2039507890786467</v>
      </c>
      <c r="G10" s="119">
        <f>(F10*100)/$F$19</f>
        <v>6.3400749403198207</v>
      </c>
      <c r="H10" s="119">
        <f>G12</f>
        <v>4.679973489123892</v>
      </c>
      <c r="I10" s="118">
        <f>(H10*$I$3)/100</f>
        <v>5.7697989155361737</v>
      </c>
      <c r="L10" s="122">
        <v>4</v>
      </c>
      <c r="M10" s="114" t="s">
        <v>74</v>
      </c>
      <c r="N10" s="120">
        <f>($S$3/24)*((24/L10)^(2/3))</f>
        <v>17.809907679027425</v>
      </c>
      <c r="O10" s="120">
        <f>N10*L10</f>
        <v>71.239630716109701</v>
      </c>
      <c r="P10" s="120">
        <f>O10-O9</f>
        <v>6.5141307161097188</v>
      </c>
      <c r="Q10" s="119">
        <f>(P10*100)/$P$19</f>
        <v>6.3400749403198127</v>
      </c>
      <c r="R10" s="119">
        <f>Q12</f>
        <v>4.6799734891238893</v>
      </c>
      <c r="S10" s="118">
        <f>(R10*$S$3)/100</f>
        <v>6.0582724814057656</v>
      </c>
      <c r="T10" s="121"/>
      <c r="V10" s="122">
        <v>4</v>
      </c>
      <c r="W10" s="114" t="s">
        <v>74</v>
      </c>
      <c r="X10" s="120">
        <f>($AC$3/24)*((24/V10)^(2/3))</f>
        <v>18.658090241087237</v>
      </c>
      <c r="Y10" s="120">
        <f>X10*V10</f>
        <v>74.632360964348948</v>
      </c>
      <c r="Z10" s="120">
        <f>Y10-Y9</f>
        <v>6.8243609643489549</v>
      </c>
      <c r="AA10" s="119">
        <f>(Z10*100)/$Z$19</f>
        <v>6.3400749403198189</v>
      </c>
      <c r="AB10" s="119">
        <f>AA12</f>
        <v>4.6799734891239</v>
      </c>
      <c r="AC10" s="118">
        <f>(AB10*$AC$3)/100</f>
        <v>6.3467928470102688</v>
      </c>
      <c r="AF10" s="122">
        <v>4</v>
      </c>
      <c r="AG10" s="114" t="s">
        <v>74</v>
      </c>
      <c r="AH10" s="120">
        <f>($AM$3/24)*((24/AF10)^(2/3))</f>
        <v>20.354180204602773</v>
      </c>
      <c r="AI10" s="120">
        <f>AH10*AF10</f>
        <v>81.416720818411093</v>
      </c>
      <c r="AJ10" s="120">
        <f>AI10-AI9</f>
        <v>7.4447208184111275</v>
      </c>
      <c r="AK10" s="119">
        <f>(AJ10*100)/$AJ$19</f>
        <v>6.3400749403198295</v>
      </c>
      <c r="AL10" s="119">
        <f>AK12</f>
        <v>4.6799734891238822</v>
      </c>
      <c r="AM10" s="118">
        <f>(AL10*$AM$3)/100</f>
        <v>6.9237399787494356</v>
      </c>
    </row>
    <row r="11" spans="2:39">
      <c r="B11" s="122">
        <v>5</v>
      </c>
      <c r="C11" s="114" t="s">
        <v>75</v>
      </c>
      <c r="D11" s="120">
        <f>($I$3/24)*((24/B11)^(2/3))</f>
        <v>14.617290161022211</v>
      </c>
      <c r="E11" s="120">
        <f>D11*B11</f>
        <v>73.086450805111056</v>
      </c>
      <c r="F11" s="120">
        <f>E11-E10</f>
        <v>5.2390000160324206</v>
      </c>
      <c r="G11" s="119">
        <f>(F11*100)/$F$19</f>
        <v>5.3539516742226079</v>
      </c>
      <c r="H11" s="119">
        <f>G10</f>
        <v>6.3400749403198207</v>
      </c>
      <c r="I11" s="118">
        <f>(H11*$I$3)/100</f>
        <v>7.8164881916720983</v>
      </c>
      <c r="L11" s="122">
        <v>5</v>
      </c>
      <c r="M11" s="114" t="s">
        <v>75</v>
      </c>
      <c r="N11" s="120">
        <f>($S$3/24)*((24/L11)^(2/3))</f>
        <v>15.348113171984767</v>
      </c>
      <c r="O11" s="120">
        <f>N11*L11</f>
        <v>76.740565859923834</v>
      </c>
      <c r="P11" s="120">
        <f>O11-O10</f>
        <v>5.5009351438141323</v>
      </c>
      <c r="Q11" s="119">
        <f>(P11*100)/$P$19</f>
        <v>5.3539516742226079</v>
      </c>
      <c r="R11" s="119">
        <f>Q10</f>
        <v>6.3400749403198127</v>
      </c>
      <c r="S11" s="118">
        <f>(R11*$S$3)/100</f>
        <v>8.2072904109934015</v>
      </c>
      <c r="T11" s="121"/>
      <c r="V11" s="122">
        <v>5</v>
      </c>
      <c r="W11" s="114" t="s">
        <v>75</v>
      </c>
      <c r="X11" s="120">
        <f>($AC$3/24)*((24/V11)^(2/3))</f>
        <v>16.079054746057476</v>
      </c>
      <c r="Y11" s="120">
        <f>X11*V11</f>
        <v>80.395273730287386</v>
      </c>
      <c r="Z11" s="120">
        <f>Y11-Y10</f>
        <v>5.762912765938438</v>
      </c>
      <c r="AA11" s="119">
        <f>(Z11*100)/$Z$19</f>
        <v>5.3539516742226025</v>
      </c>
      <c r="AB11" s="119">
        <f>AA10</f>
        <v>6.3400749403198189</v>
      </c>
      <c r="AC11" s="118">
        <f>(AB11*$AC$3)/100</f>
        <v>8.5981560310641267</v>
      </c>
      <c r="AF11" s="122">
        <v>5</v>
      </c>
      <c r="AG11" s="114" t="s">
        <v>75</v>
      </c>
      <c r="AH11" s="120">
        <f>($AM$3/24)*((24/AF11)^(2/3))</f>
        <v>17.540700767982592</v>
      </c>
      <c r="AI11" s="120">
        <f>AH11*AF11</f>
        <v>87.703503839912969</v>
      </c>
      <c r="AJ11" s="120">
        <f>AI11-AI10</f>
        <v>6.2867830215018756</v>
      </c>
      <c r="AK11" s="119">
        <f>(AJ11*100)/$AJ$19</f>
        <v>5.3539516742226168</v>
      </c>
      <c r="AL11" s="119">
        <f>AK10</f>
        <v>6.3400749403198295</v>
      </c>
      <c r="AM11" s="118">
        <f>(AL11*$AM$3)/100</f>
        <v>9.3797604697067669</v>
      </c>
    </row>
    <row r="12" spans="2:39">
      <c r="B12" s="122">
        <v>6</v>
      </c>
      <c r="C12" s="114" t="s">
        <v>76</v>
      </c>
      <c r="D12" s="120">
        <f>($I$3/24)*((24/B12)^(2/3))</f>
        <v>12.944323873199099</v>
      </c>
      <c r="E12" s="120">
        <f>D12*B12</f>
        <v>77.665943239194604</v>
      </c>
      <c r="F12" s="120">
        <f>E12-E11</f>
        <v>4.5794924340835479</v>
      </c>
      <c r="G12" s="119">
        <f>(F12*100)/$F$19</f>
        <v>4.679973489123892</v>
      </c>
      <c r="H12" s="119">
        <f>G8</f>
        <v>11.353097578095511</v>
      </c>
      <c r="I12" s="118">
        <f>(H12*$I$3)/100</f>
        <v>13.996893411106614</v>
      </c>
      <c r="L12" s="122">
        <v>6</v>
      </c>
      <c r="M12" s="114" t="s">
        <v>76</v>
      </c>
      <c r="N12" s="120">
        <f>($S$3/24)*((24/L12)^(2/3))</f>
        <v>13.591503319161765</v>
      </c>
      <c r="O12" s="120">
        <f>N12*L12</f>
        <v>81.549019914970586</v>
      </c>
      <c r="P12" s="120">
        <f>O12-O11</f>
        <v>4.8084540550467523</v>
      </c>
      <c r="Q12" s="119">
        <f>(P12*100)/$P$19</f>
        <v>4.6799734891238893</v>
      </c>
      <c r="R12" s="119">
        <f>Q8</f>
        <v>11.353097578095507</v>
      </c>
      <c r="S12" s="118">
        <f>(R12*$S$3)/100</f>
        <v>14.696698345820414</v>
      </c>
      <c r="T12" s="121"/>
      <c r="V12" s="122">
        <v>6</v>
      </c>
      <c r="W12" s="114" t="s">
        <v>76</v>
      </c>
      <c r="X12" s="120">
        <f>($AC$3/24)*((24/V12)^(2/3))</f>
        <v>14.238787758545259</v>
      </c>
      <c r="Y12" s="120">
        <f>X12*V12</f>
        <v>85.432726551271557</v>
      </c>
      <c r="Z12" s="120">
        <f>Y12-Y11</f>
        <v>5.0374528209841714</v>
      </c>
      <c r="AA12" s="119">
        <f>(Z12*100)/$Z$19</f>
        <v>4.6799734891239</v>
      </c>
      <c r="AB12" s="119">
        <f>AA8</f>
        <v>11.353097578095509</v>
      </c>
      <c r="AC12" s="118">
        <f>(AB12*$AC$3)/100</f>
        <v>15.396616811510007</v>
      </c>
      <c r="AF12" s="122">
        <v>6</v>
      </c>
      <c r="AG12" s="114" t="s">
        <v>76</v>
      </c>
      <c r="AH12" s="120">
        <f>($AM$3/24)*((24/AF12)^(2/3))</f>
        <v>15.533146650470588</v>
      </c>
      <c r="AI12" s="120">
        <f>AH12*AF12</f>
        <v>93.198879902823535</v>
      </c>
      <c r="AJ12" s="120">
        <f>AI12-AI11</f>
        <v>5.4953760629105659</v>
      </c>
      <c r="AK12" s="119">
        <f>(AJ12*100)/$AJ$19</f>
        <v>4.6799734891238822</v>
      </c>
      <c r="AL12" s="119">
        <f>AK8</f>
        <v>11.353097578095509</v>
      </c>
      <c r="AM12" s="118">
        <f>(AL12*$AM$3)/100</f>
        <v>16.796226680937618</v>
      </c>
    </row>
    <row r="13" spans="2:39">
      <c r="B13" s="122">
        <v>7</v>
      </c>
      <c r="C13" s="114" t="s">
        <v>77</v>
      </c>
      <c r="D13" s="120">
        <f>($I$3/24)*((24/B13)^(2/3))</f>
        <v>11.680143475950535</v>
      </c>
      <c r="E13" s="120">
        <f>D13*B13</f>
        <v>81.761004331653751</v>
      </c>
      <c r="F13" s="120">
        <f>E13-E12</f>
        <v>4.0950610924591473</v>
      </c>
      <c r="G13" s="119">
        <f>(F13*100)/$F$19</f>
        <v>4.1849129843331223</v>
      </c>
      <c r="H13" s="119">
        <f>G7</f>
        <v>43.679023236814949</v>
      </c>
      <c r="I13" s="118">
        <f>(H13*$I$3)/100</f>
        <v>53.850557377972045</v>
      </c>
      <c r="L13" s="122">
        <v>7</v>
      </c>
      <c r="M13" s="114" t="s">
        <v>77</v>
      </c>
      <c r="N13" s="120">
        <f>($S$3/24)*((24/L13)^(2/3))</f>
        <v>12.264117490937995</v>
      </c>
      <c r="O13" s="120">
        <f>N13*L13</f>
        <v>85.848822436565968</v>
      </c>
      <c r="P13" s="120">
        <f>O13-O12</f>
        <v>4.2998025215953817</v>
      </c>
      <c r="Q13" s="119">
        <f>(P13*100)/$P$19</f>
        <v>4.1849129843331276</v>
      </c>
      <c r="R13" s="119">
        <f>Q7</f>
        <v>43.679023236814949</v>
      </c>
      <c r="S13" s="118">
        <f>(R13*$S$3)/100</f>
        <v>56.542932370289321</v>
      </c>
      <c r="T13" s="121"/>
      <c r="V13" s="122">
        <v>7</v>
      </c>
      <c r="W13" s="114" t="s">
        <v>77</v>
      </c>
      <c r="X13" s="120">
        <f>($AC$3/24)*((24/V13)^(2/3))</f>
        <v>12.848186245382788</v>
      </c>
      <c r="Y13" s="120">
        <f>X13*V13</f>
        <v>89.937303717679512</v>
      </c>
      <c r="Z13" s="120">
        <f>Y13-Y12</f>
        <v>4.5045771664079552</v>
      </c>
      <c r="AA13" s="119">
        <f>(Z13*100)/$Z$19</f>
        <v>4.1849129843331054</v>
      </c>
      <c r="AB13" s="119">
        <f>AA7</f>
        <v>43.679023236814949</v>
      </c>
      <c r="AC13" s="118">
        <f>(AB13*$AC$3)/100</f>
        <v>59.235744152838969</v>
      </c>
      <c r="AF13" s="122">
        <v>7</v>
      </c>
      <c r="AG13" s="114" t="s">
        <v>77</v>
      </c>
      <c r="AH13" s="120">
        <f>($AM$3/24)*((24/AF13)^(2/3))</f>
        <v>14.016134275357707</v>
      </c>
      <c r="AI13" s="120">
        <f>AH13*AF13</f>
        <v>98.112939927503959</v>
      </c>
      <c r="AJ13" s="120">
        <f>AI13-AI12</f>
        <v>4.914060024680424</v>
      </c>
      <c r="AK13" s="119">
        <f>(AJ13*100)/$AJ$19</f>
        <v>4.184912984333117</v>
      </c>
      <c r="AL13" s="119">
        <f>AK7</f>
        <v>43.679023236814942</v>
      </c>
      <c r="AM13" s="118">
        <f>(AL13*$AM$3)/100</f>
        <v>64.620494137473486</v>
      </c>
    </row>
    <row r="14" spans="2:39">
      <c r="B14" s="122">
        <v>8</v>
      </c>
      <c r="C14" s="114" t="s">
        <v>78</v>
      </c>
      <c r="D14" s="120">
        <f>($I$3/24)*((24/B14)^(2/3))</f>
        <v>10.685303928858337</v>
      </c>
      <c r="E14" s="120">
        <f>D14*B14</f>
        <v>85.482431430866697</v>
      </c>
      <c r="F14" s="120">
        <f>E14-E13</f>
        <v>3.7214270992129457</v>
      </c>
      <c r="G14" s="119">
        <f>(F14*100)/$F$19</f>
        <v>3.803080890886799</v>
      </c>
      <c r="H14" s="119">
        <f>G9</f>
        <v>7.9639316798331974</v>
      </c>
      <c r="I14" s="118">
        <f>(H14*$I$3)/100</f>
        <v>9.8184924501159543</v>
      </c>
      <c r="L14" s="122">
        <v>8</v>
      </c>
      <c r="M14" s="114" t="s">
        <v>78</v>
      </c>
      <c r="N14" s="120">
        <f>($S$3/24)*((24/L14)^(2/3))</f>
        <v>11.219538790745501</v>
      </c>
      <c r="O14" s="120">
        <f>N14*L14</f>
        <v>89.756310325964009</v>
      </c>
      <c r="P14" s="120">
        <f>O14-O13</f>
        <v>3.9074878893980411</v>
      </c>
      <c r="Q14" s="119">
        <f>(P14*100)/$P$19</f>
        <v>3.8030808908868088</v>
      </c>
      <c r="R14" s="119">
        <f>Q9</f>
        <v>7.9639316798331956</v>
      </c>
      <c r="S14" s="118">
        <f>(R14*$S$3)/100</f>
        <v>10.30938919886087</v>
      </c>
      <c r="T14" s="121"/>
      <c r="V14" s="122">
        <v>8</v>
      </c>
      <c r="W14" s="114" t="s">
        <v>78</v>
      </c>
      <c r="X14" s="120">
        <f>($AC$3/24)*((24/V14)^(2/3))</f>
        <v>11.75386032279196</v>
      </c>
      <c r="Y14" s="120">
        <f>X14*V14</f>
        <v>94.030882582335678</v>
      </c>
      <c r="Z14" s="120">
        <f>Y14-Y13</f>
        <v>4.0935788646561662</v>
      </c>
      <c r="AA14" s="119">
        <f>(Z14*100)/$Z$19</f>
        <v>3.8030808908868128</v>
      </c>
      <c r="AB14" s="119">
        <f>AA9</f>
        <v>7.9639316798332009</v>
      </c>
      <c r="AC14" s="118">
        <f>(AB14*$AC$3)/100</f>
        <v>10.800365586922593</v>
      </c>
      <c r="AF14" s="122">
        <v>8</v>
      </c>
      <c r="AG14" s="114" t="s">
        <v>78</v>
      </c>
      <c r="AH14" s="120">
        <f>($AM$3/24)*((24/AF14)^(2/3))</f>
        <v>12.822330046566286</v>
      </c>
      <c r="AI14" s="120">
        <f>AH14*AF14</f>
        <v>102.57864037253029</v>
      </c>
      <c r="AJ14" s="120">
        <f>AI14-AI13</f>
        <v>4.4657004450263287</v>
      </c>
      <c r="AK14" s="119">
        <f>(AJ14*100)/$AJ$19</f>
        <v>3.8030808908868052</v>
      </c>
      <c r="AL14" s="119">
        <f>AK9</f>
        <v>7.9639316798331858</v>
      </c>
      <c r="AM14" s="118">
        <f>(AL14*$AM$3)/100</f>
        <v>11.782159084412408</v>
      </c>
    </row>
    <row r="15" spans="2:39">
      <c r="B15" s="122">
        <v>9</v>
      </c>
      <c r="C15" s="114" t="s">
        <v>79</v>
      </c>
      <c r="D15" s="120">
        <f>($I$3/24)*((24/B15)^(2/3))</f>
        <v>9.8783679319160811</v>
      </c>
      <c r="E15" s="120">
        <f>D15*B15</f>
        <v>88.905311387244723</v>
      </c>
      <c r="F15" s="120">
        <f>E15-E14</f>
        <v>3.4228799563780257</v>
      </c>
      <c r="G15" s="119">
        <f>(F15*100)/$F$19</f>
        <v>3.4979831679770945</v>
      </c>
      <c r="H15" s="119">
        <f>G11</f>
        <v>5.3539516742226079</v>
      </c>
      <c r="I15" s="118">
        <f>(H15*$I$3)/100</f>
        <v>6.6007264005988269</v>
      </c>
      <c r="L15" s="122">
        <v>9</v>
      </c>
      <c r="M15" s="114" t="s">
        <v>79</v>
      </c>
      <c r="N15" s="120">
        <f>($S$3/24)*((24/L15)^(2/3))</f>
        <v>10.372258284770238</v>
      </c>
      <c r="O15" s="120">
        <f>N15*L15</f>
        <v>93.350324562932144</v>
      </c>
      <c r="P15" s="120">
        <f>O15-O14</f>
        <v>3.5940142369681354</v>
      </c>
      <c r="Q15" s="119">
        <f>(P15*100)/$P$19</f>
        <v>3.4979831679770843</v>
      </c>
      <c r="R15" s="119">
        <f>Q11</f>
        <v>5.3539516742226079</v>
      </c>
      <c r="S15" s="118">
        <f>(R15*$S$3)/100</f>
        <v>6.9307439817979084</v>
      </c>
      <c r="T15" s="121"/>
      <c r="V15" s="122">
        <v>9</v>
      </c>
      <c r="W15" s="114" t="s">
        <v>79</v>
      </c>
      <c r="X15" s="120">
        <f>($AC$3/24)*((24/V15)^(2/3))</f>
        <v>10.866228762600528</v>
      </c>
      <c r="Y15" s="120">
        <f>X15*V15</f>
        <v>97.796058863404753</v>
      </c>
      <c r="Z15" s="120">
        <f>Y15-Y14</f>
        <v>3.7651762810690741</v>
      </c>
      <c r="AA15" s="119">
        <f>(Z15*100)/$Z$19</f>
        <v>3.497983167977099</v>
      </c>
      <c r="AB15" s="119">
        <f>AA11</f>
        <v>5.3539516742226025</v>
      </c>
      <c r="AC15" s="118">
        <f>(AB15*$AC$3)/100</f>
        <v>7.2608151025137246</v>
      </c>
      <c r="AF15" s="122">
        <v>9</v>
      </c>
      <c r="AG15" s="114" t="s">
        <v>79</v>
      </c>
      <c r="AH15" s="120">
        <f>($AM$3/24)*((24/AF15)^(2/3))</f>
        <v>11.854009468308844</v>
      </c>
      <c r="AI15" s="120">
        <f>AH15*AF15</f>
        <v>106.6860852147796</v>
      </c>
      <c r="AJ15" s="120">
        <f>AI15-AI14</f>
        <v>4.1074448422493077</v>
      </c>
      <c r="AK15" s="119">
        <f>(AJ15*100)/$AJ$19</f>
        <v>3.4979831679770927</v>
      </c>
      <c r="AL15" s="119">
        <f>AK11</f>
        <v>5.3539516742226168</v>
      </c>
      <c r="AM15" s="118">
        <f>(AL15*$AM$3)/100</f>
        <v>7.9208502649119081</v>
      </c>
    </row>
    <row r="16" spans="2:39">
      <c r="B16" s="122">
        <v>10</v>
      </c>
      <c r="C16" s="114" t="s">
        <v>80</v>
      </c>
      <c r="D16" s="120">
        <f>($I$3/24)*((24/B16)^(2/3))</f>
        <v>9.2083157831465527</v>
      </c>
      <c r="E16" s="120">
        <f>D16*B16</f>
        <v>92.083157831465527</v>
      </c>
      <c r="F16" s="120">
        <f>E16-E15</f>
        <v>3.1778464442208048</v>
      </c>
      <c r="G16" s="119">
        <f>(F16*100)/$F$19</f>
        <v>3.2475732464958726</v>
      </c>
      <c r="H16" s="119">
        <f>G13</f>
        <v>4.1849129843331223</v>
      </c>
      <c r="I16" s="118">
        <f>(H16*$I$3)/100</f>
        <v>5.1594536709947771</v>
      </c>
      <c r="L16" s="122">
        <v>10</v>
      </c>
      <c r="M16" s="114" t="s">
        <v>80</v>
      </c>
      <c r="N16" s="120">
        <f>($S$3/24)*((24/L16)^(2/3))</f>
        <v>9.6687054307761908</v>
      </c>
      <c r="O16" s="120">
        <f>N16*L16</f>
        <v>96.687054307761912</v>
      </c>
      <c r="P16" s="120">
        <f>O16-O15</f>
        <v>3.3367297448297677</v>
      </c>
      <c r="Q16" s="119">
        <f>(P16*100)/$P$19</f>
        <v>3.247573246495874</v>
      </c>
      <c r="R16" s="119">
        <f>Q13</f>
        <v>4.1849129843331276</v>
      </c>
      <c r="S16" s="118">
        <f>(R16*$S$3)/100</f>
        <v>5.4174117073490766</v>
      </c>
      <c r="T16" s="121"/>
      <c r="V16" s="122">
        <v>10</v>
      </c>
      <c r="W16" s="114" t="s">
        <v>80</v>
      </c>
      <c r="X16" s="120">
        <f>($AC$3/24)*((24/V16)^(2/3))</f>
        <v>10.129169768484941</v>
      </c>
      <c r="Y16" s="120">
        <f>X16*V16</f>
        <v>101.29169768484941</v>
      </c>
      <c r="Z16" s="120">
        <f>Y16-Y15</f>
        <v>3.4956388214446577</v>
      </c>
      <c r="AA16" s="119">
        <f>(Z16*100)/$Z$19</f>
        <v>3.2475732464958638</v>
      </c>
      <c r="AB16" s="119">
        <f>AA13</f>
        <v>4.1849129843331054</v>
      </c>
      <c r="AC16" s="118">
        <f>(AB16*$AC$3)/100</f>
        <v>5.6754115928331847</v>
      </c>
      <c r="AF16" s="122">
        <v>10</v>
      </c>
      <c r="AG16" s="114" t="s">
        <v>80</v>
      </c>
      <c r="AH16" s="120">
        <f>($AM$3/24)*((24/AF16)^(2/3))</f>
        <v>11.049949063744217</v>
      </c>
      <c r="AI16" s="120">
        <f>AH16*AF16</f>
        <v>110.49949063744216</v>
      </c>
      <c r="AJ16" s="120">
        <f>AI16-AI15</f>
        <v>3.8134054226625693</v>
      </c>
      <c r="AK16" s="119">
        <f>(AJ16*100)/$AJ$19</f>
        <v>3.2475732464958549</v>
      </c>
      <c r="AL16" s="119">
        <f>AK13</f>
        <v>4.184912984333117</v>
      </c>
      <c r="AM16" s="118">
        <f>(AL16*$AM$3)/100</f>
        <v>6.1913276655417864</v>
      </c>
    </row>
    <row r="17" spans="2:39">
      <c r="B17" s="122">
        <v>11</v>
      </c>
      <c r="C17" s="114" t="s">
        <v>81</v>
      </c>
      <c r="D17" s="120">
        <f>($I$3/24)*((24/B17)^(2/3))</f>
        <v>8.6414193452592833</v>
      </c>
      <c r="E17" s="120">
        <f>D17*B17</f>
        <v>95.05561279785212</v>
      </c>
      <c r="F17" s="120">
        <f>E17-E16</f>
        <v>2.9724549663865929</v>
      </c>
      <c r="G17" s="119">
        <f>(F17*100)/$F$19</f>
        <v>3.0376751660880927</v>
      </c>
      <c r="H17" s="119">
        <f>G15</f>
        <v>3.4979831679770945</v>
      </c>
      <c r="I17" s="118">
        <f>(H17*$I$3)/100</f>
        <v>4.3125585083039208</v>
      </c>
      <c r="L17" s="122">
        <v>11</v>
      </c>
      <c r="M17" s="114" t="s">
        <v>81</v>
      </c>
      <c r="N17" s="120">
        <f>($S$3/24)*((24/L17)^(2/3))</f>
        <v>9.0734657803593191</v>
      </c>
      <c r="O17" s="120">
        <f>N17*L17</f>
        <v>99.808123583952508</v>
      </c>
      <c r="P17" s="120">
        <f>O17-O16</f>
        <v>3.121069276190596</v>
      </c>
      <c r="Q17" s="119">
        <f>(P17*100)/$P$19</f>
        <v>3.0376751660880861</v>
      </c>
      <c r="R17" s="119">
        <f>Q15</f>
        <v>3.4979831679770843</v>
      </c>
      <c r="S17" s="118">
        <f>(R17*$S$3)/100</f>
        <v>4.5281741907780146</v>
      </c>
      <c r="T17" s="121"/>
      <c r="V17" s="122">
        <v>11</v>
      </c>
      <c r="W17" s="114" t="s">
        <v>81</v>
      </c>
      <c r="X17" s="120">
        <f>($AC$3/24)*((24/V17)^(2/3))</f>
        <v>9.5055823073534356</v>
      </c>
      <c r="Y17" s="120">
        <f>X17*V17</f>
        <v>104.56140538088779</v>
      </c>
      <c r="Z17" s="120">
        <f>Y17-Y16</f>
        <v>3.2697076960383811</v>
      </c>
      <c r="AA17" s="119">
        <f>(Z17*100)/$Z$19</f>
        <v>3.0376751660880901</v>
      </c>
      <c r="AB17" s="119">
        <f>AA15</f>
        <v>3.497983167977099</v>
      </c>
      <c r="AC17" s="118">
        <f>(AB17*$AC$3)/100</f>
        <v>4.7438248530838232</v>
      </c>
      <c r="AF17" s="122">
        <v>11</v>
      </c>
      <c r="AG17" s="114" t="s">
        <v>81</v>
      </c>
      <c r="AH17" s="120">
        <f>($AM$3/24)*((24/AF17)^(2/3))</f>
        <v>10.369675177553507</v>
      </c>
      <c r="AI17" s="120">
        <f>AH17*AF17</f>
        <v>114.06642695308858</v>
      </c>
      <c r="AJ17" s="120">
        <f>AI17-AI16</f>
        <v>3.5669363156464158</v>
      </c>
      <c r="AK17" s="119">
        <f>(AJ17*100)/$AJ$19</f>
        <v>3.0376751660881034</v>
      </c>
      <c r="AL17" s="119">
        <f>AK15</f>
        <v>3.4979831679770927</v>
      </c>
      <c r="AM17" s="118">
        <f>(AL17*$AM$3)/100</f>
        <v>5.1750562180320294</v>
      </c>
    </row>
    <row r="18" spans="2:39">
      <c r="B18" s="122">
        <v>12</v>
      </c>
      <c r="C18" s="114" t="s">
        <v>82</v>
      </c>
      <c r="D18" s="120">
        <f>($I$3/24)*((24/B18)^(2/3))</f>
        <v>8.154413062250141</v>
      </c>
      <c r="E18" s="120">
        <f>D18*B18</f>
        <v>97.852956747001684</v>
      </c>
      <c r="F18" s="120">
        <f>E18-E17</f>
        <v>2.797343949149564</v>
      </c>
      <c r="G18" s="119">
        <f>(F18*100)/$F$19</f>
        <v>2.8587219458090392</v>
      </c>
      <c r="H18" s="119">
        <f>G17</f>
        <v>3.0376751660880927</v>
      </c>
      <c r="I18" s="118">
        <f>(H18*$I$3)/100</f>
        <v>3.7450585820150271</v>
      </c>
      <c r="L18" s="122">
        <v>12</v>
      </c>
      <c r="M18" s="114" t="s">
        <v>82</v>
      </c>
      <c r="N18" s="120">
        <f>($S$3/24)*((24/L18)^(2/3))</f>
        <v>8.5621105657639731</v>
      </c>
      <c r="O18" s="120">
        <f>N18*L18</f>
        <v>102.74532678916768</v>
      </c>
      <c r="P18" s="120">
        <f>O18-O17</f>
        <v>2.9372032052151695</v>
      </c>
      <c r="Q18" s="119">
        <f>(P18*100)/$P$19</f>
        <v>2.8587219458090578</v>
      </c>
      <c r="R18" s="119">
        <f>Q17</f>
        <v>3.0376751660880861</v>
      </c>
      <c r="S18" s="118">
        <f>(R18*$S$3)/100</f>
        <v>3.9323008792526881</v>
      </c>
      <c r="T18" s="121"/>
      <c r="V18" s="122">
        <v>12</v>
      </c>
      <c r="W18" s="114" t="s">
        <v>82</v>
      </c>
      <c r="X18" s="120">
        <f>($AC$3/24)*((24/V18)^(2/3))</f>
        <v>8.969874210988305</v>
      </c>
      <c r="Y18" s="120">
        <f>X18*V18</f>
        <v>107.63849053185966</v>
      </c>
      <c r="Z18" s="120">
        <f>Y18-Y17</f>
        <v>3.0770851509718682</v>
      </c>
      <c r="AA18" s="119">
        <f>(Z18*100)/$Z$19</f>
        <v>2.8587219458090498</v>
      </c>
      <c r="AB18" s="119">
        <f>AA17</f>
        <v>3.0376751660880901</v>
      </c>
      <c r="AC18" s="118">
        <f>(AB18*$AC$3)/100</f>
        <v>4.1195735532420246</v>
      </c>
      <c r="AF18" s="122">
        <v>12</v>
      </c>
      <c r="AG18" s="114" t="s">
        <v>82</v>
      </c>
      <c r="AH18" s="120">
        <f>($AM$3/24)*((24/AF18)^(2/3))</f>
        <v>9.7852692180159693</v>
      </c>
      <c r="AI18" s="120">
        <f>AH18*AF18</f>
        <v>117.42323061619163</v>
      </c>
      <c r="AJ18" s="120">
        <f>AI18-AI17</f>
        <v>3.3568036631030509</v>
      </c>
      <c r="AK18" s="119">
        <f>(AJ18*100)/$AJ$19</f>
        <v>2.8587219458090578</v>
      </c>
      <c r="AL18" s="119">
        <f>AK17</f>
        <v>3.0376751660881034</v>
      </c>
      <c r="AM18" s="118">
        <f>(AL18*$AM$3)/100</f>
        <v>4.4940581477173831</v>
      </c>
    </row>
    <row r="19" spans="2:39">
      <c r="B19" s="149" t="s">
        <v>83</v>
      </c>
      <c r="C19" s="150"/>
      <c r="D19" s="150"/>
      <c r="E19" s="151"/>
      <c r="F19" s="120">
        <f>SUM(F7:F18)</f>
        <v>97.852956747001684</v>
      </c>
      <c r="G19" s="119">
        <f>(F19*100)/$F$19</f>
        <v>100</v>
      </c>
      <c r="H19" s="119">
        <f>SUM(H7:H18)</f>
        <v>100</v>
      </c>
      <c r="I19" s="118">
        <f>SUM(I7:I18)</f>
        <v>123.28700000000001</v>
      </c>
      <c r="L19" s="149" t="s">
        <v>83</v>
      </c>
      <c r="M19" s="150"/>
      <c r="N19" s="150"/>
      <c r="O19" s="151"/>
      <c r="P19" s="120">
        <f>SUM(P7:P18)</f>
        <v>102.74532678916768</v>
      </c>
      <c r="Q19" s="119">
        <f>(P19*100)/$P$19</f>
        <v>100</v>
      </c>
      <c r="R19" s="119">
        <f>SUM(R7:R18)</f>
        <v>100.00000000000001</v>
      </c>
      <c r="S19" s="118">
        <f>SUM(S7:S18)</f>
        <v>129.45099999999999</v>
      </c>
      <c r="T19" s="121"/>
      <c r="V19" s="149" t="s">
        <v>83</v>
      </c>
      <c r="W19" s="150"/>
      <c r="X19" s="150"/>
      <c r="Y19" s="151"/>
      <c r="Z19" s="120">
        <f>SUM(Z7:Z18)</f>
        <v>107.63849053185966</v>
      </c>
      <c r="AA19" s="119">
        <f>(Z19*100)/$Z$19</f>
        <v>100</v>
      </c>
      <c r="AB19" s="119">
        <f>SUM(AB7:AB18)</f>
        <v>100</v>
      </c>
      <c r="AC19" s="118">
        <f>SUM(AC7:AC18)</f>
        <v>135.61600000000004</v>
      </c>
      <c r="AF19" s="149" t="s">
        <v>83</v>
      </c>
      <c r="AG19" s="150"/>
      <c r="AH19" s="150"/>
      <c r="AI19" s="151"/>
      <c r="AJ19" s="120">
        <f>SUM(AJ7:AJ18)</f>
        <v>117.42323061619163</v>
      </c>
      <c r="AK19" s="119">
        <f>(AJ19*100)/$AJ$19</f>
        <v>100</v>
      </c>
      <c r="AL19" s="119">
        <f>SUM(AL7:AL18)</f>
        <v>100</v>
      </c>
      <c r="AM19" s="118">
        <f>SUM(AM7:AM18)</f>
        <v>147.94400000000002</v>
      </c>
    </row>
    <row r="20" spans="2:39">
      <c r="B20" s="127"/>
      <c r="I20" s="126"/>
      <c r="L20" s="127"/>
      <c r="S20" s="126"/>
      <c r="V20" s="127"/>
      <c r="AC20" s="126"/>
      <c r="AF20" s="127"/>
      <c r="AM20" s="126"/>
    </row>
    <row r="21" spans="2:39">
      <c r="B21" s="127"/>
      <c r="I21" s="126"/>
      <c r="L21" s="127"/>
      <c r="S21" s="126"/>
      <c r="V21" s="127"/>
      <c r="AC21" s="126"/>
      <c r="AF21" s="127"/>
      <c r="AM21" s="126"/>
    </row>
    <row r="22" spans="2:39" ht="15">
      <c r="B22" s="125"/>
      <c r="C22" s="112" t="s">
        <v>84</v>
      </c>
      <c r="D22" s="112"/>
      <c r="E22" s="112"/>
      <c r="F22" s="112"/>
      <c r="G22" s="113" t="s">
        <v>85</v>
      </c>
      <c r="H22" s="113"/>
      <c r="I22" s="126">
        <f>'[6]Design Rainfall'!D35</f>
        <v>147.98400000000001</v>
      </c>
      <c r="L22" s="125"/>
      <c r="M22" s="112" t="s">
        <v>84</v>
      </c>
      <c r="N22" s="112"/>
      <c r="O22" s="112"/>
      <c r="P22" s="112"/>
      <c r="Q22" s="113" t="s">
        <v>85</v>
      </c>
      <c r="R22" s="113"/>
      <c r="S22" s="126">
        <f>'[6]Design Rainfall'!E35</f>
        <v>155.38300000000001</v>
      </c>
      <c r="V22" s="125"/>
      <c r="W22" s="112" t="s">
        <v>84</v>
      </c>
      <c r="X22" s="112"/>
      <c r="Y22" s="112"/>
      <c r="Z22" s="112"/>
      <c r="AA22" s="113" t="s">
        <v>85</v>
      </c>
      <c r="AB22" s="113"/>
      <c r="AC22" s="126">
        <f>'[6]Design Rainfall'!F35</f>
        <v>162.78200000000001</v>
      </c>
      <c r="AF22" s="125"/>
      <c r="AG22" s="112" t="s">
        <v>84</v>
      </c>
      <c r="AH22" s="112"/>
      <c r="AI22" s="112"/>
      <c r="AJ22" s="112"/>
      <c r="AK22" s="113" t="s">
        <v>85</v>
      </c>
      <c r="AL22" s="113"/>
      <c r="AM22" s="126">
        <f>'[6]Design Rainfall'!G35</f>
        <v>177.58</v>
      </c>
    </row>
    <row r="23" spans="2:39" ht="15">
      <c r="B23" s="125"/>
      <c r="C23" s="112"/>
      <c r="D23" s="112"/>
      <c r="E23" s="112"/>
      <c r="F23" s="112"/>
      <c r="G23" s="112"/>
      <c r="H23" s="112"/>
      <c r="I23" s="124"/>
      <c r="L23" s="125"/>
      <c r="M23" s="112"/>
      <c r="N23" s="112"/>
      <c r="O23" s="112"/>
      <c r="P23" s="112"/>
      <c r="Q23" s="112"/>
      <c r="R23" s="112"/>
      <c r="S23" s="124"/>
      <c r="T23" s="111"/>
      <c r="V23" s="125"/>
      <c r="W23" s="112"/>
      <c r="X23" s="112"/>
      <c r="Y23" s="112"/>
      <c r="Z23" s="112"/>
      <c r="AA23" s="112"/>
      <c r="AB23" s="112"/>
      <c r="AC23" s="124"/>
      <c r="AF23" s="125"/>
      <c r="AG23" s="112"/>
      <c r="AH23" s="112"/>
      <c r="AI23" s="112"/>
      <c r="AJ23" s="112"/>
      <c r="AK23" s="112"/>
      <c r="AL23" s="112"/>
      <c r="AM23" s="124"/>
    </row>
    <row r="24" spans="2:39" ht="13.15" customHeight="1">
      <c r="B24" s="152" t="s">
        <v>63</v>
      </c>
      <c r="C24" s="154" t="s">
        <v>64</v>
      </c>
      <c r="D24" s="154" t="s">
        <v>65</v>
      </c>
      <c r="E24" s="154" t="s">
        <v>66</v>
      </c>
      <c r="F24" s="154" t="s">
        <v>67</v>
      </c>
      <c r="G24" s="154" t="s">
        <v>68</v>
      </c>
      <c r="H24" s="147" t="s">
        <v>69</v>
      </c>
      <c r="I24" s="148"/>
      <c r="L24" s="152" t="s">
        <v>63</v>
      </c>
      <c r="M24" s="154" t="s">
        <v>64</v>
      </c>
      <c r="N24" s="154" t="s">
        <v>65</v>
      </c>
      <c r="O24" s="154" t="s">
        <v>66</v>
      </c>
      <c r="P24" s="154" t="s">
        <v>67</v>
      </c>
      <c r="Q24" s="154" t="s">
        <v>68</v>
      </c>
      <c r="R24" s="147" t="s">
        <v>69</v>
      </c>
      <c r="S24" s="148"/>
      <c r="T24" s="121"/>
      <c r="V24" s="152" t="s">
        <v>63</v>
      </c>
      <c r="W24" s="154" t="s">
        <v>64</v>
      </c>
      <c r="X24" s="154" t="s">
        <v>65</v>
      </c>
      <c r="Y24" s="154" t="s">
        <v>66</v>
      </c>
      <c r="Z24" s="154" t="s">
        <v>67</v>
      </c>
      <c r="AA24" s="154" t="s">
        <v>68</v>
      </c>
      <c r="AB24" s="147" t="s">
        <v>69</v>
      </c>
      <c r="AC24" s="148"/>
      <c r="AF24" s="152" t="s">
        <v>63</v>
      </c>
      <c r="AG24" s="154" t="s">
        <v>64</v>
      </c>
      <c r="AH24" s="154" t="s">
        <v>65</v>
      </c>
      <c r="AI24" s="154" t="s">
        <v>66</v>
      </c>
      <c r="AJ24" s="154" t="s">
        <v>67</v>
      </c>
      <c r="AK24" s="154" t="s">
        <v>68</v>
      </c>
      <c r="AL24" s="147" t="s">
        <v>69</v>
      </c>
      <c r="AM24" s="148"/>
    </row>
    <row r="25" spans="2:39">
      <c r="B25" s="153"/>
      <c r="C25" s="155"/>
      <c r="D25" s="155"/>
      <c r="E25" s="155"/>
      <c r="F25" s="155"/>
      <c r="G25" s="155"/>
      <c r="H25" s="114" t="s">
        <v>70</v>
      </c>
      <c r="I25" s="123" t="s">
        <v>51</v>
      </c>
      <c r="L25" s="153"/>
      <c r="M25" s="155"/>
      <c r="N25" s="155"/>
      <c r="O25" s="155"/>
      <c r="P25" s="155"/>
      <c r="Q25" s="155"/>
      <c r="R25" s="114" t="s">
        <v>70</v>
      </c>
      <c r="S25" s="123" t="s">
        <v>51</v>
      </c>
      <c r="T25" s="121"/>
      <c r="V25" s="153"/>
      <c r="W25" s="155"/>
      <c r="X25" s="155"/>
      <c r="Y25" s="155"/>
      <c r="Z25" s="155"/>
      <c r="AA25" s="155"/>
      <c r="AB25" s="114" t="s">
        <v>70</v>
      </c>
      <c r="AC25" s="123" t="s">
        <v>51</v>
      </c>
      <c r="AF25" s="153"/>
      <c r="AG25" s="155"/>
      <c r="AH25" s="155"/>
      <c r="AI25" s="155"/>
      <c r="AJ25" s="155"/>
      <c r="AK25" s="155"/>
      <c r="AL25" s="114" t="s">
        <v>70</v>
      </c>
      <c r="AM25" s="123" t="s">
        <v>51</v>
      </c>
    </row>
    <row r="26" spans="2:39">
      <c r="B26" s="122">
        <v>1</v>
      </c>
      <c r="C26" s="114" t="s">
        <v>71</v>
      </c>
      <c r="D26" s="120">
        <f>($I$22/24)*((24/B26)^(2/3))</f>
        <v>51.303187411752162</v>
      </c>
      <c r="E26" s="120">
        <f>D26*B26</f>
        <v>51.303187411752162</v>
      </c>
      <c r="F26" s="120">
        <f>E26</f>
        <v>51.303187411752162</v>
      </c>
      <c r="G26" s="119">
        <f>(F26*100)/$F$38</f>
        <v>43.679023236814942</v>
      </c>
      <c r="H26" s="119">
        <f>G37</f>
        <v>2.8587219458090622</v>
      </c>
      <c r="I26" s="118">
        <f>(H26*$I$22)/100</f>
        <v>4.2304510842860825</v>
      </c>
      <c r="L26" s="122">
        <v>1</v>
      </c>
      <c r="M26" s="114" t="s">
        <v>71</v>
      </c>
      <c r="N26" s="120">
        <f>($S$22/24)*((24/L26)^(2/3))</f>
        <v>53.868277446212339</v>
      </c>
      <c r="O26" s="120">
        <f>N26*L26</f>
        <v>53.868277446212339</v>
      </c>
      <c r="P26" s="120">
        <f>O26</f>
        <v>53.868277446212339</v>
      </c>
      <c r="Q26" s="119">
        <f>(P26*100)/$P$38</f>
        <v>43.679023236814956</v>
      </c>
      <c r="R26" s="119">
        <f>Q37</f>
        <v>2.8587219458090618</v>
      </c>
      <c r="S26" s="118">
        <f>(R26*$S$22)/100</f>
        <v>4.4419679210564951</v>
      </c>
      <c r="T26" s="121"/>
      <c r="V26" s="122">
        <v>1</v>
      </c>
      <c r="W26" s="114" t="s">
        <v>71</v>
      </c>
      <c r="X26" s="120">
        <f>($AC$22/24)*((24/V26)^(2/3))</f>
        <v>56.433367480672516</v>
      </c>
      <c r="Y26" s="120">
        <f>X26*V26</f>
        <v>56.433367480672516</v>
      </c>
      <c r="Z26" s="120">
        <f>Y26</f>
        <v>56.433367480672516</v>
      </c>
      <c r="AA26" s="119">
        <f>(Z26*100)/$Z$38</f>
        <v>43.679023236814949</v>
      </c>
      <c r="AB26" s="119">
        <f>AA37</f>
        <v>2.8587219458090498</v>
      </c>
      <c r="AC26" s="118">
        <f>(AB26*$AC$22)/100</f>
        <v>4.6534847578268872</v>
      </c>
      <c r="AF26" s="122">
        <v>1</v>
      </c>
      <c r="AG26" s="114" t="s">
        <v>71</v>
      </c>
      <c r="AH26" s="120">
        <f>($AM$22/24)*((24/AF26)^(2/3))</f>
        <v>61.563547549592855</v>
      </c>
      <c r="AI26" s="120">
        <f>AH26*AF26</f>
        <v>61.563547549592855</v>
      </c>
      <c r="AJ26" s="120">
        <f>AI26</f>
        <v>61.563547549592855</v>
      </c>
      <c r="AK26" s="119">
        <f>(AJ26*100)/$AJ$38</f>
        <v>43.679023236814949</v>
      </c>
      <c r="AL26" s="119">
        <f>AK37</f>
        <v>2.8587219458090698</v>
      </c>
      <c r="AM26" s="118">
        <f>(AL26*$AM$22)/100</f>
        <v>5.0765184313677461</v>
      </c>
    </row>
    <row r="27" spans="2:39">
      <c r="B27" s="122">
        <v>2</v>
      </c>
      <c r="C27" s="114" t="s">
        <v>72</v>
      </c>
      <c r="D27" s="120">
        <f>($I$22/24)*((24/B27)^(2/3))</f>
        <v>32.318982873384115</v>
      </c>
      <c r="E27" s="120">
        <f>D27*B27</f>
        <v>64.637965746768231</v>
      </c>
      <c r="F27" s="120">
        <f>E27-E26</f>
        <v>13.334778335016068</v>
      </c>
      <c r="G27" s="119">
        <f>(F27*100)/$F$38</f>
        <v>11.353097578095506</v>
      </c>
      <c r="H27" s="119">
        <f>G35</f>
        <v>3.2475732464958766</v>
      </c>
      <c r="I27" s="118">
        <f>(H27*$I$22)/100</f>
        <v>4.805888793094458</v>
      </c>
      <c r="L27" s="122">
        <v>2</v>
      </c>
      <c r="M27" s="114" t="s">
        <v>72</v>
      </c>
      <c r="N27" s="120">
        <f>($S$22/24)*((24/L27)^(2/3))</f>
        <v>33.934888338030085</v>
      </c>
      <c r="O27" s="120">
        <f>N27*L27</f>
        <v>67.86977667606017</v>
      </c>
      <c r="P27" s="120">
        <f>O27-O26</f>
        <v>14.00149922984783</v>
      </c>
      <c r="Q27" s="119">
        <f>(P27*100)/$P$38</f>
        <v>11.353097578095504</v>
      </c>
      <c r="R27" s="119">
        <f>Q35</f>
        <v>3.2475732464958518</v>
      </c>
      <c r="S27" s="118">
        <f>(R27*$S$22)/100</f>
        <v>5.0461767376026492</v>
      </c>
      <c r="T27" s="121"/>
      <c r="V27" s="122">
        <v>2</v>
      </c>
      <c r="W27" s="114" t="s">
        <v>72</v>
      </c>
      <c r="X27" s="120">
        <f>($AC$22/24)*((24/V27)^(2/3))</f>
        <v>35.550793802676061</v>
      </c>
      <c r="Y27" s="120">
        <f>X27*V27</f>
        <v>71.101587605352123</v>
      </c>
      <c r="Z27" s="120">
        <f>Y27-Y26</f>
        <v>14.668220124679607</v>
      </c>
      <c r="AA27" s="119">
        <f>(Z27*100)/$Z$38</f>
        <v>11.353097578095513</v>
      </c>
      <c r="AB27" s="119">
        <f>AA35</f>
        <v>3.247573246495862</v>
      </c>
      <c r="AC27" s="118">
        <f>(AB27*$AC$22)/100</f>
        <v>5.2864646821108945</v>
      </c>
      <c r="AF27" s="122">
        <v>2</v>
      </c>
      <c r="AG27" s="114" t="s">
        <v>72</v>
      </c>
      <c r="AH27" s="120">
        <f>($AM$22/24)*((24/AF27)^(2/3))</f>
        <v>38.782604731967993</v>
      </c>
      <c r="AI27" s="120">
        <f>AH27*AF27</f>
        <v>77.565209463935986</v>
      </c>
      <c r="AJ27" s="120">
        <f>AI27-AI26</f>
        <v>16.001661914343131</v>
      </c>
      <c r="AK27" s="119">
        <f>(AJ27*100)/$AJ$38</f>
        <v>11.353097578095507</v>
      </c>
      <c r="AL27" s="119">
        <f>AK35</f>
        <v>3.2475732464958593</v>
      </c>
      <c r="AM27" s="118">
        <f>(AL27*$AM$22)/100</f>
        <v>5.7670405711273478</v>
      </c>
    </row>
    <row r="28" spans="2:39">
      <c r="B28" s="122">
        <v>3</v>
      </c>
      <c r="C28" s="114" t="s">
        <v>73</v>
      </c>
      <c r="D28" s="120">
        <f>($I$22/24)*((24/B28)^(2/3))</f>
        <v>24.663999999999994</v>
      </c>
      <c r="E28" s="120">
        <f>D28*B28</f>
        <v>73.99199999999999</v>
      </c>
      <c r="F28" s="120">
        <f>E28-E27</f>
        <v>9.3540342532317595</v>
      </c>
      <c r="G28" s="119">
        <f>(F28*100)/$F$38</f>
        <v>7.9639316798332018</v>
      </c>
      <c r="H28" s="119">
        <f>G33</f>
        <v>3.803080890886803</v>
      </c>
      <c r="I28" s="118">
        <f>(H28*$I$22)/100</f>
        <v>5.6279512255699276</v>
      </c>
      <c r="L28" s="122">
        <v>3</v>
      </c>
      <c r="M28" s="114" t="s">
        <v>73</v>
      </c>
      <c r="N28" s="120">
        <f>($S$22/24)*((24/L28)^(2/3))</f>
        <v>25.89716666666666</v>
      </c>
      <c r="O28" s="120">
        <f>N28*L28</f>
        <v>77.691499999999976</v>
      </c>
      <c r="P28" s="120">
        <f>O28-O27</f>
        <v>9.821723323939807</v>
      </c>
      <c r="Q28" s="119">
        <f>(P28*100)/$P$38</f>
        <v>7.9639316798331903</v>
      </c>
      <c r="R28" s="119">
        <f>Q33</f>
        <v>3.8030808908868137</v>
      </c>
      <c r="S28" s="118">
        <f>(R28*$S$22)/100</f>
        <v>5.909341180686658</v>
      </c>
      <c r="T28" s="121"/>
      <c r="V28" s="122">
        <v>3</v>
      </c>
      <c r="W28" s="114" t="s">
        <v>73</v>
      </c>
      <c r="X28" s="120">
        <f>($AC$22/24)*((24/V28)^(2/3))</f>
        <v>27.130333333333329</v>
      </c>
      <c r="Y28" s="120">
        <f>X28*V28</f>
        <v>81.390999999999991</v>
      </c>
      <c r="Z28" s="120">
        <f>Y28-Y27</f>
        <v>10.289412394647869</v>
      </c>
      <c r="AA28" s="119">
        <f>(Z28*100)/$Z$38</f>
        <v>7.9639316798331903</v>
      </c>
      <c r="AB28" s="119">
        <f>AA33</f>
        <v>3.8030808908868114</v>
      </c>
      <c r="AC28" s="118">
        <f>(AB28*$AC$22)/100</f>
        <v>6.1907311358033699</v>
      </c>
      <c r="AF28" s="122">
        <v>3</v>
      </c>
      <c r="AG28" s="114" t="s">
        <v>73</v>
      </c>
      <c r="AH28" s="120">
        <f>($AM$22/24)*((24/AF28)^(2/3))</f>
        <v>29.59666666666666</v>
      </c>
      <c r="AI28" s="120">
        <f>AH28*AF28</f>
        <v>88.789999999999978</v>
      </c>
      <c r="AJ28" s="120">
        <f>AI28-AI27</f>
        <v>11.224790536063992</v>
      </c>
      <c r="AK28" s="119">
        <f>(AJ28*100)/$AJ$38</f>
        <v>7.9639316798331921</v>
      </c>
      <c r="AL28" s="119">
        <f>AK33</f>
        <v>3.8030808908867977</v>
      </c>
      <c r="AM28" s="118">
        <f>(AL28*$AM$22)/100</f>
        <v>6.7535110460367749</v>
      </c>
    </row>
    <row r="29" spans="2:39">
      <c r="B29" s="122">
        <v>4</v>
      </c>
      <c r="C29" s="114" t="s">
        <v>74</v>
      </c>
      <c r="D29" s="120">
        <f>($I$22/24)*((24/B29)^(2/3))</f>
        <v>20.359683416684266</v>
      </c>
      <c r="E29" s="120">
        <f>D29*B29</f>
        <v>81.438733666737065</v>
      </c>
      <c r="F29" s="120">
        <f>E29-E28</f>
        <v>7.4467336667370745</v>
      </c>
      <c r="G29" s="119">
        <f>(F29*100)/$F$38</f>
        <v>6.3400749403198144</v>
      </c>
      <c r="H29" s="119">
        <f>G31</f>
        <v>4.679973489123892</v>
      </c>
      <c r="I29" s="118">
        <f>(H29*$I$22)/100</f>
        <v>6.9256119681451001</v>
      </c>
      <c r="L29" s="122">
        <v>4</v>
      </c>
      <c r="M29" s="114" t="s">
        <v>74</v>
      </c>
      <c r="N29" s="120">
        <f>($S$22/24)*((24/L29)^(2/3))</f>
        <v>21.377640071458071</v>
      </c>
      <c r="O29" s="120">
        <f>N29*L29</f>
        <v>85.510560285832284</v>
      </c>
      <c r="P29" s="120">
        <f>O29-O28</f>
        <v>7.8190602858323075</v>
      </c>
      <c r="Q29" s="119">
        <f>(P29*100)/$P$38</f>
        <v>6.3400749403198224</v>
      </c>
      <c r="R29" s="119">
        <f>Q31</f>
        <v>4.679973489123892</v>
      </c>
      <c r="S29" s="118">
        <f>(R29*$S$22)/100</f>
        <v>7.271883206605378</v>
      </c>
      <c r="T29" s="121"/>
      <c r="V29" s="122">
        <v>4</v>
      </c>
      <c r="W29" s="114" t="s">
        <v>74</v>
      </c>
      <c r="X29" s="120">
        <f>($AC$22/24)*((24/V29)^(2/3))</f>
        <v>22.395596726231879</v>
      </c>
      <c r="Y29" s="120">
        <f>X29*V29</f>
        <v>89.582386904927517</v>
      </c>
      <c r="Z29" s="120">
        <f>Y29-Y28</f>
        <v>8.1913869049275263</v>
      </c>
      <c r="AA29" s="119">
        <f>(Z29*100)/$Z$38</f>
        <v>6.340074940319818</v>
      </c>
      <c r="AB29" s="119">
        <f>AA31</f>
        <v>4.6799734891238804</v>
      </c>
      <c r="AC29" s="118">
        <f>(AB29*$AC$22)/100</f>
        <v>7.6181544450656364</v>
      </c>
      <c r="AF29" s="122">
        <v>4</v>
      </c>
      <c r="AG29" s="114" t="s">
        <v>74</v>
      </c>
      <c r="AH29" s="120">
        <f>($AM$22/24)*((24/AF29)^(2/3))</f>
        <v>24.431510035779489</v>
      </c>
      <c r="AI29" s="120">
        <f>AH29*AF29</f>
        <v>97.726040143117956</v>
      </c>
      <c r="AJ29" s="120">
        <f>AI29-AI28</f>
        <v>8.9360401431179781</v>
      </c>
      <c r="AK29" s="119">
        <f>(AJ29*100)/$AJ$38</f>
        <v>6.3400749403198189</v>
      </c>
      <c r="AL29" s="119">
        <f>AK31</f>
        <v>4.6799734891238893</v>
      </c>
      <c r="AM29" s="118">
        <f>(AL29*$AM$22)/100</f>
        <v>8.310696921986203</v>
      </c>
    </row>
    <row r="30" spans="2:39">
      <c r="B30" s="122">
        <v>5</v>
      </c>
      <c r="C30" s="114" t="s">
        <v>75</v>
      </c>
      <c r="D30" s="120">
        <f>($I$22/24)*((24/B30)^(2/3))</f>
        <v>17.54544329238858</v>
      </c>
      <c r="E30" s="120">
        <f>D30*B30</f>
        <v>87.727216461942902</v>
      </c>
      <c r="F30" s="120">
        <f>E30-E29</f>
        <v>6.2884827952058373</v>
      </c>
      <c r="G30" s="119">
        <f>(F30*100)/$F$38</f>
        <v>5.3539516742226088</v>
      </c>
      <c r="H30" s="119">
        <f>G29</f>
        <v>6.3400749403198144</v>
      </c>
      <c r="I30" s="118">
        <f>(H30*$I$22)/100</f>
        <v>9.3822964996828748</v>
      </c>
      <c r="L30" s="122">
        <v>5</v>
      </c>
      <c r="M30" s="114" t="s">
        <v>75</v>
      </c>
      <c r="N30" s="120">
        <f>($S$22/24)*((24/L30)^(2/3))</f>
        <v>18.422691744385979</v>
      </c>
      <c r="O30" s="120">
        <f>N30*L30</f>
        <v>92.113458721929902</v>
      </c>
      <c r="P30" s="120">
        <f>O30-O29</f>
        <v>6.6028984360976182</v>
      </c>
      <c r="Q30" s="119">
        <f>(P30*100)/$P$38</f>
        <v>5.3539516742226168</v>
      </c>
      <c r="R30" s="119">
        <f>Q29</f>
        <v>6.3400749403198224</v>
      </c>
      <c r="S30" s="118">
        <f>(R30*$S$22)/100</f>
        <v>9.8513986445171504</v>
      </c>
      <c r="T30" s="121"/>
      <c r="V30" s="122">
        <v>5</v>
      </c>
      <c r="W30" s="114" t="s">
        <v>75</v>
      </c>
      <c r="X30" s="120">
        <f>($AC$22/24)*((24/V30)^(2/3))</f>
        <v>19.299940196383382</v>
      </c>
      <c r="Y30" s="120">
        <f>X30*V30</f>
        <v>96.499700981916902</v>
      </c>
      <c r="Z30" s="120">
        <f>Y30-Y29</f>
        <v>6.9173140769893848</v>
      </c>
      <c r="AA30" s="119">
        <f>(Z30*100)/$Z$38</f>
        <v>5.3539516742226114</v>
      </c>
      <c r="AB30" s="119">
        <f>AA29</f>
        <v>6.340074940319818</v>
      </c>
      <c r="AC30" s="118">
        <f>(AB30*$AC$22)/100</f>
        <v>10.320500789351406</v>
      </c>
      <c r="AF30" s="122">
        <v>5</v>
      </c>
      <c r="AG30" s="114" t="s">
        <v>75</v>
      </c>
      <c r="AH30" s="120">
        <f>($AM$22/24)*((24/AF30)^(2/3))</f>
        <v>21.054437100378177</v>
      </c>
      <c r="AI30" s="120">
        <f>AH30*AF30</f>
        <v>105.27218550189089</v>
      </c>
      <c r="AJ30" s="120">
        <f>AI30-AI29</f>
        <v>7.5461453587729324</v>
      </c>
      <c r="AK30" s="119">
        <f>(AJ30*100)/$AJ$38</f>
        <v>5.3539516742226141</v>
      </c>
      <c r="AL30" s="119">
        <f>AK29</f>
        <v>6.3400749403198189</v>
      </c>
      <c r="AM30" s="118">
        <f>(AL30*$AM$22)/100</f>
        <v>11.258705079019935</v>
      </c>
    </row>
    <row r="31" spans="2:39">
      <c r="B31" s="122">
        <v>6</v>
      </c>
      <c r="C31" s="114" t="s">
        <v>76</v>
      </c>
      <c r="D31" s="120">
        <f>($I$22/24)*((24/B31)^(2/3))</f>
        <v>15.537346387303574</v>
      </c>
      <c r="E31" s="120">
        <f>D31*B31</f>
        <v>93.224078323821445</v>
      </c>
      <c r="F31" s="120">
        <f>E31-E30</f>
        <v>5.4968618618785428</v>
      </c>
      <c r="G31" s="119">
        <f>(F31*100)/$F$38</f>
        <v>4.679973489123892</v>
      </c>
      <c r="H31" s="119">
        <f>G27</f>
        <v>11.353097578095506</v>
      </c>
      <c r="I31" s="118">
        <f>(H31*$I$22)/100</f>
        <v>16.800767919968855</v>
      </c>
      <c r="L31" s="122">
        <v>6</v>
      </c>
      <c r="M31" s="114" t="s">
        <v>76</v>
      </c>
      <c r="N31" s="120">
        <f>($S$22/24)*((24/L31)^(2/3))</f>
        <v>16.314192707984589</v>
      </c>
      <c r="O31" s="120">
        <f>N31*L31</f>
        <v>97.885156247907531</v>
      </c>
      <c r="P31" s="120">
        <f>O31-O30</f>
        <v>5.7716975259776291</v>
      </c>
      <c r="Q31" s="119">
        <f>(P31*100)/$P$38</f>
        <v>4.679973489123892</v>
      </c>
      <c r="R31" s="119">
        <f>Q27</f>
        <v>11.353097578095504</v>
      </c>
      <c r="S31" s="118">
        <f>(R31*$S$22)/100</f>
        <v>17.640783609772139</v>
      </c>
      <c r="T31" s="121"/>
      <c r="V31" s="122">
        <v>6</v>
      </c>
      <c r="W31" s="114" t="s">
        <v>76</v>
      </c>
      <c r="X31" s="120">
        <f>($AC$22/24)*((24/V31)^(2/3))</f>
        <v>17.091039028665602</v>
      </c>
      <c r="Y31" s="120">
        <f>X31*V31</f>
        <v>102.5462341719936</v>
      </c>
      <c r="Z31" s="120">
        <f>Y31-Y30</f>
        <v>6.0465331900767012</v>
      </c>
      <c r="AA31" s="119">
        <f>(Z31*100)/$Z$38</f>
        <v>4.6799734891238804</v>
      </c>
      <c r="AB31" s="119">
        <f>AA27</f>
        <v>11.353097578095513</v>
      </c>
      <c r="AC31" s="118">
        <f>(AB31*$AC$22)/100</f>
        <v>18.480799299575441</v>
      </c>
      <c r="AF31" s="122">
        <v>6</v>
      </c>
      <c r="AG31" s="114" t="s">
        <v>76</v>
      </c>
      <c r="AH31" s="120">
        <f>($AM$22/24)*((24/AF31)^(2/3))</f>
        <v>18.644731670027628</v>
      </c>
      <c r="AI31" s="120">
        <f>AH31*AF31</f>
        <v>111.86839002016578</v>
      </c>
      <c r="AJ31" s="120">
        <f>AI31-AI30</f>
        <v>6.5962045182748881</v>
      </c>
      <c r="AK31" s="119">
        <f>(AJ31*100)/$AJ$38</f>
        <v>4.6799734891238893</v>
      </c>
      <c r="AL31" s="119">
        <f>AK27</f>
        <v>11.353097578095507</v>
      </c>
      <c r="AM31" s="118">
        <f>(AL31*$AM$22)/100</f>
        <v>20.160830679182006</v>
      </c>
    </row>
    <row r="32" spans="2:39">
      <c r="B32" s="122">
        <v>7</v>
      </c>
      <c r="C32" s="114" t="s">
        <v>77</v>
      </c>
      <c r="D32" s="120">
        <f>($I$22/24)*((24/B32)^(2/3))</f>
        <v>14.019923853650944</v>
      </c>
      <c r="E32" s="120">
        <f>D32*B32</f>
        <v>98.139466975556616</v>
      </c>
      <c r="F32" s="120">
        <f>E32-E31</f>
        <v>4.9153886517351708</v>
      </c>
      <c r="G32" s="119">
        <f>(F32*100)/$F$38</f>
        <v>4.1849129843331188</v>
      </c>
      <c r="H32" s="119">
        <f>G26</f>
        <v>43.679023236814942</v>
      </c>
      <c r="I32" s="118">
        <f>(H32*$I$22)/100</f>
        <v>64.637965746768231</v>
      </c>
      <c r="L32" s="122">
        <v>7</v>
      </c>
      <c r="M32" s="114" t="s">
        <v>77</v>
      </c>
      <c r="N32" s="120">
        <f>($S$22/24)*((24/L32)^(2/3))</f>
        <v>14.720901098442026</v>
      </c>
      <c r="O32" s="120">
        <f>N32*L32</f>
        <v>103.04630768909418</v>
      </c>
      <c r="P32" s="120">
        <f>O32-O31</f>
        <v>5.1611514411866466</v>
      </c>
      <c r="Q32" s="119">
        <f>(P32*100)/$P$38</f>
        <v>4.1849129843331108</v>
      </c>
      <c r="R32" s="119">
        <f>Q26</f>
        <v>43.679023236814956</v>
      </c>
      <c r="S32" s="118">
        <f>(R32*$S$22)/100</f>
        <v>67.869776676060198</v>
      </c>
      <c r="T32" s="121"/>
      <c r="V32" s="122">
        <v>7</v>
      </c>
      <c r="W32" s="114" t="s">
        <v>77</v>
      </c>
      <c r="X32" s="120">
        <f>($AC$22/24)*((24/V32)^(2/3))</f>
        <v>15.421878343233107</v>
      </c>
      <c r="Y32" s="120">
        <f>X32*V32</f>
        <v>107.95314840263175</v>
      </c>
      <c r="Z32" s="120">
        <f>Y32-Y31</f>
        <v>5.4069142306381508</v>
      </c>
      <c r="AA32" s="119">
        <f>(Z32*100)/$Z$38</f>
        <v>4.1849129843331268</v>
      </c>
      <c r="AB32" s="119">
        <f>AA26</f>
        <v>43.679023236814949</v>
      </c>
      <c r="AC32" s="118">
        <f>(AB32*$AC$22)/100</f>
        <v>71.101587605352108</v>
      </c>
      <c r="AF32" s="122">
        <v>7</v>
      </c>
      <c r="AG32" s="114" t="s">
        <v>77</v>
      </c>
      <c r="AH32" s="120">
        <f>($AM$22/24)*((24/AF32)^(2/3))</f>
        <v>16.82383283281527</v>
      </c>
      <c r="AI32" s="120">
        <f>AH32*AF32</f>
        <v>117.76682982970689</v>
      </c>
      <c r="AJ32" s="120">
        <f>AI32-AI31</f>
        <v>5.8984398095411166</v>
      </c>
      <c r="AK32" s="119">
        <f>(AJ32*100)/$AJ$38</f>
        <v>4.1849129843331223</v>
      </c>
      <c r="AL32" s="119">
        <f>AK26</f>
        <v>43.679023236814949</v>
      </c>
      <c r="AM32" s="118">
        <f>(AL32*$AM$22)/100</f>
        <v>77.565209463935986</v>
      </c>
    </row>
    <row r="33" spans="2:39">
      <c r="B33" s="122">
        <v>8</v>
      </c>
      <c r="C33" s="114" t="s">
        <v>78</v>
      </c>
      <c r="D33" s="120">
        <f>($I$22/24)*((24/B33)^(2/3))</f>
        <v>12.825796852938041</v>
      </c>
      <c r="E33" s="120">
        <f>D33*B33</f>
        <v>102.60637482350432</v>
      </c>
      <c r="F33" s="120">
        <f>E33-E32</f>
        <v>4.4669078479477093</v>
      </c>
      <c r="G33" s="119">
        <f>(F33*100)/$F$38</f>
        <v>3.803080890886803</v>
      </c>
      <c r="H33" s="119">
        <f>G28</f>
        <v>7.9639316798332018</v>
      </c>
      <c r="I33" s="118">
        <f>(H33*$I$22)/100</f>
        <v>11.785344657084366</v>
      </c>
      <c r="L33" s="122">
        <v>8</v>
      </c>
      <c r="M33" s="114" t="s">
        <v>78</v>
      </c>
      <c r="N33" s="120">
        <f>($S$22/24)*((24/L33)^(2/3))</f>
        <v>13.467069361553085</v>
      </c>
      <c r="O33" s="120">
        <f>N33*L33</f>
        <v>107.73655489242468</v>
      </c>
      <c r="P33" s="120">
        <f>O33-O32</f>
        <v>4.6902472033305003</v>
      </c>
      <c r="Q33" s="119">
        <f>(P33*100)/$P$38</f>
        <v>3.8030808908868137</v>
      </c>
      <c r="R33" s="119">
        <f>Q28</f>
        <v>7.9639316798331903</v>
      </c>
      <c r="S33" s="118">
        <f>(R33*$S$22)/100</f>
        <v>12.374595962075206</v>
      </c>
      <c r="T33" s="121"/>
      <c r="V33" s="122">
        <v>8</v>
      </c>
      <c r="W33" s="114" t="s">
        <v>78</v>
      </c>
      <c r="X33" s="120">
        <f>($AC$22/24)*((24/V33)^(2/3))</f>
        <v>14.108341870168129</v>
      </c>
      <c r="Y33" s="120">
        <f>X33*V33</f>
        <v>112.86673496134503</v>
      </c>
      <c r="Z33" s="120">
        <f>Y33-Y32</f>
        <v>4.913586558713277</v>
      </c>
      <c r="AA33" s="119">
        <f>(Z33*100)/$Z$38</f>
        <v>3.8030808908868114</v>
      </c>
      <c r="AB33" s="119">
        <f>AA28</f>
        <v>7.9639316798331903</v>
      </c>
      <c r="AC33" s="118">
        <f>(AB33*$AC$22)/100</f>
        <v>12.963847267066065</v>
      </c>
      <c r="AF33" s="122">
        <v>8</v>
      </c>
      <c r="AG33" s="114" t="s">
        <v>78</v>
      </c>
      <c r="AH33" s="120">
        <f>($AM$22/24)*((24/AF33)^(2/3))</f>
        <v>15.390886887398214</v>
      </c>
      <c r="AI33" s="120">
        <f>AH33*AF33</f>
        <v>123.12709509918571</v>
      </c>
      <c r="AJ33" s="120">
        <f>AI33-AI32</f>
        <v>5.3602652694788162</v>
      </c>
      <c r="AK33" s="119">
        <f>(AJ33*100)/$AJ$38</f>
        <v>3.8030808908867977</v>
      </c>
      <c r="AL33" s="119">
        <f>AK28</f>
        <v>7.9639316798331921</v>
      </c>
      <c r="AM33" s="118">
        <f>(AL33*$AM$22)/100</f>
        <v>14.142349877047785</v>
      </c>
    </row>
    <row r="34" spans="2:39">
      <c r="B34" s="122">
        <v>9</v>
      </c>
      <c r="C34" s="114" t="s">
        <v>79</v>
      </c>
      <c r="D34" s="120">
        <f>($I$22/24)*((24/B34)^(2/3))</f>
        <v>11.857214467353973</v>
      </c>
      <c r="E34" s="120">
        <f>D34*B34</f>
        <v>106.71493020618576</v>
      </c>
      <c r="F34" s="120">
        <f>E34-E33</f>
        <v>4.1085553826814305</v>
      </c>
      <c r="G34" s="119">
        <f>(F34*100)/$F$38</f>
        <v>3.4979831679770927</v>
      </c>
      <c r="H34" s="119">
        <f>G30</f>
        <v>5.3539516742226088</v>
      </c>
      <c r="I34" s="118">
        <f>(H34*$I$22)/100</f>
        <v>7.9229918455815858</v>
      </c>
      <c r="L34" s="122">
        <v>9</v>
      </c>
      <c r="M34" s="114" t="s">
        <v>79</v>
      </c>
      <c r="N34" s="120">
        <f>($S$22/24)*((24/L34)^(2/3))</f>
        <v>12.450059165726447</v>
      </c>
      <c r="O34" s="120">
        <f>N34*L34</f>
        <v>112.05053249153802</v>
      </c>
      <c r="P34" s="120">
        <f>O34-O33</f>
        <v>4.3139775991133433</v>
      </c>
      <c r="Q34" s="119">
        <f>(P34*100)/$P$38</f>
        <v>3.4979831679770945</v>
      </c>
      <c r="R34" s="119">
        <f>Q30</f>
        <v>5.3539516742226168</v>
      </c>
      <c r="S34" s="118">
        <f>(R34*$S$22)/100</f>
        <v>8.3191307299573296</v>
      </c>
      <c r="T34" s="121"/>
      <c r="V34" s="122">
        <v>9</v>
      </c>
      <c r="W34" s="114" t="s">
        <v>79</v>
      </c>
      <c r="X34" s="120">
        <f>($AC$22/24)*((24/V34)^(2/3))</f>
        <v>13.042903864098921</v>
      </c>
      <c r="Y34" s="120">
        <f>X34*V34</f>
        <v>117.38613477689029</v>
      </c>
      <c r="Z34" s="120">
        <f>Y34-Y33</f>
        <v>4.5193998155452562</v>
      </c>
      <c r="AA34" s="119">
        <f>(Z34*100)/$Z$38</f>
        <v>3.4979831679770954</v>
      </c>
      <c r="AB34" s="119">
        <f>AA30</f>
        <v>5.3539516742226114</v>
      </c>
      <c r="AC34" s="118">
        <f>(AB34*$AC$22)/100</f>
        <v>8.715269614333053</v>
      </c>
      <c r="AF34" s="122">
        <v>9</v>
      </c>
      <c r="AG34" s="114" t="s">
        <v>79</v>
      </c>
      <c r="AH34" s="120">
        <f>($AM$22/24)*((24/AF34)^(2/3))</f>
        <v>14.228593260843866</v>
      </c>
      <c r="AI34" s="120">
        <f>AH34*AF34</f>
        <v>128.05733934759479</v>
      </c>
      <c r="AJ34" s="120">
        <f>AI34-AI33</f>
        <v>4.9302442484090818</v>
      </c>
      <c r="AK34" s="119">
        <f>(AJ34*100)/$AJ$38</f>
        <v>3.4979831679770976</v>
      </c>
      <c r="AL34" s="119">
        <f>AK30</f>
        <v>5.3539516742226141</v>
      </c>
      <c r="AM34" s="118">
        <f>(AL34*$AM$22)/100</f>
        <v>9.5075473830845194</v>
      </c>
    </row>
    <row r="35" spans="2:39">
      <c r="B35" s="122">
        <v>10</v>
      </c>
      <c r="C35" s="114" t="s">
        <v>80</v>
      </c>
      <c r="D35" s="120">
        <f>($I$22/24)*((24/B35)^(2/3))</f>
        <v>11.052936666908591</v>
      </c>
      <c r="E35" s="120">
        <f>D35*B35</f>
        <v>110.52936666908592</v>
      </c>
      <c r="F35" s="120">
        <f>E35-E34</f>
        <v>3.8144364629001615</v>
      </c>
      <c r="G35" s="119">
        <f>(F35*100)/$F$38</f>
        <v>3.2475732464958766</v>
      </c>
      <c r="H35" s="119">
        <f>G32</f>
        <v>4.1849129843331188</v>
      </c>
      <c r="I35" s="118">
        <f>(H35*$I$22)/100</f>
        <v>6.1930016307355231</v>
      </c>
      <c r="L35" s="122">
        <v>10</v>
      </c>
      <c r="M35" s="114" t="s">
        <v>80</v>
      </c>
      <c r="N35" s="120">
        <f>($S$22/24)*((24/L35)^(2/3))</f>
        <v>11.605568562238197</v>
      </c>
      <c r="O35" s="120">
        <f>N35*L35</f>
        <v>116.05568562238197</v>
      </c>
      <c r="P35" s="120">
        <f>O35-O34</f>
        <v>4.0051531308439507</v>
      </c>
      <c r="Q35" s="119">
        <f>(P35*100)/$P$38</f>
        <v>3.2475732464958518</v>
      </c>
      <c r="R35" s="119">
        <f>Q32</f>
        <v>4.1849129843331108</v>
      </c>
      <c r="S35" s="118">
        <f>(R35*$S$22)/100</f>
        <v>6.5026433424463175</v>
      </c>
      <c r="T35" s="121"/>
      <c r="V35" s="122">
        <v>10</v>
      </c>
      <c r="W35" s="114" t="s">
        <v>80</v>
      </c>
      <c r="X35" s="120">
        <f>($AC$22/24)*((24/V35)^(2/3))</f>
        <v>12.158200457567807</v>
      </c>
      <c r="Y35" s="120">
        <f>X35*V35</f>
        <v>121.58200457567807</v>
      </c>
      <c r="Z35" s="120">
        <f>Y35-Y34</f>
        <v>4.1958697987877827</v>
      </c>
      <c r="AA35" s="119">
        <f>(Z35*100)/$Z$38</f>
        <v>3.247573246495862</v>
      </c>
      <c r="AB35" s="119">
        <f>AA32</f>
        <v>4.1849129843331268</v>
      </c>
      <c r="AC35" s="118">
        <f>(AB35*$AC$22)/100</f>
        <v>6.8122850541571509</v>
      </c>
      <c r="AF35" s="122">
        <v>10</v>
      </c>
      <c r="AG35" s="114" t="s">
        <v>80</v>
      </c>
      <c r="AH35" s="120">
        <f>($AM$22/24)*((24/AF35)^(2/3))</f>
        <v>13.263464248227022</v>
      </c>
      <c r="AI35" s="120">
        <f>AH35*AF35</f>
        <v>132.63464248227021</v>
      </c>
      <c r="AJ35" s="120">
        <f>AI35-AI34</f>
        <v>4.5773031346754181</v>
      </c>
      <c r="AK35" s="119">
        <f>(AJ35*100)/$AJ$38</f>
        <v>3.2475732464958593</v>
      </c>
      <c r="AL35" s="119">
        <f>AK32</f>
        <v>4.1849129843331223</v>
      </c>
      <c r="AM35" s="118">
        <f>(AL35*$AM$22)/100</f>
        <v>7.4315684775787592</v>
      </c>
    </row>
    <row r="36" spans="2:39">
      <c r="B36" s="122">
        <v>11</v>
      </c>
      <c r="C36" s="114" t="s">
        <v>81</v>
      </c>
      <c r="D36" s="120">
        <f>($I$22/24)*((24/B36)^(2/3))</f>
        <v>10.372478853316649</v>
      </c>
      <c r="E36" s="120">
        <f>D36*B36</f>
        <v>114.09726738648314</v>
      </c>
      <c r="F36" s="120">
        <f>E36-E35</f>
        <v>3.5679007173972224</v>
      </c>
      <c r="G36" s="119">
        <f>(F36*100)/$F$38</f>
        <v>3.0376751660880772</v>
      </c>
      <c r="H36" s="119">
        <f>G34</f>
        <v>3.4979831679770927</v>
      </c>
      <c r="I36" s="118">
        <f>(H36*$I$22)/100</f>
        <v>5.1764554112992212</v>
      </c>
      <c r="L36" s="122">
        <v>11</v>
      </c>
      <c r="M36" s="114" t="s">
        <v>81</v>
      </c>
      <c r="N36" s="120">
        <f>($S$22/24)*((24/L36)^(2/3))</f>
        <v>10.891088777603665</v>
      </c>
      <c r="O36" s="120">
        <f>N36*L36</f>
        <v>119.80197655364032</v>
      </c>
      <c r="P36" s="120">
        <f>O36-O35</f>
        <v>3.7462909312583434</v>
      </c>
      <c r="Q36" s="119">
        <f>(P36*100)/$P$38</f>
        <v>3.0376751660880887</v>
      </c>
      <c r="R36" s="119">
        <f>Q34</f>
        <v>3.4979831679770945</v>
      </c>
      <c r="S36" s="118">
        <f>(R36*$S$22)/100</f>
        <v>5.4352711858978493</v>
      </c>
      <c r="T36" s="121"/>
      <c r="V36" s="122">
        <v>11</v>
      </c>
      <c r="W36" s="114" t="s">
        <v>81</v>
      </c>
      <c r="X36" s="120">
        <f>($AC$22/24)*((24/V36)^(2/3))</f>
        <v>11.409698701890683</v>
      </c>
      <c r="Y36" s="120">
        <f>X36*V36</f>
        <v>125.50668572079752</v>
      </c>
      <c r="Z36" s="120">
        <f>Y36-Y35</f>
        <v>3.9246811451194503</v>
      </c>
      <c r="AA36" s="119">
        <f>(Z36*100)/$Z$38</f>
        <v>3.0376751660880879</v>
      </c>
      <c r="AB36" s="119">
        <f>AA34</f>
        <v>3.4979831679770954</v>
      </c>
      <c r="AC36" s="118">
        <f>(AB36*$AC$22)/100</f>
        <v>5.6940869604964757</v>
      </c>
      <c r="AF36" s="122">
        <v>11</v>
      </c>
      <c r="AG36" s="114" t="s">
        <v>81</v>
      </c>
      <c r="AH36" s="120">
        <f>($AM$22/24)*((24/AF36)^(2/3))</f>
        <v>12.446918550464716</v>
      </c>
      <c r="AI36" s="120">
        <f>AH36*AF36</f>
        <v>136.91610405511187</v>
      </c>
      <c r="AJ36" s="120">
        <f>AI36-AI35</f>
        <v>4.2814615728416641</v>
      </c>
      <c r="AK36" s="119">
        <f>(AJ36*100)/$AJ$38</f>
        <v>3.0376751660880865</v>
      </c>
      <c r="AL36" s="119">
        <f>AK34</f>
        <v>3.4979831679770976</v>
      </c>
      <c r="AM36" s="118">
        <f>(AL36*$AM$22)/100</f>
        <v>6.2117185096937302</v>
      </c>
    </row>
    <row r="37" spans="2:39">
      <c r="B37" s="122">
        <v>12</v>
      </c>
      <c r="C37" s="114" t="s">
        <v>82</v>
      </c>
      <c r="D37" s="120">
        <f>($I$22/24)*((24/B37)^(2/3))</f>
        <v>9.7879148864359173</v>
      </c>
      <c r="E37" s="120">
        <f>D37*B37</f>
        <v>117.45497863723101</v>
      </c>
      <c r="F37" s="120">
        <f>E37-E36</f>
        <v>3.3577112507478688</v>
      </c>
      <c r="G37" s="119">
        <f>(F37*100)/$F$38</f>
        <v>2.8587219458090622</v>
      </c>
      <c r="H37" s="119">
        <f>G36</f>
        <v>3.0376751660880772</v>
      </c>
      <c r="I37" s="118">
        <f>(H37*$I$22)/100</f>
        <v>4.4952732177837804</v>
      </c>
      <c r="L37" s="122">
        <v>12</v>
      </c>
      <c r="M37" s="114" t="s">
        <v>82</v>
      </c>
      <c r="N37" s="120">
        <f>($S$22/24)*((24/L37)^(2/3))</f>
        <v>10.277297402415613</v>
      </c>
      <c r="O37" s="120">
        <f>N37*L37</f>
        <v>123.32756882898735</v>
      </c>
      <c r="P37" s="120">
        <f>O37-O36</f>
        <v>3.5255922753470372</v>
      </c>
      <c r="Q37" s="119">
        <f>(P37*100)/$P$38</f>
        <v>2.8587219458090618</v>
      </c>
      <c r="R37" s="119">
        <f>Q36</f>
        <v>3.0376751660880887</v>
      </c>
      <c r="S37" s="118">
        <f>(R37*$S$22)/100</f>
        <v>4.720030803322655</v>
      </c>
      <c r="T37" s="121"/>
      <c r="V37" s="122">
        <v>12</v>
      </c>
      <c r="W37" s="114" t="s">
        <v>82</v>
      </c>
      <c r="X37" s="120">
        <f>($AC$22/24)*((24/V37)^(2/3))</f>
        <v>10.76667991839531</v>
      </c>
      <c r="Y37" s="120">
        <f>X37*V37</f>
        <v>129.20015902074371</v>
      </c>
      <c r="Z37" s="120">
        <f>Y37-Y36</f>
        <v>3.6934732999461914</v>
      </c>
      <c r="AA37" s="119">
        <f>(Z37*100)/$Z$38</f>
        <v>2.8587219458090498</v>
      </c>
      <c r="AB37" s="119">
        <f>AA36</f>
        <v>3.0376751660880879</v>
      </c>
      <c r="AC37" s="118">
        <f>(AB37*$AC$22)/100</f>
        <v>4.9447883888615118</v>
      </c>
      <c r="AF37" s="122">
        <v>12</v>
      </c>
      <c r="AG37" s="114" t="s">
        <v>82</v>
      </c>
      <c r="AH37" s="120">
        <f>($AM$22/24)*((24/AF37)^(2/3))</f>
        <v>11.745444950354702</v>
      </c>
      <c r="AI37" s="120">
        <f>AH37*AF37</f>
        <v>140.94533940425643</v>
      </c>
      <c r="AJ37" s="120">
        <f>AI37-AI36</f>
        <v>4.0292353491445567</v>
      </c>
      <c r="AK37" s="119">
        <f>(AJ37*100)/$AJ$38</f>
        <v>2.8587219458090698</v>
      </c>
      <c r="AL37" s="119">
        <f>AK36</f>
        <v>3.0376751660880865</v>
      </c>
      <c r="AM37" s="118">
        <f>(AL37*$AM$22)/100</f>
        <v>5.3943035599392246</v>
      </c>
    </row>
    <row r="38" spans="2:39">
      <c r="B38" s="149" t="s">
        <v>83</v>
      </c>
      <c r="C38" s="150"/>
      <c r="D38" s="150"/>
      <c r="E38" s="151"/>
      <c r="F38" s="120">
        <f>SUM(F26:F37)</f>
        <v>117.45497863723101</v>
      </c>
      <c r="G38" s="119">
        <f>(F38*100)/$F$38</f>
        <v>100</v>
      </c>
      <c r="H38" s="119">
        <f>SUM(H26:H37)</f>
        <v>100.00000000000001</v>
      </c>
      <c r="I38" s="118">
        <f>SUM(I26:I37)</f>
        <v>147.98400000000004</v>
      </c>
      <c r="L38" s="149" t="s">
        <v>83</v>
      </c>
      <c r="M38" s="150"/>
      <c r="N38" s="150"/>
      <c r="O38" s="151"/>
      <c r="P38" s="120">
        <f>SUM(P26:P37)</f>
        <v>123.32756882898735</v>
      </c>
      <c r="Q38" s="119">
        <f>(P38*100)/$P$38</f>
        <v>100</v>
      </c>
      <c r="R38" s="119">
        <f>SUM(R26:R37)</f>
        <v>100.00000000000001</v>
      </c>
      <c r="S38" s="118">
        <f>SUM(S26:S37)</f>
        <v>155.38300000000001</v>
      </c>
      <c r="T38" s="121"/>
      <c r="V38" s="149" t="s">
        <v>83</v>
      </c>
      <c r="W38" s="150"/>
      <c r="X38" s="150"/>
      <c r="Y38" s="151"/>
      <c r="Z38" s="120">
        <f>SUM(Z26:Z37)</f>
        <v>129.20015902074371</v>
      </c>
      <c r="AA38" s="119">
        <f>(Z38*100)/$Z$38</f>
        <v>100</v>
      </c>
      <c r="AB38" s="119">
        <f>SUM(AB26:AB37)</f>
        <v>100</v>
      </c>
      <c r="AC38" s="118">
        <f>SUM(AC26:AC37)</f>
        <v>162.78199999999998</v>
      </c>
      <c r="AF38" s="149" t="s">
        <v>83</v>
      </c>
      <c r="AG38" s="150"/>
      <c r="AH38" s="150"/>
      <c r="AI38" s="151"/>
      <c r="AJ38" s="120">
        <f>SUM(AJ26:AJ37)</f>
        <v>140.94533940425643</v>
      </c>
      <c r="AK38" s="119">
        <f>(AJ38*100)/$AJ$38</f>
        <v>100</v>
      </c>
      <c r="AL38" s="119">
        <f>SUM(AL26:AL37)</f>
        <v>100.00000000000001</v>
      </c>
      <c r="AM38" s="118">
        <f>SUM(AM26:AM37)</f>
        <v>177.58000000000004</v>
      </c>
    </row>
    <row r="39" spans="2:39">
      <c r="B39" s="127"/>
      <c r="I39" s="126"/>
      <c r="L39" s="127"/>
      <c r="S39" s="126"/>
      <c r="V39" s="127"/>
      <c r="AC39" s="126"/>
      <c r="AF39" s="127"/>
      <c r="AM39" s="126"/>
    </row>
    <row r="40" spans="2:39">
      <c r="B40" s="127"/>
      <c r="I40" s="126"/>
      <c r="L40" s="127"/>
      <c r="S40" s="126"/>
      <c r="V40" s="127"/>
      <c r="AC40" s="126"/>
      <c r="AF40" s="127"/>
      <c r="AM40" s="126"/>
    </row>
    <row r="41" spans="2:39" ht="15">
      <c r="B41" s="125"/>
      <c r="C41" s="112" t="s">
        <v>86</v>
      </c>
      <c r="D41" s="112"/>
      <c r="E41" s="112"/>
      <c r="F41" s="112"/>
      <c r="G41" s="113" t="s">
        <v>87</v>
      </c>
      <c r="H41" s="113"/>
      <c r="I41" s="126">
        <f>'[6]Design Rainfall'!D36</f>
        <v>161.953</v>
      </c>
      <c r="L41" s="125"/>
      <c r="M41" s="112" t="s">
        <v>86</v>
      </c>
      <c r="N41" s="112"/>
      <c r="O41" s="112"/>
      <c r="P41" s="112"/>
      <c r="Q41" s="113" t="s">
        <v>87</v>
      </c>
      <c r="R41" s="113"/>
      <c r="S41" s="126">
        <f>'[6]Design Rainfall'!E36</f>
        <v>170.05099999999999</v>
      </c>
      <c r="V41" s="125"/>
      <c r="W41" s="112" t="s">
        <v>86</v>
      </c>
      <c r="X41" s="112"/>
      <c r="Y41" s="112"/>
      <c r="Z41" s="112"/>
      <c r="AA41" s="113" t="s">
        <v>87</v>
      </c>
      <c r="AB41" s="113"/>
      <c r="AC41" s="126">
        <f>'[6]Design Rainfall'!F36</f>
        <v>177.148</v>
      </c>
      <c r="AF41" s="125"/>
      <c r="AG41" s="112" t="s">
        <v>86</v>
      </c>
      <c r="AH41" s="112"/>
      <c r="AI41" s="112"/>
      <c r="AJ41" s="112"/>
      <c r="AK41" s="113" t="s">
        <v>87</v>
      </c>
      <c r="AL41" s="113"/>
      <c r="AM41" s="126">
        <f>'[6]Design Rainfall'!G36</f>
        <v>194.34299999999999</v>
      </c>
    </row>
    <row r="42" spans="2:39" ht="15">
      <c r="B42" s="125"/>
      <c r="C42" s="112"/>
      <c r="D42" s="112"/>
      <c r="E42" s="112"/>
      <c r="F42" s="112"/>
      <c r="G42" s="112"/>
      <c r="H42" s="112"/>
      <c r="I42" s="124"/>
      <c r="L42" s="125"/>
      <c r="M42" s="112"/>
      <c r="N42" s="112"/>
      <c r="O42" s="112"/>
      <c r="P42" s="112"/>
      <c r="Q42" s="112"/>
      <c r="R42" s="112"/>
      <c r="S42" s="124"/>
      <c r="T42" s="111"/>
      <c r="V42" s="125"/>
      <c r="W42" s="112"/>
      <c r="X42" s="112"/>
      <c r="Y42" s="112"/>
      <c r="Z42" s="112"/>
      <c r="AA42" s="112"/>
      <c r="AB42" s="112"/>
      <c r="AC42" s="124"/>
      <c r="AF42" s="125"/>
      <c r="AG42" s="112"/>
      <c r="AH42" s="112"/>
      <c r="AI42" s="112"/>
      <c r="AJ42" s="112"/>
      <c r="AK42" s="112"/>
      <c r="AL42" s="112"/>
      <c r="AM42" s="124"/>
    </row>
    <row r="43" spans="2:39" ht="13.15" customHeight="1">
      <c r="B43" s="152" t="s">
        <v>63</v>
      </c>
      <c r="C43" s="154" t="s">
        <v>64</v>
      </c>
      <c r="D43" s="154" t="s">
        <v>65</v>
      </c>
      <c r="E43" s="154" t="s">
        <v>66</v>
      </c>
      <c r="F43" s="154" t="s">
        <v>67</v>
      </c>
      <c r="G43" s="154" t="s">
        <v>68</v>
      </c>
      <c r="H43" s="147" t="s">
        <v>69</v>
      </c>
      <c r="I43" s="148"/>
      <c r="L43" s="152" t="s">
        <v>63</v>
      </c>
      <c r="M43" s="154" t="s">
        <v>64</v>
      </c>
      <c r="N43" s="154" t="s">
        <v>65</v>
      </c>
      <c r="O43" s="154" t="s">
        <v>66</v>
      </c>
      <c r="P43" s="154" t="s">
        <v>67</v>
      </c>
      <c r="Q43" s="154" t="s">
        <v>68</v>
      </c>
      <c r="R43" s="147" t="s">
        <v>69</v>
      </c>
      <c r="S43" s="148"/>
      <c r="T43" s="121"/>
      <c r="V43" s="152" t="s">
        <v>63</v>
      </c>
      <c r="W43" s="154" t="s">
        <v>64</v>
      </c>
      <c r="X43" s="154" t="s">
        <v>65</v>
      </c>
      <c r="Y43" s="154" t="s">
        <v>66</v>
      </c>
      <c r="Z43" s="154" t="s">
        <v>67</v>
      </c>
      <c r="AA43" s="154" t="s">
        <v>68</v>
      </c>
      <c r="AB43" s="147" t="s">
        <v>69</v>
      </c>
      <c r="AC43" s="148"/>
      <c r="AF43" s="152" t="s">
        <v>63</v>
      </c>
      <c r="AG43" s="154" t="s">
        <v>64</v>
      </c>
      <c r="AH43" s="154" t="s">
        <v>65</v>
      </c>
      <c r="AI43" s="154" t="s">
        <v>66</v>
      </c>
      <c r="AJ43" s="154" t="s">
        <v>67</v>
      </c>
      <c r="AK43" s="154" t="s">
        <v>68</v>
      </c>
      <c r="AL43" s="147" t="s">
        <v>69</v>
      </c>
      <c r="AM43" s="148"/>
    </row>
    <row r="44" spans="2:39">
      <c r="B44" s="153"/>
      <c r="C44" s="155"/>
      <c r="D44" s="155"/>
      <c r="E44" s="155"/>
      <c r="F44" s="155"/>
      <c r="G44" s="155"/>
      <c r="H44" s="114" t="s">
        <v>70</v>
      </c>
      <c r="I44" s="123" t="s">
        <v>51</v>
      </c>
      <c r="L44" s="153"/>
      <c r="M44" s="155"/>
      <c r="N44" s="155"/>
      <c r="O44" s="155"/>
      <c r="P44" s="155"/>
      <c r="Q44" s="155"/>
      <c r="R44" s="114" t="s">
        <v>70</v>
      </c>
      <c r="S44" s="123" t="s">
        <v>51</v>
      </c>
      <c r="T44" s="121"/>
      <c r="V44" s="153"/>
      <c r="W44" s="155"/>
      <c r="X44" s="155"/>
      <c r="Y44" s="155"/>
      <c r="Z44" s="155"/>
      <c r="AA44" s="155"/>
      <c r="AB44" s="114" t="s">
        <v>70</v>
      </c>
      <c r="AC44" s="123" t="s">
        <v>51</v>
      </c>
      <c r="AF44" s="153"/>
      <c r="AG44" s="155"/>
      <c r="AH44" s="155"/>
      <c r="AI44" s="155"/>
      <c r="AJ44" s="155"/>
      <c r="AK44" s="155"/>
      <c r="AL44" s="114" t="s">
        <v>70</v>
      </c>
      <c r="AM44" s="123" t="s">
        <v>51</v>
      </c>
    </row>
    <row r="45" spans="2:39">
      <c r="B45" s="122">
        <v>1</v>
      </c>
      <c r="C45" s="114" t="s">
        <v>71</v>
      </c>
      <c r="D45" s="120">
        <f>($I$41/24)*((24/B45)^(2/3))</f>
        <v>56.145969232454171</v>
      </c>
      <c r="E45" s="120">
        <f>D45*B45</f>
        <v>56.145969232454171</v>
      </c>
      <c r="F45" s="120">
        <f>E45</f>
        <v>56.145969232454171</v>
      </c>
      <c r="G45" s="119">
        <f>(F45*100)/$F$57</f>
        <v>43.679023236814942</v>
      </c>
      <c r="H45" s="119">
        <f>G56</f>
        <v>2.85872194580908</v>
      </c>
      <c r="I45" s="118">
        <f>(H45*$I$41)/100</f>
        <v>4.6297859528961798</v>
      </c>
      <c r="L45" s="122">
        <v>1</v>
      </c>
      <c r="M45" s="114" t="s">
        <v>71</v>
      </c>
      <c r="N45" s="120">
        <f>($S$41/24)*((24/L45)^(2/3))</f>
        <v>58.953389032299881</v>
      </c>
      <c r="O45" s="120">
        <f>N45*L45</f>
        <v>58.953389032299881</v>
      </c>
      <c r="P45" s="120">
        <f>O45</f>
        <v>58.953389032299881</v>
      </c>
      <c r="Q45" s="119">
        <f>(P45*100)/$P$57</f>
        <v>43.679023236814942</v>
      </c>
      <c r="R45" s="119">
        <f>Q56</f>
        <v>2.8587219458090711</v>
      </c>
      <c r="S45" s="118">
        <f>(R45*$S$41)/100</f>
        <v>4.8612852560677835</v>
      </c>
      <c r="T45" s="121"/>
      <c r="V45" s="122">
        <v>1</v>
      </c>
      <c r="W45" s="114" t="s">
        <v>71</v>
      </c>
      <c r="X45" s="120">
        <f>($AC$41/24)*((24/V45)^(2/3))</f>
        <v>61.413781514333117</v>
      </c>
      <c r="Y45" s="120">
        <f>X45*V45</f>
        <v>61.413781514333117</v>
      </c>
      <c r="Z45" s="120">
        <f>Y45</f>
        <v>61.413781514333117</v>
      </c>
      <c r="AA45" s="119">
        <f>(Z45*100)/$Z$57</f>
        <v>43.679023236814949</v>
      </c>
      <c r="AB45" s="119">
        <f>AA56</f>
        <v>2.858721945809064</v>
      </c>
      <c r="AC45" s="118">
        <f>(AB45*$AC$41)/100</f>
        <v>5.0641687525618408</v>
      </c>
      <c r="AF45" s="122">
        <v>1</v>
      </c>
      <c r="AG45" s="114" t="s">
        <v>71</v>
      </c>
      <c r="AH45" s="120">
        <f>($AM$41/24)*((24/AF45)^(2/3))</f>
        <v>67.374955070562692</v>
      </c>
      <c r="AI45" s="120">
        <f>AH45*AF45</f>
        <v>67.374955070562692</v>
      </c>
      <c r="AJ45" s="120">
        <f>AI45</f>
        <v>67.374955070562692</v>
      </c>
      <c r="AK45" s="119">
        <f>(AJ45*100)/$AJ$57</f>
        <v>43.679023236814942</v>
      </c>
      <c r="AL45" s="119">
        <f>AK56</f>
        <v>2.8587219458090729</v>
      </c>
      <c r="AM45" s="118">
        <f>(AL45*$AM$41)/100</f>
        <v>5.5557259911437269</v>
      </c>
    </row>
    <row r="46" spans="2:39">
      <c r="B46" s="122">
        <v>2</v>
      </c>
      <c r="C46" s="114" t="s">
        <v>72</v>
      </c>
      <c r="D46" s="120">
        <f>($I$41/24)*((24/B46)^(2/3))</f>
        <v>35.369744251359457</v>
      </c>
      <c r="E46" s="120">
        <f>D46*B46</f>
        <v>70.739488502718913</v>
      </c>
      <c r="F46" s="120">
        <f>E46-E45</f>
        <v>14.593519270264743</v>
      </c>
      <c r="G46" s="119">
        <f>(F46*100)/$F$57</f>
        <v>11.353097578095507</v>
      </c>
      <c r="H46" s="119">
        <f>G54</f>
        <v>3.2475732464958651</v>
      </c>
      <c r="I46" s="118">
        <f>(H46*$I$41)/100</f>
        <v>5.2595422998974479</v>
      </c>
      <c r="L46" s="122">
        <v>2</v>
      </c>
      <c r="M46" s="114" t="s">
        <v>72</v>
      </c>
      <c r="N46" s="120">
        <f>($S$41/24)*((24/L46)^(2/3))</f>
        <v>37.138307902218088</v>
      </c>
      <c r="O46" s="120">
        <f>N46*L46</f>
        <v>74.276615804436176</v>
      </c>
      <c r="P46" s="120">
        <f>O46-O45</f>
        <v>15.323226772136294</v>
      </c>
      <c r="Q46" s="119">
        <f>(P46*100)/$P$57</f>
        <v>11.353097578095507</v>
      </c>
      <c r="R46" s="119">
        <f>Q54</f>
        <v>3.2475732464958722</v>
      </c>
      <c r="S46" s="118">
        <f>(R46*$S$41)/100</f>
        <v>5.5225307813986957</v>
      </c>
      <c r="T46" s="121"/>
      <c r="V46" s="122">
        <v>2</v>
      </c>
      <c r="W46" s="114" t="s">
        <v>72</v>
      </c>
      <c r="X46" s="120">
        <f>($AC$41/24)*((24/V46)^(2/3))</f>
        <v>38.688258041776471</v>
      </c>
      <c r="Y46" s="120">
        <f>X46*V46</f>
        <v>77.376516083552943</v>
      </c>
      <c r="Z46" s="120">
        <f>Y46-Y45</f>
        <v>15.962734569219826</v>
      </c>
      <c r="AA46" s="119">
        <f>(Z46*100)/$Z$57</f>
        <v>11.353097578095509</v>
      </c>
      <c r="AB46" s="119">
        <f>AA54</f>
        <v>3.2475732464958713</v>
      </c>
      <c r="AC46" s="118">
        <f>(AB46*$AC$41)/100</f>
        <v>5.7530110547025064</v>
      </c>
      <c r="AF46" s="122">
        <v>2</v>
      </c>
      <c r="AG46" s="114" t="s">
        <v>72</v>
      </c>
      <c r="AH46" s="120">
        <f>($AM$41/24)*((24/AF46)^(2/3))</f>
        <v>42.443562064561632</v>
      </c>
      <c r="AI46" s="120">
        <f>AH46*AF46</f>
        <v>84.887124129123265</v>
      </c>
      <c r="AJ46" s="120">
        <f>AI46-AI45</f>
        <v>17.512169058560573</v>
      </c>
      <c r="AK46" s="119">
        <f>(AJ46*100)/$AJ$57</f>
        <v>11.353097578095507</v>
      </c>
      <c r="AL46" s="119">
        <f>AK54</f>
        <v>3.2475732464958575</v>
      </c>
      <c r="AM46" s="118">
        <f>(AL46*$AM$41)/100</f>
        <v>6.3114312744374441</v>
      </c>
    </row>
    <row r="47" spans="2:39">
      <c r="B47" s="122">
        <v>3</v>
      </c>
      <c r="C47" s="114" t="s">
        <v>73</v>
      </c>
      <c r="D47" s="120">
        <f>($I$41/24)*((24/B47)^(2/3))</f>
        <v>26.992166666666659</v>
      </c>
      <c r="E47" s="120">
        <f>D47*B47</f>
        <v>80.976499999999973</v>
      </c>
      <c r="F47" s="120">
        <f>E47-E46</f>
        <v>10.23701149728106</v>
      </c>
      <c r="G47" s="119">
        <f>(F47*100)/$F$57</f>
        <v>7.9639316798331867</v>
      </c>
      <c r="H47" s="119">
        <f>G52</f>
        <v>3.8030808908868137</v>
      </c>
      <c r="I47" s="118">
        <f>(H47*$I$41)/100</f>
        <v>6.1592035952179218</v>
      </c>
      <c r="L47" s="122">
        <v>3</v>
      </c>
      <c r="M47" s="114" t="s">
        <v>73</v>
      </c>
      <c r="N47" s="120">
        <f>($S$41/24)*((24/L47)^(2/3))</f>
        <v>28.341833333333323</v>
      </c>
      <c r="O47" s="120">
        <f>N47*L47</f>
        <v>85.025499999999965</v>
      </c>
      <c r="P47" s="120">
        <f>O47-O46</f>
        <v>10.748884195563789</v>
      </c>
      <c r="Q47" s="119">
        <f>(P47*100)/$P$57</f>
        <v>7.9639316798331921</v>
      </c>
      <c r="R47" s="119">
        <f>Q52</f>
        <v>3.8030808908868097</v>
      </c>
      <c r="S47" s="118">
        <f>(R47*$S$41)/100</f>
        <v>6.4671770857619286</v>
      </c>
      <c r="T47" s="121"/>
      <c r="V47" s="122">
        <v>3</v>
      </c>
      <c r="W47" s="114" t="s">
        <v>73</v>
      </c>
      <c r="X47" s="120">
        <f>($AC$41/24)*((24/V47)^(2/3))</f>
        <v>29.524666666666658</v>
      </c>
      <c r="Y47" s="120">
        <f>X47*V47</f>
        <v>88.57399999999997</v>
      </c>
      <c r="Z47" s="120">
        <f>Y47-Y46</f>
        <v>11.197483916447027</v>
      </c>
      <c r="AA47" s="119">
        <f>(Z47*100)/$Z$57</f>
        <v>7.9639316798331885</v>
      </c>
      <c r="AB47" s="119">
        <f>AA52</f>
        <v>3.8030808908868066</v>
      </c>
      <c r="AC47" s="118">
        <f>(AB47*$AC$41)/100</f>
        <v>6.7370817365881601</v>
      </c>
      <c r="AF47" s="122">
        <v>3</v>
      </c>
      <c r="AG47" s="114" t="s">
        <v>73</v>
      </c>
      <c r="AH47" s="120">
        <f>($AM$41/24)*((24/AF47)^(2/3))</f>
        <v>32.390499999999989</v>
      </c>
      <c r="AI47" s="120">
        <f>AH47*AF47</f>
        <v>97.171499999999966</v>
      </c>
      <c r="AJ47" s="120">
        <f>AI47-AI46</f>
        <v>12.284375870876701</v>
      </c>
      <c r="AK47" s="119">
        <f>(AJ47*100)/$AJ$57</f>
        <v>7.9639316798331938</v>
      </c>
      <c r="AL47" s="119">
        <f>AK52</f>
        <v>3.8030808908868052</v>
      </c>
      <c r="AM47" s="118">
        <f>(AL47*$AM$41)/100</f>
        <v>7.3910214957761431</v>
      </c>
    </row>
    <row r="48" spans="2:39">
      <c r="B48" s="122">
        <v>4</v>
      </c>
      <c r="C48" s="114" t="s">
        <v>74</v>
      </c>
      <c r="D48" s="120">
        <f>($I$41/24)*((24/B48)^(2/3))</f>
        <v>22.281542655842976</v>
      </c>
      <c r="E48" s="120">
        <f>D48*B48</f>
        <v>89.126170623371905</v>
      </c>
      <c r="F48" s="120">
        <f>E48-E47</f>
        <v>8.1496706233719323</v>
      </c>
      <c r="G48" s="119">
        <f>(F48*100)/$F$57</f>
        <v>6.3400749403198278</v>
      </c>
      <c r="H48" s="119">
        <f>G50</f>
        <v>4.6799734891238867</v>
      </c>
      <c r="I48" s="118">
        <f>(H48*$I$41)/100</f>
        <v>7.5793574648408084</v>
      </c>
      <c r="L48" s="122">
        <v>4</v>
      </c>
      <c r="M48" s="114" t="s">
        <v>74</v>
      </c>
      <c r="N48" s="120">
        <f>($S$41/24)*((24/L48)^(2/3))</f>
        <v>23.395667941740836</v>
      </c>
      <c r="O48" s="120">
        <f>N48*L48</f>
        <v>93.582671766963344</v>
      </c>
      <c r="P48" s="120">
        <f>O48-O47</f>
        <v>8.5571717669633784</v>
      </c>
      <c r="Q48" s="119">
        <f>(P48*100)/$P$57</f>
        <v>6.3400749403198269</v>
      </c>
      <c r="R48" s="119">
        <f>Q50</f>
        <v>4.6799734891238733</v>
      </c>
      <c r="S48" s="118">
        <f>(R48*$S$41)/100</f>
        <v>7.9583417179900371</v>
      </c>
      <c r="T48" s="121"/>
      <c r="V48" s="122">
        <v>4</v>
      </c>
      <c r="W48" s="114" t="s">
        <v>74</v>
      </c>
      <c r="X48" s="120">
        <f>($AC$41/24)*((24/V48)^(2/3))</f>
        <v>24.372075345299383</v>
      </c>
      <c r="Y48" s="120">
        <f>X48*V48</f>
        <v>97.48830138119753</v>
      </c>
      <c r="Z48" s="120">
        <f>Y48-Y47</f>
        <v>8.9143013811975607</v>
      </c>
      <c r="AA48" s="119">
        <f>(Z48*100)/$Z$57</f>
        <v>6.340074940319818</v>
      </c>
      <c r="AB48" s="119">
        <f>AA50</f>
        <v>4.6799734891238964</v>
      </c>
      <c r="AC48" s="118">
        <f>(AB48*$AC$41)/100</f>
        <v>8.2904794365132002</v>
      </c>
      <c r="AF48" s="122">
        <v>4</v>
      </c>
      <c r="AG48" s="114" t="s">
        <v>74</v>
      </c>
      <c r="AH48" s="120">
        <f>($AM$41/24)*((24/AF48)^(2/3))</f>
        <v>26.737768638830346</v>
      </c>
      <c r="AI48" s="120">
        <f>AH48*AF48</f>
        <v>106.95107455532138</v>
      </c>
      <c r="AJ48" s="120">
        <f>AI48-AI47</f>
        <v>9.7795745553214175</v>
      </c>
      <c r="AK48" s="119">
        <f>(AJ48*100)/$AJ$57</f>
        <v>6.3400749403198207</v>
      </c>
      <c r="AL48" s="119">
        <f>AK50</f>
        <v>4.6799734891238778</v>
      </c>
      <c r="AM48" s="118">
        <f>(AL48*$AM$41)/100</f>
        <v>9.0952008779680167</v>
      </c>
    </row>
    <row r="49" spans="2:39">
      <c r="B49" s="122">
        <v>5</v>
      </c>
      <c r="C49" s="114" t="s">
        <v>75</v>
      </c>
      <c r="D49" s="120">
        <f>($I$41/24)*((24/B49)^(2/3))</f>
        <v>19.201651378069304</v>
      </c>
      <c r="E49" s="120">
        <f>D49*B49</f>
        <v>96.008256890346516</v>
      </c>
      <c r="F49" s="120">
        <f>E49-E48</f>
        <v>6.8820862669746106</v>
      </c>
      <c r="G49" s="119">
        <f>(F49*100)/$F$57</f>
        <v>5.3539516742226079</v>
      </c>
      <c r="H49" s="119">
        <f>G48</f>
        <v>6.3400749403198278</v>
      </c>
      <c r="I49" s="118">
        <f>(H49*$I$41)/100</f>
        <v>10.267941568096171</v>
      </c>
      <c r="L49" s="122">
        <v>5</v>
      </c>
      <c r="M49" s="114" t="s">
        <v>75</v>
      </c>
      <c r="N49" s="120">
        <f>($S$41/24)*((24/L49)^(2/3))</f>
        <v>20.16177544406132</v>
      </c>
      <c r="O49" s="120">
        <f>N49*L49</f>
        <v>100.8088772203066</v>
      </c>
      <c r="P49" s="120">
        <f>O49-O48</f>
        <v>7.2262054533432547</v>
      </c>
      <c r="Q49" s="119">
        <f>(P49*100)/$P$57</f>
        <v>5.3539516742226114</v>
      </c>
      <c r="R49" s="119">
        <f>Q48</f>
        <v>6.3400749403198269</v>
      </c>
      <c r="S49" s="118">
        <f>(R49*$S$41)/100</f>
        <v>10.781360836763268</v>
      </c>
      <c r="T49" s="121"/>
      <c r="V49" s="122">
        <v>5</v>
      </c>
      <c r="W49" s="114" t="s">
        <v>75</v>
      </c>
      <c r="X49" s="120">
        <f>($AC$41/24)*((24/V49)^(2/3))</f>
        <v>21.003217836793517</v>
      </c>
      <c r="Y49" s="120">
        <f>X49*V49</f>
        <v>105.01608918396758</v>
      </c>
      <c r="Z49" s="120">
        <f>Y49-Y48</f>
        <v>7.5277878027700496</v>
      </c>
      <c r="AA49" s="119">
        <f>(Z49*100)/$Z$57</f>
        <v>5.3539516742226061</v>
      </c>
      <c r="AB49" s="119">
        <f>AA48</f>
        <v>6.340074940319818</v>
      </c>
      <c r="AC49" s="118">
        <f>(AB49*$AC$41)/100</f>
        <v>11.231315955277751</v>
      </c>
      <c r="AF49" s="122">
        <v>5</v>
      </c>
      <c r="AG49" s="114" t="s">
        <v>75</v>
      </c>
      <c r="AH49" s="120">
        <f>($AM$41/24)*((24/AF49)^(2/3))</f>
        <v>23.041910515817072</v>
      </c>
      <c r="AI49" s="120">
        <f>AH49*AF49</f>
        <v>115.20955257908537</v>
      </c>
      <c r="AJ49" s="120">
        <f>AI49-AI48</f>
        <v>8.2584780237639848</v>
      </c>
      <c r="AK49" s="119">
        <f>(AJ49*100)/$AJ$57</f>
        <v>5.3539516742226159</v>
      </c>
      <c r="AL49" s="119">
        <f>AK48</f>
        <v>6.3400749403198207</v>
      </c>
      <c r="AM49" s="118">
        <f>(AL49*$AM$41)/100</f>
        <v>12.321491841265749</v>
      </c>
    </row>
    <row r="50" spans="2:39">
      <c r="B50" s="122">
        <v>6</v>
      </c>
      <c r="C50" s="114" t="s">
        <v>76</v>
      </c>
      <c r="D50" s="120">
        <f>($I$41/24)*((24/B50)^(2/3))</f>
        <v>17.00399948280203</v>
      </c>
      <c r="E50" s="120">
        <f>D50*B50</f>
        <v>102.02399689681218</v>
      </c>
      <c r="F50" s="120">
        <f>E50-E49</f>
        <v>6.0157400064656628</v>
      </c>
      <c r="G50" s="119">
        <f>(F50*100)/$F$57</f>
        <v>4.6799734891238867</v>
      </c>
      <c r="H50" s="119">
        <f>G46</f>
        <v>11.353097578095507</v>
      </c>
      <c r="I50" s="118">
        <f>(H50*$I$41)/100</f>
        <v>18.386682120653017</v>
      </c>
      <c r="L50" s="122">
        <v>6</v>
      </c>
      <c r="M50" s="114" t="s">
        <v>76</v>
      </c>
      <c r="N50" s="120">
        <f>($S$41/24)*((24/L50)^(2/3))</f>
        <v>17.854236204639417</v>
      </c>
      <c r="O50" s="120">
        <f>N50*L50</f>
        <v>107.12541722783649</v>
      </c>
      <c r="P50" s="120">
        <f>O50-O49</f>
        <v>6.3165400075298948</v>
      </c>
      <c r="Q50" s="119">
        <f>(P50*100)/$P$57</f>
        <v>4.6799734891238733</v>
      </c>
      <c r="R50" s="119">
        <f>Q46</f>
        <v>11.353097578095507</v>
      </c>
      <c r="S50" s="118">
        <f>(R50*$S$41)/100</f>
        <v>19.306055962527189</v>
      </c>
      <c r="T50" s="121"/>
      <c r="V50" s="122">
        <v>6</v>
      </c>
      <c r="W50" s="114" t="s">
        <v>76</v>
      </c>
      <c r="X50" s="120">
        <f>($AC$41/24)*((24/V50)^(2/3))</f>
        <v>18.59937451223141</v>
      </c>
      <c r="Y50" s="120">
        <f>X50*V50</f>
        <v>111.59624707338847</v>
      </c>
      <c r="Z50" s="120">
        <f>Y50-Y49</f>
        <v>6.5801578894208888</v>
      </c>
      <c r="AA50" s="119">
        <f>(Z50*100)/$Z$57</f>
        <v>4.6799734891238964</v>
      </c>
      <c r="AB50" s="119">
        <f>AA46</f>
        <v>11.353097578095509</v>
      </c>
      <c r="AC50" s="118">
        <f>(AB50*$AC$41)/100</f>
        <v>20.111785297644634</v>
      </c>
      <c r="AF50" s="122">
        <v>6</v>
      </c>
      <c r="AG50" s="114" t="s">
        <v>76</v>
      </c>
      <c r="AH50" s="120">
        <f>($AM$41/24)*((24/AF50)^(2/3))</f>
        <v>20.404736383309938</v>
      </c>
      <c r="AI50" s="120">
        <f>AH50*AF50</f>
        <v>122.42841829985963</v>
      </c>
      <c r="AJ50" s="120">
        <f>AI50-AI49</f>
        <v>7.2188657207742608</v>
      </c>
      <c r="AK50" s="119">
        <f>(AJ50*100)/$AJ$57</f>
        <v>4.6799734891238778</v>
      </c>
      <c r="AL50" s="119">
        <f>AK46</f>
        <v>11.353097578095507</v>
      </c>
      <c r="AM50" s="118">
        <f>(AL50*$AM$41)/100</f>
        <v>22.063950426198154</v>
      </c>
    </row>
    <row r="51" spans="2:39">
      <c r="B51" s="122">
        <v>7</v>
      </c>
      <c r="C51" s="114" t="s">
        <v>77</v>
      </c>
      <c r="D51" s="120">
        <f>($I$41/24)*((24/B51)^(2/3))</f>
        <v>15.343339333105817</v>
      </c>
      <c r="E51" s="120">
        <f>D51*B51</f>
        <v>107.40337533174072</v>
      </c>
      <c r="F51" s="120">
        <f>E51-E50</f>
        <v>5.3793784349285403</v>
      </c>
      <c r="G51" s="119">
        <f>(F51*100)/$F$57</f>
        <v>4.1849129843331125</v>
      </c>
      <c r="H51" s="119">
        <f>G45</f>
        <v>43.679023236814942</v>
      </c>
      <c r="I51" s="118">
        <f>(H51*$I$41)/100</f>
        <v>70.739488502718899</v>
      </c>
      <c r="L51" s="122">
        <v>7</v>
      </c>
      <c r="M51" s="114" t="s">
        <v>77</v>
      </c>
      <c r="N51" s="120">
        <f>($S$41/24)*((24/L51)^(2/3))</f>
        <v>16.110539458571171</v>
      </c>
      <c r="O51" s="120">
        <f>N51*L51</f>
        <v>112.7737762099982</v>
      </c>
      <c r="P51" s="120">
        <f>O51-O50</f>
        <v>5.6483589821617102</v>
      </c>
      <c r="Q51" s="119">
        <f>(P51*100)/$P$57</f>
        <v>4.1849129843331241</v>
      </c>
      <c r="R51" s="119">
        <f>Q45</f>
        <v>43.679023236814942</v>
      </c>
      <c r="S51" s="118">
        <f>(R51*$S$41)/100</f>
        <v>74.276615804436176</v>
      </c>
      <c r="T51" s="121"/>
      <c r="V51" s="122">
        <v>7</v>
      </c>
      <c r="W51" s="114" t="s">
        <v>77</v>
      </c>
      <c r="X51" s="120">
        <f>($AC$41/24)*((24/V51)^(2/3))</f>
        <v>16.782905387248334</v>
      </c>
      <c r="Y51" s="120">
        <f>X51*V51</f>
        <v>117.48033771073834</v>
      </c>
      <c r="Z51" s="120">
        <f>Y51-Y50</f>
        <v>5.8840906373498711</v>
      </c>
      <c r="AA51" s="119">
        <f>(Z51*100)/$Z$57</f>
        <v>4.184912984333125</v>
      </c>
      <c r="AB51" s="119">
        <f>AA45</f>
        <v>43.679023236814949</v>
      </c>
      <c r="AC51" s="118">
        <f>(AB51*$AC$41)/100</f>
        <v>77.376516083552943</v>
      </c>
      <c r="AF51" s="122">
        <v>7</v>
      </c>
      <c r="AG51" s="114" t="s">
        <v>77</v>
      </c>
      <c r="AH51" s="120">
        <f>($AM$41/24)*((24/AF51)^(2/3))</f>
        <v>18.411950356052582</v>
      </c>
      <c r="AI51" s="120">
        <f>AH51*AF51</f>
        <v>128.88365249236807</v>
      </c>
      <c r="AJ51" s="120">
        <f>AI51-AI50</f>
        <v>6.455234192508442</v>
      </c>
      <c r="AK51" s="119">
        <f>(AJ51*100)/$AJ$57</f>
        <v>4.1849129843331232</v>
      </c>
      <c r="AL51" s="119">
        <f>AK45</f>
        <v>43.679023236814942</v>
      </c>
      <c r="AM51" s="118">
        <f>(AL51*$AM$41)/100</f>
        <v>84.887124129123265</v>
      </c>
    </row>
    <row r="52" spans="2:39">
      <c r="B52" s="122">
        <v>8</v>
      </c>
      <c r="C52" s="114" t="s">
        <v>78</v>
      </c>
      <c r="D52" s="120">
        <f>($I$41/24)*((24/B52)^(2/3))</f>
        <v>14.036492308113543</v>
      </c>
      <c r="E52" s="120">
        <f>D52*B52</f>
        <v>112.29193846490834</v>
      </c>
      <c r="F52" s="120">
        <f>E52-E51</f>
        <v>4.8885631331676223</v>
      </c>
      <c r="G52" s="119">
        <f>(F52*100)/$F$57</f>
        <v>3.8030808908868137</v>
      </c>
      <c r="H52" s="119">
        <f>G47</f>
        <v>7.9639316798331867</v>
      </c>
      <c r="I52" s="118">
        <f>(H52*$I$41)/100</f>
        <v>12.897826273440241</v>
      </c>
      <c r="L52" s="122">
        <v>8</v>
      </c>
      <c r="M52" s="114" t="s">
        <v>78</v>
      </c>
      <c r="N52" s="120">
        <f>($S$41/24)*((24/L52)^(2/3))</f>
        <v>14.73834725807497</v>
      </c>
      <c r="O52" s="120">
        <f>N52*L52</f>
        <v>117.90677806459976</v>
      </c>
      <c r="P52" s="120">
        <f>O52-O51</f>
        <v>5.1330018546015594</v>
      </c>
      <c r="Q52" s="119">
        <f>(P52*100)/$P$57</f>
        <v>3.8030808908868097</v>
      </c>
      <c r="R52" s="119">
        <f>Q47</f>
        <v>7.9639316798331921</v>
      </c>
      <c r="S52" s="118">
        <f>(R52*$S$41)/100</f>
        <v>13.542745460873141</v>
      </c>
      <c r="T52" s="121"/>
      <c r="V52" s="122">
        <v>8</v>
      </c>
      <c r="W52" s="114" t="s">
        <v>78</v>
      </c>
      <c r="X52" s="120">
        <f>($AC$41/24)*((24/V52)^(2/3))</f>
        <v>15.353445378583279</v>
      </c>
      <c r="Y52" s="120">
        <f>X52*V52</f>
        <v>122.82756302866623</v>
      </c>
      <c r="Z52" s="120">
        <f>Y52-Y51</f>
        <v>5.3472253179278937</v>
      </c>
      <c r="AA52" s="119">
        <f>(Z52*100)/$Z$57</f>
        <v>3.8030808908868066</v>
      </c>
      <c r="AB52" s="119">
        <f>AA47</f>
        <v>7.9639316798331885</v>
      </c>
      <c r="AC52" s="118">
        <f>(AB52*$AC$41)/100</f>
        <v>14.107945692190897</v>
      </c>
      <c r="AF52" s="122">
        <v>8</v>
      </c>
      <c r="AG52" s="114" t="s">
        <v>78</v>
      </c>
      <c r="AH52" s="120">
        <f>($AM$41/24)*((24/AF52)^(2/3))</f>
        <v>16.843738767640673</v>
      </c>
      <c r="AI52" s="120">
        <f>AH52*AF52</f>
        <v>134.74991014112538</v>
      </c>
      <c r="AJ52" s="120">
        <f>AI52-AI51</f>
        <v>5.8662576487573119</v>
      </c>
      <c r="AK52" s="119">
        <f>(AJ52*100)/$AJ$57</f>
        <v>3.8030808908868052</v>
      </c>
      <c r="AL52" s="119">
        <f>AK47</f>
        <v>7.9639316798331938</v>
      </c>
      <c r="AM52" s="118">
        <f>(AL52*$AM$41)/100</f>
        <v>15.477343744538222</v>
      </c>
    </row>
    <row r="53" spans="2:39">
      <c r="B53" s="122">
        <v>9</v>
      </c>
      <c r="C53" s="114" t="s">
        <v>79</v>
      </c>
      <c r="D53" s="120">
        <f>($I$41/24)*((24/B53)^(2/3))</f>
        <v>12.97648025888865</v>
      </c>
      <c r="E53" s="120">
        <f>D53*B53</f>
        <v>116.78832232999784</v>
      </c>
      <c r="F53" s="120">
        <f>E53-E52</f>
        <v>4.4963838650894985</v>
      </c>
      <c r="G53" s="119">
        <f>(F53*100)/$F$57</f>
        <v>3.4979831679770852</v>
      </c>
      <c r="H53" s="119">
        <f>G49</f>
        <v>5.3539516742226079</v>
      </c>
      <c r="I53" s="118">
        <f>(H53*$I$41)/100</f>
        <v>8.6708853549537395</v>
      </c>
      <c r="L53" s="122">
        <v>9</v>
      </c>
      <c r="M53" s="114" t="s">
        <v>79</v>
      </c>
      <c r="N53" s="120">
        <f>($S$41/24)*((24/L53)^(2/3))</f>
        <v>13.625332315574726</v>
      </c>
      <c r="O53" s="120">
        <f>N53*L53</f>
        <v>122.62799084017253</v>
      </c>
      <c r="P53" s="120">
        <f>O53-O52</f>
        <v>4.7212127755727664</v>
      </c>
      <c r="Q53" s="119">
        <f>(P53*100)/$P$57</f>
        <v>3.4979831679770945</v>
      </c>
      <c r="R53" s="119">
        <f>Q49</f>
        <v>5.3539516742226114</v>
      </c>
      <c r="S53" s="118">
        <f>(R53*$S$41)/100</f>
        <v>9.1044483615322918</v>
      </c>
      <c r="T53" s="121"/>
      <c r="V53" s="122">
        <v>9</v>
      </c>
      <c r="W53" s="114" t="s">
        <v>79</v>
      </c>
      <c r="X53" s="120">
        <f>($AC$41/24)*((24/V53)^(2/3))</f>
        <v>14.193979271156486</v>
      </c>
      <c r="Y53" s="120">
        <f>X53*V53</f>
        <v>127.74581344040837</v>
      </c>
      <c r="Z53" s="120">
        <f>Y53-Y52</f>
        <v>4.918250411742136</v>
      </c>
      <c r="AA53" s="119">
        <f>(Z53*100)/$Z$57</f>
        <v>3.4979831679770843</v>
      </c>
      <c r="AB53" s="119">
        <f>AA49</f>
        <v>5.3539516742226061</v>
      </c>
      <c r="AC53" s="118">
        <f>(AB53*$AC$41)/100</f>
        <v>9.4844183118518615</v>
      </c>
      <c r="AF53" s="122">
        <v>9</v>
      </c>
      <c r="AG53" s="114" t="s">
        <v>79</v>
      </c>
      <c r="AH53" s="120">
        <f>($AM$41/24)*((24/AF53)^(2/3))</f>
        <v>15.571728235680702</v>
      </c>
      <c r="AI53" s="120">
        <f>AH53*AF53</f>
        <v>140.14555412112631</v>
      </c>
      <c r="AJ53" s="120">
        <f>AI53-AI52</f>
        <v>5.3956439800009264</v>
      </c>
      <c r="AK53" s="119">
        <f>(AJ53*100)/$AJ$57</f>
        <v>3.4979831679770923</v>
      </c>
      <c r="AL53" s="119">
        <f>AK49</f>
        <v>5.3539516742226159</v>
      </c>
      <c r="AM53" s="118">
        <f>(AL53*$AM$41)/100</f>
        <v>10.405030302234458</v>
      </c>
    </row>
    <row r="54" spans="2:39">
      <c r="B54" s="122">
        <v>10</v>
      </c>
      <c r="C54" s="114" t="s">
        <v>80</v>
      </c>
      <c r="D54" s="120">
        <f>($I$41/24)*((24/B54)^(2/3))</f>
        <v>12.096282381986207</v>
      </c>
      <c r="E54" s="120">
        <f>D54*B54</f>
        <v>120.96282381986207</v>
      </c>
      <c r="F54" s="120">
        <f>E54-E53</f>
        <v>4.1745014898642268</v>
      </c>
      <c r="G54" s="119">
        <f>(F54*100)/$F$57</f>
        <v>3.2475732464958651</v>
      </c>
      <c r="H54" s="119">
        <f>G51</f>
        <v>4.1849129843331125</v>
      </c>
      <c r="I54" s="118">
        <f>(H54*$I$41)/100</f>
        <v>6.777592125517006</v>
      </c>
      <c r="L54" s="122">
        <v>10</v>
      </c>
      <c r="M54" s="114" t="s">
        <v>80</v>
      </c>
      <c r="N54" s="120">
        <f>($S$41/24)*((24/L54)^(2/3))</f>
        <v>12.701122642613205</v>
      </c>
      <c r="O54" s="120">
        <f>N54*L54</f>
        <v>127.01122642613205</v>
      </c>
      <c r="P54" s="120">
        <f>O54-O53</f>
        <v>4.3832355859595253</v>
      </c>
      <c r="Q54" s="119">
        <f>(P54*100)/$P$57</f>
        <v>3.2475732464958722</v>
      </c>
      <c r="R54" s="119">
        <f>Q51</f>
        <v>4.1849129843331241</v>
      </c>
      <c r="S54" s="118">
        <f>(R54*$S$41)/100</f>
        <v>7.1164863789883199</v>
      </c>
      <c r="T54" s="121"/>
      <c r="V54" s="122">
        <v>10</v>
      </c>
      <c r="W54" s="114" t="s">
        <v>80</v>
      </c>
      <c r="X54" s="120">
        <f>($AC$41/24)*((24/V54)^(2/3))</f>
        <v>13.231198134051809</v>
      </c>
      <c r="Y54" s="120">
        <f>X54*V54</f>
        <v>132.31198134051809</v>
      </c>
      <c r="Z54" s="120">
        <f>Y54-Y53</f>
        <v>4.5661679001097184</v>
      </c>
      <c r="AA54" s="119">
        <f>(Z54*100)/$Z$57</f>
        <v>3.2475732464958713</v>
      </c>
      <c r="AB54" s="119">
        <f>AA51</f>
        <v>4.184912984333125</v>
      </c>
      <c r="AC54" s="118">
        <f>(AB54*$AC$41)/100</f>
        <v>7.4134896534864438</v>
      </c>
      <c r="AF54" s="122">
        <v>10</v>
      </c>
      <c r="AG54" s="114" t="s">
        <v>80</v>
      </c>
      <c r="AH54" s="120">
        <f>($AM$41/24)*((24/AF54)^(2/3))</f>
        <v>14.515494044335981</v>
      </c>
      <c r="AI54" s="120">
        <f>AH54*AF54</f>
        <v>145.15494044335981</v>
      </c>
      <c r="AJ54" s="120">
        <f>AI54-AI53</f>
        <v>5.009386322233496</v>
      </c>
      <c r="AK54" s="119">
        <f>(AJ54*100)/$AJ$57</f>
        <v>3.2475732464958575</v>
      </c>
      <c r="AL54" s="119">
        <f>AK51</f>
        <v>4.1849129843331232</v>
      </c>
      <c r="AM54" s="118">
        <f>(AL54*$AM$41)/100</f>
        <v>8.1330854411425211</v>
      </c>
    </row>
    <row r="55" spans="2:39">
      <c r="B55" s="122">
        <v>11</v>
      </c>
      <c r="C55" s="114" t="s">
        <v>81</v>
      </c>
      <c r="D55" s="120">
        <f>($I$41/24)*((24/B55)^(2/3))</f>
        <v>11.351592521699583</v>
      </c>
      <c r="E55" s="120">
        <f>D55*B55</f>
        <v>124.86751773869541</v>
      </c>
      <c r="F55" s="120">
        <f>E55-E54</f>
        <v>3.9046939188333454</v>
      </c>
      <c r="G55" s="119">
        <f>(F55*100)/$F$57</f>
        <v>3.0376751660880843</v>
      </c>
      <c r="H55" s="119">
        <f>G53</f>
        <v>3.4979831679770852</v>
      </c>
      <c r="I55" s="118">
        <f>(H55*$I$41)/100</f>
        <v>5.6650886800339286</v>
      </c>
      <c r="L55" s="122">
        <v>11</v>
      </c>
      <c r="M55" s="114" t="s">
        <v>81</v>
      </c>
      <c r="N55" s="120">
        <f>($S$41/24)*((24/L55)^(2/3))</f>
        <v>11.91919667994749</v>
      </c>
      <c r="O55" s="120">
        <f>N55*L55</f>
        <v>131.11116347942237</v>
      </c>
      <c r="P55" s="120">
        <f>O55-O54</f>
        <v>4.0999370532903185</v>
      </c>
      <c r="Q55" s="119">
        <f>(P55*100)/$P$57</f>
        <v>3.0376751660880745</v>
      </c>
      <c r="R55" s="119">
        <f>Q53</f>
        <v>3.4979831679770945</v>
      </c>
      <c r="S55" s="118">
        <f>(R55*$S$41)/100</f>
        <v>5.9483553569767285</v>
      </c>
      <c r="T55" s="121"/>
      <c r="V55" s="122">
        <v>11</v>
      </c>
      <c r="W55" s="114" t="s">
        <v>81</v>
      </c>
      <c r="X55" s="120">
        <f>($AC$41/24)*((24/V55)^(2/3))</f>
        <v>12.416638852222791</v>
      </c>
      <c r="Y55" s="120">
        <f>X55*V55</f>
        <v>136.58302737445069</v>
      </c>
      <c r="Z55" s="120">
        <f>Y55-Y54</f>
        <v>4.2710460339326062</v>
      </c>
      <c r="AA55" s="119">
        <f>(Z55*100)/$Z$57</f>
        <v>3.0376751660880759</v>
      </c>
      <c r="AB55" s="119">
        <f>AA53</f>
        <v>3.4979831679770843</v>
      </c>
      <c r="AC55" s="118">
        <f>(AB55*$AC$41)/100</f>
        <v>6.1966072224080451</v>
      </c>
      <c r="AF55" s="122">
        <v>11</v>
      </c>
      <c r="AG55" s="114" t="s">
        <v>81</v>
      </c>
      <c r="AH55" s="120">
        <f>($AM$41/24)*((24/AF55)^(2/3))</f>
        <v>13.621868970903051</v>
      </c>
      <c r="AI55" s="120">
        <f>AH55*AF55</f>
        <v>149.84055867993357</v>
      </c>
      <c r="AJ55" s="120">
        <f>AI55-AI54</f>
        <v>4.6856182365737595</v>
      </c>
      <c r="AK55" s="119">
        <f>(AJ55*100)/$AJ$57</f>
        <v>3.0376751660880896</v>
      </c>
      <c r="AL55" s="119">
        <f>AK53</f>
        <v>3.4979831679770923</v>
      </c>
      <c r="AM55" s="118">
        <f>(AL55*$AM$41)/100</f>
        <v>6.7980854281417207</v>
      </c>
    </row>
    <row r="56" spans="2:39">
      <c r="B56" s="122">
        <v>12</v>
      </c>
      <c r="C56" s="114" t="s">
        <v>82</v>
      </c>
      <c r="D56" s="120">
        <f>($I$41/24)*((24/B56)^(2/3))</f>
        <v>10.711848440391908</v>
      </c>
      <c r="E56" s="120">
        <f>D56*B56</f>
        <v>128.54218128470291</v>
      </c>
      <c r="F56" s="120">
        <f>E56-E55</f>
        <v>3.6746635460074941</v>
      </c>
      <c r="G56" s="119">
        <f>(F56*100)/$F$57</f>
        <v>2.85872194580908</v>
      </c>
      <c r="H56" s="119">
        <f>G55</f>
        <v>3.0376751660880843</v>
      </c>
      <c r="I56" s="118">
        <f>(H56*$I$41)/100</f>
        <v>4.9196060617346351</v>
      </c>
      <c r="L56" s="122">
        <v>12</v>
      </c>
      <c r="M56" s="114" t="s">
        <v>82</v>
      </c>
      <c r="N56" s="120">
        <f>($S$41/24)*((24/L56)^(2/3))</f>
        <v>11.247464012010177</v>
      </c>
      <c r="O56" s="120">
        <f>N56*L56</f>
        <v>134.96956814412212</v>
      </c>
      <c r="P56" s="120">
        <f>O56-O55</f>
        <v>3.8584046646997479</v>
      </c>
      <c r="Q56" s="119">
        <f>(P56*100)/$P$57</f>
        <v>2.8587219458090711</v>
      </c>
      <c r="R56" s="119">
        <f>Q55</f>
        <v>3.0376751660880745</v>
      </c>
      <c r="S56" s="118">
        <f>(R56*$S$41)/100</f>
        <v>5.1655969966844317</v>
      </c>
      <c r="T56" s="121"/>
      <c r="V56" s="122">
        <v>12</v>
      </c>
      <c r="W56" s="114" t="s">
        <v>82</v>
      </c>
      <c r="X56" s="120">
        <f>($AC$41/24)*((24/V56)^(2/3))</f>
        <v>11.716871731419273</v>
      </c>
      <c r="Y56" s="120">
        <f>X56*V56</f>
        <v>140.60246077703127</v>
      </c>
      <c r="Z56" s="120">
        <f>Y56-Y55</f>
        <v>4.0194334025805745</v>
      </c>
      <c r="AA56" s="119">
        <f>(Z56*100)/$Z$57</f>
        <v>2.858721945809064</v>
      </c>
      <c r="AB56" s="119">
        <f>AA55</f>
        <v>3.0376751660880759</v>
      </c>
      <c r="AC56" s="118">
        <f>(AB56*$AC$41)/100</f>
        <v>5.3811808032217048</v>
      </c>
      <c r="AF56" s="122">
        <v>12</v>
      </c>
      <c r="AG56" s="114" t="s">
        <v>82</v>
      </c>
      <c r="AH56" s="120">
        <f>($AM$41/24)*((24/AF56)^(2/3))</f>
        <v>12.854178443443988</v>
      </c>
      <c r="AI56" s="120">
        <f>AH56*AF56</f>
        <v>154.25014132132787</v>
      </c>
      <c r="AJ56" s="120">
        <f>AI56-AI55</f>
        <v>4.4095826413943087</v>
      </c>
      <c r="AK56" s="119">
        <f>(AJ56*100)/$AJ$57</f>
        <v>2.8587219458090729</v>
      </c>
      <c r="AL56" s="119">
        <f>AK55</f>
        <v>3.0376751660880896</v>
      </c>
      <c r="AM56" s="118">
        <f>(AL56*$AM$41)/100</f>
        <v>5.9035090480305756</v>
      </c>
    </row>
    <row r="57" spans="2:39">
      <c r="B57" s="149" t="s">
        <v>83</v>
      </c>
      <c r="C57" s="150"/>
      <c r="D57" s="150"/>
      <c r="E57" s="151"/>
      <c r="F57" s="120">
        <f>SUM(F45:F56)</f>
        <v>128.54218128470291</v>
      </c>
      <c r="G57" s="119">
        <f>(F57*100)/$F$57</f>
        <v>100</v>
      </c>
      <c r="H57" s="119">
        <f>SUM(H45:H56)</f>
        <v>99.999999999999986</v>
      </c>
      <c r="I57" s="118">
        <f>SUM(I45:I56)</f>
        <v>161.953</v>
      </c>
      <c r="L57" s="149" t="s">
        <v>83</v>
      </c>
      <c r="M57" s="150"/>
      <c r="N57" s="150"/>
      <c r="O57" s="151"/>
      <c r="P57" s="120">
        <f>SUM(P45:P56)</f>
        <v>134.96956814412212</v>
      </c>
      <c r="Q57" s="119">
        <f>(P57*100)/$P$57</f>
        <v>100</v>
      </c>
      <c r="R57" s="119">
        <f>SUM(R45:R56)</f>
        <v>100.00000000000001</v>
      </c>
      <c r="S57" s="118">
        <f>SUM(S45:S56)</f>
        <v>170.05099999999999</v>
      </c>
      <c r="T57" s="121"/>
      <c r="V57" s="149" t="s">
        <v>83</v>
      </c>
      <c r="W57" s="150"/>
      <c r="X57" s="150"/>
      <c r="Y57" s="151"/>
      <c r="Z57" s="120">
        <f>SUM(Z45:Z56)</f>
        <v>140.60246077703127</v>
      </c>
      <c r="AA57" s="119">
        <f>(Z57*100)/$Z$57</f>
        <v>100</v>
      </c>
      <c r="AB57" s="119">
        <f>SUM(AB45:AB56)</f>
        <v>99.999999999999986</v>
      </c>
      <c r="AC57" s="118">
        <f>SUM(AC45:AC56)</f>
        <v>177.14799999999997</v>
      </c>
      <c r="AF57" s="149" t="s">
        <v>83</v>
      </c>
      <c r="AG57" s="150"/>
      <c r="AH57" s="150"/>
      <c r="AI57" s="151"/>
      <c r="AJ57" s="120">
        <f>SUM(AJ45:AJ56)</f>
        <v>154.25014132132787</v>
      </c>
      <c r="AK57" s="119">
        <f>(AJ57*100)/$AJ$57</f>
        <v>100</v>
      </c>
      <c r="AL57" s="119">
        <f>SUM(AL45:AL56)</f>
        <v>100</v>
      </c>
      <c r="AM57" s="118">
        <f>SUM(AM45:AM56)</f>
        <v>194.34299999999999</v>
      </c>
    </row>
    <row r="58" spans="2:39">
      <c r="B58" s="127"/>
      <c r="I58" s="126"/>
      <c r="L58" s="127"/>
      <c r="S58" s="126"/>
      <c r="V58" s="127"/>
      <c r="AC58" s="126"/>
      <c r="AF58" s="127"/>
      <c r="AM58" s="126"/>
    </row>
    <row r="59" spans="2:39">
      <c r="B59" s="127"/>
      <c r="I59" s="126"/>
      <c r="L59" s="127"/>
      <c r="S59" s="126"/>
      <c r="V59" s="127"/>
      <c r="AC59" s="126"/>
      <c r="AF59" s="127"/>
      <c r="AM59" s="126"/>
    </row>
    <row r="60" spans="2:39">
      <c r="B60" s="127"/>
      <c r="I60" s="126"/>
      <c r="L60" s="127"/>
      <c r="S60" s="126"/>
      <c r="V60" s="127"/>
      <c r="AC60" s="126"/>
      <c r="AF60" s="127"/>
      <c r="AM60" s="126"/>
    </row>
    <row r="61" spans="2:39" ht="15">
      <c r="B61" s="125"/>
      <c r="C61" s="112" t="s">
        <v>88</v>
      </c>
      <c r="D61" s="112"/>
      <c r="E61" s="112"/>
      <c r="F61" s="112"/>
      <c r="G61" s="113" t="s">
        <v>89</v>
      </c>
      <c r="H61" s="113"/>
      <c r="I61" s="126">
        <f>'[6]Design Rainfall'!D38</f>
        <v>177.64599999999999</v>
      </c>
      <c r="L61" s="125"/>
      <c r="M61" s="112" t="s">
        <v>88</v>
      </c>
      <c r="N61" s="112"/>
      <c r="O61" s="112"/>
      <c r="P61" s="112"/>
      <c r="Q61" s="113" t="s">
        <v>89</v>
      </c>
      <c r="R61" s="113"/>
      <c r="S61" s="126">
        <f>'[6]Design Rainfall'!E38</f>
        <v>186.52799999999999</v>
      </c>
      <c r="V61" s="125"/>
      <c r="W61" s="112" t="s">
        <v>88</v>
      </c>
      <c r="X61" s="112"/>
      <c r="Y61" s="112"/>
      <c r="Z61" s="112"/>
      <c r="AA61" s="113" t="s">
        <v>89</v>
      </c>
      <c r="AB61" s="113"/>
      <c r="AC61" s="126">
        <f>'[6]Design Rainfall'!F38</f>
        <v>195.411</v>
      </c>
      <c r="AF61" s="125"/>
      <c r="AG61" s="112" t="s">
        <v>88</v>
      </c>
      <c r="AH61" s="112"/>
      <c r="AI61" s="112"/>
      <c r="AJ61" s="112"/>
      <c r="AK61" s="113" t="s">
        <v>89</v>
      </c>
      <c r="AL61" s="113"/>
      <c r="AM61" s="126">
        <f>'[6]Design Rainfall'!G38</f>
        <v>213.17500000000001</v>
      </c>
    </row>
    <row r="62" spans="2:39" ht="15">
      <c r="B62" s="125"/>
      <c r="C62" s="112"/>
      <c r="D62" s="112"/>
      <c r="E62" s="112"/>
      <c r="F62" s="112"/>
      <c r="G62" s="112"/>
      <c r="H62" s="112"/>
      <c r="I62" s="124"/>
      <c r="L62" s="125"/>
      <c r="M62" s="112"/>
      <c r="N62" s="112"/>
      <c r="O62" s="112"/>
      <c r="P62" s="112"/>
      <c r="Q62" s="112"/>
      <c r="R62" s="112"/>
      <c r="S62" s="124"/>
      <c r="T62" s="111"/>
      <c r="V62" s="125"/>
      <c r="W62" s="112"/>
      <c r="X62" s="112"/>
      <c r="Y62" s="112"/>
      <c r="Z62" s="112"/>
      <c r="AA62" s="112"/>
      <c r="AB62" s="112"/>
      <c r="AC62" s="124"/>
      <c r="AF62" s="125"/>
      <c r="AG62" s="112"/>
      <c r="AH62" s="112"/>
      <c r="AI62" s="112"/>
      <c r="AJ62" s="112"/>
      <c r="AK62" s="112"/>
      <c r="AL62" s="112"/>
      <c r="AM62" s="124"/>
    </row>
    <row r="63" spans="2:39" ht="13.15" customHeight="1">
      <c r="B63" s="152" t="s">
        <v>63</v>
      </c>
      <c r="C63" s="154" t="s">
        <v>64</v>
      </c>
      <c r="D63" s="154" t="s">
        <v>65</v>
      </c>
      <c r="E63" s="154" t="s">
        <v>66</v>
      </c>
      <c r="F63" s="154" t="s">
        <v>67</v>
      </c>
      <c r="G63" s="154" t="s">
        <v>68</v>
      </c>
      <c r="H63" s="147" t="s">
        <v>69</v>
      </c>
      <c r="I63" s="148"/>
      <c r="L63" s="152" t="s">
        <v>63</v>
      </c>
      <c r="M63" s="154" t="s">
        <v>64</v>
      </c>
      <c r="N63" s="154" t="s">
        <v>65</v>
      </c>
      <c r="O63" s="154" t="s">
        <v>66</v>
      </c>
      <c r="P63" s="154" t="s">
        <v>67</v>
      </c>
      <c r="Q63" s="154" t="s">
        <v>68</v>
      </c>
      <c r="R63" s="147" t="s">
        <v>69</v>
      </c>
      <c r="S63" s="148"/>
      <c r="T63" s="121"/>
      <c r="V63" s="152" t="s">
        <v>63</v>
      </c>
      <c r="W63" s="154" t="s">
        <v>64</v>
      </c>
      <c r="X63" s="154" t="s">
        <v>65</v>
      </c>
      <c r="Y63" s="154" t="s">
        <v>66</v>
      </c>
      <c r="Z63" s="154" t="s">
        <v>67</v>
      </c>
      <c r="AA63" s="154" t="s">
        <v>68</v>
      </c>
      <c r="AB63" s="147" t="s">
        <v>69</v>
      </c>
      <c r="AC63" s="148"/>
      <c r="AF63" s="152" t="s">
        <v>63</v>
      </c>
      <c r="AG63" s="154" t="s">
        <v>64</v>
      </c>
      <c r="AH63" s="154" t="s">
        <v>65</v>
      </c>
      <c r="AI63" s="154" t="s">
        <v>66</v>
      </c>
      <c r="AJ63" s="154" t="s">
        <v>67</v>
      </c>
      <c r="AK63" s="154" t="s">
        <v>68</v>
      </c>
      <c r="AL63" s="147" t="s">
        <v>69</v>
      </c>
      <c r="AM63" s="148"/>
    </row>
    <row r="64" spans="2:39">
      <c r="B64" s="153"/>
      <c r="C64" s="155"/>
      <c r="D64" s="155"/>
      <c r="E64" s="155"/>
      <c r="F64" s="155"/>
      <c r="G64" s="155"/>
      <c r="H64" s="114" t="s">
        <v>70</v>
      </c>
      <c r="I64" s="123" t="s">
        <v>51</v>
      </c>
      <c r="L64" s="153"/>
      <c r="M64" s="155"/>
      <c r="N64" s="155"/>
      <c r="O64" s="155"/>
      <c r="P64" s="155"/>
      <c r="Q64" s="155"/>
      <c r="R64" s="114" t="s">
        <v>70</v>
      </c>
      <c r="S64" s="123" t="s">
        <v>51</v>
      </c>
      <c r="T64" s="121"/>
      <c r="V64" s="153"/>
      <c r="W64" s="155"/>
      <c r="X64" s="155"/>
      <c r="Y64" s="155"/>
      <c r="Z64" s="155"/>
      <c r="AA64" s="155"/>
      <c r="AB64" s="114" t="s">
        <v>70</v>
      </c>
      <c r="AC64" s="123" t="s">
        <v>51</v>
      </c>
      <c r="AF64" s="153"/>
      <c r="AG64" s="155"/>
      <c r="AH64" s="155"/>
      <c r="AI64" s="155"/>
      <c r="AJ64" s="155"/>
      <c r="AK64" s="155"/>
      <c r="AL64" s="114" t="s">
        <v>70</v>
      </c>
      <c r="AM64" s="123" t="s">
        <v>51</v>
      </c>
    </row>
    <row r="65" spans="2:39">
      <c r="B65" s="122">
        <v>1</v>
      </c>
      <c r="C65" s="114" t="s">
        <v>71</v>
      </c>
      <c r="D65" s="120">
        <f>($I$61/24)*((24/B65)^(2/3))</f>
        <v>61.586428471646421</v>
      </c>
      <c r="E65" s="120">
        <f>D65*B65</f>
        <v>61.586428471646421</v>
      </c>
      <c r="F65" s="120">
        <f>E65</f>
        <v>61.586428471646421</v>
      </c>
      <c r="G65" s="119">
        <f>(F65*100)/$F$77</f>
        <v>43.679023236814949</v>
      </c>
      <c r="H65" s="119">
        <f>G76</f>
        <v>2.8587219458090658</v>
      </c>
      <c r="I65" s="118">
        <f>(H65*$I$61)/100</f>
        <v>5.0784051878519731</v>
      </c>
      <c r="L65" s="122">
        <v>1</v>
      </c>
      <c r="M65" s="114" t="s">
        <v>71</v>
      </c>
      <c r="N65" s="120">
        <f>($S$61/24)*((24/L65)^(2/3))</f>
        <v>64.665645891037585</v>
      </c>
      <c r="O65" s="120">
        <f>N65*L65</f>
        <v>64.665645891037585</v>
      </c>
      <c r="P65" s="120">
        <f>O65</f>
        <v>64.665645891037585</v>
      </c>
      <c r="Q65" s="119">
        <f>(P65*100)/$P$77</f>
        <v>43.679023236814949</v>
      </c>
      <c r="R65" s="119">
        <f>Q76</f>
        <v>2.8587219458090525</v>
      </c>
      <c r="S65" s="118">
        <f>(R65*$S$61)/100</f>
        <v>5.3323168710787092</v>
      </c>
      <c r="T65" s="121"/>
      <c r="V65" s="122">
        <v>1</v>
      </c>
      <c r="W65" s="114" t="s">
        <v>71</v>
      </c>
      <c r="X65" s="120">
        <f>($AC$61/24)*((24/V65)^(2/3))</f>
        <v>67.745209991065934</v>
      </c>
      <c r="Y65" s="120">
        <f>X65*V65</f>
        <v>67.745209991065934</v>
      </c>
      <c r="Z65" s="120">
        <f>Y65</f>
        <v>67.745209991065934</v>
      </c>
      <c r="AA65" s="119">
        <f>(Z65*100)/$Z$77</f>
        <v>43.679023236814942</v>
      </c>
      <c r="AB65" s="119">
        <f>AA76</f>
        <v>2.8587219458090769</v>
      </c>
      <c r="AC65" s="118">
        <f>(AB65*$AC$61)/100</f>
        <v>5.5862571415249747</v>
      </c>
      <c r="AF65" s="122">
        <v>1</v>
      </c>
      <c r="AG65" s="114" t="s">
        <v>71</v>
      </c>
      <c r="AH65" s="120">
        <f>($AM$61/24)*((24/AF65)^(2/3))</f>
        <v>73.903644829848275</v>
      </c>
      <c r="AI65" s="120">
        <f>AH65*AF65</f>
        <v>73.903644829848275</v>
      </c>
      <c r="AJ65" s="120">
        <f>AI65</f>
        <v>73.903644829848275</v>
      </c>
      <c r="AK65" s="119">
        <f>(AJ65*100)/$AJ$77</f>
        <v>43.679023236814942</v>
      </c>
      <c r="AL65" s="119">
        <f>AK76</f>
        <v>2.8587219458090689</v>
      </c>
      <c r="AM65" s="118">
        <f>(AL65*$AM$61)/100</f>
        <v>6.0940805079784832</v>
      </c>
    </row>
    <row r="66" spans="2:39">
      <c r="B66" s="122">
        <v>2</v>
      </c>
      <c r="C66" s="114" t="s">
        <v>72</v>
      </c>
      <c r="D66" s="120">
        <f>($I$61/24)*((24/B66)^(2/3))</f>
        <v>38.797018809636135</v>
      </c>
      <c r="E66" s="120">
        <f>D66*B66</f>
        <v>77.594037619272271</v>
      </c>
      <c r="F66" s="120">
        <f>E66-E65</f>
        <v>16.00760914762585</v>
      </c>
      <c r="G66" s="119">
        <f>(F66*100)/$F$77</f>
        <v>11.353097578095504</v>
      </c>
      <c r="H66" s="119">
        <f>G74</f>
        <v>3.2475732464958758</v>
      </c>
      <c r="I66" s="118">
        <f>(H66*$I$61)/100</f>
        <v>5.7691839694700624</v>
      </c>
      <c r="L66" s="122">
        <v>2</v>
      </c>
      <c r="M66" s="114" t="s">
        <v>72</v>
      </c>
      <c r="N66" s="120">
        <f>($S$61/24)*((24/L66)^(2/3))</f>
        <v>40.736804231583086</v>
      </c>
      <c r="O66" s="120">
        <f>N66*L66</f>
        <v>81.473608463166173</v>
      </c>
      <c r="P66" s="120">
        <f>O66-O65</f>
        <v>16.807962572128588</v>
      </c>
      <c r="Q66" s="119">
        <f>(P66*100)/$P$77</f>
        <v>11.353097578095507</v>
      </c>
      <c r="R66" s="119">
        <f>Q74</f>
        <v>3.2475732464958633</v>
      </c>
      <c r="S66" s="118">
        <f>(R66*$S$61)/100</f>
        <v>6.0576334252238038</v>
      </c>
      <c r="T66" s="121"/>
      <c r="V66" s="122">
        <v>2</v>
      </c>
      <c r="W66" s="114" t="s">
        <v>72</v>
      </c>
      <c r="X66" s="120">
        <f>($AC$61/24)*((24/V66)^(2/3))</f>
        <v>42.67680804864623</v>
      </c>
      <c r="Y66" s="120">
        <f>X66*V66</f>
        <v>85.353616097292459</v>
      </c>
      <c r="Z66" s="120">
        <f>Y66-Y65</f>
        <v>17.608406106226525</v>
      </c>
      <c r="AA66" s="119">
        <f>(Z66*100)/$Z$77</f>
        <v>11.353097578095511</v>
      </c>
      <c r="AB66" s="119">
        <f>AA74</f>
        <v>3.2475732464958704</v>
      </c>
      <c r="AC66" s="118">
        <f>(AB66*$AC$61)/100</f>
        <v>6.3461153567100448</v>
      </c>
      <c r="AF66" s="122">
        <v>2</v>
      </c>
      <c r="AG66" s="114" t="s">
        <v>72</v>
      </c>
      <c r="AH66" s="120">
        <f>($AM$61/24)*((24/AF66)^(2/3))</f>
        <v>46.556378892540131</v>
      </c>
      <c r="AI66" s="120">
        <f>AH66*AF66</f>
        <v>93.112757785080262</v>
      </c>
      <c r="AJ66" s="120">
        <f>AI66-AI65</f>
        <v>19.209112955231987</v>
      </c>
      <c r="AK66" s="119">
        <f>(AJ66*100)/$AJ$77</f>
        <v>11.353097578095507</v>
      </c>
      <c r="AL66" s="119">
        <f>AK74</f>
        <v>3.2475732464958651</v>
      </c>
      <c r="AM66" s="118">
        <f>(AL66*$AM$61)/100</f>
        <v>6.9230142682175604</v>
      </c>
    </row>
    <row r="67" spans="2:39">
      <c r="B67" s="122">
        <v>3</v>
      </c>
      <c r="C67" s="114" t="s">
        <v>73</v>
      </c>
      <c r="D67" s="120">
        <f>($I$61/24)*((24/B67)^(2/3))</f>
        <v>29.607666666666656</v>
      </c>
      <c r="E67" s="120">
        <f>D67*B67</f>
        <v>88.822999999999965</v>
      </c>
      <c r="F67" s="120">
        <f>E67-E66</f>
        <v>11.228962380727694</v>
      </c>
      <c r="G67" s="119">
        <f>(F67*100)/$F$77</f>
        <v>7.9639316798331921</v>
      </c>
      <c r="H67" s="119">
        <f>G72</f>
        <v>3.8030808908868048</v>
      </c>
      <c r="I67" s="118">
        <f>(H67*$I$61)/100</f>
        <v>6.7560210794247721</v>
      </c>
      <c r="L67" s="122">
        <v>3</v>
      </c>
      <c r="M67" s="114" t="s">
        <v>73</v>
      </c>
      <c r="N67" s="120">
        <f>($S$61/24)*((24/L67)^(2/3))</f>
        <v>31.08799999999999</v>
      </c>
      <c r="O67" s="120">
        <f>N67*L67</f>
        <v>93.263999999999967</v>
      </c>
      <c r="P67" s="120">
        <f>O67-O66</f>
        <v>11.790391536833795</v>
      </c>
      <c r="Q67" s="119">
        <f>(P67*100)/$P$77</f>
        <v>7.9639316798331965</v>
      </c>
      <c r="R67" s="119">
        <f>Q72</f>
        <v>3.8030808908867981</v>
      </c>
      <c r="S67" s="118">
        <f>(R67*$S$61)/100</f>
        <v>7.0938107241533261</v>
      </c>
      <c r="T67" s="121"/>
      <c r="V67" s="122">
        <v>3</v>
      </c>
      <c r="W67" s="114" t="s">
        <v>73</v>
      </c>
      <c r="X67" s="120">
        <f>($AC$61/24)*((24/V67)^(2/3))</f>
        <v>32.568499999999993</v>
      </c>
      <c r="Y67" s="120">
        <f>X67*V67</f>
        <v>97.705499999999972</v>
      </c>
      <c r="Z67" s="120">
        <f>Y67-Y66</f>
        <v>12.351883902707513</v>
      </c>
      <c r="AA67" s="119">
        <f>(Z67*100)/$Z$77</f>
        <v>7.9639316798331894</v>
      </c>
      <c r="AB67" s="119">
        <f>AA72</f>
        <v>3.803080890886807</v>
      </c>
      <c r="AC67" s="118">
        <f>(AB67*$AC$61)/100</f>
        <v>7.4316383996908186</v>
      </c>
      <c r="AF67" s="122">
        <v>3</v>
      </c>
      <c r="AG67" s="114" t="s">
        <v>73</v>
      </c>
      <c r="AH67" s="120">
        <f>($AM$61/24)*((24/AF67)^(2/3))</f>
        <v>35.529166666666661</v>
      </c>
      <c r="AI67" s="120">
        <f>AH67*AF67</f>
        <v>106.58749999999998</v>
      </c>
      <c r="AJ67" s="120">
        <f>AI67-AI66</f>
        <v>13.474742214919715</v>
      </c>
      <c r="AK67" s="119">
        <f>(AJ67*100)/$AJ$77</f>
        <v>7.9639316798331974</v>
      </c>
      <c r="AL67" s="119">
        <f>AK72</f>
        <v>3.8030808908868119</v>
      </c>
      <c r="AM67" s="118">
        <f>(AL67*$AM$61)/100</f>
        <v>8.1072176891479621</v>
      </c>
    </row>
    <row r="68" spans="2:39">
      <c r="B68" s="122">
        <v>4</v>
      </c>
      <c r="C68" s="114" t="s">
        <v>74</v>
      </c>
      <c r="D68" s="120">
        <f>($I$61/24)*((24/B68)^(2/3))</f>
        <v>24.440590335713946</v>
      </c>
      <c r="E68" s="120">
        <f>D68*B68</f>
        <v>97.762361342855783</v>
      </c>
      <c r="F68" s="120">
        <f>E68-E67</f>
        <v>8.9393613428558183</v>
      </c>
      <c r="G68" s="119">
        <f>(F68*100)/$F$77</f>
        <v>6.3400749403198198</v>
      </c>
      <c r="H68" s="119">
        <f>G70</f>
        <v>4.6799734891238849</v>
      </c>
      <c r="I68" s="118">
        <f>(H68*$I$61)/100</f>
        <v>8.3137857044890158</v>
      </c>
      <c r="L68" s="122">
        <v>4</v>
      </c>
      <c r="M68" s="114" t="s">
        <v>74</v>
      </c>
      <c r="N68" s="120">
        <f>($S$61/24)*((24/L68)^(2/3))</f>
        <v>25.662578578409033</v>
      </c>
      <c r="O68" s="120">
        <f>N68*L68</f>
        <v>102.65031431363613</v>
      </c>
      <c r="P68" s="120">
        <f>O68-O67</f>
        <v>9.3863143136361629</v>
      </c>
      <c r="Q68" s="119">
        <f>(P68*100)/$P$77</f>
        <v>6.3400749403198189</v>
      </c>
      <c r="R68" s="119">
        <f>Q70</f>
        <v>4.6799734891238902</v>
      </c>
      <c r="S68" s="118">
        <f>(R68*$S$61)/100</f>
        <v>8.72946094979301</v>
      </c>
      <c r="T68" s="121"/>
      <c r="V68" s="122">
        <v>4</v>
      </c>
      <c r="W68" s="114" t="s">
        <v>74</v>
      </c>
      <c r="X68" s="120">
        <f>($AC$61/24)*((24/V68)^(2/3))</f>
        <v>26.884704401406161</v>
      </c>
      <c r="Y68" s="120">
        <f>X68*V68</f>
        <v>107.53881760562464</v>
      </c>
      <c r="Z68" s="120">
        <f>Y68-Y67</f>
        <v>9.8333176056246714</v>
      </c>
      <c r="AA68" s="119">
        <f>(Z68*100)/$Z$77</f>
        <v>6.3400749403198269</v>
      </c>
      <c r="AB68" s="119">
        <f>AA70</f>
        <v>4.6799734891238849</v>
      </c>
      <c r="AC68" s="118">
        <f>(AB68*$AC$61)/100</f>
        <v>9.1451829948318739</v>
      </c>
      <c r="AF68" s="122">
        <v>4</v>
      </c>
      <c r="AG68" s="114" t="s">
        <v>74</v>
      </c>
      <c r="AH68" s="120">
        <f>($AM$61/24)*((24/AF68)^(2/3))</f>
        <v>29.328680886796334</v>
      </c>
      <c r="AI68" s="120">
        <f>AH68*AF68</f>
        <v>117.31472354718534</v>
      </c>
      <c r="AJ68" s="120">
        <f>AI68-AI67</f>
        <v>10.727223547185361</v>
      </c>
      <c r="AK68" s="119">
        <f>(AJ68*100)/$AJ$77</f>
        <v>6.3400749403198242</v>
      </c>
      <c r="AL68" s="119">
        <f>AK70</f>
        <v>4.6799734891238929</v>
      </c>
      <c r="AM68" s="118">
        <f>(AL68*$AM$61)/100</f>
        <v>9.9765334854398589</v>
      </c>
    </row>
    <row r="69" spans="2:39">
      <c r="B69" s="122">
        <v>5</v>
      </c>
      <c r="C69" s="114" t="s">
        <v>75</v>
      </c>
      <c r="D69" s="120">
        <f>($I$61/24)*((24/B69)^(2/3))</f>
        <v>21.062262265648052</v>
      </c>
      <c r="E69" s="120">
        <f>D69*B69</f>
        <v>105.31131132824027</v>
      </c>
      <c r="F69" s="120">
        <f>E69-E68</f>
        <v>7.5489499853844819</v>
      </c>
      <c r="G69" s="119">
        <f>(F69*100)/$F$77</f>
        <v>5.3539516742226141</v>
      </c>
      <c r="H69" s="119">
        <f>G68</f>
        <v>6.3400749403198198</v>
      </c>
      <c r="I69" s="118">
        <f>(H69*$I$61)/100</f>
        <v>11.262889528480546</v>
      </c>
      <c r="L69" s="122">
        <v>5</v>
      </c>
      <c r="M69" s="114" t="s">
        <v>75</v>
      </c>
      <c r="N69" s="120">
        <f>($S$61/24)*((24/L69)^(2/3))</f>
        <v>22.115339809997412</v>
      </c>
      <c r="O69" s="120">
        <f>N69*L69</f>
        <v>110.57669904998706</v>
      </c>
      <c r="P69" s="120">
        <f>O69-O68</f>
        <v>7.9263847363509257</v>
      </c>
      <c r="Q69" s="119">
        <f>(P69*100)/$P$77</f>
        <v>5.353951674222615</v>
      </c>
      <c r="R69" s="119">
        <f>Q68</f>
        <v>6.3400749403198189</v>
      </c>
      <c r="S69" s="118">
        <f>(R69*$S$61)/100</f>
        <v>11.82601498467975</v>
      </c>
      <c r="T69" s="121"/>
      <c r="V69" s="122">
        <v>5</v>
      </c>
      <c r="W69" s="114" t="s">
        <v>75</v>
      </c>
      <c r="X69" s="120">
        <f>($AC$61/24)*((24/V69)^(2/3))</f>
        <v>23.168535917456921</v>
      </c>
      <c r="Y69" s="120">
        <f>X69*V69</f>
        <v>115.84267958728461</v>
      </c>
      <c r="Z69" s="120">
        <f>Y69-Y68</f>
        <v>8.3038619816599635</v>
      </c>
      <c r="AA69" s="119">
        <f>(Z69*100)/$Z$77</f>
        <v>5.3539516742226096</v>
      </c>
      <c r="AB69" s="119">
        <f>AA68</f>
        <v>6.3400749403198269</v>
      </c>
      <c r="AC69" s="118">
        <f>(AB69*$AC$61)/100</f>
        <v>12.389203841628378</v>
      </c>
      <c r="AF69" s="122">
        <v>5</v>
      </c>
      <c r="AG69" s="114" t="s">
        <v>75</v>
      </c>
      <c r="AH69" s="120">
        <f>($AM$61/24)*((24/AF69)^(2/3))</f>
        <v>25.274691006155638</v>
      </c>
      <c r="AI69" s="120">
        <f>AH69*AF69</f>
        <v>126.37345503077819</v>
      </c>
      <c r="AJ69" s="120">
        <f>AI69-AI68</f>
        <v>9.058731483592851</v>
      </c>
      <c r="AK69" s="119">
        <f>(AJ69*100)/$AJ$77</f>
        <v>5.3539516742226096</v>
      </c>
      <c r="AL69" s="119">
        <f>AK68</f>
        <v>6.3400749403198242</v>
      </c>
      <c r="AM69" s="118">
        <f>(AL69*$AM$61)/100</f>
        <v>13.515454754026786</v>
      </c>
    </row>
    <row r="70" spans="2:39">
      <c r="B70" s="122">
        <v>6</v>
      </c>
      <c r="C70" s="114" t="s">
        <v>76</v>
      </c>
      <c r="D70" s="120">
        <f>($I$61/24)*((24/B70)^(2/3))</f>
        <v>18.651661235802049</v>
      </c>
      <c r="E70" s="120">
        <f>D70*B70</f>
        <v>111.90996741481229</v>
      </c>
      <c r="F70" s="120">
        <f>E70-E69</f>
        <v>6.5986560865720207</v>
      </c>
      <c r="G70" s="119">
        <f>(F70*100)/$F$77</f>
        <v>4.6799734891238849</v>
      </c>
      <c r="H70" s="119">
        <f>G66</f>
        <v>11.353097578095504</v>
      </c>
      <c r="I70" s="118">
        <f>(H70*$I$61)/100</f>
        <v>20.168323723583537</v>
      </c>
      <c r="L70" s="122">
        <v>6</v>
      </c>
      <c r="M70" s="114" t="s">
        <v>76</v>
      </c>
      <c r="N70" s="120">
        <f>($S$61/24)*((24/L70)^(2/3))</f>
        <v>19.584212799565904</v>
      </c>
      <c r="O70" s="120">
        <f>N70*L70</f>
        <v>117.50527679739542</v>
      </c>
      <c r="P70" s="120">
        <f>O70-O69</f>
        <v>6.9285777474083687</v>
      </c>
      <c r="Q70" s="119">
        <f>(P70*100)/$P$77</f>
        <v>4.6799734891238902</v>
      </c>
      <c r="R70" s="119">
        <f>Q66</f>
        <v>11.353097578095507</v>
      </c>
      <c r="S70" s="118">
        <f>(R70*$S$61)/100</f>
        <v>21.17670585046999</v>
      </c>
      <c r="T70" s="121"/>
      <c r="V70" s="122">
        <v>6</v>
      </c>
      <c r="W70" s="114" t="s">
        <v>76</v>
      </c>
      <c r="X70" s="120">
        <f>($AC$61/24)*((24/V70)^(2/3))</f>
        <v>20.516869356750586</v>
      </c>
      <c r="Y70" s="120">
        <f>X70*V70</f>
        <v>123.10121614050351</v>
      </c>
      <c r="Z70" s="120">
        <f>Y70-Y69</f>
        <v>7.258536553218903</v>
      </c>
      <c r="AA70" s="119">
        <f>(Z70*100)/$Z$77</f>
        <v>4.6799734891238849</v>
      </c>
      <c r="AB70" s="119">
        <f>AA66</f>
        <v>11.353097578095511</v>
      </c>
      <c r="AC70" s="118">
        <f>(AB70*$AC$61)/100</f>
        <v>22.18520150833222</v>
      </c>
      <c r="AF70" s="122">
        <v>6</v>
      </c>
      <c r="AG70" s="114" t="s">
        <v>76</v>
      </c>
      <c r="AH70" s="120">
        <f>($AM$61/24)*((24/AF70)^(2/3))</f>
        <v>22.381972484278297</v>
      </c>
      <c r="AI70" s="120">
        <f>AH70*AF70</f>
        <v>134.29183490566979</v>
      </c>
      <c r="AJ70" s="120">
        <f>AI70-AI69</f>
        <v>7.918379874891599</v>
      </c>
      <c r="AK70" s="119">
        <f>(AJ70*100)/$AJ$77</f>
        <v>4.6799734891238929</v>
      </c>
      <c r="AL70" s="119">
        <f>AK66</f>
        <v>11.353097578095507</v>
      </c>
      <c r="AM70" s="118">
        <f>(AL70*$AM$61)/100</f>
        <v>24.2019657621051</v>
      </c>
    </row>
    <row r="71" spans="2:39">
      <c r="B71" s="122">
        <v>7</v>
      </c>
      <c r="C71" s="114" t="s">
        <v>77</v>
      </c>
      <c r="D71" s="120">
        <f>($I$61/24)*((24/B71)^(2/3))</f>
        <v>16.830085636999105</v>
      </c>
      <c r="E71" s="120">
        <f>D71*B71</f>
        <v>117.81059945899374</v>
      </c>
      <c r="F71" s="120">
        <f>E71-E70</f>
        <v>5.9006320441814495</v>
      </c>
      <c r="G71" s="119">
        <f>(F71*100)/$F$77</f>
        <v>4.1849129843331259</v>
      </c>
      <c r="H71" s="119">
        <f>G65</f>
        <v>43.679023236814949</v>
      </c>
      <c r="I71" s="118">
        <f>(H71*$I$61)/100</f>
        <v>77.594037619272271</v>
      </c>
      <c r="L71" s="122">
        <v>7</v>
      </c>
      <c r="M71" s="114" t="s">
        <v>77</v>
      </c>
      <c r="N71" s="120">
        <f>($S$61/24)*((24/L71)^(2/3))</f>
        <v>17.671561497011862</v>
      </c>
      <c r="O71" s="120">
        <f>N71*L71</f>
        <v>123.70093047908303</v>
      </c>
      <c r="P71" s="120">
        <f>O71-O70</f>
        <v>6.1956536816876024</v>
      </c>
      <c r="Q71" s="119">
        <f>(P71*100)/$P$77</f>
        <v>4.1849129843331196</v>
      </c>
      <c r="R71" s="119">
        <f>Q65</f>
        <v>43.679023236814949</v>
      </c>
      <c r="S71" s="118">
        <f>(R71*$S$61)/100</f>
        <v>81.473608463166187</v>
      </c>
      <c r="T71" s="121"/>
      <c r="V71" s="122">
        <v>7</v>
      </c>
      <c r="W71" s="114" t="s">
        <v>77</v>
      </c>
      <c r="X71" s="120">
        <f>($AC$61/24)*((24/V71)^(2/3))</f>
        <v>18.513132096481947</v>
      </c>
      <c r="Y71" s="120">
        <f>X71*V71</f>
        <v>129.59192467537363</v>
      </c>
      <c r="Z71" s="120">
        <f>Y71-Y70</f>
        <v>6.490708534870123</v>
      </c>
      <c r="AA71" s="119">
        <f>(Z71*100)/$Z$77</f>
        <v>4.1849129843331134</v>
      </c>
      <c r="AB71" s="119">
        <f>AA65</f>
        <v>43.679023236814942</v>
      </c>
      <c r="AC71" s="118">
        <f>(AB71*$AC$61)/100</f>
        <v>85.353616097292445</v>
      </c>
      <c r="AF71" s="122">
        <v>7</v>
      </c>
      <c r="AG71" s="114" t="s">
        <v>77</v>
      </c>
      <c r="AH71" s="120">
        <f>($AM$61/24)*((24/AF71)^(2/3))</f>
        <v>20.196083816507461</v>
      </c>
      <c r="AI71" s="120">
        <f>AH71*AF71</f>
        <v>141.37258671555222</v>
      </c>
      <c r="AJ71" s="120">
        <f>AI71-AI70</f>
        <v>7.0807518098824289</v>
      </c>
      <c r="AK71" s="119">
        <f>(AJ71*100)/$AJ$77</f>
        <v>4.1849129843331037</v>
      </c>
      <c r="AL71" s="119">
        <f>AK65</f>
        <v>43.679023236814942</v>
      </c>
      <c r="AM71" s="118">
        <f>(AL71*$AM$61)/100</f>
        <v>93.112757785080248</v>
      </c>
    </row>
    <row r="72" spans="2:39">
      <c r="B72" s="122">
        <v>8</v>
      </c>
      <c r="C72" s="114" t="s">
        <v>78</v>
      </c>
      <c r="D72" s="120">
        <f>($I$61/24)*((24/B72)^(2/3))</f>
        <v>15.396607117911605</v>
      </c>
      <c r="E72" s="120">
        <f>D72*B72</f>
        <v>123.17285694329284</v>
      </c>
      <c r="F72" s="120">
        <f>E72-E71</f>
        <v>5.3622574842991071</v>
      </c>
      <c r="G72" s="119">
        <f>(F72*100)/$F$77</f>
        <v>3.8030808908868048</v>
      </c>
      <c r="H72" s="119">
        <f>G67</f>
        <v>7.9639316798331921</v>
      </c>
      <c r="I72" s="118">
        <f>(H72*$I$61)/100</f>
        <v>14.147606071956471</v>
      </c>
      <c r="L72" s="122">
        <v>8</v>
      </c>
      <c r="M72" s="114" t="s">
        <v>78</v>
      </c>
      <c r="N72" s="120">
        <f>($S$61/24)*((24/L72)^(2/3))</f>
        <v>16.166411472759396</v>
      </c>
      <c r="O72" s="120">
        <f>N72*L72</f>
        <v>129.33129178207517</v>
      </c>
      <c r="P72" s="120">
        <f>O72-O71</f>
        <v>5.6303613029921422</v>
      </c>
      <c r="Q72" s="119">
        <f>(P72*100)/$P$77</f>
        <v>3.8030808908867981</v>
      </c>
      <c r="R72" s="119">
        <f>Q67</f>
        <v>7.9639316798331965</v>
      </c>
      <c r="S72" s="118">
        <f>(R72*$S$61)/100</f>
        <v>14.854962483759264</v>
      </c>
      <c r="T72" s="121"/>
      <c r="V72" s="122">
        <v>8</v>
      </c>
      <c r="W72" s="114" t="s">
        <v>78</v>
      </c>
      <c r="X72" s="120">
        <f>($AC$61/24)*((24/V72)^(2/3))</f>
        <v>16.936302497766484</v>
      </c>
      <c r="Y72" s="120">
        <f>X72*V72</f>
        <v>135.49041998213187</v>
      </c>
      <c r="Z72" s="120">
        <f>Y72-Y71</f>
        <v>5.8984953067582353</v>
      </c>
      <c r="AA72" s="119">
        <f>(Z72*100)/$Z$77</f>
        <v>3.803080890886807</v>
      </c>
      <c r="AB72" s="119">
        <f>AA67</f>
        <v>7.9639316798331894</v>
      </c>
      <c r="AC72" s="118">
        <f>(AB72*$AC$61)/100</f>
        <v>15.562398534878835</v>
      </c>
      <c r="AF72" s="122">
        <v>8</v>
      </c>
      <c r="AG72" s="114" t="s">
        <v>78</v>
      </c>
      <c r="AH72" s="120">
        <f>($AM$61/24)*((24/AF72)^(2/3))</f>
        <v>18.475911207462069</v>
      </c>
      <c r="AI72" s="120">
        <f>AH72*AF72</f>
        <v>147.80728965969655</v>
      </c>
      <c r="AJ72" s="120">
        <f>AI72-AI71</f>
        <v>6.434702944144334</v>
      </c>
      <c r="AK72" s="119">
        <f>(AJ72*100)/$AJ$77</f>
        <v>3.8030808908868119</v>
      </c>
      <c r="AL72" s="119">
        <f>AK67</f>
        <v>7.9639316798331974</v>
      </c>
      <c r="AM72" s="118">
        <f>(AL72*$AM$61)/100</f>
        <v>16.977111358484418</v>
      </c>
    </row>
    <row r="73" spans="2:39">
      <c r="B73" s="122">
        <v>9</v>
      </c>
      <c r="C73" s="114" t="s">
        <v>79</v>
      </c>
      <c r="D73" s="120">
        <f>($I$61/24)*((24/B73)^(2/3))</f>
        <v>14.233881509268324</v>
      </c>
      <c r="E73" s="120">
        <f>D73*B73</f>
        <v>128.10493358341492</v>
      </c>
      <c r="F73" s="120">
        <f>E73-E72</f>
        <v>4.9320766401220766</v>
      </c>
      <c r="G73" s="119">
        <f>(F73*100)/$F$77</f>
        <v>3.4979831679770927</v>
      </c>
      <c r="H73" s="119">
        <f>G69</f>
        <v>5.3539516742226141</v>
      </c>
      <c r="I73" s="118">
        <f>(H73*$I$61)/100</f>
        <v>9.5110809911895053</v>
      </c>
      <c r="L73" s="122">
        <v>9</v>
      </c>
      <c r="M73" s="114" t="s">
        <v>79</v>
      </c>
      <c r="N73" s="120">
        <f>($S$61/24)*((24/L73)^(2/3))</f>
        <v>14.945551547238903</v>
      </c>
      <c r="O73" s="120">
        <f>N73*L73</f>
        <v>134.50996392515012</v>
      </c>
      <c r="P73" s="120">
        <f>O73-O72</f>
        <v>5.1786721430749481</v>
      </c>
      <c r="Q73" s="119">
        <f>(P73*100)/$P$77</f>
        <v>3.497983167977099</v>
      </c>
      <c r="R73" s="119">
        <f>Q69</f>
        <v>5.353951674222615</v>
      </c>
      <c r="S73" s="118">
        <f>(R73*$S$61)/100</f>
        <v>9.9866189788939579</v>
      </c>
      <c r="T73" s="121"/>
      <c r="V73" s="122">
        <v>9</v>
      </c>
      <c r="W73" s="114" t="s">
        <v>79</v>
      </c>
      <c r="X73" s="120">
        <f>($AC$61/24)*((24/V73)^(2/3))</f>
        <v>15.65730171018561</v>
      </c>
      <c r="Y73" s="120">
        <f>X73*V73</f>
        <v>140.91571539167049</v>
      </c>
      <c r="Z73" s="120">
        <f>Y73-Y72</f>
        <v>5.4252954095386201</v>
      </c>
      <c r="AA73" s="119">
        <f>(Z73*100)/$Z$77</f>
        <v>3.4979831679771016</v>
      </c>
      <c r="AB73" s="119">
        <f>AA69</f>
        <v>5.3539516742226096</v>
      </c>
      <c r="AC73" s="118">
        <f>(AB73*$AC$61)/100</f>
        <v>10.462210506115143</v>
      </c>
      <c r="AF73" s="122">
        <v>9</v>
      </c>
      <c r="AG73" s="114" t="s">
        <v>79</v>
      </c>
      <c r="AH73" s="120">
        <f>($AM$61/24)*((24/AF73)^(2/3))</f>
        <v>17.080641786126765</v>
      </c>
      <c r="AI73" s="120">
        <f>AH73*AF73</f>
        <v>153.72577607514089</v>
      </c>
      <c r="AJ73" s="120">
        <f>AI73-AI72</f>
        <v>5.9184864154443346</v>
      </c>
      <c r="AK73" s="119">
        <f>(AJ73*100)/$AJ$77</f>
        <v>3.4979831679770945</v>
      </c>
      <c r="AL73" s="119">
        <f>AK69</f>
        <v>5.3539516742226096</v>
      </c>
      <c r="AM73" s="118">
        <f>(AL73*$AM$61)/100</f>
        <v>11.413286481524048</v>
      </c>
    </row>
    <row r="74" spans="2:39">
      <c r="B74" s="122">
        <v>10</v>
      </c>
      <c r="C74" s="114" t="s">
        <v>80</v>
      </c>
      <c r="D74" s="120">
        <f>($I$61/24)*((24/B74)^(2/3))</f>
        <v>13.268393793448233</v>
      </c>
      <c r="E74" s="120">
        <f>D74*B74</f>
        <v>132.68393793448234</v>
      </c>
      <c r="F74" s="120">
        <f>E74-E73</f>
        <v>4.5790043510674252</v>
      </c>
      <c r="G74" s="119">
        <f>(F74*100)/$F$77</f>
        <v>3.2475732464958758</v>
      </c>
      <c r="H74" s="119">
        <f>G71</f>
        <v>4.1849129843331259</v>
      </c>
      <c r="I74" s="118">
        <f>(H74*$I$61)/100</f>
        <v>7.4343305201484249</v>
      </c>
      <c r="L74" s="122">
        <v>10</v>
      </c>
      <c r="M74" s="114" t="s">
        <v>80</v>
      </c>
      <c r="N74" s="120">
        <f>($S$61/24)*((24/L74)^(2/3))</f>
        <v>13.931791076096911</v>
      </c>
      <c r="O74" s="120">
        <f>N74*L74</f>
        <v>139.31791076096911</v>
      </c>
      <c r="P74" s="120">
        <f>O74-O73</f>
        <v>4.8079468358189956</v>
      </c>
      <c r="Q74" s="119">
        <f>(P74*100)/$P$77</f>
        <v>3.2475732464958633</v>
      </c>
      <c r="R74" s="119">
        <f>Q71</f>
        <v>4.1849129843331196</v>
      </c>
      <c r="S74" s="118">
        <f>(R74*$S$61)/100</f>
        <v>7.8060344914168809</v>
      </c>
      <c r="T74" s="121"/>
      <c r="V74" s="122">
        <v>10</v>
      </c>
      <c r="W74" s="114" t="s">
        <v>80</v>
      </c>
      <c r="X74" s="120">
        <f>($AC$61/24)*((24/V74)^(2/3))</f>
        <v>14.595263048824702</v>
      </c>
      <c r="Y74" s="120">
        <f>X74*V74</f>
        <v>145.95263048824702</v>
      </c>
      <c r="Z74" s="120">
        <f>Y74-Y73</f>
        <v>5.0369150965765357</v>
      </c>
      <c r="AA74" s="119">
        <f>(Z74*100)/$Z$77</f>
        <v>3.2475732464958704</v>
      </c>
      <c r="AB74" s="119">
        <f>AA71</f>
        <v>4.1849129843331134</v>
      </c>
      <c r="AC74" s="118">
        <f>(AB74*$AC$61)/100</f>
        <v>8.1777803118151802</v>
      </c>
      <c r="AF74" s="122">
        <v>10</v>
      </c>
      <c r="AG74" s="114" t="s">
        <v>80</v>
      </c>
      <c r="AH74" s="120">
        <f>($AM$61/24)*((24/AF74)^(2/3))</f>
        <v>15.922057614122059</v>
      </c>
      <c r="AI74" s="120">
        <f>AH74*AF74</f>
        <v>159.22057614122059</v>
      </c>
      <c r="AJ74" s="120">
        <f>AI74-AI73</f>
        <v>5.4948000660797049</v>
      </c>
      <c r="AK74" s="119">
        <f>(AJ74*100)/$AJ$77</f>
        <v>3.2475732464958651</v>
      </c>
      <c r="AL74" s="119">
        <f>AK71</f>
        <v>4.1849129843331037</v>
      </c>
      <c r="AM74" s="118">
        <f>(AL74*$AM$61)/100</f>
        <v>8.9211882543520939</v>
      </c>
    </row>
    <row r="75" spans="2:39">
      <c r="B75" s="122">
        <v>11</v>
      </c>
      <c r="C75" s="114" t="s">
        <v>81</v>
      </c>
      <c r="D75" s="120">
        <f>($I$61/24)*((24/B75)^(2/3))</f>
        <v>12.451544615473898</v>
      </c>
      <c r="E75" s="120">
        <f>D75*B75</f>
        <v>136.96699077021287</v>
      </c>
      <c r="F75" s="120">
        <f>E75-E74</f>
        <v>4.2830528357305298</v>
      </c>
      <c r="G75" s="119">
        <f>(F75*100)/$F$77</f>
        <v>3.0376751660880759</v>
      </c>
      <c r="H75" s="119">
        <f>G73</f>
        <v>3.4979831679770927</v>
      </c>
      <c r="I75" s="118">
        <f>(H75*$I$61)/100</f>
        <v>6.214027178584586</v>
      </c>
      <c r="L75" s="122">
        <v>11</v>
      </c>
      <c r="M75" s="114" t="s">
        <v>81</v>
      </c>
      <c r="N75" s="120">
        <f>($S$61/24)*((24/L75)^(2/3))</f>
        <v>13.074100818679369</v>
      </c>
      <c r="O75" s="120">
        <f>N75*L75</f>
        <v>143.81510900547306</v>
      </c>
      <c r="P75" s="120">
        <f>O75-O74</f>
        <v>4.4971982445039487</v>
      </c>
      <c r="Q75" s="119">
        <f>(P75*100)/$P$77</f>
        <v>3.0376751660880923</v>
      </c>
      <c r="R75" s="119">
        <f>Q73</f>
        <v>3.497983167977099</v>
      </c>
      <c r="S75" s="118">
        <f>(R75*$S$61)/100</f>
        <v>6.5247180435643228</v>
      </c>
      <c r="T75" s="121"/>
      <c r="V75" s="122">
        <v>11</v>
      </c>
      <c r="W75" s="114" t="s">
        <v>81</v>
      </c>
      <c r="X75" s="120">
        <f>($AC$61/24)*((24/V75)^(2/3))</f>
        <v>13.69672711377892</v>
      </c>
      <c r="Y75" s="120">
        <f>X75*V75</f>
        <v>150.6639982515681</v>
      </c>
      <c r="Z75" s="120">
        <f>Y75-Y74</f>
        <v>4.7113677633210784</v>
      </c>
      <c r="AA75" s="119">
        <f>(Z75*100)/$Z$77</f>
        <v>3.0376751660880674</v>
      </c>
      <c r="AB75" s="119">
        <f>AA73</f>
        <v>3.4979831679771016</v>
      </c>
      <c r="AC75" s="118">
        <f>(AB75*$AC$61)/100</f>
        <v>6.8354438883757336</v>
      </c>
      <c r="AF75" s="122">
        <v>11</v>
      </c>
      <c r="AG75" s="114" t="s">
        <v>81</v>
      </c>
      <c r="AH75" s="120">
        <f>($AM$61/24)*((24/AF75)^(2/3))</f>
        <v>14.941839520189863</v>
      </c>
      <c r="AI75" s="120">
        <f>AH75*AF75</f>
        <v>164.36023472208848</v>
      </c>
      <c r="AJ75" s="120">
        <f>AI75-AI74</f>
        <v>5.1396585808678878</v>
      </c>
      <c r="AK75" s="119">
        <f>(AJ75*100)/$AJ$77</f>
        <v>3.0376751660880794</v>
      </c>
      <c r="AL75" s="119">
        <f>AK73</f>
        <v>3.4979831679770945</v>
      </c>
      <c r="AM75" s="118">
        <f>(AL75*$AM$61)/100</f>
        <v>7.4568256183351718</v>
      </c>
    </row>
    <row r="76" spans="2:39">
      <c r="B76" s="122">
        <v>12</v>
      </c>
      <c r="C76" s="114" t="s">
        <v>82</v>
      </c>
      <c r="D76" s="120">
        <f>($I$61/24)*((24/B76)^(2/3))</f>
        <v>11.749810303247614</v>
      </c>
      <c r="E76" s="120">
        <f>D76*B76</f>
        <v>140.99772363897137</v>
      </c>
      <c r="F76" s="120">
        <f>E76-E75</f>
        <v>4.0307328687584913</v>
      </c>
      <c r="G76" s="119">
        <f>(F76*100)/$F$77</f>
        <v>2.8587219458090658</v>
      </c>
      <c r="H76" s="119">
        <f>G75</f>
        <v>3.0376751660880759</v>
      </c>
      <c r="I76" s="118">
        <f>(H76*$I$61)/100</f>
        <v>5.3963084255488232</v>
      </c>
      <c r="L76" s="122">
        <v>12</v>
      </c>
      <c r="M76" s="114" t="s">
        <v>82</v>
      </c>
      <c r="N76" s="120">
        <f>($S$61/24)*((24/L76)^(2/3))</f>
        <v>12.337280975896844</v>
      </c>
      <c r="O76" s="120">
        <f>N76*L76</f>
        <v>148.04737171076212</v>
      </c>
      <c r="P76" s="120">
        <f>O76-O75</f>
        <v>4.2322627052890596</v>
      </c>
      <c r="Q76" s="119">
        <f>(P76*100)/$P$77</f>
        <v>2.8587219458090525</v>
      </c>
      <c r="R76" s="119">
        <f>Q75</f>
        <v>3.0376751660880923</v>
      </c>
      <c r="S76" s="118">
        <f>(R76*$S$61)/100</f>
        <v>5.6661147338007973</v>
      </c>
      <c r="T76" s="121"/>
      <c r="V76" s="122">
        <v>12</v>
      </c>
      <c r="W76" s="114" t="s">
        <v>82</v>
      </c>
      <c r="X76" s="120">
        <f>($AC$61/24)*((24/V76)^(2/3))</f>
        <v>12.924817790256576</v>
      </c>
      <c r="Y76" s="120">
        <f>X76*V76</f>
        <v>155.09781348307891</v>
      </c>
      <c r="Z76" s="120">
        <f>Y76-Y75</f>
        <v>4.4338152315108061</v>
      </c>
      <c r="AA76" s="119">
        <f>(Z76*100)/$Z$77</f>
        <v>2.8587219458090769</v>
      </c>
      <c r="AB76" s="119">
        <f>AA75</f>
        <v>3.0376751660880674</v>
      </c>
      <c r="AC76" s="118">
        <f>(AB76*$AC$61)/100</f>
        <v>5.9359514188043532</v>
      </c>
      <c r="AF76" s="122">
        <v>12</v>
      </c>
      <c r="AG76" s="114" t="s">
        <v>82</v>
      </c>
      <c r="AH76" s="120">
        <f>($AM$61/24)*((24/AF76)^(2/3))</f>
        <v>14.099759135555038</v>
      </c>
      <c r="AI76" s="120">
        <f>AH76*AF76</f>
        <v>169.19710962666045</v>
      </c>
      <c r="AJ76" s="120">
        <f>AI76-AI75</f>
        <v>4.836874904571971</v>
      </c>
      <c r="AK76" s="119">
        <f>(AJ76*100)/$AJ$77</f>
        <v>2.8587219458090689</v>
      </c>
      <c r="AL76" s="119">
        <f>AK75</f>
        <v>3.0376751660880794</v>
      </c>
      <c r="AM76" s="118">
        <f>(AL76*$AM$61)/100</f>
        <v>6.4755640353082642</v>
      </c>
    </row>
    <row r="77" spans="2:39">
      <c r="B77" s="149" t="s">
        <v>83</v>
      </c>
      <c r="C77" s="150"/>
      <c r="D77" s="150"/>
      <c r="E77" s="151"/>
      <c r="F77" s="120">
        <f>SUM(F65:F76)</f>
        <v>140.99772363897137</v>
      </c>
      <c r="G77" s="119">
        <f>(F77*100)/$F$77</f>
        <v>100</v>
      </c>
      <c r="H77" s="119">
        <f>SUM(H65:H76)</f>
        <v>100.00000000000001</v>
      </c>
      <c r="I77" s="118">
        <f>SUM(I65:I76)</f>
        <v>177.64599999999999</v>
      </c>
      <c r="L77" s="149" t="s">
        <v>83</v>
      </c>
      <c r="M77" s="150"/>
      <c r="N77" s="150"/>
      <c r="O77" s="151"/>
      <c r="P77" s="120">
        <f>SUM(P65:P76)</f>
        <v>148.04737171076212</v>
      </c>
      <c r="Q77" s="119">
        <f>(P77*100)/$P$77</f>
        <v>100</v>
      </c>
      <c r="R77" s="119">
        <f>SUM(R65:R76)</f>
        <v>100</v>
      </c>
      <c r="S77" s="118">
        <f>SUM(S65:S76)</f>
        <v>186.52800000000002</v>
      </c>
      <c r="T77" s="121"/>
      <c r="V77" s="149" t="s">
        <v>83</v>
      </c>
      <c r="W77" s="150"/>
      <c r="X77" s="150"/>
      <c r="Y77" s="151"/>
      <c r="Z77" s="120">
        <f>SUM(Z65:Z76)</f>
        <v>155.09781348307891</v>
      </c>
      <c r="AA77" s="119">
        <f>(Z77*100)/$Z$77</f>
        <v>100</v>
      </c>
      <c r="AB77" s="119">
        <f>SUM(AB65:AB76)</f>
        <v>100</v>
      </c>
      <c r="AC77" s="118">
        <f>SUM(AC65:AC76)</f>
        <v>195.41100000000003</v>
      </c>
      <c r="AF77" s="149" t="s">
        <v>83</v>
      </c>
      <c r="AG77" s="150"/>
      <c r="AH77" s="150"/>
      <c r="AI77" s="151"/>
      <c r="AJ77" s="120">
        <f>SUM(AJ65:AJ76)</f>
        <v>169.19710962666045</v>
      </c>
      <c r="AK77" s="119">
        <f>(AJ77*100)/$AJ$77</f>
        <v>100</v>
      </c>
      <c r="AL77" s="119">
        <f>SUM(AL65:AL76)</f>
        <v>100</v>
      </c>
      <c r="AM77" s="118">
        <f>SUM(AM65:AM76)</f>
        <v>213.17499999999998</v>
      </c>
    </row>
    <row r="78" spans="2:39">
      <c r="B78" s="127"/>
      <c r="I78" s="126"/>
      <c r="L78" s="127"/>
      <c r="S78" s="126"/>
      <c r="V78" s="127"/>
      <c r="AC78" s="126"/>
      <c r="AF78" s="127"/>
      <c r="AM78" s="126"/>
    </row>
    <row r="79" spans="2:39">
      <c r="B79" s="127"/>
      <c r="I79" s="126"/>
      <c r="L79" s="127"/>
      <c r="S79" s="126"/>
      <c r="V79" s="127"/>
      <c r="AC79" s="126"/>
      <c r="AF79" s="127"/>
      <c r="AM79" s="126"/>
    </row>
    <row r="80" spans="2:39" ht="15">
      <c r="B80" s="125"/>
      <c r="C80" s="112" t="s">
        <v>90</v>
      </c>
      <c r="D80" s="112"/>
      <c r="E80" s="112"/>
      <c r="F80" s="112"/>
      <c r="G80" s="113" t="s">
        <v>91</v>
      </c>
      <c r="H80" s="113"/>
      <c r="I80" s="126">
        <f>'[6]Design Rainfall'!D39</f>
        <v>188.208</v>
      </c>
      <c r="L80" s="125"/>
      <c r="M80" s="112" t="s">
        <v>90</v>
      </c>
      <c r="N80" s="112"/>
      <c r="O80" s="112"/>
      <c r="P80" s="112"/>
      <c r="Q80" s="113" t="s">
        <v>91</v>
      </c>
      <c r="R80" s="113"/>
      <c r="S80" s="126">
        <f>'[6]Design Rainfall'!E39</f>
        <v>197.61799999999999</v>
      </c>
      <c r="V80" s="125"/>
      <c r="W80" s="112" t="s">
        <v>90</v>
      </c>
      <c r="X80" s="112"/>
      <c r="Y80" s="112"/>
      <c r="Z80" s="112"/>
      <c r="AA80" s="113" t="s">
        <v>91</v>
      </c>
      <c r="AB80" s="113"/>
      <c r="AC80" s="126">
        <f>'[6]Design Rainfall'!F39</f>
        <v>207.029</v>
      </c>
      <c r="AF80" s="125"/>
      <c r="AG80" s="112" t="s">
        <v>90</v>
      </c>
      <c r="AH80" s="112"/>
      <c r="AI80" s="112"/>
      <c r="AJ80" s="112"/>
      <c r="AK80" s="113" t="s">
        <v>91</v>
      </c>
      <c r="AL80" s="113"/>
      <c r="AM80" s="126">
        <f>'[6]Design Rainfall'!G39</f>
        <v>225.85</v>
      </c>
    </row>
    <row r="81" spans="2:39" ht="15">
      <c r="B81" s="125"/>
      <c r="C81" s="112"/>
      <c r="D81" s="112"/>
      <c r="E81" s="112"/>
      <c r="F81" s="112"/>
      <c r="G81" s="112"/>
      <c r="H81" s="112"/>
      <c r="I81" s="124"/>
      <c r="L81" s="125"/>
      <c r="M81" s="112"/>
      <c r="N81" s="112"/>
      <c r="O81" s="112"/>
      <c r="P81" s="112"/>
      <c r="Q81" s="112"/>
      <c r="R81" s="112"/>
      <c r="S81" s="124"/>
      <c r="T81" s="111"/>
      <c r="V81" s="125"/>
      <c r="W81" s="112"/>
      <c r="X81" s="112"/>
      <c r="Y81" s="112"/>
      <c r="Z81" s="112"/>
      <c r="AA81" s="112"/>
      <c r="AB81" s="112"/>
      <c r="AC81" s="124"/>
      <c r="AF81" s="125"/>
      <c r="AG81" s="112"/>
      <c r="AH81" s="112"/>
      <c r="AI81" s="112"/>
      <c r="AJ81" s="112"/>
      <c r="AK81" s="112"/>
      <c r="AL81" s="112"/>
      <c r="AM81" s="124"/>
    </row>
    <row r="82" spans="2:39" ht="13.15" customHeight="1">
      <c r="B82" s="152" t="s">
        <v>63</v>
      </c>
      <c r="C82" s="154" t="s">
        <v>64</v>
      </c>
      <c r="D82" s="154" t="s">
        <v>65</v>
      </c>
      <c r="E82" s="154" t="s">
        <v>66</v>
      </c>
      <c r="F82" s="154" t="s">
        <v>67</v>
      </c>
      <c r="G82" s="154" t="s">
        <v>68</v>
      </c>
      <c r="H82" s="147" t="s">
        <v>69</v>
      </c>
      <c r="I82" s="148"/>
      <c r="L82" s="152" t="s">
        <v>63</v>
      </c>
      <c r="M82" s="154" t="s">
        <v>64</v>
      </c>
      <c r="N82" s="154" t="s">
        <v>65</v>
      </c>
      <c r="O82" s="154" t="s">
        <v>66</v>
      </c>
      <c r="P82" s="154" t="s">
        <v>67</v>
      </c>
      <c r="Q82" s="154" t="s">
        <v>68</v>
      </c>
      <c r="R82" s="147" t="s">
        <v>69</v>
      </c>
      <c r="S82" s="148"/>
      <c r="T82" s="121"/>
      <c r="V82" s="152" t="s">
        <v>63</v>
      </c>
      <c r="W82" s="154" t="s">
        <v>64</v>
      </c>
      <c r="X82" s="154" t="s">
        <v>65</v>
      </c>
      <c r="Y82" s="154" t="s">
        <v>66</v>
      </c>
      <c r="Z82" s="154" t="s">
        <v>67</v>
      </c>
      <c r="AA82" s="154" t="s">
        <v>68</v>
      </c>
      <c r="AB82" s="147" t="s">
        <v>69</v>
      </c>
      <c r="AC82" s="148"/>
      <c r="AF82" s="152" t="s">
        <v>63</v>
      </c>
      <c r="AG82" s="154" t="s">
        <v>64</v>
      </c>
      <c r="AH82" s="154" t="s">
        <v>65</v>
      </c>
      <c r="AI82" s="154" t="s">
        <v>66</v>
      </c>
      <c r="AJ82" s="154" t="s">
        <v>67</v>
      </c>
      <c r="AK82" s="154" t="s">
        <v>68</v>
      </c>
      <c r="AL82" s="147" t="s">
        <v>69</v>
      </c>
      <c r="AM82" s="148"/>
    </row>
    <row r="83" spans="2:39">
      <c r="B83" s="153"/>
      <c r="C83" s="155"/>
      <c r="D83" s="155"/>
      <c r="E83" s="155"/>
      <c r="F83" s="155"/>
      <c r="G83" s="155"/>
      <c r="H83" s="114" t="s">
        <v>70</v>
      </c>
      <c r="I83" s="123" t="s">
        <v>51</v>
      </c>
      <c r="L83" s="153"/>
      <c r="M83" s="155"/>
      <c r="N83" s="155"/>
      <c r="O83" s="155"/>
      <c r="P83" s="155"/>
      <c r="Q83" s="155"/>
      <c r="R83" s="114" t="s">
        <v>70</v>
      </c>
      <c r="S83" s="123" t="s">
        <v>51</v>
      </c>
      <c r="T83" s="121"/>
      <c r="V83" s="153"/>
      <c r="W83" s="155"/>
      <c r="X83" s="155"/>
      <c r="Y83" s="155"/>
      <c r="Z83" s="155"/>
      <c r="AA83" s="155"/>
      <c r="AB83" s="114" t="s">
        <v>70</v>
      </c>
      <c r="AC83" s="123" t="s">
        <v>51</v>
      </c>
      <c r="AF83" s="153"/>
      <c r="AG83" s="155"/>
      <c r="AH83" s="155"/>
      <c r="AI83" s="155"/>
      <c r="AJ83" s="155"/>
      <c r="AK83" s="155"/>
      <c r="AL83" s="114" t="s">
        <v>70</v>
      </c>
      <c r="AM83" s="123" t="s">
        <v>51</v>
      </c>
    </row>
    <row r="84" spans="2:39">
      <c r="B84" s="122">
        <v>1</v>
      </c>
      <c r="C84" s="114" t="s">
        <v>71</v>
      </c>
      <c r="D84" s="120">
        <f>($I$80/24)*((24/B84)^(2/3))</f>
        <v>65.248069361492128</v>
      </c>
      <c r="E84" s="120">
        <f>D84*B84</f>
        <v>65.248069361492128</v>
      </c>
      <c r="F84" s="120">
        <f>E84</f>
        <v>65.248069361492128</v>
      </c>
      <c r="G84" s="119">
        <f>(F84*100)/$F$96</f>
        <v>43.679023236814942</v>
      </c>
      <c r="H84" s="119">
        <f>G95</f>
        <v>2.8587219458090742</v>
      </c>
      <c r="I84" s="118">
        <f>(H84*$I$80)/100</f>
        <v>5.3803433997683419</v>
      </c>
      <c r="L84" s="122">
        <v>1</v>
      </c>
      <c r="M84" s="114" t="s">
        <v>71</v>
      </c>
      <c r="N84" s="120">
        <f>($S$80/24)*((24/L84)^(2/3))</f>
        <v>68.51033415731186</v>
      </c>
      <c r="O84" s="120">
        <f>N84*L84</f>
        <v>68.51033415731186</v>
      </c>
      <c r="P84" s="120">
        <f>O84</f>
        <v>68.51033415731186</v>
      </c>
      <c r="Q84" s="119">
        <f>(P84*100)/$P$96</f>
        <v>43.679023236814949</v>
      </c>
      <c r="R84" s="119">
        <f>Q95</f>
        <v>2.8587219458090503</v>
      </c>
      <c r="S84" s="118">
        <f>(R84*$S$80)/100</f>
        <v>5.6493491348689293</v>
      </c>
      <c r="T84" s="121"/>
      <c r="V84" s="122">
        <v>1</v>
      </c>
      <c r="W84" s="114" t="s">
        <v>71</v>
      </c>
      <c r="X84" s="120">
        <f>($AC$80/24)*((24/V84)^(2/3))</f>
        <v>71.772945633768771</v>
      </c>
      <c r="Y84" s="120">
        <f>X84*V84</f>
        <v>71.772945633768771</v>
      </c>
      <c r="Z84" s="120">
        <f>Y84</f>
        <v>71.772945633768771</v>
      </c>
      <c r="AA84" s="119">
        <f>(Z84*100)/$Z$96</f>
        <v>43.679023236814942</v>
      </c>
      <c r="AB84" s="119">
        <f>AA95</f>
        <v>2.8587219458090622</v>
      </c>
      <c r="AC84" s="118">
        <f>(AB84*$AC$80)/100</f>
        <v>5.9183834571890426</v>
      </c>
      <c r="AF84" s="122">
        <v>1</v>
      </c>
      <c r="AG84" s="114" t="s">
        <v>71</v>
      </c>
      <c r="AH84" s="120">
        <f>($AM$80/24)*((24/AF84)^(2/3))</f>
        <v>78.297821906045428</v>
      </c>
      <c r="AI84" s="120">
        <f>AH84*AF84</f>
        <v>78.297821906045428</v>
      </c>
      <c r="AJ84" s="120">
        <f>AI84</f>
        <v>78.297821906045428</v>
      </c>
      <c r="AK84" s="119">
        <f>(AJ84*100)/$AJ$96</f>
        <v>43.679023236814949</v>
      </c>
      <c r="AL84" s="119">
        <f>AK95</f>
        <v>2.8587219458090685</v>
      </c>
      <c r="AM84" s="118">
        <f>(AL84*$AM$80)/100</f>
        <v>6.4564235146097815</v>
      </c>
    </row>
    <row r="85" spans="2:39">
      <c r="B85" s="122">
        <v>2</v>
      </c>
      <c r="C85" s="114" t="s">
        <v>72</v>
      </c>
      <c r="D85" s="120">
        <f>($I$80/24)*((24/B85)^(2/3))</f>
        <v>41.103708026772338</v>
      </c>
      <c r="E85" s="120">
        <f>D85*B85</f>
        <v>82.207416053544677</v>
      </c>
      <c r="F85" s="120">
        <f>E85-E84</f>
        <v>16.959346692052549</v>
      </c>
      <c r="G85" s="119">
        <f>(F85*100)/$F$96</f>
        <v>11.353097578095507</v>
      </c>
      <c r="H85" s="119">
        <f>G93</f>
        <v>3.2475732464958673</v>
      </c>
      <c r="I85" s="118">
        <f>(H85*$I$80)/100</f>
        <v>6.1121926557649422</v>
      </c>
      <c r="L85" s="122">
        <v>2</v>
      </c>
      <c r="M85" s="114" t="s">
        <v>72</v>
      </c>
      <c r="N85" s="120">
        <f>($S$80/24)*((24/L85)^(2/3))</f>
        <v>43.158806070064479</v>
      </c>
      <c r="O85" s="120">
        <f>N85*L85</f>
        <v>86.317612140128958</v>
      </c>
      <c r="P85" s="120">
        <f>O85-O84</f>
        <v>17.807277982817098</v>
      </c>
      <c r="Q85" s="119">
        <f>(P85*100)/$P$96</f>
        <v>11.353097578095507</v>
      </c>
      <c r="R85" s="119">
        <f>Q93</f>
        <v>3.2475732464958638</v>
      </c>
      <c r="S85" s="118">
        <f>(R85*$S$80)/100</f>
        <v>6.4177892982601961</v>
      </c>
      <c r="T85" s="121"/>
      <c r="V85" s="122">
        <v>2</v>
      </c>
      <c r="W85" s="114" t="s">
        <v>72</v>
      </c>
      <c r="X85" s="120">
        <f>($AC$80/24)*((24/V85)^(2/3))</f>
        <v>45.214122508472805</v>
      </c>
      <c r="Y85" s="120">
        <f>X85*V85</f>
        <v>90.42824501694561</v>
      </c>
      <c r="Z85" s="120">
        <f>Y85-Y84</f>
        <v>18.655299383176839</v>
      </c>
      <c r="AA85" s="119">
        <f>(Z85*100)/$Z$96</f>
        <v>11.353097578095506</v>
      </c>
      <c r="AB85" s="119">
        <f>AA93</f>
        <v>3.2475732464958438</v>
      </c>
      <c r="AC85" s="118">
        <f>(AB85*$AC$80)/100</f>
        <v>6.7234184164878794</v>
      </c>
      <c r="AF85" s="122">
        <v>2</v>
      </c>
      <c r="AG85" s="114" t="s">
        <v>72</v>
      </c>
      <c r="AH85" s="120">
        <f>($AM$80/24)*((24/AF85)^(2/3))</f>
        <v>49.324536990173279</v>
      </c>
      <c r="AI85" s="120">
        <f>AH85*AF85</f>
        <v>98.649073980346557</v>
      </c>
      <c r="AJ85" s="120">
        <f>AI85-AI84</f>
        <v>20.351252074301129</v>
      </c>
      <c r="AK85" s="119">
        <f>(AJ85*100)/$AJ$96</f>
        <v>11.353097578095504</v>
      </c>
      <c r="AL85" s="119">
        <f>AK93</f>
        <v>3.2475732464958553</v>
      </c>
      <c r="AM85" s="118">
        <f>(AL85*$AM$80)/100</f>
        <v>7.3346441772108895</v>
      </c>
    </row>
    <row r="86" spans="2:39">
      <c r="B86" s="122">
        <v>3</v>
      </c>
      <c r="C86" s="114" t="s">
        <v>73</v>
      </c>
      <c r="D86" s="120">
        <f>($I$80/24)*((24/B86)^(2/3))</f>
        <v>31.367999999999991</v>
      </c>
      <c r="E86" s="120">
        <f>D86*B86</f>
        <v>94.103999999999971</v>
      </c>
      <c r="F86" s="120">
        <f>E86-E85</f>
        <v>11.896583946455294</v>
      </c>
      <c r="G86" s="119">
        <f>(F86*100)/$F$96</f>
        <v>7.9639316798331885</v>
      </c>
      <c r="H86" s="119">
        <f>G91</f>
        <v>3.8030808908868141</v>
      </c>
      <c r="I86" s="118">
        <f>(H86*$I$80)/100</f>
        <v>7.1577024831202554</v>
      </c>
      <c r="L86" s="122">
        <v>3</v>
      </c>
      <c r="M86" s="114" t="s">
        <v>73</v>
      </c>
      <c r="N86" s="120">
        <f>($S$80/24)*((24/L86)^(2/3))</f>
        <v>32.936333333333323</v>
      </c>
      <c r="O86" s="120">
        <f>N86*L86</f>
        <v>98.808999999999969</v>
      </c>
      <c r="P86" s="120">
        <f>O86-O85</f>
        <v>12.491387859871011</v>
      </c>
      <c r="Q86" s="119">
        <f>(P86*100)/$P$96</f>
        <v>7.9639316798331929</v>
      </c>
      <c r="R86" s="119">
        <f>Q91</f>
        <v>3.8030808908868199</v>
      </c>
      <c r="S86" s="118">
        <f>(R86*$S$80)/100</f>
        <v>7.5155723949527156</v>
      </c>
      <c r="T86" s="121"/>
      <c r="V86" s="122">
        <v>3</v>
      </c>
      <c r="W86" s="114" t="s">
        <v>73</v>
      </c>
      <c r="X86" s="120">
        <f>($AC$80/24)*((24/V86)^(2/3))</f>
        <v>34.504833333333323</v>
      </c>
      <c r="Y86" s="120">
        <f>X86*V86</f>
        <v>103.51449999999997</v>
      </c>
      <c r="Z86" s="120">
        <f>Y86-Y85</f>
        <v>13.08625498305436</v>
      </c>
      <c r="AA86" s="119">
        <f>(Z86*100)/$Z$96</f>
        <v>7.9639316798331947</v>
      </c>
      <c r="AB86" s="119">
        <f>AA91</f>
        <v>3.8030808908868114</v>
      </c>
      <c r="AC86" s="118">
        <f>(AB86*$AC$80)/100</f>
        <v>7.8734803375940565</v>
      </c>
      <c r="AF86" s="122">
        <v>3</v>
      </c>
      <c r="AG86" s="114" t="s">
        <v>73</v>
      </c>
      <c r="AH86" s="120">
        <f>($AM$80/24)*((24/AF86)^(2/3))</f>
        <v>37.641666666666659</v>
      </c>
      <c r="AI86" s="120">
        <f>AH86*AF86</f>
        <v>112.92499999999998</v>
      </c>
      <c r="AJ86" s="120">
        <f>AI86-AI85</f>
        <v>14.275926019653426</v>
      </c>
      <c r="AK86" s="119">
        <f>(AJ86*100)/$AJ$96</f>
        <v>7.9639316798332001</v>
      </c>
      <c r="AL86" s="119">
        <f>AK91</f>
        <v>3.8030808908868168</v>
      </c>
      <c r="AM86" s="118">
        <f>(AL86*$AM$80)/100</f>
        <v>8.5892581920678754</v>
      </c>
    </row>
    <row r="87" spans="2:39">
      <c r="B87" s="122">
        <v>4</v>
      </c>
      <c r="C87" s="114" t="s">
        <v>74</v>
      </c>
      <c r="D87" s="120">
        <f>($I$80/24)*((24/B87)^(2/3))</f>
        <v>25.893713485831658</v>
      </c>
      <c r="E87" s="120">
        <f>D87*B87</f>
        <v>103.57485394332663</v>
      </c>
      <c r="F87" s="120">
        <f>E87-E86</f>
        <v>9.4708539433266594</v>
      </c>
      <c r="G87" s="119">
        <f>(F87*100)/$F$96</f>
        <v>6.3400749403198189</v>
      </c>
      <c r="H87" s="119">
        <f>G89</f>
        <v>4.6799734891238973</v>
      </c>
      <c r="I87" s="118">
        <f>(H87*$I$80)/100</f>
        <v>8.8080845044103047</v>
      </c>
      <c r="L87" s="122">
        <v>4</v>
      </c>
      <c r="M87" s="114" t="s">
        <v>74</v>
      </c>
      <c r="N87" s="120">
        <f>($S$80/24)*((24/L87)^(2/3))</f>
        <v>27.188344128002424</v>
      </c>
      <c r="O87" s="120">
        <f>N87*L87</f>
        <v>108.75337651200969</v>
      </c>
      <c r="P87" s="120">
        <f>O87-O86</f>
        <v>9.9443765120097254</v>
      </c>
      <c r="Q87" s="119">
        <f>(P87*100)/$P$96</f>
        <v>6.3400749403198153</v>
      </c>
      <c r="R87" s="119">
        <f>Q89</f>
        <v>4.6799734891238813</v>
      </c>
      <c r="S87" s="118">
        <f>(R87*$S$80)/100</f>
        <v>9.2484700097368311</v>
      </c>
      <c r="T87" s="121"/>
      <c r="V87" s="122">
        <v>4</v>
      </c>
      <c r="W87" s="114" t="s">
        <v>74</v>
      </c>
      <c r="X87" s="120">
        <f>($AC$80/24)*((24/V87)^(2/3))</f>
        <v>28.483112350475231</v>
      </c>
      <c r="Y87" s="120">
        <f>X87*V87</f>
        <v>113.93244940190093</v>
      </c>
      <c r="Z87" s="120">
        <f>Y87-Y86</f>
        <v>10.417949401900955</v>
      </c>
      <c r="AA87" s="119">
        <f>(Z87*100)/$Z$96</f>
        <v>6.3400749403198189</v>
      </c>
      <c r="AB87" s="119">
        <f>AA89</f>
        <v>4.6799734891238929</v>
      </c>
      <c r="AC87" s="118">
        <f>(AB87*$AC$80)/100</f>
        <v>9.6889023147983035</v>
      </c>
      <c r="AF87" s="122">
        <v>4</v>
      </c>
      <c r="AG87" s="114" t="s">
        <v>74</v>
      </c>
      <c r="AH87" s="120">
        <f>($AM$80/24)*((24/AF87)^(2/3))</f>
        <v>31.072511215118805</v>
      </c>
      <c r="AI87" s="120">
        <f>AH87*AF87</f>
        <v>124.29004486047522</v>
      </c>
      <c r="AJ87" s="120">
        <f>AI87-AI86</f>
        <v>11.365044860475237</v>
      </c>
      <c r="AK87" s="119">
        <f>(AJ87*100)/$AJ$96</f>
        <v>6.3400749403198109</v>
      </c>
      <c r="AL87" s="119">
        <f>AK89</f>
        <v>4.6799734891238973</v>
      </c>
      <c r="AM87" s="118">
        <f>(AL87*$AM$80)/100</f>
        <v>10.569720125186322</v>
      </c>
    </row>
    <row r="88" spans="2:39">
      <c r="B88" s="122">
        <v>5</v>
      </c>
      <c r="C88" s="114" t="s">
        <v>75</v>
      </c>
      <c r="D88" s="120">
        <f>($I$80/24)*((24/B88)^(2/3))</f>
        <v>22.314525835048855</v>
      </c>
      <c r="E88" s="120">
        <f>D88*B88</f>
        <v>111.57262917524427</v>
      </c>
      <c r="F88" s="120">
        <f>E88-E87</f>
        <v>7.9977752319176432</v>
      </c>
      <c r="G88" s="119">
        <f>(F88*100)/$F$96</f>
        <v>5.3539516742226105</v>
      </c>
      <c r="H88" s="119">
        <f>G87</f>
        <v>6.3400749403198189</v>
      </c>
      <c r="I88" s="118">
        <f>(H88*$I$80)/100</f>
        <v>11.932528243677124</v>
      </c>
      <c r="L88" s="122">
        <v>5</v>
      </c>
      <c r="M88" s="114" t="s">
        <v>75</v>
      </c>
      <c r="N88" s="120">
        <f>($S$80/24)*((24/L88)^(2/3))</f>
        <v>23.430204701557237</v>
      </c>
      <c r="O88" s="120">
        <f>N88*L88</f>
        <v>117.15102350778619</v>
      </c>
      <c r="P88" s="120">
        <f>O88-O87</f>
        <v>8.3976469957764976</v>
      </c>
      <c r="Q88" s="119">
        <f>(P88*100)/$P$96</f>
        <v>5.3539516742226185</v>
      </c>
      <c r="R88" s="119">
        <f>Q87</f>
        <v>6.3400749403198153</v>
      </c>
      <c r="S88" s="118">
        <f>(R88*$S$80)/100</f>
        <v>12.529129295561212</v>
      </c>
      <c r="T88" s="121"/>
      <c r="V88" s="122">
        <v>5</v>
      </c>
      <c r="W88" s="114" t="s">
        <v>75</v>
      </c>
      <c r="X88" s="120">
        <f>($AC$80/24)*((24/V88)^(2/3))</f>
        <v>24.546002131175769</v>
      </c>
      <c r="Y88" s="120">
        <f>X88*V88</f>
        <v>122.73001065587884</v>
      </c>
      <c r="Z88" s="120">
        <f>Y88-Y87</f>
        <v>8.7975612539779178</v>
      </c>
      <c r="AA88" s="119">
        <f>(Z88*100)/$Z$96</f>
        <v>5.3539516742226043</v>
      </c>
      <c r="AB88" s="119">
        <f>AA87</f>
        <v>6.3400749403198189</v>
      </c>
      <c r="AC88" s="118">
        <f>(AB88*$AC$80)/100</f>
        <v>13.125793748194717</v>
      </c>
      <c r="AF88" s="122">
        <v>5</v>
      </c>
      <c r="AG88" s="114" t="s">
        <v>75</v>
      </c>
      <c r="AH88" s="120">
        <f>($AM$80/24)*((24/AF88)^(2/3))</f>
        <v>26.777478427302686</v>
      </c>
      <c r="AI88" s="120">
        <f>AH88*AF88</f>
        <v>133.88739213651343</v>
      </c>
      <c r="AJ88" s="120">
        <f>AI88-AI87</f>
        <v>9.5973472760382066</v>
      </c>
      <c r="AK88" s="119">
        <f>(AJ88*100)/$AJ$96</f>
        <v>5.353951674222607</v>
      </c>
      <c r="AL88" s="119">
        <f>AK87</f>
        <v>6.3400749403198109</v>
      </c>
      <c r="AM88" s="118">
        <f>(AL88*$AM$80)/100</f>
        <v>14.319059252712293</v>
      </c>
    </row>
    <row r="89" spans="2:39">
      <c r="B89" s="122">
        <v>6</v>
      </c>
      <c r="C89" s="114" t="s">
        <v>76</v>
      </c>
      <c r="D89" s="120">
        <f>($I$80/24)*((24/B89)^(2/3))</f>
        <v>19.760601746551188</v>
      </c>
      <c r="E89" s="120">
        <f>D89*B89</f>
        <v>118.56361047930713</v>
      </c>
      <c r="F89" s="120">
        <f>E89-E88</f>
        <v>6.9909813040628563</v>
      </c>
      <c r="G89" s="119">
        <f>(F89*100)/$F$96</f>
        <v>4.6799734891238973</v>
      </c>
      <c r="H89" s="119">
        <f>G85</f>
        <v>11.353097578095507</v>
      </c>
      <c r="I89" s="118">
        <f>(H89*$I$80)/100</f>
        <v>21.367437889781989</v>
      </c>
      <c r="L89" s="122">
        <v>6</v>
      </c>
      <c r="M89" s="114" t="s">
        <v>76</v>
      </c>
      <c r="N89" s="120">
        <f>($S$80/24)*((24/L89)^(2/3))</f>
        <v>20.748589836510416</v>
      </c>
      <c r="O89" s="120">
        <f>N89*L89</f>
        <v>124.49153901906249</v>
      </c>
      <c r="P89" s="120">
        <f>O89-O88</f>
        <v>7.3405155112762941</v>
      </c>
      <c r="Q89" s="119">
        <f>(P89*100)/$P$96</f>
        <v>4.6799734891238813</v>
      </c>
      <c r="R89" s="119">
        <f>Q85</f>
        <v>11.353097578095507</v>
      </c>
      <c r="S89" s="118">
        <f>(R89*$S$80)/100</f>
        <v>22.435764371880779</v>
      </c>
      <c r="T89" s="121"/>
      <c r="V89" s="122">
        <v>6</v>
      </c>
      <c r="W89" s="114" t="s">
        <v>76</v>
      </c>
      <c r="X89" s="120">
        <f>($AC$80/24)*((24/V89)^(2/3))</f>
        <v>21.73668291989047</v>
      </c>
      <c r="Y89" s="120">
        <f>X89*V89</f>
        <v>130.42009751934282</v>
      </c>
      <c r="Z89" s="120">
        <f>Y89-Y88</f>
        <v>7.690086863463975</v>
      </c>
      <c r="AA89" s="119">
        <f>(Z89*100)/$Z$96</f>
        <v>4.6799734891238929</v>
      </c>
      <c r="AB89" s="119">
        <f>AA85</f>
        <v>11.353097578095506</v>
      </c>
      <c r="AC89" s="118">
        <f>(AB89*$AC$80)/100</f>
        <v>23.504204384955344</v>
      </c>
      <c r="AF89" s="122">
        <v>6</v>
      </c>
      <c r="AG89" s="114" t="s">
        <v>76</v>
      </c>
      <c r="AH89" s="120">
        <f>($AM$80/24)*((24/AF89)^(2/3))</f>
        <v>23.712764093229755</v>
      </c>
      <c r="AI89" s="120">
        <f>AH89*AF89</f>
        <v>142.27658455937853</v>
      </c>
      <c r="AJ89" s="120">
        <f>AI89-AI88</f>
        <v>8.3891924228651078</v>
      </c>
      <c r="AK89" s="119">
        <f>(AJ89*100)/$AJ$96</f>
        <v>4.6799734891238973</v>
      </c>
      <c r="AL89" s="119">
        <f>AK85</f>
        <v>11.353097578095504</v>
      </c>
      <c r="AM89" s="118">
        <f>(AL89*$AM$80)/100</f>
        <v>25.640970880128695</v>
      </c>
    </row>
    <row r="90" spans="2:39">
      <c r="B90" s="122">
        <v>7</v>
      </c>
      <c r="C90" s="114" t="s">
        <v>77</v>
      </c>
      <c r="D90" s="120">
        <f>($I$80/24)*((24/B90)^(2/3))</f>
        <v>17.830723785327717</v>
      </c>
      <c r="E90" s="120">
        <f>D90*B90</f>
        <v>124.81506649729401</v>
      </c>
      <c r="F90" s="120">
        <f>E90-E89</f>
        <v>6.2514560179868823</v>
      </c>
      <c r="G90" s="119">
        <f>(F90*100)/$F$96</f>
        <v>4.1849129843331081</v>
      </c>
      <c r="H90" s="119">
        <f>G84</f>
        <v>43.679023236814942</v>
      </c>
      <c r="I90" s="118">
        <f>(H90*$I$80)/100</f>
        <v>82.207416053544662</v>
      </c>
      <c r="L90" s="122">
        <v>7</v>
      </c>
      <c r="M90" s="114" t="s">
        <v>77</v>
      </c>
      <c r="N90" s="120">
        <f>($S$80/24)*((24/L90)^(2/3))</f>
        <v>18.722222078811168</v>
      </c>
      <c r="O90" s="120">
        <f>N90*L90</f>
        <v>131.05555455167817</v>
      </c>
      <c r="P90" s="120">
        <f>O90-O89</f>
        <v>6.5640155326156844</v>
      </c>
      <c r="Q90" s="119">
        <f>(P90*100)/$P$96</f>
        <v>4.1849129843331125</v>
      </c>
      <c r="R90" s="119">
        <f>Q84</f>
        <v>43.679023236814949</v>
      </c>
      <c r="S90" s="118">
        <f>(R90*$S$80)/100</f>
        <v>86.317612140128972</v>
      </c>
      <c r="T90" s="121"/>
      <c r="V90" s="122">
        <v>7</v>
      </c>
      <c r="W90" s="114" t="s">
        <v>77</v>
      </c>
      <c r="X90" s="120">
        <f>($AC$80/24)*((24/V90)^(2/3))</f>
        <v>19.613815111751954</v>
      </c>
      <c r="Y90" s="120">
        <f>X90*V90</f>
        <v>137.29670578226367</v>
      </c>
      <c r="Z90" s="120">
        <f>Y90-Y89</f>
        <v>6.876608262920854</v>
      </c>
      <c r="AA90" s="119">
        <f>(Z90*100)/$Z$96</f>
        <v>4.1849129843331143</v>
      </c>
      <c r="AB90" s="119">
        <f>AA84</f>
        <v>43.679023236814942</v>
      </c>
      <c r="AC90" s="118">
        <f>(AB90*$AC$80)/100</f>
        <v>90.428245016945596</v>
      </c>
      <c r="AF90" s="122">
        <v>7</v>
      </c>
      <c r="AG90" s="114" t="s">
        <v>77</v>
      </c>
      <c r="AH90" s="120">
        <f>($AM$80/24)*((24/AF90)^(2/3))</f>
        <v>21.396906438176192</v>
      </c>
      <c r="AI90" s="120">
        <f>AH90*AF90</f>
        <v>149.77834506723335</v>
      </c>
      <c r="AJ90" s="120">
        <f>AI90-AI89</f>
        <v>7.5017605078548115</v>
      </c>
      <c r="AK90" s="119">
        <f>(AJ90*100)/$AJ$96</f>
        <v>4.1849129843331117</v>
      </c>
      <c r="AL90" s="119">
        <f>AK84</f>
        <v>43.679023236814949</v>
      </c>
      <c r="AM90" s="118">
        <f>(AL90*$AM$80)/100</f>
        <v>98.649073980346571</v>
      </c>
    </row>
    <row r="91" spans="2:39">
      <c r="B91" s="122">
        <v>8</v>
      </c>
      <c r="C91" s="114" t="s">
        <v>78</v>
      </c>
      <c r="D91" s="120">
        <f>($I$80/24)*((24/B91)^(2/3))</f>
        <v>16.312017340373032</v>
      </c>
      <c r="E91" s="120">
        <f>D91*B91</f>
        <v>130.49613872298426</v>
      </c>
      <c r="F91" s="120">
        <f>E91-E90</f>
        <v>5.6810722256902437</v>
      </c>
      <c r="G91" s="119">
        <f>(F91*100)/$F$96</f>
        <v>3.8030808908868141</v>
      </c>
      <c r="H91" s="119">
        <f>G86</f>
        <v>7.9639316798331885</v>
      </c>
      <c r="I91" s="118">
        <f>(H91*$I$80)/100</f>
        <v>14.988756535980446</v>
      </c>
      <c r="L91" s="122">
        <v>8</v>
      </c>
      <c r="M91" s="114" t="s">
        <v>78</v>
      </c>
      <c r="N91" s="120">
        <f>($S$80/24)*((24/L91)^(2/3))</f>
        <v>17.127583539327965</v>
      </c>
      <c r="O91" s="120">
        <f>N91*L91</f>
        <v>137.02066831462372</v>
      </c>
      <c r="P91" s="120">
        <f>O91-O90</f>
        <v>5.9651137629455491</v>
      </c>
      <c r="Q91" s="119">
        <f>(P91*100)/$P$96</f>
        <v>3.8030808908868199</v>
      </c>
      <c r="R91" s="119">
        <f>Q86</f>
        <v>7.9639316798331929</v>
      </c>
      <c r="S91" s="118">
        <f>(R91*$S$80)/100</f>
        <v>15.73816250705276</v>
      </c>
      <c r="T91" s="121"/>
      <c r="V91" s="122">
        <v>8</v>
      </c>
      <c r="W91" s="114" t="s">
        <v>78</v>
      </c>
      <c r="X91" s="120">
        <f>($AC$80/24)*((24/V91)^(2/3))</f>
        <v>17.943236408442193</v>
      </c>
      <c r="Y91" s="120">
        <f>X91*V91</f>
        <v>143.54589126753754</v>
      </c>
      <c r="Z91" s="120">
        <f>Y91-Y90</f>
        <v>6.2491854852738697</v>
      </c>
      <c r="AA91" s="119">
        <f>(Z91*100)/$Z$96</f>
        <v>3.8030808908868114</v>
      </c>
      <c r="AB91" s="119">
        <f>AA86</f>
        <v>7.9639316798331947</v>
      </c>
      <c r="AC91" s="118">
        <f>(AB91*$AC$80)/100</f>
        <v>16.487648117441864</v>
      </c>
      <c r="AF91" s="122">
        <v>8</v>
      </c>
      <c r="AG91" s="114" t="s">
        <v>78</v>
      </c>
      <c r="AH91" s="120">
        <f>($AM$80/24)*((24/AF91)^(2/3))</f>
        <v>19.574455476511357</v>
      </c>
      <c r="AI91" s="120">
        <f>AH91*AF91</f>
        <v>156.59564381209086</v>
      </c>
      <c r="AJ91" s="120">
        <f>AI91-AI90</f>
        <v>6.81729874485751</v>
      </c>
      <c r="AK91" s="119">
        <f>(AJ91*100)/$AJ$96</f>
        <v>3.8030808908868168</v>
      </c>
      <c r="AL91" s="119">
        <f>AK86</f>
        <v>7.9639316798332001</v>
      </c>
      <c r="AM91" s="118">
        <f>(AL91*$AM$80)/100</f>
        <v>17.986539698903282</v>
      </c>
    </row>
    <row r="92" spans="2:39">
      <c r="B92" s="122">
        <v>9</v>
      </c>
      <c r="C92" s="114" t="s">
        <v>79</v>
      </c>
      <c r="D92" s="120">
        <f>($I$80/24)*((24/B92)^(2/3))</f>
        <v>15.08016150713426</v>
      </c>
      <c r="E92" s="120">
        <f>D92*B92</f>
        <v>135.72145356420833</v>
      </c>
      <c r="F92" s="120">
        <f>E92-E91</f>
        <v>5.2253148412240762</v>
      </c>
      <c r="G92" s="119">
        <f>(F92*100)/$F$96</f>
        <v>3.497983167977079</v>
      </c>
      <c r="H92" s="119">
        <f>G88</f>
        <v>5.3539516742226105</v>
      </c>
      <c r="I92" s="118">
        <f>(H92*$I$80)/100</f>
        <v>10.076565367020891</v>
      </c>
      <c r="L92" s="122">
        <v>9</v>
      </c>
      <c r="M92" s="114" t="s">
        <v>79</v>
      </c>
      <c r="N92" s="120">
        <f>($S$80/24)*((24/L92)^(2/3))</f>
        <v>15.834137532500522</v>
      </c>
      <c r="O92" s="120">
        <f>N92*L92</f>
        <v>142.5072377925047</v>
      </c>
      <c r="P92" s="120">
        <f>O92-O91</f>
        <v>5.4865694778809768</v>
      </c>
      <c r="Q92" s="119">
        <f>(P92*100)/$P$96</f>
        <v>3.497983167977091</v>
      </c>
      <c r="R92" s="119">
        <f>Q88</f>
        <v>5.3539516742226185</v>
      </c>
      <c r="S92" s="118">
        <f>(R92*$S$80)/100</f>
        <v>10.580372219565254</v>
      </c>
      <c r="T92" s="121"/>
      <c r="V92" s="122">
        <v>9</v>
      </c>
      <c r="W92" s="114" t="s">
        <v>79</v>
      </c>
      <c r="X92" s="120">
        <f>($AC$80/24)*((24/V92)^(2/3))</f>
        <v>16.588193682842913</v>
      </c>
      <c r="Y92" s="120">
        <f>X92*V92</f>
        <v>149.29374314558623</v>
      </c>
      <c r="Z92" s="120">
        <f>Y92-Y91</f>
        <v>5.7478518780486922</v>
      </c>
      <c r="AA92" s="119">
        <f>(Z92*100)/$Z$96</f>
        <v>3.4979831679771083</v>
      </c>
      <c r="AB92" s="119">
        <f>AA88</f>
        <v>5.3539516742226043</v>
      </c>
      <c r="AC92" s="118">
        <f>(AB92*$AC$80)/100</f>
        <v>11.084232611626314</v>
      </c>
      <c r="AF92" s="122">
        <v>9</v>
      </c>
      <c r="AG92" s="114" t="s">
        <v>79</v>
      </c>
      <c r="AH92" s="120">
        <f>($AM$80/24)*((24/AF92)^(2/3))</f>
        <v>18.096225858551566</v>
      </c>
      <c r="AI92" s="120">
        <f>AH92*AF92</f>
        <v>162.86603272696411</v>
      </c>
      <c r="AJ92" s="120">
        <f>AI92-AI91</f>
        <v>6.2703889148732515</v>
      </c>
      <c r="AK92" s="119">
        <f>(AJ92*100)/$AJ$96</f>
        <v>3.4979831679771007</v>
      </c>
      <c r="AL92" s="119">
        <f>AK88</f>
        <v>5.353951674222607</v>
      </c>
      <c r="AM92" s="118">
        <f>(AL92*$AM$80)/100</f>
        <v>12.091899856231757</v>
      </c>
    </row>
    <row r="93" spans="2:39">
      <c r="B93" s="122">
        <v>10</v>
      </c>
      <c r="C93" s="114" t="s">
        <v>80</v>
      </c>
      <c r="D93" s="120">
        <f>($I$80/24)*((24/B93)^(2/3))</f>
        <v>14.057270409000513</v>
      </c>
      <c r="E93" s="120">
        <f>D93*B93</f>
        <v>140.57270409000512</v>
      </c>
      <c r="F93" s="120">
        <f>E93-E92</f>
        <v>4.851250525796786</v>
      </c>
      <c r="G93" s="119">
        <f>(F93*100)/$F$96</f>
        <v>3.2475732464958673</v>
      </c>
      <c r="H93" s="119">
        <f>G90</f>
        <v>4.1849129843331081</v>
      </c>
      <c r="I93" s="118">
        <f>(H93*$I$80)/100</f>
        <v>7.8763410295536564</v>
      </c>
      <c r="L93" s="122">
        <v>10</v>
      </c>
      <c r="M93" s="114" t="s">
        <v>80</v>
      </c>
      <c r="N93" s="120">
        <f>($S$80/24)*((24/L93)^(2/3))</f>
        <v>14.760104053418894</v>
      </c>
      <c r="O93" s="120">
        <f>N93*L93</f>
        <v>147.60104053418894</v>
      </c>
      <c r="P93" s="120">
        <f>O93-O92</f>
        <v>5.0938027416842431</v>
      </c>
      <c r="Q93" s="119">
        <f>(P93*100)/$P$96</f>
        <v>3.2475732464958638</v>
      </c>
      <c r="R93" s="119">
        <f>Q90</f>
        <v>4.1849129843331125</v>
      </c>
      <c r="S93" s="118">
        <f>(R93*$S$80)/100</f>
        <v>8.2701413413794107</v>
      </c>
      <c r="T93" s="121"/>
      <c r="V93" s="122">
        <v>10</v>
      </c>
      <c r="W93" s="114" t="s">
        <v>80</v>
      </c>
      <c r="X93" s="120">
        <f>($AC$80/24)*((24/V93)^(2/3))</f>
        <v>15.463012387916384</v>
      </c>
      <c r="Y93" s="120">
        <f>X93*V93</f>
        <v>154.63012387916385</v>
      </c>
      <c r="Z93" s="120">
        <f>Y93-Y92</f>
        <v>5.336380733577613</v>
      </c>
      <c r="AA93" s="119">
        <f>(Z93*100)/$Z$96</f>
        <v>3.2475732464958438</v>
      </c>
      <c r="AB93" s="119">
        <f>AA90</f>
        <v>4.1849129843331143</v>
      </c>
      <c r="AC93" s="118">
        <f>(AB93*$AC$80)/100</f>
        <v>8.6639835023350038</v>
      </c>
      <c r="AF93" s="122">
        <v>10</v>
      </c>
      <c r="AG93" s="114" t="s">
        <v>80</v>
      </c>
      <c r="AH93" s="120">
        <f>($AM$80/24)*((24/AF93)^(2/3))</f>
        <v>16.86875436683226</v>
      </c>
      <c r="AI93" s="120">
        <f>AH93*AF93</f>
        <v>168.6875436683226</v>
      </c>
      <c r="AJ93" s="120">
        <f>AI93-AI92</f>
        <v>5.8215109413584969</v>
      </c>
      <c r="AK93" s="119">
        <f>(AJ93*100)/$AJ$96</f>
        <v>3.2475732464958553</v>
      </c>
      <c r="AL93" s="119">
        <f>AK90</f>
        <v>4.1849129843331117</v>
      </c>
      <c r="AM93" s="118">
        <f>(AL93*$AM$80)/100</f>
        <v>9.4516259751163325</v>
      </c>
    </row>
    <row r="94" spans="2:39">
      <c r="B94" s="122">
        <v>11</v>
      </c>
      <c r="C94" s="114" t="s">
        <v>81</v>
      </c>
      <c r="D94" s="120">
        <f>($I$80/24)*((24/B94)^(2/3))</f>
        <v>13.191855200731293</v>
      </c>
      <c r="E94" s="120">
        <f>D94*B94</f>
        <v>145.11040720804422</v>
      </c>
      <c r="F94" s="120">
        <f>E94-E93</f>
        <v>4.5377031180391043</v>
      </c>
      <c r="G94" s="119">
        <f>(F94*100)/$F$96</f>
        <v>3.0376751660880879</v>
      </c>
      <c r="H94" s="119">
        <f>G92</f>
        <v>3.497983167977079</v>
      </c>
      <c r="I94" s="118">
        <f>(H94*$I$80)/100</f>
        <v>6.5834841607863011</v>
      </c>
      <c r="L94" s="122">
        <v>11</v>
      </c>
      <c r="M94" s="114" t="s">
        <v>81</v>
      </c>
      <c r="N94" s="120">
        <f>($S$80/24)*((24/L94)^(2/3))</f>
        <v>13.851419924010226</v>
      </c>
      <c r="O94" s="120">
        <f>N94*L94</f>
        <v>152.3656191641125</v>
      </c>
      <c r="P94" s="120">
        <f>O94-O93</f>
        <v>4.7645786299235624</v>
      </c>
      <c r="Q94" s="119">
        <f>(P94*100)/$P$96</f>
        <v>3.0376751660880954</v>
      </c>
      <c r="R94" s="119">
        <f>Q92</f>
        <v>3.497983167977091</v>
      </c>
      <c r="S94" s="118">
        <f>(R94*$S$80)/100</f>
        <v>6.9126443768929677</v>
      </c>
      <c r="T94" s="121"/>
      <c r="V94" s="122">
        <v>11</v>
      </c>
      <c r="W94" s="114" t="s">
        <v>81</v>
      </c>
      <c r="X94" s="120">
        <f>($AC$80/24)*((24/V94)^(2/3))</f>
        <v>14.511054739183239</v>
      </c>
      <c r="Y94" s="120">
        <f>X94*V94</f>
        <v>159.62160213101563</v>
      </c>
      <c r="Z94" s="120">
        <f>Y94-Y93</f>
        <v>4.9914782518517882</v>
      </c>
      <c r="AA94" s="119">
        <f>(Z94*100)/$Z$96</f>
        <v>3.0376751660880994</v>
      </c>
      <c r="AB94" s="119">
        <f>AA92</f>
        <v>3.4979831679771083</v>
      </c>
      <c r="AC94" s="118">
        <f>(AB94*$AC$80)/100</f>
        <v>7.241839572831327</v>
      </c>
      <c r="AF94" s="122">
        <v>11</v>
      </c>
      <c r="AG94" s="114" t="s">
        <v>81</v>
      </c>
      <c r="AH94" s="120">
        <f>($AM$80/24)*((24/AF94)^(2/3))</f>
        <v>15.830254277635184</v>
      </c>
      <c r="AI94" s="120">
        <f>AH94*AF94</f>
        <v>174.13279705398702</v>
      </c>
      <c r="AJ94" s="120">
        <f>AI94-AI93</f>
        <v>5.4452533856644152</v>
      </c>
      <c r="AK94" s="119">
        <f>(AJ94*100)/$AJ$96</f>
        <v>3.0376751660880776</v>
      </c>
      <c r="AL94" s="119">
        <f>AK92</f>
        <v>3.4979831679771007</v>
      </c>
      <c r="AM94" s="118">
        <f>(AL94*$AM$80)/100</f>
        <v>7.9001949848762818</v>
      </c>
    </row>
    <row r="95" spans="2:39">
      <c r="B95" s="122">
        <v>12</v>
      </c>
      <c r="C95" s="114" t="s">
        <v>82</v>
      </c>
      <c r="D95" s="120">
        <f>($I$80/24)*((24/B95)^(2/3))</f>
        <v>12.448399049534618</v>
      </c>
      <c r="E95" s="120">
        <f>D95*B95</f>
        <v>149.38078859441543</v>
      </c>
      <c r="F95" s="120">
        <f>E95-E94</f>
        <v>4.2703813863712128</v>
      </c>
      <c r="G95" s="119">
        <f>(F95*100)/$F$96</f>
        <v>2.8587219458090742</v>
      </c>
      <c r="H95" s="119">
        <f>G94</f>
        <v>3.0376751660880879</v>
      </c>
      <c r="I95" s="118">
        <f>(H95*$I$80)/100</f>
        <v>5.7171476765910691</v>
      </c>
      <c r="L95" s="122">
        <v>12</v>
      </c>
      <c r="M95" s="114" t="s">
        <v>82</v>
      </c>
      <c r="N95" s="120">
        <f>($S$80/24)*((24/L95)^(2/3))</f>
        <v>13.07079254532715</v>
      </c>
      <c r="O95" s="120">
        <f>N95*L95</f>
        <v>156.84951054392579</v>
      </c>
      <c r="P95" s="120">
        <f>O95-O94</f>
        <v>4.4838913798132864</v>
      </c>
      <c r="Q95" s="119">
        <f>(P95*100)/$P$96</f>
        <v>2.8587219458090503</v>
      </c>
      <c r="R95" s="119">
        <f>Q94</f>
        <v>3.0376751660880954</v>
      </c>
      <c r="S95" s="118">
        <f>(R95*$S$80)/100</f>
        <v>6.002992909719973</v>
      </c>
      <c r="T95" s="121"/>
      <c r="V95" s="122">
        <v>12</v>
      </c>
      <c r="W95" s="114" t="s">
        <v>82</v>
      </c>
      <c r="X95" s="120">
        <f>($AC$80/24)*((24/V95)^(2/3))</f>
        <v>13.693252182830181</v>
      </c>
      <c r="Y95" s="120">
        <f>X95*V95</f>
        <v>164.31902619396217</v>
      </c>
      <c r="Z95" s="120">
        <f>Y95-Y94</f>
        <v>4.6974240629465385</v>
      </c>
      <c r="AA95" s="119">
        <f>(Z95*100)/$Z$96</f>
        <v>2.8587219458090622</v>
      </c>
      <c r="AB95" s="119">
        <f>AA94</f>
        <v>3.0376751660880994</v>
      </c>
      <c r="AC95" s="118">
        <f>(AB95*$AC$80)/100</f>
        <v>6.2888685196005314</v>
      </c>
      <c r="AF95" s="122">
        <v>12</v>
      </c>
      <c r="AG95" s="114" t="s">
        <v>82</v>
      </c>
      <c r="AH95" s="120">
        <f>($AM$80/24)*((24/AF95)^(2/3))</f>
        <v>14.938105316125743</v>
      </c>
      <c r="AI95" s="120">
        <f>AH95*AF95</f>
        <v>179.25726379350891</v>
      </c>
      <c r="AJ95" s="120">
        <f>AI95-AI94</f>
        <v>5.1244667395218926</v>
      </c>
      <c r="AK95" s="119">
        <f>(AJ95*100)/$AJ$96</f>
        <v>2.8587219458090685</v>
      </c>
      <c r="AL95" s="119">
        <f>AK94</f>
        <v>3.0376751660880776</v>
      </c>
      <c r="AM95" s="118">
        <f>(AL95*$AM$80)/100</f>
        <v>6.8605893626099235</v>
      </c>
    </row>
    <row r="96" spans="2:39">
      <c r="B96" s="149" t="s">
        <v>83</v>
      </c>
      <c r="C96" s="150"/>
      <c r="D96" s="150"/>
      <c r="E96" s="151"/>
      <c r="F96" s="120">
        <f>SUM(F84:F95)</f>
        <v>149.38078859441543</v>
      </c>
      <c r="G96" s="119">
        <f>(F96*100)/$F$96</f>
        <v>100</v>
      </c>
      <c r="H96" s="119">
        <f>SUM(H84:H95)</f>
        <v>100.00000000000001</v>
      </c>
      <c r="I96" s="118">
        <f>SUM(I84:I95)</f>
        <v>188.208</v>
      </c>
      <c r="L96" s="149" t="s">
        <v>83</v>
      </c>
      <c r="M96" s="150"/>
      <c r="N96" s="150"/>
      <c r="O96" s="151"/>
      <c r="P96" s="120">
        <f>SUM(P84:P95)</f>
        <v>156.84951054392579</v>
      </c>
      <c r="Q96" s="119">
        <f>(P96*100)/$P$96</f>
        <v>100</v>
      </c>
      <c r="R96" s="119">
        <f>SUM(R84:R95)</f>
        <v>99.999999999999986</v>
      </c>
      <c r="S96" s="118">
        <f>SUM(S84:S95)</f>
        <v>197.61799999999997</v>
      </c>
      <c r="T96" s="121"/>
      <c r="V96" s="149" t="s">
        <v>83</v>
      </c>
      <c r="W96" s="150"/>
      <c r="X96" s="150"/>
      <c r="Y96" s="151"/>
      <c r="Z96" s="120">
        <f>SUM(Z84:Z95)</f>
        <v>164.31902619396217</v>
      </c>
      <c r="AA96" s="119">
        <f>(Z96*100)/$Z$96</f>
        <v>100</v>
      </c>
      <c r="AB96" s="119">
        <f>SUM(AB84:AB95)</f>
        <v>99.999999999999986</v>
      </c>
      <c r="AC96" s="118">
        <f>SUM(AC84:AC95)</f>
        <v>207.029</v>
      </c>
      <c r="AF96" s="149" t="s">
        <v>83</v>
      </c>
      <c r="AG96" s="150"/>
      <c r="AH96" s="150"/>
      <c r="AI96" s="151"/>
      <c r="AJ96" s="120">
        <f>SUM(AJ84:AJ95)</f>
        <v>179.25726379350891</v>
      </c>
      <c r="AK96" s="119">
        <f>(AJ96*100)/$AJ$96</f>
        <v>100</v>
      </c>
      <c r="AL96" s="119">
        <f>SUM(AL84:AL95)</f>
        <v>99.999999999999986</v>
      </c>
      <c r="AM96" s="118">
        <f>SUM(AM84:AM95)</f>
        <v>225.85</v>
      </c>
    </row>
    <row r="97" spans="2:39">
      <c r="B97" s="127"/>
      <c r="I97" s="126"/>
      <c r="L97" s="127"/>
      <c r="S97" s="126"/>
      <c r="V97" s="127"/>
      <c r="AC97" s="126"/>
      <c r="AF97" s="127"/>
      <c r="AM97" s="126"/>
    </row>
    <row r="98" spans="2:39">
      <c r="B98" s="127"/>
      <c r="I98" s="126"/>
      <c r="L98" s="127"/>
      <c r="S98" s="126"/>
      <c r="V98" s="127"/>
      <c r="AC98" s="126"/>
      <c r="AF98" s="127"/>
      <c r="AM98" s="126"/>
    </row>
    <row r="99" spans="2:39" ht="15">
      <c r="B99" s="125"/>
      <c r="C99" s="112" t="s">
        <v>92</v>
      </c>
      <c r="D99" s="112"/>
      <c r="E99" s="112"/>
      <c r="F99" s="112"/>
      <c r="G99" s="113" t="s">
        <v>93</v>
      </c>
      <c r="H99" s="113"/>
      <c r="I99" s="126">
        <f>'[6]Design Rainfall'!D40</f>
        <v>197.94399999999999</v>
      </c>
      <c r="L99" s="125"/>
      <c r="M99" s="112" t="s">
        <v>92</v>
      </c>
      <c r="N99" s="112"/>
      <c r="O99" s="112"/>
      <c r="P99" s="112"/>
      <c r="Q99" s="113" t="s">
        <v>93</v>
      </c>
      <c r="R99" s="113"/>
      <c r="S99" s="126">
        <f>'[6]Design Rainfall'!E40</f>
        <v>207.84100000000001</v>
      </c>
      <c r="V99" s="125"/>
      <c r="W99" s="112" t="s">
        <v>92</v>
      </c>
      <c r="X99" s="112"/>
      <c r="Y99" s="112"/>
      <c r="Z99" s="112"/>
      <c r="AA99" s="113" t="s">
        <v>93</v>
      </c>
      <c r="AB99" s="113"/>
      <c r="AC99" s="126">
        <f>'[6]Design Rainfall'!F40</f>
        <v>217.738</v>
      </c>
      <c r="AF99" s="125"/>
      <c r="AG99" s="112" t="s">
        <v>92</v>
      </c>
      <c r="AH99" s="112"/>
      <c r="AI99" s="112"/>
      <c r="AJ99" s="112"/>
      <c r="AK99" s="113" t="s">
        <v>93</v>
      </c>
      <c r="AL99" s="113"/>
      <c r="AM99" s="126">
        <f>'[6]Design Rainfall'!G40</f>
        <v>237.53200000000001</v>
      </c>
    </row>
    <row r="100" spans="2:39" ht="15">
      <c r="B100" s="125"/>
      <c r="C100" s="112"/>
      <c r="D100" s="112"/>
      <c r="E100" s="112"/>
      <c r="F100" s="112"/>
      <c r="G100" s="112"/>
      <c r="H100" s="112"/>
      <c r="I100" s="124"/>
      <c r="L100" s="125"/>
      <c r="M100" s="112"/>
      <c r="N100" s="112"/>
      <c r="O100" s="112"/>
      <c r="P100" s="112"/>
      <c r="Q100" s="112"/>
      <c r="R100" s="112"/>
      <c r="S100" s="124"/>
      <c r="T100" s="111"/>
      <c r="V100" s="125"/>
      <c r="W100" s="112"/>
      <c r="X100" s="112"/>
      <c r="Y100" s="112"/>
      <c r="Z100" s="112"/>
      <c r="AA100" s="112"/>
      <c r="AB100" s="112"/>
      <c r="AC100" s="124"/>
      <c r="AF100" s="125"/>
      <c r="AG100" s="112"/>
      <c r="AH100" s="112"/>
      <c r="AI100" s="112"/>
      <c r="AJ100" s="112"/>
      <c r="AK100" s="112"/>
      <c r="AL100" s="112"/>
      <c r="AM100" s="124"/>
    </row>
    <row r="101" spans="2:39" ht="13.15" customHeight="1">
      <c r="B101" s="152" t="s">
        <v>63</v>
      </c>
      <c r="C101" s="154" t="s">
        <v>64</v>
      </c>
      <c r="D101" s="154" t="s">
        <v>65</v>
      </c>
      <c r="E101" s="154" t="s">
        <v>66</v>
      </c>
      <c r="F101" s="154" t="s">
        <v>67</v>
      </c>
      <c r="G101" s="154" t="s">
        <v>68</v>
      </c>
      <c r="H101" s="147" t="s">
        <v>69</v>
      </c>
      <c r="I101" s="148"/>
      <c r="L101" s="152" t="s">
        <v>63</v>
      </c>
      <c r="M101" s="154" t="s">
        <v>64</v>
      </c>
      <c r="N101" s="154" t="s">
        <v>65</v>
      </c>
      <c r="O101" s="154" t="s">
        <v>66</v>
      </c>
      <c r="P101" s="154" t="s">
        <v>67</v>
      </c>
      <c r="Q101" s="154" t="s">
        <v>68</v>
      </c>
      <c r="R101" s="147" t="s">
        <v>69</v>
      </c>
      <c r="S101" s="148"/>
      <c r="T101" s="121"/>
      <c r="V101" s="152" t="s">
        <v>63</v>
      </c>
      <c r="W101" s="154" t="s">
        <v>64</v>
      </c>
      <c r="X101" s="154" t="s">
        <v>65</v>
      </c>
      <c r="Y101" s="154" t="s">
        <v>66</v>
      </c>
      <c r="Z101" s="154" t="s">
        <v>67</v>
      </c>
      <c r="AA101" s="154" t="s">
        <v>68</v>
      </c>
      <c r="AB101" s="147" t="s">
        <v>69</v>
      </c>
      <c r="AC101" s="148"/>
      <c r="AF101" s="152" t="s">
        <v>63</v>
      </c>
      <c r="AG101" s="154" t="s">
        <v>64</v>
      </c>
      <c r="AH101" s="154" t="s">
        <v>65</v>
      </c>
      <c r="AI101" s="154" t="s">
        <v>66</v>
      </c>
      <c r="AJ101" s="154" t="s">
        <v>67</v>
      </c>
      <c r="AK101" s="154" t="s">
        <v>68</v>
      </c>
      <c r="AL101" s="147" t="s">
        <v>69</v>
      </c>
      <c r="AM101" s="148"/>
    </row>
    <row r="102" spans="2:39">
      <c r="B102" s="153"/>
      <c r="C102" s="155"/>
      <c r="D102" s="155"/>
      <c r="E102" s="155"/>
      <c r="F102" s="155"/>
      <c r="G102" s="155"/>
      <c r="H102" s="114" t="s">
        <v>70</v>
      </c>
      <c r="I102" s="123" t="s">
        <v>51</v>
      </c>
      <c r="L102" s="153"/>
      <c r="M102" s="155"/>
      <c r="N102" s="155"/>
      <c r="O102" s="155"/>
      <c r="P102" s="155"/>
      <c r="Q102" s="155"/>
      <c r="R102" s="114" t="s">
        <v>70</v>
      </c>
      <c r="S102" s="123" t="s">
        <v>51</v>
      </c>
      <c r="T102" s="121"/>
      <c r="V102" s="153"/>
      <c r="W102" s="155"/>
      <c r="X102" s="155"/>
      <c r="Y102" s="155"/>
      <c r="Z102" s="155"/>
      <c r="AA102" s="155"/>
      <c r="AB102" s="114" t="s">
        <v>70</v>
      </c>
      <c r="AC102" s="123" t="s">
        <v>51</v>
      </c>
      <c r="AF102" s="153"/>
      <c r="AG102" s="155"/>
      <c r="AH102" s="155"/>
      <c r="AI102" s="155"/>
      <c r="AJ102" s="155"/>
      <c r="AK102" s="155"/>
      <c r="AL102" s="114" t="s">
        <v>70</v>
      </c>
      <c r="AM102" s="123" t="s">
        <v>51</v>
      </c>
    </row>
    <row r="103" spans="2:39">
      <c r="B103" s="122">
        <v>1</v>
      </c>
      <c r="C103" s="114" t="s">
        <v>71</v>
      </c>
      <c r="D103" s="120">
        <f>($I$99/24)*((24/B103)^(2/3))</f>
        <v>68.623352045031012</v>
      </c>
      <c r="E103" s="120">
        <f>D103*B103</f>
        <v>68.623352045031012</v>
      </c>
      <c r="F103" s="120">
        <f>E103</f>
        <v>68.623352045031012</v>
      </c>
      <c r="G103" s="119">
        <f>(F103*100)/$F$115</f>
        <v>43.679023236814949</v>
      </c>
      <c r="H103" s="119">
        <f>G114</f>
        <v>2.8587219458090645</v>
      </c>
      <c r="I103" s="118">
        <f>(H103*$I$99)/100</f>
        <v>5.6586685684122937</v>
      </c>
      <c r="L103" s="122">
        <v>1</v>
      </c>
      <c r="M103" s="114" t="s">
        <v>71</v>
      </c>
      <c r="N103" s="120">
        <f>($S$99/24)*((24/L103)^(2/3))</f>
        <v>72.054450311155136</v>
      </c>
      <c r="O103" s="120">
        <f>N103*L103</f>
        <v>72.054450311155136</v>
      </c>
      <c r="P103" s="120">
        <f>O103</f>
        <v>72.054450311155136</v>
      </c>
      <c r="Q103" s="119">
        <f>(P103*100)/$P$115</f>
        <v>43.679023236814942</v>
      </c>
      <c r="R103" s="119">
        <f>Q114</f>
        <v>2.8587219458090694</v>
      </c>
      <c r="S103" s="118">
        <f>(R103*$S$99)/100</f>
        <v>5.941596279389028</v>
      </c>
      <c r="T103" s="121"/>
      <c r="V103" s="122">
        <v>1</v>
      </c>
      <c r="W103" s="114" t="s">
        <v>71</v>
      </c>
      <c r="X103" s="120">
        <f>($AC$99/24)*((24/V103)^(2/3))</f>
        <v>75.48554857727926</v>
      </c>
      <c r="Y103" s="120">
        <f>X103*V103</f>
        <v>75.48554857727926</v>
      </c>
      <c r="Z103" s="120">
        <f>Y103</f>
        <v>75.48554857727926</v>
      </c>
      <c r="AA103" s="119">
        <f>(Z103*100)/$Z$115</f>
        <v>43.679023236814949</v>
      </c>
      <c r="AB103" s="119">
        <f>AA114</f>
        <v>2.8587219458090738</v>
      </c>
      <c r="AC103" s="118">
        <f>(AB103*$AC$99)/100</f>
        <v>6.2245239903657614</v>
      </c>
      <c r="AF103" s="122">
        <v>1</v>
      </c>
      <c r="AG103" s="114" t="s">
        <v>71</v>
      </c>
      <c r="AH103" s="120">
        <f>($AM$99/24)*((24/AF103)^(2/3))</f>
        <v>82.34774510952748</v>
      </c>
      <c r="AI103" s="120">
        <f>AH103*AF103</f>
        <v>82.34774510952748</v>
      </c>
      <c r="AJ103" s="120">
        <f>AI103</f>
        <v>82.34774510952748</v>
      </c>
      <c r="AK103" s="119">
        <f>(AJ103*100)/$AJ$115</f>
        <v>43.679023236814942</v>
      </c>
      <c r="AL103" s="119">
        <f>AK114</f>
        <v>2.8587219458090667</v>
      </c>
      <c r="AM103" s="118">
        <f>(AL103*$AM$99)/100</f>
        <v>6.7903794123191927</v>
      </c>
    </row>
    <row r="104" spans="2:39">
      <c r="B104" s="122">
        <v>2</v>
      </c>
      <c r="C104" s="114" t="s">
        <v>72</v>
      </c>
      <c r="D104" s="120">
        <f>($I$99/24)*((24/B104)^(2/3))</f>
        <v>43.230002877940485</v>
      </c>
      <c r="E104" s="120">
        <f>D104*B104</f>
        <v>86.460005755880971</v>
      </c>
      <c r="F104" s="120">
        <f>E104-E103</f>
        <v>17.836653710849959</v>
      </c>
      <c r="G104" s="119">
        <f>(F104*100)/$F$115</f>
        <v>11.353097578095506</v>
      </c>
      <c r="H104" s="119">
        <f>G112</f>
        <v>3.2475732464958402</v>
      </c>
      <c r="I104" s="118">
        <f>(H104*$I$99)/100</f>
        <v>6.428376387043726</v>
      </c>
      <c r="L104" s="122">
        <v>2</v>
      </c>
      <c r="M104" s="114" t="s">
        <v>72</v>
      </c>
      <c r="N104" s="120">
        <f>($S$99/24)*((24/L104)^(2/3))</f>
        <v>45.391459342814279</v>
      </c>
      <c r="O104" s="120">
        <f>N104*L104</f>
        <v>90.782918685628559</v>
      </c>
      <c r="P104" s="120">
        <f>O104-O103</f>
        <v>18.728468374473422</v>
      </c>
      <c r="Q104" s="119">
        <f>(P104*100)/$P$115</f>
        <v>11.353097578095507</v>
      </c>
      <c r="R104" s="119">
        <f>Q112</f>
        <v>3.2475732464958624</v>
      </c>
      <c r="S104" s="118">
        <f>(R104*$S$99)/100</f>
        <v>6.7497887112494652</v>
      </c>
      <c r="T104" s="121"/>
      <c r="V104" s="122">
        <v>2</v>
      </c>
      <c r="W104" s="114" t="s">
        <v>72</v>
      </c>
      <c r="X104" s="120">
        <f>($AC$99/24)*((24/V104)^(2/3))</f>
        <v>47.552915807688066</v>
      </c>
      <c r="Y104" s="120">
        <f>X104*V104</f>
        <v>95.105831615376133</v>
      </c>
      <c r="Z104" s="120">
        <f>Y104-Y103</f>
        <v>19.620283038096872</v>
      </c>
      <c r="AA104" s="119">
        <f>(Z104*100)/$Z$115</f>
        <v>11.353097578095502</v>
      </c>
      <c r="AB104" s="119">
        <f>AA112</f>
        <v>3.2475732464958496</v>
      </c>
      <c r="AC104" s="118">
        <f>(AB104*$AC$99)/100</f>
        <v>7.0712010354551333</v>
      </c>
      <c r="AF104" s="122">
        <v>2</v>
      </c>
      <c r="AG104" s="114" t="s">
        <v>72</v>
      </c>
      <c r="AH104" s="120">
        <f>($AM$99/24)*((24/AF104)^(2/3))</f>
        <v>51.87582873743564</v>
      </c>
      <c r="AI104" s="120">
        <f>AH104*AF104</f>
        <v>103.75165747487128</v>
      </c>
      <c r="AJ104" s="120">
        <f>AI104-AI103</f>
        <v>21.4039123653438</v>
      </c>
      <c r="AK104" s="119">
        <f>(AJ104*100)/$AJ$115</f>
        <v>11.353097578095506</v>
      </c>
      <c r="AL104" s="119">
        <f>AK112</f>
        <v>3.2475732464958571</v>
      </c>
      <c r="AM104" s="118">
        <f>(AL104*$AM$99)/100</f>
        <v>7.7140256838665389</v>
      </c>
    </row>
    <row r="105" spans="2:39">
      <c r="B105" s="122">
        <v>3</v>
      </c>
      <c r="C105" s="114" t="s">
        <v>73</v>
      </c>
      <c r="D105" s="120">
        <f>($I$99/24)*((24/B105)^(2/3))</f>
        <v>32.990666666666655</v>
      </c>
      <c r="E105" s="120">
        <f>D105*B105</f>
        <v>98.971999999999966</v>
      </c>
      <c r="F105" s="120">
        <f>E105-E104</f>
        <v>12.511994244118995</v>
      </c>
      <c r="G105" s="119">
        <f>(F105*100)/$F$115</f>
        <v>7.9639316798331938</v>
      </c>
      <c r="H105" s="119">
        <f>G110</f>
        <v>3.8030808908868257</v>
      </c>
      <c r="I105" s="118">
        <f>(H105*$I$99)/100</f>
        <v>7.5279704386570181</v>
      </c>
      <c r="L105" s="122">
        <v>3</v>
      </c>
      <c r="M105" s="114" t="s">
        <v>73</v>
      </c>
      <c r="N105" s="120">
        <f>($S$99/24)*((24/L105)^(2/3))</f>
        <v>34.640166666666659</v>
      </c>
      <c r="O105" s="120">
        <f>N105*L105</f>
        <v>103.92049999999998</v>
      </c>
      <c r="P105" s="120">
        <f>O105-O104</f>
        <v>13.137581314371417</v>
      </c>
      <c r="Q105" s="119">
        <f>(P105*100)/$P$115</f>
        <v>7.9639316798331912</v>
      </c>
      <c r="R105" s="119">
        <f>Q110</f>
        <v>3.8030808908868181</v>
      </c>
      <c r="S105" s="118">
        <f>(R105*$S$99)/100</f>
        <v>7.9043613544280724</v>
      </c>
      <c r="T105" s="121"/>
      <c r="V105" s="122">
        <v>3</v>
      </c>
      <c r="W105" s="114" t="s">
        <v>73</v>
      </c>
      <c r="X105" s="120">
        <f>($AC$99/24)*((24/V105)^(2/3))</f>
        <v>36.289666666666662</v>
      </c>
      <c r="Y105" s="120">
        <f>X105*V105</f>
        <v>108.86899999999999</v>
      </c>
      <c r="Z105" s="120">
        <f>Y105-Y104</f>
        <v>13.763168384623853</v>
      </c>
      <c r="AA105" s="119">
        <f>(Z105*100)/$Z$115</f>
        <v>7.9639316798331983</v>
      </c>
      <c r="AB105" s="119">
        <f>AA110</f>
        <v>3.8030808908868114</v>
      </c>
      <c r="AC105" s="118">
        <f>(AB105*$AC$99)/100</f>
        <v>8.280752270199125</v>
      </c>
      <c r="AF105" s="122">
        <v>3</v>
      </c>
      <c r="AG105" s="114" t="s">
        <v>73</v>
      </c>
      <c r="AH105" s="120">
        <f>($AM$99/24)*((24/AF105)^(2/3))</f>
        <v>39.588666666666661</v>
      </c>
      <c r="AI105" s="120">
        <f>AH105*AF105</f>
        <v>118.76599999999999</v>
      </c>
      <c r="AJ105" s="120">
        <f>AI105-AI104</f>
        <v>15.014342525128711</v>
      </c>
      <c r="AK105" s="119">
        <f>(AJ105*100)/$AJ$115</f>
        <v>7.9639316798332036</v>
      </c>
      <c r="AL105" s="119">
        <f>AK110</f>
        <v>3.8030808908867999</v>
      </c>
      <c r="AM105" s="118">
        <f>(AL105*$AM$99)/100</f>
        <v>9.0335341017412336</v>
      </c>
    </row>
    <row r="106" spans="2:39">
      <c r="B106" s="122">
        <v>4</v>
      </c>
      <c r="C106" s="114" t="s">
        <v>74</v>
      </c>
      <c r="D106" s="120">
        <f>($I$99/24)*((24/B106)^(2/3))</f>
        <v>27.233195306466577</v>
      </c>
      <c r="E106" s="120">
        <f>D106*B106</f>
        <v>108.93278122586631</v>
      </c>
      <c r="F106" s="120">
        <f>E106-E105</f>
        <v>9.9607812258663415</v>
      </c>
      <c r="G106" s="119">
        <f>(F106*100)/$F$115</f>
        <v>6.3400749403198198</v>
      </c>
      <c r="H106" s="119">
        <f>G108</f>
        <v>4.6799734891238991</v>
      </c>
      <c r="I106" s="118">
        <f>(H106*$I$99)/100</f>
        <v>9.2637267233114109</v>
      </c>
      <c r="L106" s="122">
        <v>4</v>
      </c>
      <c r="M106" s="114" t="s">
        <v>74</v>
      </c>
      <c r="N106" s="120">
        <f>($S$99/24)*((24/L106)^(2/3))</f>
        <v>28.594827555729502</v>
      </c>
      <c r="O106" s="120">
        <f>N106*L106</f>
        <v>114.37931022291801</v>
      </c>
      <c r="P106" s="120">
        <f>O106-O105</f>
        <v>10.458810222918032</v>
      </c>
      <c r="Q106" s="119">
        <f>(P106*100)/$P$115</f>
        <v>6.3400749403198216</v>
      </c>
      <c r="R106" s="119">
        <f>Q108</f>
        <v>4.6799734891238902</v>
      </c>
      <c r="S106" s="118">
        <f>(R106*$S$99)/100</f>
        <v>9.7269036995299842</v>
      </c>
      <c r="T106" s="121"/>
      <c r="V106" s="122">
        <v>4</v>
      </c>
      <c r="W106" s="114" t="s">
        <v>74</v>
      </c>
      <c r="X106" s="120">
        <f>($AC$99/24)*((24/V106)^(2/3))</f>
        <v>29.956459804992424</v>
      </c>
      <c r="Y106" s="120">
        <f>X106*V106</f>
        <v>119.82583921996969</v>
      </c>
      <c r="Z106" s="120">
        <f>Y106-Y105</f>
        <v>10.956839219969709</v>
      </c>
      <c r="AA106" s="119">
        <f>(Z106*100)/$Z$115</f>
        <v>6.3400749403198153</v>
      </c>
      <c r="AB106" s="119">
        <f>AA108</f>
        <v>4.6799734891238653</v>
      </c>
      <c r="AC106" s="118">
        <f>(AB106*$AC$99)/100</f>
        <v>10.190080675748522</v>
      </c>
      <c r="AF106" s="122">
        <v>4</v>
      </c>
      <c r="AG106" s="114" t="s">
        <v>74</v>
      </c>
      <c r="AH106" s="120">
        <f>($AM$99/24)*((24/AF106)^(2/3))</f>
        <v>32.67972430351827</v>
      </c>
      <c r="AI106" s="120">
        <f>AH106*AF106</f>
        <v>130.71889721407308</v>
      </c>
      <c r="AJ106" s="120">
        <f>AI106-AI105</f>
        <v>11.95289721407309</v>
      </c>
      <c r="AK106" s="119">
        <f>(AJ106*100)/$AJ$115</f>
        <v>6.3400749403198189</v>
      </c>
      <c r="AL106" s="119">
        <f>AK108</f>
        <v>4.6799734891238822</v>
      </c>
      <c r="AM106" s="118">
        <f>(AL106*$AM$99)/100</f>
        <v>11.116434628185742</v>
      </c>
    </row>
    <row r="107" spans="2:39">
      <c r="B107" s="122">
        <v>5</v>
      </c>
      <c r="C107" s="114" t="s">
        <v>75</v>
      </c>
      <c r="D107" s="120">
        <f>($I$99/24)*((24/B107)^(2/3))</f>
        <v>23.468856275466027</v>
      </c>
      <c r="E107" s="120">
        <f>D107*B107</f>
        <v>117.34428137733013</v>
      </c>
      <c r="F107" s="120">
        <f>E107-E106</f>
        <v>8.4115001514638266</v>
      </c>
      <c r="G107" s="119">
        <f>(F107*100)/$F$115</f>
        <v>5.3539516742226034</v>
      </c>
      <c r="H107" s="119">
        <f>G106</f>
        <v>6.3400749403198198</v>
      </c>
      <c r="I107" s="118">
        <f>(H107*$I$99)/100</f>
        <v>12.549797939866664</v>
      </c>
      <c r="L107" s="122">
        <v>5</v>
      </c>
      <c r="M107" s="114" t="s">
        <v>75</v>
      </c>
      <c r="N107" s="120">
        <f>($S$99/24)*((24/L107)^(2/3))</f>
        <v>24.642275376617302</v>
      </c>
      <c r="O107" s="120">
        <f>N107*L107</f>
        <v>123.21137688308652</v>
      </c>
      <c r="P107" s="120">
        <f>O107-O106</f>
        <v>8.8320666601685076</v>
      </c>
      <c r="Q107" s="119">
        <f>(P107*100)/$P$115</f>
        <v>5.3539516742226088</v>
      </c>
      <c r="R107" s="119">
        <f>Q106</f>
        <v>6.3400749403198216</v>
      </c>
      <c r="S107" s="118">
        <f>(R107*$S$99)/100</f>
        <v>13.17727515671012</v>
      </c>
      <c r="T107" s="121"/>
      <c r="V107" s="122">
        <v>5</v>
      </c>
      <c r="W107" s="114" t="s">
        <v>75</v>
      </c>
      <c r="X107" s="120">
        <f>($AC$99/24)*((24/V107)^(2/3))</f>
        <v>25.815694477768577</v>
      </c>
      <c r="Y107" s="120">
        <f>X107*V107</f>
        <v>129.0784723888429</v>
      </c>
      <c r="Z107" s="120">
        <f>Y107-Y106</f>
        <v>9.2526331688732029</v>
      </c>
      <c r="AA107" s="119">
        <f>(Z107*100)/$Z$115</f>
        <v>5.353951674222623</v>
      </c>
      <c r="AB107" s="119">
        <f>AA106</f>
        <v>6.3400749403198153</v>
      </c>
      <c r="AC107" s="118">
        <f>(AB107*$AC$99)/100</f>
        <v>13.80475237355356</v>
      </c>
      <c r="AF107" s="122">
        <v>5</v>
      </c>
      <c r="AG107" s="114" t="s">
        <v>75</v>
      </c>
      <c r="AH107" s="120">
        <f>($AM$99/24)*((24/AF107)^(2/3))</f>
        <v>28.16253268007112</v>
      </c>
      <c r="AI107" s="120">
        <f>AH107*AF107</f>
        <v>140.8126634003556</v>
      </c>
      <c r="AJ107" s="120">
        <f>AI107-AI106</f>
        <v>10.093766186282522</v>
      </c>
      <c r="AK107" s="119">
        <f>(AJ107*100)/$AJ$115</f>
        <v>5.3539516742226079</v>
      </c>
      <c r="AL107" s="119">
        <f>AK106</f>
        <v>6.3400749403198189</v>
      </c>
      <c r="AM107" s="118">
        <f>(AL107*$AM$99)/100</f>
        <v>15.059706807240472</v>
      </c>
    </row>
    <row r="108" spans="2:39">
      <c r="B108" s="122">
        <v>6</v>
      </c>
      <c r="C108" s="114" t="s">
        <v>76</v>
      </c>
      <c r="D108" s="120">
        <f>($I$99/24)*((24/B108)^(2/3))</f>
        <v>20.782817691699226</v>
      </c>
      <c r="E108" s="120">
        <f>D108*B108</f>
        <v>124.69690615019536</v>
      </c>
      <c r="F108" s="120">
        <f>E108-E107</f>
        <v>7.3526247728652265</v>
      </c>
      <c r="G108" s="119">
        <f>(F108*100)/$F$115</f>
        <v>4.6799734891238991</v>
      </c>
      <c r="H108" s="119">
        <f>G104</f>
        <v>11.353097578095506</v>
      </c>
      <c r="I108" s="118">
        <f>(H108*$I$99)/100</f>
        <v>22.472775469985368</v>
      </c>
      <c r="L108" s="122">
        <v>6</v>
      </c>
      <c r="M108" s="114" t="s">
        <v>76</v>
      </c>
      <c r="N108" s="120">
        <f>($S$99/24)*((24/L108)^(2/3))</f>
        <v>21.821937577600025</v>
      </c>
      <c r="O108" s="120">
        <f>N108*L108</f>
        <v>130.93162546560015</v>
      </c>
      <c r="P108" s="120">
        <f>O108-O107</f>
        <v>7.7202485825136336</v>
      </c>
      <c r="Q108" s="119">
        <f>(P108*100)/$P$115</f>
        <v>4.6799734891238902</v>
      </c>
      <c r="R108" s="119">
        <f>Q104</f>
        <v>11.353097578095507</v>
      </c>
      <c r="S108" s="118">
        <f>(R108*$S$99)/100</f>
        <v>23.596391537289481</v>
      </c>
      <c r="T108" s="121"/>
      <c r="V108" s="122">
        <v>6</v>
      </c>
      <c r="W108" s="114" t="s">
        <v>76</v>
      </c>
      <c r="X108" s="120">
        <f>($AC$99/24)*((24/V108)^(2/3))</f>
        <v>22.861057463500821</v>
      </c>
      <c r="Y108" s="120">
        <f>X108*V108</f>
        <v>137.16634478100491</v>
      </c>
      <c r="Z108" s="120">
        <f>Y108-Y107</f>
        <v>8.0878723921620121</v>
      </c>
      <c r="AA108" s="119">
        <f>(Z108*100)/$Z$115</f>
        <v>4.6799734891238653</v>
      </c>
      <c r="AB108" s="119">
        <f>AA104</f>
        <v>11.353097578095502</v>
      </c>
      <c r="AC108" s="118">
        <f>(AB108*$AC$99)/100</f>
        <v>24.720007604593583</v>
      </c>
      <c r="AF108" s="122">
        <v>6</v>
      </c>
      <c r="AG108" s="114" t="s">
        <v>76</v>
      </c>
      <c r="AH108" s="120">
        <f>($AM$99/24)*((24/AF108)^(2/3))</f>
        <v>24.939297235302416</v>
      </c>
      <c r="AI108" s="120">
        <f>AH108*AF108</f>
        <v>149.63578341181449</v>
      </c>
      <c r="AJ108" s="120">
        <f>AI108-AI107</f>
        <v>8.823120011458883</v>
      </c>
      <c r="AK108" s="119">
        <f>(AJ108*100)/$AJ$115</f>
        <v>4.6799734891238822</v>
      </c>
      <c r="AL108" s="119">
        <f>AK104</f>
        <v>11.353097578095506</v>
      </c>
      <c r="AM108" s="118">
        <f>(AL108*$AM$99)/100</f>
        <v>26.967239739201819</v>
      </c>
    </row>
    <row r="109" spans="2:39">
      <c r="B109" s="122">
        <v>7</v>
      </c>
      <c r="C109" s="114" t="s">
        <v>77</v>
      </c>
      <c r="D109" s="120">
        <f>($I$99/24)*((24/B109)^(2/3))</f>
        <v>18.75310714190103</v>
      </c>
      <c r="E109" s="120">
        <f>D109*B109</f>
        <v>131.2717499933072</v>
      </c>
      <c r="F109" s="120">
        <f>E109-E108</f>
        <v>6.5748438431118359</v>
      </c>
      <c r="G109" s="119">
        <f>(F109*100)/$F$115</f>
        <v>4.1849129843330983</v>
      </c>
      <c r="H109" s="119">
        <f>G103</f>
        <v>43.679023236814949</v>
      </c>
      <c r="I109" s="118">
        <f>(H109*$I$99)/100</f>
        <v>86.460005755880971</v>
      </c>
      <c r="L109" s="122">
        <v>7</v>
      </c>
      <c r="M109" s="114" t="s">
        <v>77</v>
      </c>
      <c r="N109" s="120">
        <f>($S$99/24)*((24/L109)^(2/3))</f>
        <v>19.690743551104617</v>
      </c>
      <c r="O109" s="120">
        <f>N109*L109</f>
        <v>137.83520485773232</v>
      </c>
      <c r="P109" s="120">
        <f>O109-O108</f>
        <v>6.9035793921321726</v>
      </c>
      <c r="Q109" s="119">
        <f>(P109*100)/$P$115</f>
        <v>4.184912984333109</v>
      </c>
      <c r="R109" s="119">
        <f>Q103</f>
        <v>43.679023236814942</v>
      </c>
      <c r="S109" s="118">
        <f>(R109*$S$99)/100</f>
        <v>90.782918685628545</v>
      </c>
      <c r="T109" s="121"/>
      <c r="V109" s="122">
        <v>7</v>
      </c>
      <c r="W109" s="114" t="s">
        <v>77</v>
      </c>
      <c r="X109" s="120">
        <f>($AC$99/24)*((24/V109)^(2/3))</f>
        <v>20.628379960308205</v>
      </c>
      <c r="Y109" s="120">
        <f>X109*V109</f>
        <v>144.39865972215745</v>
      </c>
      <c r="Z109" s="120">
        <f>Y109-Y108</f>
        <v>7.2323149411525378</v>
      </c>
      <c r="AA109" s="119">
        <f>(Z109*100)/$Z$115</f>
        <v>4.1849129843331356</v>
      </c>
      <c r="AB109" s="119">
        <f>AA103</f>
        <v>43.679023236814949</v>
      </c>
      <c r="AC109" s="118">
        <f>(AB109*$AC$99)/100</f>
        <v>95.105831615376133</v>
      </c>
      <c r="AF109" s="122">
        <v>7</v>
      </c>
      <c r="AG109" s="114" t="s">
        <v>77</v>
      </c>
      <c r="AH109" s="120">
        <f>($AM$99/24)*((24/AF109)^(2/3))</f>
        <v>22.503652778715377</v>
      </c>
      <c r="AI109" s="120">
        <f>AH109*AF109</f>
        <v>157.52556945100764</v>
      </c>
      <c r="AJ109" s="120">
        <f>AI109-AI108</f>
        <v>7.8897860391931545</v>
      </c>
      <c r="AK109" s="119">
        <f>(AJ109*100)/$AJ$115</f>
        <v>4.1849129843331223</v>
      </c>
      <c r="AL109" s="119">
        <f>AK103</f>
        <v>43.679023236814942</v>
      </c>
      <c r="AM109" s="118">
        <f>(AL109*$AM$99)/100</f>
        <v>103.75165747487128</v>
      </c>
    </row>
    <row r="110" spans="2:39">
      <c r="B110" s="122">
        <v>8</v>
      </c>
      <c r="C110" s="114" t="s">
        <v>78</v>
      </c>
      <c r="D110" s="120">
        <f>($I$99/24)*((24/B110)^(2/3))</f>
        <v>17.155838011257753</v>
      </c>
      <c r="E110" s="120">
        <f>D110*B110</f>
        <v>137.24670409006202</v>
      </c>
      <c r="F110" s="120">
        <f>E110-E109</f>
        <v>5.9749540967548285</v>
      </c>
      <c r="G110" s="119">
        <f>(F110*100)/$F$115</f>
        <v>3.8030808908868257</v>
      </c>
      <c r="H110" s="119">
        <f>G105</f>
        <v>7.9639316798331938</v>
      </c>
      <c r="I110" s="118">
        <f>(H110*$I$99)/100</f>
        <v>15.764124924329018</v>
      </c>
      <c r="L110" s="122">
        <v>8</v>
      </c>
      <c r="M110" s="114" t="s">
        <v>78</v>
      </c>
      <c r="N110" s="120">
        <f>($S$99/24)*((24/L110)^(2/3))</f>
        <v>18.013612577788784</v>
      </c>
      <c r="O110" s="120">
        <f>N110*L110</f>
        <v>144.10890062231027</v>
      </c>
      <c r="P110" s="120">
        <f>O110-O109</f>
        <v>6.2736957645779512</v>
      </c>
      <c r="Q110" s="119">
        <f>(P110*100)/$P$115</f>
        <v>3.8030808908868181</v>
      </c>
      <c r="R110" s="119">
        <f>Q105</f>
        <v>7.9639316798331912</v>
      </c>
      <c r="S110" s="118">
        <f>(R110*$S$99)/100</f>
        <v>16.552315242682102</v>
      </c>
      <c r="T110" s="121"/>
      <c r="V110" s="122">
        <v>8</v>
      </c>
      <c r="W110" s="114" t="s">
        <v>78</v>
      </c>
      <c r="X110" s="120">
        <f>($AC$99/24)*((24/V110)^(2/3))</f>
        <v>18.871387144319815</v>
      </c>
      <c r="Y110" s="120">
        <f>X110*V110</f>
        <v>150.97109715455852</v>
      </c>
      <c r="Z110" s="120">
        <f>Y110-Y109</f>
        <v>6.5724374324010739</v>
      </c>
      <c r="AA110" s="119">
        <f>(Z110*100)/$Z$115</f>
        <v>3.8030808908868114</v>
      </c>
      <c r="AB110" s="119">
        <f>AA105</f>
        <v>7.9639316798331983</v>
      </c>
      <c r="AC110" s="118">
        <f>(AB110*$AC$99)/100</f>
        <v>17.340505561035208</v>
      </c>
      <c r="AF110" s="122">
        <v>8</v>
      </c>
      <c r="AG110" s="114" t="s">
        <v>78</v>
      </c>
      <c r="AH110" s="120">
        <f>($AM$99/24)*((24/AF110)^(2/3))</f>
        <v>20.58693627738187</v>
      </c>
      <c r="AI110" s="120">
        <f>AH110*AF110</f>
        <v>164.69549021905496</v>
      </c>
      <c r="AJ110" s="120">
        <f>AI110-AI109</f>
        <v>7.1699207680473194</v>
      </c>
      <c r="AK110" s="119">
        <f>(AJ110*100)/$AJ$115</f>
        <v>3.8030808908867999</v>
      </c>
      <c r="AL110" s="119">
        <f>AK105</f>
        <v>7.9639316798332036</v>
      </c>
      <c r="AM110" s="118">
        <f>(AL110*$AM$99)/100</f>
        <v>18.916886197741405</v>
      </c>
    </row>
    <row r="111" spans="2:39">
      <c r="B111" s="122">
        <v>9</v>
      </c>
      <c r="C111" s="114" t="s">
        <v>79</v>
      </c>
      <c r="D111" s="120">
        <f>($I$99/24)*((24/B111)^(2/3))</f>
        <v>15.860258274718312</v>
      </c>
      <c r="E111" s="120">
        <f>D111*B111</f>
        <v>142.74232447246482</v>
      </c>
      <c r="F111" s="120">
        <f>E111-E110</f>
        <v>5.4956203824027909</v>
      </c>
      <c r="G111" s="119">
        <f>(F111*100)/$F$115</f>
        <v>3.4979831679770994</v>
      </c>
      <c r="H111" s="119">
        <f>G107</f>
        <v>5.3539516742226034</v>
      </c>
      <c r="I111" s="118">
        <f>(H111*$I$99)/100</f>
        <v>10.597826102023189</v>
      </c>
      <c r="L111" s="122">
        <v>9</v>
      </c>
      <c r="M111" s="114" t="s">
        <v>79</v>
      </c>
      <c r="N111" s="120">
        <f>($S$99/24)*((24/L111)^(2/3))</f>
        <v>16.653255163459004</v>
      </c>
      <c r="O111" s="120">
        <f>N111*L111</f>
        <v>149.87929647113103</v>
      </c>
      <c r="P111" s="120">
        <f>O111-O110</f>
        <v>5.7703958488207547</v>
      </c>
      <c r="Q111" s="119">
        <f>(P111*100)/$P$115</f>
        <v>3.4979831679770901</v>
      </c>
      <c r="R111" s="119">
        <f>Q107</f>
        <v>5.3539516742226088</v>
      </c>
      <c r="S111" s="118">
        <f>(R111*$S$99)/100</f>
        <v>11.127706699221012</v>
      </c>
      <c r="T111" s="121"/>
      <c r="V111" s="122">
        <v>9</v>
      </c>
      <c r="W111" s="114" t="s">
        <v>79</v>
      </c>
      <c r="X111" s="120">
        <f>($AC$99/24)*((24/V111)^(2/3))</f>
        <v>17.446252052199693</v>
      </c>
      <c r="Y111" s="120">
        <f>X111*V111</f>
        <v>157.01626846979724</v>
      </c>
      <c r="Z111" s="120">
        <f>Y111-Y110</f>
        <v>6.0451713152387185</v>
      </c>
      <c r="AA111" s="119">
        <f>(Z111*100)/$Z$115</f>
        <v>3.4979831679770816</v>
      </c>
      <c r="AB111" s="119">
        <f>AA107</f>
        <v>5.353951674222623</v>
      </c>
      <c r="AC111" s="118">
        <f>(AB111*$AC$99)/100</f>
        <v>11.657587296418855</v>
      </c>
      <c r="AF111" s="122">
        <v>9</v>
      </c>
      <c r="AG111" s="114" t="s">
        <v>79</v>
      </c>
      <c r="AH111" s="120">
        <f>($AM$99/24)*((24/AF111)^(2/3))</f>
        <v>19.032245829681074</v>
      </c>
      <c r="AI111" s="120">
        <f>AH111*AF111</f>
        <v>171.29021246712966</v>
      </c>
      <c r="AJ111" s="120">
        <f>AI111-AI110</f>
        <v>6.594722248074703</v>
      </c>
      <c r="AK111" s="119">
        <f>(AJ111*100)/$AJ$115</f>
        <v>3.4979831679770967</v>
      </c>
      <c r="AL111" s="119">
        <f>AK107</f>
        <v>5.3539516742226079</v>
      </c>
      <c r="AM111" s="118">
        <f>(AL111*$AM$99)/100</f>
        <v>12.717348490814445</v>
      </c>
    </row>
    <row r="112" spans="2:39">
      <c r="B112" s="122">
        <v>10</v>
      </c>
      <c r="C112" s="114" t="s">
        <v>80</v>
      </c>
      <c r="D112" s="120">
        <f>($I$99/24)*((24/B112)^(2/3))</f>
        <v>14.78445301920852</v>
      </c>
      <c r="E112" s="120">
        <f>D112*B112</f>
        <v>147.84453019208519</v>
      </c>
      <c r="F112" s="120">
        <f>E112-E111</f>
        <v>5.1022057196203718</v>
      </c>
      <c r="G112" s="119">
        <f>(F112*100)/$F$115</f>
        <v>3.2475732464958402</v>
      </c>
      <c r="H112" s="119">
        <f>G109</f>
        <v>4.1849129843330983</v>
      </c>
      <c r="I112" s="118">
        <f>(H112*$I$99)/100</f>
        <v>8.2837841577083076</v>
      </c>
      <c r="L112" s="122">
        <v>10</v>
      </c>
      <c r="M112" s="114" t="s">
        <v>80</v>
      </c>
      <c r="N112" s="120">
        <f>($S$99/24)*((24/L112)^(2/3))</f>
        <v>15.523660732153127</v>
      </c>
      <c r="O112" s="120">
        <f>N112*L112</f>
        <v>155.23660732153127</v>
      </c>
      <c r="P112" s="120">
        <f>O112-O111</f>
        <v>5.3573108504002391</v>
      </c>
      <c r="Q112" s="119">
        <f>(P112*100)/$P$115</f>
        <v>3.2475732464958624</v>
      </c>
      <c r="R112" s="119">
        <f>Q109</f>
        <v>4.184912984333109</v>
      </c>
      <c r="S112" s="118">
        <f>(R112*$S$99)/100</f>
        <v>8.6979649957677765</v>
      </c>
      <c r="T112" s="121"/>
      <c r="V112" s="122">
        <v>10</v>
      </c>
      <c r="W112" s="114" t="s">
        <v>80</v>
      </c>
      <c r="X112" s="120">
        <f>($AC$99/24)*((24/V112)^(2/3))</f>
        <v>16.26286844509773</v>
      </c>
      <c r="Y112" s="120">
        <f>X112*V112</f>
        <v>162.62868445097729</v>
      </c>
      <c r="Z112" s="120">
        <f>Y112-Y111</f>
        <v>5.6124159811800496</v>
      </c>
      <c r="AA112" s="119">
        <f>(Z112*100)/$Z$115</f>
        <v>3.2475732464958496</v>
      </c>
      <c r="AB112" s="119">
        <f>AA109</f>
        <v>4.1849129843331356</v>
      </c>
      <c r="AC112" s="118">
        <f>(AB112*$AC$99)/100</f>
        <v>9.1121458338272827</v>
      </c>
      <c r="AF112" s="122">
        <v>10</v>
      </c>
      <c r="AG112" s="114" t="s">
        <v>80</v>
      </c>
      <c r="AH112" s="120">
        <f>($AM$99/24)*((24/AF112)^(2/3))</f>
        <v>17.74128387098694</v>
      </c>
      <c r="AI112" s="120">
        <f>AH112*AF112</f>
        <v>177.41283870986939</v>
      </c>
      <c r="AJ112" s="120">
        <f>AI112-AI111</f>
        <v>6.1226262427397273</v>
      </c>
      <c r="AK112" s="119">
        <f>(AJ112*100)/$AJ$115</f>
        <v>3.2475732464958571</v>
      </c>
      <c r="AL112" s="119">
        <f>AK109</f>
        <v>4.1849129843331223</v>
      </c>
      <c r="AM112" s="118">
        <f>(AL112*$AM$99)/100</f>
        <v>9.9405075099461513</v>
      </c>
    </row>
    <row r="113" spans="2:39">
      <c r="B113" s="122">
        <v>11</v>
      </c>
      <c r="C113" s="114" t="s">
        <v>81</v>
      </c>
      <c r="D113" s="120">
        <f>($I$99/24)*((24/B113)^(2/3))</f>
        <v>13.874269881479826</v>
      </c>
      <c r="E113" s="120">
        <f>D113*B113</f>
        <v>152.61696869627809</v>
      </c>
      <c r="F113" s="120">
        <f>E113-E112</f>
        <v>4.7724385041929054</v>
      </c>
      <c r="G113" s="119">
        <f>(F113*100)/$F$115</f>
        <v>3.0376751660881078</v>
      </c>
      <c r="H113" s="119">
        <f>G111</f>
        <v>3.4979831679770994</v>
      </c>
      <c r="I113" s="118">
        <f>(H113*$I$99)/100</f>
        <v>6.9240478020205884</v>
      </c>
      <c r="L113" s="122">
        <v>11</v>
      </c>
      <c r="M113" s="114" t="s">
        <v>81</v>
      </c>
      <c r="N113" s="120">
        <f>($S$99/24)*((24/L113)^(2/3))</f>
        <v>14.567969357175002</v>
      </c>
      <c r="O113" s="120">
        <f>N113*L113</f>
        <v>160.24766292892502</v>
      </c>
      <c r="P113" s="120">
        <f>O113-O112</f>
        <v>5.0110556073937573</v>
      </c>
      <c r="Q113" s="119">
        <f>(P113*100)/$P$115</f>
        <v>3.0376751660880839</v>
      </c>
      <c r="R113" s="119">
        <f>Q111</f>
        <v>3.4979831679770901</v>
      </c>
      <c r="S113" s="118">
        <f>(R113*$S$99)/100</f>
        <v>7.2702431961552643</v>
      </c>
      <c r="T113" s="121"/>
      <c r="V113" s="122">
        <v>11</v>
      </c>
      <c r="W113" s="114" t="s">
        <v>81</v>
      </c>
      <c r="X113" s="120">
        <f>($AC$99/24)*((24/V113)^(2/3))</f>
        <v>15.261668832870178</v>
      </c>
      <c r="Y113" s="120">
        <f>X113*V113</f>
        <v>167.87835716157196</v>
      </c>
      <c r="Z113" s="120">
        <f>Y113-Y112</f>
        <v>5.2496727105946661</v>
      </c>
      <c r="AA113" s="119">
        <f>(Z113*100)/$Z$115</f>
        <v>3.037675166088095</v>
      </c>
      <c r="AB113" s="119">
        <f>AA111</f>
        <v>3.4979831679770816</v>
      </c>
      <c r="AC113" s="118">
        <f>(AB113*$AC$99)/100</f>
        <v>7.6164385902899383</v>
      </c>
      <c r="AF113" s="122">
        <v>11</v>
      </c>
      <c r="AG113" s="114" t="s">
        <v>81</v>
      </c>
      <c r="AH113" s="120">
        <f>($AM$99/24)*((24/AF113)^(2/3))</f>
        <v>16.649067784260531</v>
      </c>
      <c r="AI113" s="120">
        <f>AH113*AF113</f>
        <v>183.13974562686585</v>
      </c>
      <c r="AJ113" s="120">
        <f>AI113-AI112</f>
        <v>5.7269069169964553</v>
      </c>
      <c r="AK113" s="119">
        <f>(AJ113*100)/$AJ$115</f>
        <v>3.0376751660880994</v>
      </c>
      <c r="AL113" s="119">
        <f>AK111</f>
        <v>3.4979831679770967</v>
      </c>
      <c r="AM113" s="118">
        <f>(AL113*$AM$99)/100</f>
        <v>8.3088293785593574</v>
      </c>
    </row>
    <row r="114" spans="2:39">
      <c r="B114" s="122">
        <v>12</v>
      </c>
      <c r="C114" s="114" t="s">
        <v>82</v>
      </c>
      <c r="D114" s="120">
        <f>($I$99/24)*((24/B114)^(2/3))</f>
        <v>13.092354742949718</v>
      </c>
      <c r="E114" s="120">
        <f>D114*B114</f>
        <v>157.10825691539662</v>
      </c>
      <c r="F114" s="120">
        <f>E114-E113</f>
        <v>4.4912882191185304</v>
      </c>
      <c r="G114" s="119">
        <f>(F114*100)/$F$115</f>
        <v>2.8587219458090645</v>
      </c>
      <c r="H114" s="119">
        <f>G113</f>
        <v>3.0376751660881078</v>
      </c>
      <c r="I114" s="118">
        <f>(H114*$I$99)/100</f>
        <v>6.0128957307614437</v>
      </c>
      <c r="L114" s="122">
        <v>12</v>
      </c>
      <c r="M114" s="114" t="s">
        <v>82</v>
      </c>
      <c r="N114" s="120">
        <f>($S$99/24)*((24/L114)^(2/3))</f>
        <v>13.746959251755104</v>
      </c>
      <c r="O114" s="120">
        <f>N114*L114</f>
        <v>164.96351102106127</v>
      </c>
      <c r="P114" s="120">
        <f>O114-O113</f>
        <v>4.7158480921362411</v>
      </c>
      <c r="Q114" s="119">
        <f>(P114*100)/$P$115</f>
        <v>2.8587219458090694</v>
      </c>
      <c r="R114" s="119">
        <f>Q113</f>
        <v>3.0376751660880839</v>
      </c>
      <c r="S114" s="118">
        <f>(R114*$S$99)/100</f>
        <v>6.3135344419491339</v>
      </c>
      <c r="T114" s="121"/>
      <c r="V114" s="122">
        <v>12</v>
      </c>
      <c r="W114" s="114" t="s">
        <v>82</v>
      </c>
      <c r="X114" s="120">
        <f>($AC$99/24)*((24/V114)^(2/3))</f>
        <v>14.401563760560492</v>
      </c>
      <c r="Y114" s="120">
        <f>X114*V114</f>
        <v>172.81876512672591</v>
      </c>
      <c r="Z114" s="120">
        <f>Y114-Y113</f>
        <v>4.9404079651539519</v>
      </c>
      <c r="AA114" s="119">
        <f>(Z114*100)/$Z$115</f>
        <v>2.8587219458090738</v>
      </c>
      <c r="AB114" s="119">
        <f>AA113</f>
        <v>3.037675166088095</v>
      </c>
      <c r="AC114" s="118">
        <f>(AB114*$AC$99)/100</f>
        <v>6.6141731531368961</v>
      </c>
      <c r="AF114" s="122">
        <v>12</v>
      </c>
      <c r="AG114" s="114" t="s">
        <v>82</v>
      </c>
      <c r="AH114" s="120">
        <f>($AM$99/24)*((24/AF114)^(2/3))</f>
        <v>15.710772778171265</v>
      </c>
      <c r="AI114" s="120">
        <f>AH114*AF114</f>
        <v>188.52927333805519</v>
      </c>
      <c r="AJ114" s="120">
        <f>AI114-AI113</f>
        <v>5.3895277111893449</v>
      </c>
      <c r="AK114" s="119">
        <f>(AJ114*100)/$AJ$115</f>
        <v>2.8587219458090667</v>
      </c>
      <c r="AL114" s="119">
        <f>AK113</f>
        <v>3.0376751660880994</v>
      </c>
      <c r="AM114" s="118">
        <f>(AL114*$AM$99)/100</f>
        <v>7.2154505755123841</v>
      </c>
    </row>
    <row r="115" spans="2:39">
      <c r="B115" s="149" t="s">
        <v>83</v>
      </c>
      <c r="C115" s="150"/>
      <c r="D115" s="150"/>
      <c r="E115" s="151"/>
      <c r="F115" s="120">
        <f>SUM(F103:F114)</f>
        <v>157.10825691539662</v>
      </c>
      <c r="G115" s="119">
        <f>(F115*100)/$F$115</f>
        <v>100</v>
      </c>
      <c r="H115" s="119">
        <f>SUM(H103:H114)</f>
        <v>100</v>
      </c>
      <c r="I115" s="118">
        <f>SUM(I103:I114)</f>
        <v>197.94400000000002</v>
      </c>
      <c r="L115" s="149" t="s">
        <v>83</v>
      </c>
      <c r="M115" s="150"/>
      <c r="N115" s="150"/>
      <c r="O115" s="151"/>
      <c r="P115" s="120">
        <f>SUM(P103:P114)</f>
        <v>164.96351102106127</v>
      </c>
      <c r="Q115" s="119">
        <f>(P115*100)/$P$115</f>
        <v>100</v>
      </c>
      <c r="R115" s="119">
        <f>SUM(R103:R114)</f>
        <v>100</v>
      </c>
      <c r="S115" s="118">
        <f>SUM(S103:S114)</f>
        <v>207.84100000000004</v>
      </c>
      <c r="T115" s="121"/>
      <c r="V115" s="149" t="s">
        <v>83</v>
      </c>
      <c r="W115" s="150"/>
      <c r="X115" s="150"/>
      <c r="Y115" s="151"/>
      <c r="Z115" s="120">
        <f>SUM(Z103:Z114)</f>
        <v>172.81876512672591</v>
      </c>
      <c r="AA115" s="119">
        <f>(Z115*100)/$Z$115</f>
        <v>100.00000000000001</v>
      </c>
      <c r="AB115" s="119">
        <f>SUM(AB103:AB114)</f>
        <v>100</v>
      </c>
      <c r="AC115" s="118">
        <f>SUM(AC103:AC114)</f>
        <v>217.73799999999997</v>
      </c>
      <c r="AF115" s="149" t="s">
        <v>83</v>
      </c>
      <c r="AG115" s="150"/>
      <c r="AH115" s="150"/>
      <c r="AI115" s="151"/>
      <c r="AJ115" s="120">
        <f>SUM(AJ103:AJ114)</f>
        <v>188.52927333805519</v>
      </c>
      <c r="AK115" s="119">
        <f>(AJ115*100)/$AJ$115</f>
        <v>100.00000000000001</v>
      </c>
      <c r="AL115" s="119">
        <f>SUM(AL103:AL114)</f>
        <v>100.00000000000001</v>
      </c>
      <c r="AM115" s="118">
        <f>SUM(AM103:AM114)</f>
        <v>237.53200000000004</v>
      </c>
    </row>
    <row r="116" spans="2:39" ht="13.5" thickBot="1">
      <c r="B116" s="117"/>
      <c r="C116" s="116"/>
      <c r="D116" s="116"/>
      <c r="E116" s="116"/>
      <c r="F116" s="116"/>
      <c r="G116" s="116"/>
      <c r="H116" s="116"/>
      <c r="I116" s="115"/>
      <c r="L116" s="117"/>
      <c r="M116" s="116"/>
      <c r="N116" s="116"/>
      <c r="O116" s="116"/>
      <c r="P116" s="116"/>
      <c r="Q116" s="116"/>
      <c r="R116" s="116"/>
      <c r="S116" s="115"/>
      <c r="V116" s="117"/>
      <c r="W116" s="116"/>
      <c r="X116" s="116"/>
      <c r="Y116" s="116"/>
      <c r="Z116" s="116"/>
      <c r="AA116" s="116"/>
      <c r="AB116" s="116"/>
      <c r="AC116" s="115"/>
      <c r="AF116" s="117"/>
      <c r="AG116" s="116"/>
      <c r="AH116" s="116"/>
      <c r="AI116" s="116"/>
      <c r="AJ116" s="116"/>
      <c r="AK116" s="116"/>
      <c r="AL116" s="116"/>
      <c r="AM116" s="115"/>
    </row>
  </sheetData>
  <mergeCells count="192">
    <mergeCell ref="AJ101:AJ102"/>
    <mergeCell ref="AK101:AK102"/>
    <mergeCell ref="AL101:AM101"/>
    <mergeCell ref="V115:Y115"/>
    <mergeCell ref="AF115:AI115"/>
    <mergeCell ref="AA101:AA102"/>
    <mergeCell ref="AB101:AC101"/>
    <mergeCell ref="AF101:AF102"/>
    <mergeCell ref="AG101:AG102"/>
    <mergeCell ref="V96:Y96"/>
    <mergeCell ref="AF96:AI96"/>
    <mergeCell ref="AA82:AA83"/>
    <mergeCell ref="AB82:AC82"/>
    <mergeCell ref="AF82:AF83"/>
    <mergeCell ref="AG82:AG83"/>
    <mergeCell ref="AH101:AH102"/>
    <mergeCell ref="V101:V102"/>
    <mergeCell ref="W101:W102"/>
    <mergeCell ref="X101:X102"/>
    <mergeCell ref="Y101:Y102"/>
    <mergeCell ref="Z101:Z102"/>
    <mergeCell ref="AI101:AI102"/>
    <mergeCell ref="AL63:AM63"/>
    <mergeCell ref="V77:Y77"/>
    <mergeCell ref="AF77:AI77"/>
    <mergeCell ref="AA63:AA64"/>
    <mergeCell ref="AB63:AC63"/>
    <mergeCell ref="AF63:AF64"/>
    <mergeCell ref="AG63:AG64"/>
    <mergeCell ref="AH82:AH83"/>
    <mergeCell ref="V82:V83"/>
    <mergeCell ref="W82:W83"/>
    <mergeCell ref="X82:X83"/>
    <mergeCell ref="Y82:Y83"/>
    <mergeCell ref="Z82:Z83"/>
    <mergeCell ref="AI82:AI83"/>
    <mergeCell ref="AJ82:AJ83"/>
    <mergeCell ref="AK82:AK83"/>
    <mergeCell ref="AL82:AM82"/>
    <mergeCell ref="AH63:AH64"/>
    <mergeCell ref="V63:V64"/>
    <mergeCell ref="W63:W64"/>
    <mergeCell ref="X63:X64"/>
    <mergeCell ref="Y63:Y64"/>
    <mergeCell ref="Z63:Z64"/>
    <mergeCell ref="AI63:AI64"/>
    <mergeCell ref="AJ63:AJ64"/>
    <mergeCell ref="AK63:AK64"/>
    <mergeCell ref="AJ43:AJ44"/>
    <mergeCell ref="AK43:AK44"/>
    <mergeCell ref="AL43:AM43"/>
    <mergeCell ref="V57:Y57"/>
    <mergeCell ref="AF57:AI57"/>
    <mergeCell ref="AA43:AA44"/>
    <mergeCell ref="AB43:AC43"/>
    <mergeCell ref="AF43:AF44"/>
    <mergeCell ref="AG43:AG44"/>
    <mergeCell ref="V38:Y38"/>
    <mergeCell ref="AF38:AI38"/>
    <mergeCell ref="AA24:AA25"/>
    <mergeCell ref="AB24:AC24"/>
    <mergeCell ref="AF24:AF25"/>
    <mergeCell ref="AG24:AG25"/>
    <mergeCell ref="AH43:AH44"/>
    <mergeCell ref="V43:V44"/>
    <mergeCell ref="W43:W44"/>
    <mergeCell ref="X43:X44"/>
    <mergeCell ref="Y43:Y44"/>
    <mergeCell ref="Z43:Z44"/>
    <mergeCell ref="AI43:AI44"/>
    <mergeCell ref="AL5:AM5"/>
    <mergeCell ref="V19:Y19"/>
    <mergeCell ref="AF19:AI19"/>
    <mergeCell ref="AA5:AA6"/>
    <mergeCell ref="AB5:AC5"/>
    <mergeCell ref="AF5:AF6"/>
    <mergeCell ref="AG5:AG6"/>
    <mergeCell ref="AH24:AH25"/>
    <mergeCell ref="V24:V25"/>
    <mergeCell ref="W24:W25"/>
    <mergeCell ref="X24:X25"/>
    <mergeCell ref="Y24:Y25"/>
    <mergeCell ref="Z24:Z25"/>
    <mergeCell ref="AI24:AI25"/>
    <mergeCell ref="AJ24:AJ25"/>
    <mergeCell ref="AK24:AK25"/>
    <mergeCell ref="AL24:AM24"/>
    <mergeCell ref="AH5:AH6"/>
    <mergeCell ref="V5:V6"/>
    <mergeCell ref="W5:W6"/>
    <mergeCell ref="X5:X6"/>
    <mergeCell ref="Y5:Y6"/>
    <mergeCell ref="Z5:Z6"/>
    <mergeCell ref="AI5:AI6"/>
    <mergeCell ref="AJ5:AJ6"/>
    <mergeCell ref="AK5:AK6"/>
    <mergeCell ref="R101:S101"/>
    <mergeCell ref="P43:P44"/>
    <mergeCell ref="Q43:Q44"/>
    <mergeCell ref="R43:S43"/>
    <mergeCell ref="L57:O57"/>
    <mergeCell ref="L63:L64"/>
    <mergeCell ref="M63:M64"/>
    <mergeCell ref="N63:N64"/>
    <mergeCell ref="O63:O64"/>
    <mergeCell ref="P63:P64"/>
    <mergeCell ref="P82:P83"/>
    <mergeCell ref="Q82:Q83"/>
    <mergeCell ref="R82:S82"/>
    <mergeCell ref="L96:O96"/>
    <mergeCell ref="L101:L102"/>
    <mergeCell ref="M101:M102"/>
    <mergeCell ref="N101:N102"/>
    <mergeCell ref="O101:O102"/>
    <mergeCell ref="P101:P102"/>
    <mergeCell ref="Q101:Q102"/>
    <mergeCell ref="R24:S24"/>
    <mergeCell ref="M5:M6"/>
    <mergeCell ref="N5:N6"/>
    <mergeCell ref="O5:O6"/>
    <mergeCell ref="P5:P6"/>
    <mergeCell ref="Q5:Q6"/>
    <mergeCell ref="Q63:Q64"/>
    <mergeCell ref="R63:S63"/>
    <mergeCell ref="R5:S5"/>
    <mergeCell ref="L19:O19"/>
    <mergeCell ref="L24:L25"/>
    <mergeCell ref="M24:M25"/>
    <mergeCell ref="N24:N25"/>
    <mergeCell ref="O24:O25"/>
    <mergeCell ref="P24:P25"/>
    <mergeCell ref="Q24:Q25"/>
    <mergeCell ref="L115:O115"/>
    <mergeCell ref="F101:F102"/>
    <mergeCell ref="G101:G102"/>
    <mergeCell ref="H101:I101"/>
    <mergeCell ref="B115:E115"/>
    <mergeCell ref="L5:L6"/>
    <mergeCell ref="L38:O38"/>
    <mergeCell ref="L43:L44"/>
    <mergeCell ref="M43:M44"/>
    <mergeCell ref="N43:N44"/>
    <mergeCell ref="O43:O44"/>
    <mergeCell ref="B96:E96"/>
    <mergeCell ref="B101:B102"/>
    <mergeCell ref="C101:C102"/>
    <mergeCell ref="D101:D102"/>
    <mergeCell ref="E101:E102"/>
    <mergeCell ref="F63:F64"/>
    <mergeCell ref="L77:O77"/>
    <mergeCell ref="L82:L83"/>
    <mergeCell ref="M82:M83"/>
    <mergeCell ref="N82:N83"/>
    <mergeCell ref="O82:O83"/>
    <mergeCell ref="G63:G64"/>
    <mergeCell ref="H63:I63"/>
    <mergeCell ref="B77:E77"/>
    <mergeCell ref="B82:B83"/>
    <mergeCell ref="C82:C83"/>
    <mergeCell ref="D82:D83"/>
    <mergeCell ref="E82:E83"/>
    <mergeCell ref="F82:F83"/>
    <mergeCell ref="G82:G83"/>
    <mergeCell ref="H82:I82"/>
    <mergeCell ref="B57:E57"/>
    <mergeCell ref="B63:B64"/>
    <mergeCell ref="C63:C64"/>
    <mergeCell ref="D63:D64"/>
    <mergeCell ref="E63:E64"/>
    <mergeCell ref="B38:E38"/>
    <mergeCell ref="B43:B44"/>
    <mergeCell ref="C43:C44"/>
    <mergeCell ref="D43:D44"/>
    <mergeCell ref="E43:E44"/>
    <mergeCell ref="H5:I5"/>
    <mergeCell ref="B19:E19"/>
    <mergeCell ref="B5:B6"/>
    <mergeCell ref="C5:C6"/>
    <mergeCell ref="D5:D6"/>
    <mergeCell ref="E5:E6"/>
    <mergeCell ref="F5:F6"/>
    <mergeCell ref="G5:G6"/>
    <mergeCell ref="F43:F44"/>
    <mergeCell ref="G43:G44"/>
    <mergeCell ref="H43:I43"/>
    <mergeCell ref="B24:B25"/>
    <mergeCell ref="C24:C25"/>
    <mergeCell ref="D24:D25"/>
    <mergeCell ref="E24:E25"/>
    <mergeCell ref="F24:F25"/>
    <mergeCell ref="G24:G25"/>
    <mergeCell ref="H24:I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f7e0aa-bf87-403e-9375-642b9b3eec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5DAD5FAEEE0409F7486A78E2ED810" ma:contentTypeVersion="9" ma:contentTypeDescription="Create a new document." ma:contentTypeScope="" ma:versionID="23f6bc5b67729e26ae8e11310d89e75a">
  <xsd:schema xmlns:xsd="http://www.w3.org/2001/XMLSchema" xmlns:xs="http://www.w3.org/2001/XMLSchema" xmlns:p="http://schemas.microsoft.com/office/2006/metadata/properties" xmlns:ns2="23f7e0aa-bf87-403e-9375-642b9b3eec0d" targetNamespace="http://schemas.microsoft.com/office/2006/metadata/properties" ma:root="true" ma:fieldsID="a6baeaa8941b35702bd322e776f6b1d4" ns2:_="">
    <xsd:import namespace="23f7e0aa-bf87-403e-9375-642b9b3ee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7e0aa-bf87-403e-9375-642b9b3ee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f906fe-3e8e-4b22-a6fd-bde302b9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54780-8A2D-4BC8-B420-3B70353DBD0F}"/>
</file>

<file path=customXml/itemProps2.xml><?xml version="1.0" encoding="utf-8"?>
<ds:datastoreItem xmlns:ds="http://schemas.openxmlformats.org/officeDocument/2006/customXml" ds:itemID="{6128477F-28BB-4757-A26B-72FC57DCC424}"/>
</file>

<file path=customXml/itemProps3.xml><?xml version="1.0" encoding="utf-8"?>
<ds:datastoreItem xmlns:ds="http://schemas.openxmlformats.org/officeDocument/2006/customXml" ds:itemID="{5DE23549-34A7-42A3-8AFF-35A348C3A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nazriatun.nisa</cp:lastModifiedBy>
  <cp:revision/>
  <dcterms:created xsi:type="dcterms:W3CDTF">2021-04-29T10:06:48Z</dcterms:created>
  <dcterms:modified xsi:type="dcterms:W3CDTF">2025-05-20T09:03:40Z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0x0101002415DAD5FAEEE0409F7486A78E2ED810</vt:lpwstr>
  </property>
  <property fmtid="{D5CDD505-2E9C-101B-9397-08002B2CF9AE}" pid="3" name="MediaServiceImageTags">
    <vt:lpwstr/>
  </property>
</Properties>
</file>