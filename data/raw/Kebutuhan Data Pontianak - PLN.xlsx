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hyu.maulana\Downloads\"/>
    </mc:Choice>
  </mc:AlternateContent>
  <xr:revisionPtr revIDLastSave="0" documentId="13_ncr:1_{129412C0-B450-48CB-832F-56363F1B692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Action Plan" sheetId="1" r:id="rId1"/>
    <sheet name="Data" sheetId="2" r:id="rId2"/>
    <sheet name="Lampiran 1" sheetId="3" r:id="rId3"/>
    <sheet name="Lampiran 2" sheetId="4" r:id="rId4"/>
    <sheet name="Lampiran 3" sheetId="5" r:id="rId5"/>
    <sheet name="Lampiran 4" sheetId="6" r:id="rId6"/>
    <sheet name="Lampiran 5" sheetId="7" r:id="rId7"/>
    <sheet name="Lampiran 6" sheetId="8" r:id="rId8"/>
    <sheet name="Lampiran 7" sheetId="9" r:id="rId9"/>
    <sheet name="Lampiran 8" sheetId="10" r:id="rId10"/>
  </sheets>
  <definedNames>
    <definedName name="_xlnm._FilterDatabase" localSheetId="1" hidden="1">Data!$A$1:$D$1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5" l="1"/>
</calcChain>
</file>

<file path=xl/sharedStrings.xml><?xml version="1.0" encoding="utf-8"?>
<sst xmlns="http://schemas.openxmlformats.org/spreadsheetml/2006/main" count="498" uniqueCount="231">
  <si>
    <t xml:space="preserve"> </t>
  </si>
  <si>
    <t>Residensial</t>
  </si>
  <si>
    <t>Agrikultur</t>
  </si>
  <si>
    <t>Komersial dan Industri</t>
  </si>
  <si>
    <t>Bangunan Publik</t>
  </si>
  <si>
    <t>Infrastruktur</t>
  </si>
  <si>
    <t>Objective</t>
  </si>
  <si>
    <r>
      <rPr>
        <sz val="11"/>
        <color rgb="FF000000"/>
        <rFont val="Calibri"/>
        <family val="2"/>
        <scheme val="minor"/>
      </rPr>
      <t>Mengkuantifikasi kerugian finansial atas kerusakan struktur dan isi bangunan (</t>
    </r>
    <r>
      <rPr>
        <i/>
        <sz val="11"/>
        <color rgb="FF000000"/>
        <rFont val="Calibri"/>
        <family val="2"/>
        <scheme val="minor"/>
      </rPr>
      <t>content loss</t>
    </r>
    <r>
      <rPr>
        <sz val="11"/>
        <color rgb="FF000000"/>
        <rFont val="Calibri"/>
        <family val="2"/>
        <scheme val="minor"/>
      </rPr>
      <t>) serta biaya pembersihan melalui pengembangan kurva kedalaman-kerusakan (</t>
    </r>
    <r>
      <rPr>
        <i/>
        <sz val="11"/>
        <color rgb="FF000000"/>
        <rFont val="Calibri"/>
        <family val="2"/>
        <scheme val="minor"/>
      </rPr>
      <t>depth-damage function</t>
    </r>
    <r>
      <rPr>
        <sz val="11"/>
        <color rgb="FF000000"/>
        <rFont val="Calibri"/>
        <family val="2"/>
        <scheme val="minor"/>
      </rPr>
      <t>) berbasis karakteristik rumah di Pontianak.</t>
    </r>
  </si>
  <si>
    <r>
      <rPr>
        <sz val="11"/>
        <color rgb="FF000000"/>
        <rFont val="Calibri"/>
        <family val="2"/>
        <scheme val="minor"/>
      </rPr>
      <t>Mengestimasi nilai kerugian ekonomi akibat kegagalan panen dan kematian ternak dengan mempertimbangkan siklus hidup biologis serta hilangnya pendapatan masa depan (</t>
    </r>
    <r>
      <rPr>
        <i/>
        <sz val="11"/>
        <color rgb="FF000000"/>
        <rFont val="Calibri"/>
        <family val="2"/>
        <scheme val="minor"/>
      </rPr>
      <t>loss of future income</t>
    </r>
    <r>
      <rPr>
        <sz val="11"/>
        <color rgb="FF000000"/>
        <rFont val="Calibri"/>
        <family val="2"/>
        <scheme val="minor"/>
      </rPr>
      <t>) selama periode pemulihan lahan.</t>
    </r>
  </si>
  <si>
    <r>
      <rPr>
        <sz val="11"/>
        <color rgb="FF000000"/>
        <rFont val="Calibri"/>
        <family val="2"/>
        <scheme val="minor"/>
      </rPr>
      <t xml:space="preserve">Menghitung total kerugian finansial yang mencakup kerusakan aset fisik dan </t>
    </r>
    <r>
      <rPr>
        <i/>
        <sz val="11"/>
        <color rgb="FF000000"/>
        <rFont val="Calibri"/>
        <family val="2"/>
        <scheme val="minor"/>
      </rPr>
      <t>business interruption</t>
    </r>
    <r>
      <rPr>
        <sz val="11"/>
        <color rgb="FF000000"/>
        <rFont val="Calibri"/>
        <family val="2"/>
        <scheme val="minor"/>
      </rPr>
      <t xml:space="preserve"> (gangguan bisnis) guna memodelkan estimasi laba yang hilang serta biaya tetap (</t>
    </r>
    <r>
      <rPr>
        <i/>
        <sz val="11"/>
        <color rgb="FF000000"/>
        <rFont val="Calibri"/>
        <family val="2"/>
        <scheme val="minor"/>
      </rPr>
      <t>standing charges</t>
    </r>
    <r>
      <rPr>
        <sz val="11"/>
        <color rgb="FF000000"/>
        <rFont val="Calibri"/>
        <family val="2"/>
        <scheme val="minor"/>
      </rPr>
      <t>) selama operasional terhenti.</t>
    </r>
  </si>
  <si>
    <t>Menilai besaran dampak finansial pada fasilitas pendidikan, kesehatan, dan pemerintahan untuk menentukan kebutuhan pendanaan rekonstruksi serta biaya darurat guna mempertahankan kelangsungan layanan publik pascabencana.</t>
  </si>
  <si>
    <t>Menganalisis biaya perbaikan pada aset linier dan titik (jalan, jembatan, drainase) serta kerugian ekonomi tidak langsung akibat penurunan konektivitas dan mobilitas masyarakat di wilayah terdampak.</t>
  </si>
  <si>
    <t>Observation Unit</t>
  </si>
  <si>
    <t>1 unit bangunan</t>
  </si>
  <si>
    <t>1 petak sawah, atau
1 petak kebun, atau
1 kandang, atau
1 tambak</t>
  </si>
  <si>
    <t>1 unit/ruas</t>
  </si>
  <si>
    <t>Hazard</t>
  </si>
  <si>
    <r>
      <rPr>
        <sz val="11"/>
        <color rgb="FF000000"/>
        <rFont val="Calibri"/>
        <scheme val="minor"/>
      </rPr>
      <t xml:space="preserve">Historis Banjir (waktu, lokasi, kedalaman, durasi)
Historis Pasang/Rob (waktu, lokasi, kedalaman, durasi)
Historis daya rusak air banjir atau kekeringan
Data SHP/raster daya serap tanah
</t>
    </r>
    <r>
      <rPr>
        <b/>
        <sz val="11"/>
        <color rgb="FF000000"/>
        <rFont val="Calibri"/>
        <scheme val="minor"/>
      </rPr>
      <t xml:space="preserve">Source:
</t>
    </r>
    <r>
      <rPr>
        <sz val="11"/>
        <color rgb="FF000000"/>
        <rFont val="Calibri"/>
        <scheme val="minor"/>
      </rPr>
      <t>- Dinas PUPR (Bag. Tata Ruang) Kota Pontianak
- Badan Wilayah Sungai Kalimantan I
- BMKG Pontianak
- BPBD Kota Pontianak
- Dinas Lingkungan Hidup Kota Pontianak
- BPBD</t>
    </r>
  </si>
  <si>
    <t>Inventory</t>
  </si>
  <si>
    <r>
      <rPr>
        <b/>
        <sz val="11"/>
        <color rgb="FF000000"/>
        <rFont val="Calibri"/>
        <family val="2"/>
        <scheme val="minor"/>
      </rPr>
      <t xml:space="preserve">Identitas &amp; Lokasi Aset:
</t>
    </r>
    <r>
      <rPr>
        <sz val="11"/>
        <color rgb="FF000000"/>
        <rFont val="Calibri"/>
        <family val="2"/>
        <scheme val="minor"/>
      </rPr>
      <t xml:space="preserve">- Nama Lokasi
- Koordinat
- Kecamatan
- Kelurahan
- Elevasi Tanah
</t>
    </r>
    <r>
      <rPr>
        <b/>
        <sz val="11"/>
        <color rgb="FF000000"/>
        <rFont val="Calibri"/>
        <family val="2"/>
        <scheme val="minor"/>
      </rPr>
      <t xml:space="preserve">Struktur &amp; Material
</t>
    </r>
    <r>
      <rPr>
        <sz val="11"/>
        <color rgb="FF000000"/>
        <rFont val="Calibri"/>
        <family val="2"/>
        <scheme val="minor"/>
      </rPr>
      <t xml:space="preserve">- Jenis Bangunan (Panggung/Grounded/Apung)
- Material Utama (Beton/Bata/Kayu/Ulin)
</t>
    </r>
    <r>
      <rPr>
        <b/>
        <sz val="11"/>
        <color rgb="FF000000"/>
        <rFont val="Calibri"/>
        <family val="2"/>
        <scheme val="minor"/>
      </rPr>
      <t xml:space="preserve">Dimensi
</t>
    </r>
    <r>
      <rPr>
        <sz val="11"/>
        <color rgb="FF000000"/>
        <rFont val="Calibri"/>
        <family val="2"/>
        <scheme val="minor"/>
      </rPr>
      <t xml:space="preserve">- Luas Bangunan 
- Jumlah Lantai
- Tinggi lantai dasar dari permukaan tanah
- Usia bangunan/ Tahun dibangun
</t>
    </r>
    <r>
      <rPr>
        <b/>
        <sz val="11"/>
        <color rgb="FF000000"/>
        <rFont val="Calibri"/>
        <family val="2"/>
        <scheme val="minor"/>
      </rPr>
      <t xml:space="preserve">Nilai Ekonomi Bangunan
</t>
    </r>
    <r>
      <rPr>
        <sz val="11"/>
        <color rgb="FF000000"/>
        <rFont val="Calibri"/>
        <family val="2"/>
        <scheme val="minor"/>
      </rPr>
      <t xml:space="preserve">- Pendapatan total penghuni (/bulan)
- Biaya Pembangunan Ulang
</t>
    </r>
    <r>
      <rPr>
        <b/>
        <sz val="11"/>
        <color rgb="FF000000"/>
        <rFont val="Calibri"/>
        <family val="2"/>
        <scheme val="minor"/>
      </rPr>
      <t xml:space="preserve">Source:
</t>
    </r>
    <r>
      <rPr>
        <sz val="11"/>
        <color rgb="FF000000"/>
        <rFont val="Calibri"/>
        <family val="2"/>
        <scheme val="minor"/>
      </rPr>
      <t>- Dinas Perumahan Rakyat &amp; Kawasan Permukiman Kota Pontianak (Fanny Anggraini)</t>
    </r>
  </si>
  <si>
    <r>
      <rPr>
        <b/>
        <sz val="11"/>
        <color rgb="FF000000"/>
        <rFont val="Calibri"/>
        <family val="2"/>
        <scheme val="minor"/>
      </rPr>
      <t xml:space="preserve">Jenis sektor:
</t>
    </r>
    <r>
      <rPr>
        <sz val="11"/>
        <color rgb="FF000000"/>
        <rFont val="Calibri"/>
        <family val="2"/>
        <scheme val="minor"/>
      </rPr>
      <t xml:space="preserve">- Pertanian/perkebunan
- Peternakan/perikanan
</t>
    </r>
    <r>
      <rPr>
        <b/>
        <sz val="11"/>
        <color rgb="FF000000"/>
        <rFont val="Calibri"/>
        <family val="2"/>
        <scheme val="minor"/>
      </rPr>
      <t xml:space="preserve">Lokasi lahan/peternakan
</t>
    </r>
    <r>
      <rPr>
        <sz val="11"/>
        <color rgb="FF000000"/>
        <rFont val="Calibri"/>
        <family val="2"/>
        <scheme val="minor"/>
      </rPr>
      <t xml:space="preserve">
</t>
    </r>
    <r>
      <rPr>
        <b/>
        <sz val="11"/>
        <color rgb="FF000000"/>
        <rFont val="Calibri"/>
        <family val="2"/>
        <scheme val="minor"/>
      </rPr>
      <t xml:space="preserve">Sektor Pertanian &amp; Perkebunan:
</t>
    </r>
    <r>
      <rPr>
        <sz val="11"/>
        <color rgb="FF000000"/>
        <rFont val="Calibri"/>
        <family val="2"/>
        <scheme val="minor"/>
      </rPr>
      <t xml:space="preserve">- Luas lahan
- Jenis tanaman
- Sistem tanam (Sawah/Ladang/Polybag)
- Data lama waktu pembibitan sampai panen
- Periode waktu pembibitan (bulan apa)
</t>
    </r>
    <r>
      <rPr>
        <b/>
        <sz val="11"/>
        <color rgb="FF000000"/>
        <rFont val="Calibri"/>
        <family val="2"/>
        <scheme val="minor"/>
      </rPr>
      <t xml:space="preserve">Sektor Peternakan/Perikanan:
</t>
    </r>
    <r>
      <rPr>
        <sz val="11"/>
        <color rgb="FF000000"/>
        <rFont val="Calibri"/>
        <family val="2"/>
        <scheme val="minor"/>
      </rPr>
      <t xml:space="preserve">- Hewan ternak yang dimiliki
- Tinggi lantai kandang dari permukaan tanah
- Data rata-rata umur hewan ternak
</t>
    </r>
    <r>
      <rPr>
        <b/>
        <sz val="11"/>
        <color rgb="FF000000"/>
        <rFont val="Calibri"/>
        <family val="2"/>
        <scheme val="minor"/>
      </rPr>
      <t xml:space="preserve">Source:
</t>
    </r>
    <r>
      <rPr>
        <sz val="11"/>
        <color rgb="FF000000"/>
        <rFont val="Calibri"/>
        <family val="2"/>
        <scheme val="minor"/>
      </rPr>
      <t>- Dinas Pangan, Pertanian dan Perikanan Kota Pontianak (Kanti Apriani)</t>
    </r>
  </si>
  <si>
    <r>
      <rPr>
        <b/>
        <sz val="11"/>
        <color rgb="FF000000"/>
        <rFont val="Calibri"/>
        <family val="2"/>
        <scheme val="minor"/>
      </rPr>
      <t xml:space="preserve">Identitas &amp; Lokasi Aset
</t>
    </r>
    <r>
      <rPr>
        <sz val="11"/>
        <color rgb="FF000000"/>
        <rFont val="Calibri"/>
        <family val="2"/>
        <scheme val="minor"/>
      </rPr>
      <t xml:space="preserve">- Nama Lokasi
- Koordinat
- Kecamatan
- Kelurahan
- Elevasi Tanah
</t>
    </r>
    <r>
      <rPr>
        <b/>
        <sz val="11"/>
        <color rgb="FF000000"/>
        <rFont val="Calibri"/>
        <family val="2"/>
        <scheme val="minor"/>
      </rPr>
      <t xml:space="preserve">Struktur &amp; Material
</t>
    </r>
    <r>
      <rPr>
        <sz val="11"/>
        <color rgb="FF000000"/>
        <rFont val="Calibri"/>
        <family val="2"/>
        <scheme val="minor"/>
      </rPr>
      <t xml:space="preserve">- Jenis Bangunan (Panggung/Grounded)
- Material Utama (Beton/Bata/Kayu/Ulin)
</t>
    </r>
    <r>
      <rPr>
        <b/>
        <sz val="11"/>
        <color rgb="FF000000"/>
        <rFont val="Calibri"/>
        <family val="2"/>
        <scheme val="minor"/>
      </rPr>
      <t xml:space="preserve">Dimensi
</t>
    </r>
    <r>
      <rPr>
        <sz val="11"/>
        <color rgb="FF000000"/>
        <rFont val="Calibri"/>
        <family val="2"/>
        <scheme val="minor"/>
      </rPr>
      <t xml:space="preserve">- Luas Bangunan 
- Jumlah Lantai
- Tinggi lantai dasar dari permukaan tanah
- Usia bangunan/ Tahun dibangun
</t>
    </r>
    <r>
      <rPr>
        <b/>
        <sz val="11"/>
        <color rgb="FF000000"/>
        <rFont val="Calibri"/>
        <family val="2"/>
        <scheme val="minor"/>
      </rPr>
      <t xml:space="preserve">Nilai Ekonomi Bangunan
</t>
    </r>
    <r>
      <rPr>
        <sz val="11"/>
        <color rgb="FF000000"/>
        <rFont val="Calibri"/>
        <family val="2"/>
        <scheme val="minor"/>
      </rPr>
      <t xml:space="preserve">- Rata-rata omzet harian
- Biaya Pembangunan Ulang
- Nilai Aset dalam Bangunan (Mesin &amp; Barang Produksi)
</t>
    </r>
    <r>
      <rPr>
        <b/>
        <sz val="11"/>
        <color rgb="FF000000"/>
        <rFont val="Calibri"/>
        <family val="2"/>
        <scheme val="minor"/>
      </rPr>
      <t xml:space="preserve">Source:
</t>
    </r>
    <r>
      <rPr>
        <sz val="11"/>
        <color rgb="FF000000"/>
        <rFont val="Calibri"/>
        <family val="2"/>
        <scheme val="minor"/>
      </rPr>
      <t>- Dinas Koperasi, Usaha Mikro dan Perdagangan Kota Pontianak (Fadiah Umar)
- KADIN Kota Pontianak (Yusuf, Syarif Muhammad Syaifudin)
- PDAM/PLN</t>
    </r>
  </si>
  <si>
    <r>
      <rPr>
        <b/>
        <sz val="11"/>
        <color rgb="FF000000"/>
        <rFont val="Calibri"/>
        <family val="2"/>
        <scheme val="minor"/>
      </rPr>
      <t xml:space="preserve">Identitas &amp; Lokasi Aset
</t>
    </r>
    <r>
      <rPr>
        <sz val="11"/>
        <color rgb="FF000000"/>
        <rFont val="Calibri"/>
        <family val="2"/>
        <scheme val="minor"/>
      </rPr>
      <t xml:space="preserve">- Nama Lokasi
- Koordinat
- Kecamatan
- Kelurahan
- Elevasi Tanah
</t>
    </r>
    <r>
      <rPr>
        <b/>
        <sz val="11"/>
        <color rgb="FF000000"/>
        <rFont val="Calibri"/>
        <family val="2"/>
        <scheme val="minor"/>
      </rPr>
      <t xml:space="preserve">Struktur &amp; Material
</t>
    </r>
    <r>
      <rPr>
        <sz val="11"/>
        <color rgb="FF000000"/>
        <rFont val="Calibri"/>
        <family val="2"/>
        <scheme val="minor"/>
      </rPr>
      <t xml:space="preserve">- Jenis Bangunan (Panggung/Grounded)
- Material Utama (Beton/Bata/Kayu/Ulin)
</t>
    </r>
    <r>
      <rPr>
        <b/>
        <sz val="11"/>
        <color rgb="FF000000"/>
        <rFont val="Calibri"/>
        <family val="2"/>
        <scheme val="minor"/>
      </rPr>
      <t xml:space="preserve">Dimensi
</t>
    </r>
    <r>
      <rPr>
        <sz val="11"/>
        <color rgb="FF000000"/>
        <rFont val="Calibri"/>
        <family val="2"/>
        <scheme val="minor"/>
      </rPr>
      <t xml:space="preserve">- Luas Bangunan 
- Jumlah Lantai
- Tinggi lantai dasar dari permukaan tanah
- Usia bangunan/ Tahun dibangun
</t>
    </r>
    <r>
      <rPr>
        <b/>
        <sz val="11"/>
        <color rgb="FF000000"/>
        <rFont val="Calibri"/>
        <family val="2"/>
        <scheme val="minor"/>
      </rPr>
      <t xml:space="preserve">Nilai Ekonomi Bangunan
</t>
    </r>
    <r>
      <rPr>
        <sz val="11"/>
        <color rgb="FF000000"/>
        <rFont val="Calibri"/>
        <family val="2"/>
        <scheme val="minor"/>
      </rPr>
      <t xml:space="preserve">- Nilai Aset dalam Bangunan
- Biaya Pembangunan Ulang
</t>
    </r>
    <r>
      <rPr>
        <b/>
        <sz val="11"/>
        <color rgb="FF000000"/>
        <rFont val="Calibri"/>
        <family val="2"/>
        <scheme val="minor"/>
      </rPr>
      <t xml:space="preserve">Source:
</t>
    </r>
    <r>
      <rPr>
        <sz val="11"/>
        <color rgb="FF000000"/>
        <rFont val="Calibri"/>
        <family val="2"/>
        <scheme val="minor"/>
      </rPr>
      <t>- BAPPERIDA Provinsi Kalimantan Barat
- Dinas PUPR (Bag. Tata Ruang) Kota Pontianak
- Tata ruang PUPR
- BAPPERIDA Kota Pontianak
- Dinas Kesehatan Kota Pontianak
- Dinas Pendidikan dan Kebudayaan Kota Pontianak
- PLN
- Kantor Kecamatan dan Kelurahan di Pontianak</t>
    </r>
  </si>
  <si>
    <r>
      <rPr>
        <b/>
        <sz val="11"/>
        <color rgb="FF000000"/>
        <rFont val="Calibri"/>
        <family val="2"/>
        <scheme val="minor"/>
      </rPr>
      <t xml:space="preserve">Identitas &amp; Lokasi Aset
</t>
    </r>
    <r>
      <rPr>
        <sz val="11"/>
        <color rgb="FF000000"/>
        <rFont val="Calibri"/>
        <family val="2"/>
        <scheme val="minor"/>
      </rPr>
      <t xml:space="preserve">- Nama Lokasi
- Dinas Terkait
- Koordinat
- Kecamatan
- Kelurahan
- Elevasi Tanah
</t>
    </r>
    <r>
      <rPr>
        <b/>
        <sz val="11"/>
        <color rgb="FF000000"/>
        <rFont val="Calibri"/>
        <family val="2"/>
        <scheme val="minor"/>
      </rPr>
      <t xml:space="preserve">Struktur &amp; Material
</t>
    </r>
    <r>
      <rPr>
        <sz val="11"/>
        <color rgb="FF000000"/>
        <rFont val="Calibri"/>
        <family val="2"/>
        <scheme val="minor"/>
      </rPr>
      <t xml:space="preserve">- Jenis Bangunan 
- Material Utama (Beton/Bata/Kayu/Ulin)
</t>
    </r>
    <r>
      <rPr>
        <b/>
        <sz val="11"/>
        <color rgb="FF000000"/>
        <rFont val="Calibri"/>
        <family val="2"/>
        <scheme val="minor"/>
      </rPr>
      <t xml:space="preserve">Dimensi
</t>
    </r>
    <r>
      <rPr>
        <sz val="11"/>
        <color rgb="FF000000"/>
        <rFont val="Calibri"/>
        <family val="2"/>
        <scheme val="minor"/>
      </rPr>
      <t xml:space="preserve">- Luas/Panjang/Lebar Bangunan 
- Usia bangunan/ Tahun dibangun
</t>
    </r>
    <r>
      <rPr>
        <b/>
        <sz val="11"/>
        <color rgb="FF000000"/>
        <rFont val="Calibri"/>
        <family val="2"/>
        <scheme val="minor"/>
      </rPr>
      <t xml:space="preserve">Nilai Ekonomi Bangunan
- </t>
    </r>
    <r>
      <rPr>
        <sz val="11"/>
        <color rgb="FF000000"/>
        <rFont val="Calibri"/>
        <family val="2"/>
        <scheme val="minor"/>
      </rPr>
      <t xml:space="preserve">Jadwal historis/rencana perbaikan
- Biaya Pembangunan Ulang
</t>
    </r>
    <r>
      <rPr>
        <b/>
        <sz val="11"/>
        <color rgb="FF000000"/>
        <rFont val="Calibri"/>
        <family val="2"/>
        <scheme val="minor"/>
      </rPr>
      <t xml:space="preserve">Source:
</t>
    </r>
    <r>
      <rPr>
        <sz val="11"/>
        <color rgb="FF000000"/>
        <rFont val="Calibri"/>
        <family val="2"/>
        <scheme val="minor"/>
      </rPr>
      <t>- PUPR
- Badan Wilayah Sungai Kalimantan I
- Kantor Kecamatan dan Kelurahan di Pontianak</t>
    </r>
  </si>
  <si>
    <t>Vulnerability dan Loss</t>
  </si>
  <si>
    <r>
      <rPr>
        <sz val="11"/>
        <color rgb="FF000000"/>
        <rFont val="Calibri"/>
        <family val="2"/>
        <scheme val="minor"/>
      </rPr>
      <t xml:space="preserve">Nominal kerugian struktur bangunan
Nominal kerugian isi bangunan
Komponen kerusakan bangunan
Komponen kerusakan barang
Jumlah hari henti kerja akibat banjir
Data Anggaran &amp; Realisasi Bantuan Pasca Banjir
Data Anggaran &amp; Realisasi Perbaikan Pasca Banjir
</t>
    </r>
    <r>
      <rPr>
        <b/>
        <sz val="11"/>
        <color rgb="FF000000"/>
        <rFont val="Calibri"/>
        <family val="2"/>
        <scheme val="minor"/>
      </rPr>
      <t xml:space="preserve">Source:
</t>
    </r>
    <r>
      <rPr>
        <sz val="11"/>
        <color rgb="FF000000"/>
        <rFont val="Calibri"/>
        <family val="2"/>
        <scheme val="minor"/>
      </rPr>
      <t>- Sekda Kota Pontianak, Kepala Bagian Administrasi Pembangunan (Ena Muharyati)
- Dinas Perumahan Rakyat &amp; Kawasan Permukiman Kota Pontianak (Fanny Anggraini)</t>
    </r>
  </si>
  <si>
    <r>
      <rPr>
        <b/>
        <sz val="11"/>
        <color rgb="FF000000"/>
        <rFont val="Calibri"/>
        <family val="2"/>
        <scheme val="minor"/>
      </rPr>
      <t xml:space="preserve">Sektor Pertanian &amp; Perkebunan:
</t>
    </r>
    <r>
      <rPr>
        <sz val="11"/>
        <color rgb="FF000000"/>
        <rFont val="Calibri"/>
        <family val="2"/>
        <scheme val="minor"/>
      </rPr>
      <t xml:space="preserve">- Luas lahan terdampak
- Luas lahan rusak total
</t>
    </r>
    <r>
      <rPr>
        <b/>
        <sz val="11"/>
        <color rgb="FF000000"/>
        <rFont val="Calibri"/>
        <family val="2"/>
        <scheme val="minor"/>
      </rPr>
      <t xml:space="preserve">Sektor Peternakan &amp; Perikanan:
</t>
    </r>
    <r>
      <rPr>
        <sz val="11"/>
        <color rgb="FF000000"/>
        <rFont val="Calibri"/>
        <family val="2"/>
        <scheme val="minor"/>
      </rPr>
      <t xml:space="preserve">- Jumlah ternak terdampak
- Jumlah ternak mati
</t>
    </r>
    <r>
      <rPr>
        <b/>
        <sz val="11"/>
        <color rgb="FF000000"/>
        <rFont val="Calibri"/>
        <family val="2"/>
        <scheme val="minor"/>
      </rPr>
      <t xml:space="preserve">Kerugian tiap petani/peternak
Data Anggaran &amp; Realisasi Bantuan Pasca Banjir
Source:
</t>
    </r>
    <r>
      <rPr>
        <sz val="11"/>
        <color rgb="FF000000"/>
        <rFont val="Calibri"/>
        <family val="2"/>
        <scheme val="minor"/>
      </rPr>
      <t>- Dinas Pangan, Pertanian dan Perikanan Kota Pontianak (Kanti Apriani)</t>
    </r>
  </si>
  <si>
    <r>
      <rPr>
        <sz val="11"/>
        <color rgb="FF000000"/>
        <rFont val="Calibri"/>
        <family val="2"/>
        <scheme val="minor"/>
      </rPr>
      <t xml:space="preserve">Nominal kerugian barang produksi
Nominal kerugian mesin 
Komponen kerusakan barang produksi
Komponen kerusakan mesin
Jumlah hari henti kerja akibat banjir
Omzet harian yang dihasilkan saat banjir &amp; fase pemulihan
</t>
    </r>
    <r>
      <rPr>
        <b/>
        <sz val="11"/>
        <color rgb="FF000000"/>
        <rFont val="Calibri"/>
        <family val="2"/>
        <scheme val="minor"/>
      </rPr>
      <t xml:space="preserve">Source:
</t>
    </r>
    <r>
      <rPr>
        <sz val="11"/>
        <color rgb="FF000000"/>
        <rFont val="Calibri"/>
        <family val="2"/>
        <scheme val="minor"/>
      </rPr>
      <t>- Dinas Koperasi, Usaha Mikro dan Perdagangan Kota Pontianak (Fadiah Umar)
- KADIN Kota Pontianak (Yusuf, Syarif Muhammad Syaifudin)
- PDAM/PLN</t>
    </r>
  </si>
  <si>
    <r>
      <rPr>
        <sz val="11"/>
        <color rgb="FF000000"/>
        <rFont val="Calibri"/>
        <family val="2"/>
        <scheme val="minor"/>
      </rPr>
      <t xml:space="preserve">Nominal kerugian struktur bangunan
Nominal kerugian isi bangunan
Komponen kerusakan bangunan
Komponen kerusakan barang
Data Historis Biaya Perbaikan Bangunan 
</t>
    </r>
    <r>
      <rPr>
        <b/>
        <sz val="11"/>
        <color rgb="FF000000"/>
        <rFont val="Calibri"/>
        <family val="2"/>
        <scheme val="minor"/>
      </rPr>
      <t xml:space="preserve">Source:
</t>
    </r>
    <r>
      <rPr>
        <sz val="11"/>
        <color rgb="FF000000"/>
        <rFont val="Calibri"/>
        <family val="2"/>
        <scheme val="minor"/>
      </rPr>
      <t>- Sekda Kota Pontianak, Kepala Bagian Administrasi Pembangunan (Ena Muharyati)
- BAPPERIDA Provinsi Kalimantan Barat
- Dinas PUPR (Bag. Tata Ruang) Kota Pontianak
- Tata ruang PUPR
- BAPPERIDA Kota Pontianak
- Dinas Kesehatan Kota Pontianak
- Dinas Pendidikan dan Kebudayaan Kota Pontianak
- PLN
- Kantor Kecamatan dan Kelurahan di Pontianak</t>
    </r>
  </si>
  <si>
    <r>
      <rPr>
        <sz val="11"/>
        <color rgb="FF000000"/>
        <rFont val="Calibri"/>
        <family val="2"/>
        <scheme val="minor"/>
      </rPr>
      <t xml:space="preserve">Luas/lebar objek terdampak banjir
Data Historis Biaya Perbaikan Infrastruktur
</t>
    </r>
    <r>
      <rPr>
        <b/>
        <sz val="11"/>
        <color rgb="FF000000"/>
        <rFont val="Calibri"/>
        <family val="2"/>
        <scheme val="minor"/>
      </rPr>
      <t>Source:</t>
    </r>
    <r>
      <rPr>
        <sz val="11"/>
        <color rgb="FF000000"/>
        <rFont val="Calibri"/>
        <family val="2"/>
        <scheme val="minor"/>
      </rPr>
      <t xml:space="preserve"> 
- PUPR
- Sekda Kota Pontianak, Kepala Bagian Administrasi Pembangunan (Ena Muharyati)
- Badan Wilayah Sungai Kalimantan I
- Kantor Kecamatan dan Kelurahan di Pontianak</t>
    </r>
  </si>
  <si>
    <t>Output</t>
  </si>
  <si>
    <t>Perkiraan kerugian finansial sektor residensial akibat banjir, dalam dua kategori:
Direct loss: biaya kerusakan bangunan dan kerusakan karena isi bangunan
Indirect loss: dampak ekonomi keluarga karena aktivitas kerja terganggu</t>
  </si>
  <si>
    <t>Perkiraan kerugian finansial sektor agrikultur akibat banjir, dalam dua kategori:
Direct loss: kerugian karena tanaman rusak atau ternak terdampak
Indirect loss: penurunan pendapatan dan kerugian karena kerusakan alat agrikultur</t>
  </si>
  <si>
    <t>Perkiraan kerugian finansial sektor usaha akibat banjir, dalam dua kategori:
Direct loss: kerugian karena bangunan rusak dan kerugian karena isi bangunan (mesin, alat, atau barang usaha) rusak
Indirect loss: interupsi bisnis, penurunan omzet karena usaha terhenti sementara</t>
  </si>
  <si>
    <t>Perkiraan kerugian finansial sektor fasilitas publik akibat banjir, dalam dua kategori:
Direct loss: kerugian karena bangunan rusak dan kerugian karena isi bangunan rusak, bisa dalam biaya perbaikan
Indirect loss: kerugian karena fasilitas terhenti akibat banjir atau dampak dari layanan publik yang terganggu</t>
  </si>
  <si>
    <t>Perkiraan kerugian finansial sektor infrastruktur akibat banjir, dalam dua kategori:
Direct loss: kerugian karena infrastruktur rusak akibat banjir, bisa dalam biaya perbaikan
Indirect loss: kerugian karena fasilitas terhenti akibat banjir atau dampak dari layanan infrastruktur yang terganggu</t>
  </si>
  <si>
    <t>nature based solution di output...</t>
  </si>
  <si>
    <t>Challenge</t>
  </si>
  <si>
    <t>Data inventory yang kurang detail, belum ada data taxonomy yang cukup memadai untuk pemodelan
Data historis kerugian di sektor residensial</t>
  </si>
  <si>
    <t>Level of priority (precision)</t>
  </si>
  <si>
    <t>low</t>
  </si>
  <si>
    <t>medium</t>
  </si>
  <si>
    <t>high</t>
  </si>
  <si>
    <t>Rank</t>
  </si>
  <si>
    <t>Population</t>
  </si>
  <si>
    <t>Seluruh bangunan rumah tinggal di area observasi (Pontianak)
Jumlah?</t>
  </si>
  <si>
    <t>Seluruh unit lahan/usahatani di area observasi
Jumlah?</t>
  </si>
  <si>
    <t>Seluruh bangunan usaha di area observasi
Jumlah?</t>
  </si>
  <si>
    <t>Seluruh fasilitas publik di area observasi (pendidikan, kesehatan, kantor pemerintah, fasilitas layanan dasar lain)</t>
  </si>
  <si>
    <t>Seluruh segmen/ruas aset infrastruktur di area terdampak banjir (ruas jalan, jembatan, drainase/kanal)</t>
  </si>
  <si>
    <t>Sample size</t>
  </si>
  <si>
    <t>Unit bangunan rumah tinggal yang berada di area terdampak/berisiko banjir
Jumlah?</t>
  </si>
  <si>
    <t>Seluruh unit lahan/usahatani di area terdampak banjir
Jumlah?</t>
  </si>
  <si>
    <t>Seluruh bangunan usaha di area terdampak banjir
Jumlah?</t>
  </si>
  <si>
    <t>Seluruh fasilitas publik di area terdampak banjir (pendidikan, kesehatan, kantor pemerintah, fasilitas layanan dasar lain)</t>
  </si>
  <si>
    <t>No</t>
  </si>
  <si>
    <t>Nama Institusi</t>
  </si>
  <si>
    <t>Aspek Analisis</t>
  </si>
  <si>
    <t>Data Yang dibutuhkan</t>
  </si>
  <si>
    <t>BAPPERIDA Provinsi Kalimantan Barat</t>
  </si>
  <si>
    <t>Dinas PUPR (Bag. Tata Ruang) Kota Pontianak</t>
  </si>
  <si>
    <t>Historis Banjir (waktu, lokasi, kedalaman, durasi)
Historis Pasang/Rob (waktu, lokasi, kedalaman, durasi)</t>
  </si>
  <si>
    <t>Badan Wilayah Sungai Kalimantan I</t>
  </si>
  <si>
    <t xml:space="preserve">Historis daya rusak air banjir </t>
  </si>
  <si>
    <t>Biaya revitalisasi sungai, biaya konservasi, biaya perbaikan</t>
  </si>
  <si>
    <t>BMKG Pontianak</t>
  </si>
  <si>
    <t>Historis Banjir (waktu, lokasi, kedalaman, durasi), Historis Pasang/Rob (waktu, lokasi, kedalaman, durasi)</t>
  </si>
  <si>
    <t>PDAM Tirta Khatulistiwa Pontianak</t>
  </si>
  <si>
    <t>BAPPERIDA Kota Pontianak</t>
  </si>
  <si>
    <t>BPBD Kota Pontianak</t>
  </si>
  <si>
    <t>Dinas Lingkungan Hidup Kota Pontianak</t>
  </si>
  <si>
    <t>Historis Banjir (waktu, lokasi, kedalaman, durasi), Historis Pasang/Rob (waktu, lokasi, kedalaman, durasi), Data SHP/raster daya serap tanah</t>
  </si>
  <si>
    <t>Biaya perbaikan taman</t>
  </si>
  <si>
    <t>Dinas Perumahan Rakyat dan Kawasan Permukiman</t>
  </si>
  <si>
    <t>Dinas Pangan, Pertanian dan Perikanan</t>
  </si>
  <si>
    <r>
      <rPr>
        <b/>
        <sz val="11"/>
        <color rgb="FF000000"/>
        <rFont val="Calibri"/>
        <family val="2"/>
        <scheme val="minor"/>
      </rPr>
      <t xml:space="preserve">Sektor Pertanian &amp; Perkebunan : </t>
    </r>
    <r>
      <rPr>
        <sz val="11"/>
        <color rgb="FF000000"/>
        <rFont val="Calibri"/>
        <family val="2"/>
        <scheme val="minor"/>
      </rPr>
      <t xml:space="preserve">Luas lahan terdampak, Luas lahan rusak total, Kerugian tiap petani, Data Anggaran &amp; Realisasi Bantuan Pasca Banjir
</t>
    </r>
    <r>
      <rPr>
        <b/>
        <sz val="11"/>
        <color rgb="FF000000"/>
        <rFont val="Calibri"/>
        <family val="2"/>
        <scheme val="minor"/>
      </rPr>
      <t xml:space="preserve">Sektor Peternakan &amp; Perikanan: </t>
    </r>
    <r>
      <rPr>
        <sz val="11"/>
        <color rgb="FF000000"/>
        <rFont val="Calibri"/>
        <family val="2"/>
        <scheme val="minor"/>
      </rPr>
      <t>Jumlah ternak terdampak, Jumlah ternak mati, Kerugian tiap peternak, Data Anggaran &amp; Realisasi Bantuan Pasca Banjir</t>
    </r>
  </si>
  <si>
    <t>Dinas Koperasi, Usaha Mikro dan Perdagangan</t>
  </si>
  <si>
    <t>Dinas Sosial Kota Pontianak</t>
  </si>
  <si>
    <t>Historis korban bencana banjir (waktu kejadian, lokasi, jumlah korban jiwa dan korban terdampak berdasarkan jenis kelamin dan rentang usia)
Data Anggaran &amp; Realisasi Bantuan Pasca Banjir</t>
  </si>
  <si>
    <t>Dinas Kesehatan Kota Pontianak</t>
  </si>
  <si>
    <t>Disporapar Kota Pontianak</t>
  </si>
  <si>
    <t>Dinas Tenaga Kerja Kota Pontianak</t>
  </si>
  <si>
    <t>Dinas Pendidikan dan Kebudayaan Kota Pontianak</t>
  </si>
  <si>
    <t>KADIN Kota Pontianak</t>
  </si>
  <si>
    <t>Sekretariat Daerah Kota Pontianak</t>
  </si>
  <si>
    <t>Kecamatan Pontianak Kota</t>
  </si>
  <si>
    <t>Kecamatan Pontianak Timur</t>
  </si>
  <si>
    <t>Kecamatan Pontianak Tenggara</t>
  </si>
  <si>
    <t>Kecamatan Pontianak Selatan</t>
  </si>
  <si>
    <t>Kecamatan Pontianak Barat</t>
  </si>
  <si>
    <t>Kecamatan Pontianak Utara</t>
  </si>
  <si>
    <t>Kelurahan Parit Tokaya</t>
  </si>
  <si>
    <t>Kelurahan Sungai Jawi Luar</t>
  </si>
  <si>
    <t>Kelurahan Sungai Beliung</t>
  </si>
  <si>
    <t>Universitas Tanjungpura</t>
  </si>
  <si>
    <t>PLN</t>
  </si>
  <si>
    <t>Lampiran 1</t>
  </si>
  <si>
    <t>Contoh Data Taksonomi Bangunan di Kota Pontianak</t>
  </si>
  <si>
    <t>Tahun 2025</t>
  </si>
  <si>
    <t>Fungsi/ Klasifikasi Bangunan: Hunian (rumah tinggal)</t>
  </si>
  <si>
    <t>Identitas &amp; Lokasi Aset</t>
  </si>
  <si>
    <t>Karakteristik Fisik Bangunan</t>
  </si>
  <si>
    <t>Nilai Ekonomi Bangunan</t>
  </si>
  <si>
    <t>ID Bangunan</t>
  </si>
  <si>
    <t>Alamat/ Nama Lokasi</t>
  </si>
  <si>
    <t>Koordinat Latitude</t>
  </si>
  <si>
    <t>Koordinat Longitude</t>
  </si>
  <si>
    <t>Elevasi Tanah (m)</t>
  </si>
  <si>
    <t>Kelurahan</t>
  </si>
  <si>
    <t>Kecamatan</t>
  </si>
  <si>
    <t>Struktur &amp; Material</t>
  </si>
  <si>
    <t>Dimensi</t>
  </si>
  <si>
    <t>Usia &amp; Kondisi</t>
  </si>
  <si>
    <t>Pendapatan Total Penghuni</t>
  </si>
  <si>
    <t>Biaya Pembangunan Ulang</t>
  </si>
  <si>
    <t>Jenis bangunan</t>
  </si>
  <si>
    <t>Material Utama</t>
  </si>
  <si>
    <t>Luas bangunan (m2)</t>
  </si>
  <si>
    <t>Jumlah Lantai</t>
  </si>
  <si>
    <t>Tinggi lantai dasar dari permukaan tanah (cm)</t>
  </si>
  <si>
    <t>Tahun dibangun</t>
  </si>
  <si>
    <t>Panggung/ Grounded</t>
  </si>
  <si>
    <t>Beton
/Batako
/Bata merah
/Batu
/Kayu
/Ulin
/Campuran</t>
  </si>
  <si>
    <t>None</t>
  </si>
  <si>
    <t>Batu Layang</t>
  </si>
  <si>
    <t>Grounded</t>
  </si>
  <si>
    <t>Bata merah</t>
  </si>
  <si>
    <t>Lampiran 2</t>
  </si>
  <si>
    <t>Contoh Data Lahan Agrikultur di Kota Pontianak</t>
  </si>
  <si>
    <t>Fungsi/ Klasifikasi Bangunan: Agrikultur</t>
  </si>
  <si>
    <t xml:space="preserve">Koordinat  </t>
  </si>
  <si>
    <t>Zona Administrasi</t>
  </si>
  <si>
    <t>Biaya tanam seluruh lahan</t>
  </si>
  <si>
    <t>Nilai Hasil Panen</t>
  </si>
  <si>
    <t>Nilai Aset Ternak</t>
  </si>
  <si>
    <t>Latitude</t>
  </si>
  <si>
    <t>Longitude</t>
  </si>
  <si>
    <t>Jenis Agrikultur</t>
  </si>
  <si>
    <t>Jenis Tanaman/Ternak</t>
  </si>
  <si>
    <t>Luas lahan(m2)</t>
  </si>
  <si>
    <t>Sistem Tanam</t>
  </si>
  <si>
    <t>Tinggi lantai kandang dari permukaan tanah (cm)</t>
  </si>
  <si>
    <t>Pertanian/Perkebunan
Peternakan/Perikanan</t>
  </si>
  <si>
    <t>Padi
/Buah dan sayur
/Ayam</t>
  </si>
  <si>
    <t>Sawah/
Ladang/
Polybag/
Lainnya:</t>
  </si>
  <si>
    <t xml:space="preserve">Pertanian  </t>
  </si>
  <si>
    <t>Buah dan Sayur</t>
  </si>
  <si>
    <t>Ladang</t>
  </si>
  <si>
    <t>-</t>
  </si>
  <si>
    <t>Lampiran 3</t>
  </si>
  <si>
    <t>Fungsi/ Klasifikasi Bangunan: Komersial (toko, ruko, pasar), Industri (pabrik, gudang)</t>
  </si>
  <si>
    <t>Rata-rata omzet harian</t>
  </si>
  <si>
    <t>Biaya pembangunan ulang</t>
  </si>
  <si>
    <t>Nilai Aset dalam Bangunan</t>
  </si>
  <si>
    <t>Mesin</t>
  </si>
  <si>
    <t>Barang Produksi</t>
  </si>
  <si>
    <t>Toko X</t>
  </si>
  <si>
    <t>Lampiran 4</t>
  </si>
  <si>
    <t>Fungsi/ Klasifikasi Bangunan: Sosial (sekolah, rumah ibadah), Pemerintahan, Fasilitas kritis (rumah sakit, gardu listrik)</t>
  </si>
  <si>
    <t>Panggung/Grounded</t>
  </si>
  <si>
    <t>Kantor Dinas X</t>
  </si>
  <si>
    <t>Lampiran 5</t>
  </si>
  <si>
    <t>Fungsi/ Klasifikasi Bangunan: Infrastruktur</t>
  </si>
  <si>
    <t>Dinas Terkait</t>
  </si>
  <si>
    <t>Jadwal Historis &amp; Rencana Perbaikan</t>
  </si>
  <si>
    <t>Panjang Bangunan</t>
  </si>
  <si>
    <t>Lebar Bangunan</t>
  </si>
  <si>
    <t>Waktu</t>
  </si>
  <si>
    <t>Nominal/Anggaran Perbaikan</t>
  </si>
  <si>
    <t>dd/mm/yyyy</t>
  </si>
  <si>
    <t>Dinas Y</t>
  </si>
  <si>
    <t>Jembatan Z</t>
  </si>
  <si>
    <t>29/12/2024
30/12/2025</t>
  </si>
  <si>
    <t>50000000
60000000</t>
  </si>
  <si>
    <t>Lampiran 6</t>
  </si>
  <si>
    <t>Contoh Data Kerugian Bangunan di Kota Pontianak</t>
  </si>
  <si>
    <t xml:space="preserve">Fungsi/ Klasifikasi Bangunan: </t>
  </si>
  <si>
    <t>Nominal Kerugian</t>
  </si>
  <si>
    <t>Komponen Kerusakan</t>
  </si>
  <si>
    <t>Struktur Bangunan</t>
  </si>
  <si>
    <t>Isi Bangunan</t>
  </si>
  <si>
    <t>Barang</t>
  </si>
  <si>
    <t>Contoh:
Cat, struktur/
Cat, tembok</t>
  </si>
  <si>
    <t>Contoh:
Furniture, kendaraan/
Elektronik</t>
  </si>
  <si>
    <t>Cat, tembok</t>
  </si>
  <si>
    <t>Furniture, Berkas</t>
  </si>
  <si>
    <t>Lampiran 7</t>
  </si>
  <si>
    <t>Fungsi/ Klasifikasi Bangunan: Komersial/Industri</t>
  </si>
  <si>
    <t>Kerugian Tidak Langsung</t>
  </si>
  <si>
    <t>Jumlah Hari Henti Kerja Akibat Banjir</t>
  </si>
  <si>
    <t>Omzet Harian Saat Banjir</t>
  </si>
  <si>
    <t>Omzet Harian Fase Pemulihan</t>
  </si>
  <si>
    <t>Contoh: Kertas/ Kain</t>
  </si>
  <si>
    <t>Makanan Kering</t>
  </si>
  <si>
    <t>Lampiran 8</t>
  </si>
  <si>
    <t>Luas/lebar objek terdampak banjir (m2)</t>
  </si>
  <si>
    <t>Biaya perbaikan pasca banjir</t>
  </si>
  <si>
    <t>Jembatan X</t>
  </si>
  <si>
    <r>
      <rPr>
        <b/>
        <sz val="11"/>
        <color rgb="FF000000"/>
        <rFont val="Calibri"/>
        <scheme val="minor"/>
      </rPr>
      <t>Kantor-kantor Dinas (Bangunan Publik) :
Identitas &amp; Lokasi Aset</t>
    </r>
    <r>
      <rPr>
        <sz val="11"/>
        <color rgb="FF000000"/>
        <rFont val="Calibri"/>
        <scheme val="minor"/>
      </rPr>
      <t xml:space="preserve"> : Nama Lokasi, Koordinat, Kecamatan, Kelurahan, Elevasi Tanah
</t>
    </r>
    <r>
      <rPr>
        <b/>
        <sz val="11"/>
        <color rgb="FF000000"/>
        <rFont val="Calibri"/>
        <scheme val="minor"/>
      </rPr>
      <t>Struktur &amp; Material :</t>
    </r>
    <r>
      <rPr>
        <sz val="11"/>
        <color rgb="FF000000"/>
        <rFont val="Calibri"/>
        <scheme val="minor"/>
      </rPr>
      <t xml:space="preserve"> Jenis Bangunan (Panggung/Grounded), Material Utama (Beton/Bata/Kayu/Ulin)
</t>
    </r>
    <r>
      <rPr>
        <b/>
        <sz val="11"/>
        <color rgb="FF000000"/>
        <rFont val="Calibri"/>
        <scheme val="minor"/>
      </rPr>
      <t>Dimensi</t>
    </r>
    <r>
      <rPr>
        <sz val="11"/>
        <color rgb="FF000000"/>
        <rFont val="Calibri"/>
        <scheme val="minor"/>
      </rPr>
      <t xml:space="preserve"> : Luas Bangunan, Jumlah Lantai, Tinggi lantai dasar dari permukaan tanah, Usia bangunan/ Tahun dibangun
</t>
    </r>
    <r>
      <rPr>
        <b/>
        <sz val="11"/>
        <color rgb="FF000000"/>
        <rFont val="Calibri"/>
        <scheme val="minor"/>
      </rPr>
      <t xml:space="preserve">Nilai Ekonomi Bangunan </t>
    </r>
    <r>
      <rPr>
        <sz val="11"/>
        <color rgb="FF000000"/>
        <rFont val="Calibri"/>
        <scheme val="minor"/>
      </rPr>
      <t xml:space="preserve">: Biaya Pembangunan Ulang, Nilai Aset dalam Bangunan
</t>
    </r>
    <r>
      <rPr>
        <b/>
        <i/>
        <sz val="11"/>
        <color rgb="FFFF0000"/>
        <rFont val="Calibri (Body)"/>
      </rPr>
      <t>*Penjelasan lebih lanjut pada lampiran 4</t>
    </r>
  </si>
  <si>
    <r>
      <t xml:space="preserve">Nominal kerugian struktur bangunan, Nominal kerugian isi bangunan, Komponen kerusakan bangunan, Komponen kerusakan barang
</t>
    </r>
    <r>
      <rPr>
        <b/>
        <i/>
        <sz val="11"/>
        <color rgb="FFFF0000"/>
        <rFont val="Calibri (Body)"/>
      </rPr>
      <t>*Penjelasan lebih lanjut pada lampiran 6</t>
    </r>
  </si>
  <si>
    <r>
      <rPr>
        <b/>
        <sz val="11"/>
        <color rgb="FF000000"/>
        <rFont val="Calibri"/>
        <scheme val="minor"/>
      </rPr>
      <t xml:space="preserve">Bangunan Publik :
Identitas &amp; Lokasi Aset : </t>
    </r>
    <r>
      <rPr>
        <sz val="11"/>
        <color rgb="FF000000"/>
        <rFont val="Calibri"/>
        <scheme val="minor"/>
      </rPr>
      <t xml:space="preserve">Nama Lokasi, Koordinat, Kecamatan, Kelurahan, Elevasi Tanah
</t>
    </r>
    <r>
      <rPr>
        <b/>
        <sz val="11"/>
        <color rgb="FF000000"/>
        <rFont val="Calibri"/>
        <scheme val="minor"/>
      </rPr>
      <t xml:space="preserve">Struktur &amp; Material : </t>
    </r>
    <r>
      <rPr>
        <sz val="11"/>
        <color rgb="FF000000"/>
        <rFont val="Calibri"/>
        <scheme val="minor"/>
      </rPr>
      <t xml:space="preserve">Jenis Bangunan (Panggung/Grounded), Material Utama (Beton/Bata/Kayu/Ulin)
</t>
    </r>
    <r>
      <rPr>
        <b/>
        <sz val="11"/>
        <color rgb="FF000000"/>
        <rFont val="Calibri"/>
        <scheme val="minor"/>
      </rPr>
      <t xml:space="preserve">Dimensi : </t>
    </r>
    <r>
      <rPr>
        <sz val="11"/>
        <color rgb="FF000000"/>
        <rFont val="Calibri"/>
        <scheme val="minor"/>
      </rPr>
      <t xml:space="preserve">Luas Bangunan, Jumlah Lantai, Tinggi lantai dasar dari permukaan tanah, Usia bangunan/ Tahun dibangun
</t>
    </r>
    <r>
      <rPr>
        <b/>
        <sz val="11"/>
        <color rgb="FF000000"/>
        <rFont val="Calibri"/>
        <scheme val="minor"/>
      </rPr>
      <t xml:space="preserve">Nilai Ekonomi Bangunan : </t>
    </r>
    <r>
      <rPr>
        <sz val="11"/>
        <color rgb="FF000000"/>
        <rFont val="Calibri"/>
        <scheme val="minor"/>
      </rPr>
      <t xml:space="preserve">Nilai Aset dalam Bangunan, Biaya Pembangunan Ulang
</t>
    </r>
    <r>
      <rPr>
        <b/>
        <i/>
        <sz val="11"/>
        <color rgb="FFFF0000"/>
        <rFont val="Calibri (Body)"/>
      </rPr>
      <t>*Penjelasan lebih lanjut pada lampiran 4</t>
    </r>
    <r>
      <rPr>
        <i/>
        <sz val="11"/>
        <color rgb="FF000000"/>
        <rFont val="Calibri"/>
        <scheme val="minor"/>
      </rPr>
      <t xml:space="preserve">
</t>
    </r>
    <r>
      <rPr>
        <sz val="11"/>
        <color rgb="FF000000"/>
        <rFont val="Calibri"/>
        <scheme val="minor"/>
      </rPr>
      <t xml:space="preserve">
</t>
    </r>
    <r>
      <rPr>
        <b/>
        <sz val="11"/>
        <color rgb="FF000000"/>
        <rFont val="Calibri"/>
        <scheme val="minor"/>
      </rPr>
      <t xml:space="preserve">Infrastruktur :
Identitas &amp; Lokasi Aset Infrastruktur : </t>
    </r>
    <r>
      <rPr>
        <sz val="11"/>
        <color rgb="FF000000"/>
        <rFont val="Calibri"/>
        <scheme val="minor"/>
      </rPr>
      <t xml:space="preserve">Nama Lokasi, Dinas Terkait, Koordinat, Kecamatan, Kelurahan, Elevasi Tanah
</t>
    </r>
    <r>
      <rPr>
        <b/>
        <sz val="11"/>
        <color rgb="FF000000"/>
        <rFont val="Calibri"/>
        <scheme val="minor"/>
      </rPr>
      <t xml:space="preserve">Struktur &amp; Material : </t>
    </r>
    <r>
      <rPr>
        <sz val="11"/>
        <color rgb="FF000000"/>
        <rFont val="Calibri"/>
        <scheme val="minor"/>
      </rPr>
      <t xml:space="preserve">Jenis Bangunan, Material Utama (Beton/Bata/Kayu/Ulin)
</t>
    </r>
    <r>
      <rPr>
        <b/>
        <sz val="11"/>
        <color rgb="FF000000"/>
        <rFont val="Calibri"/>
        <scheme val="minor"/>
      </rPr>
      <t xml:space="preserve">Dimensi : </t>
    </r>
    <r>
      <rPr>
        <sz val="11"/>
        <color rgb="FF000000"/>
        <rFont val="Calibri"/>
        <scheme val="minor"/>
      </rPr>
      <t xml:space="preserve">Luas/Panjang/Lebar Bangunan, Usia bangunan/ Tahun dibangun
</t>
    </r>
    <r>
      <rPr>
        <b/>
        <sz val="11"/>
        <color rgb="FF000000"/>
        <rFont val="Calibri"/>
        <scheme val="minor"/>
      </rPr>
      <t xml:space="preserve">Nilai Ekonomi Bangunan : </t>
    </r>
    <r>
      <rPr>
        <sz val="11"/>
        <color rgb="FF000000"/>
        <rFont val="Calibri"/>
        <scheme val="minor"/>
      </rPr>
      <t xml:space="preserve">Jadwal historis/rencana perbaikan, Biaya Pembangunan Ulang
</t>
    </r>
    <r>
      <rPr>
        <b/>
        <i/>
        <sz val="11"/>
        <color rgb="FFFF0000"/>
        <rFont val="Calibri (Body)"/>
      </rPr>
      <t>*Penjelasan lebih lanjut pada lampiran 4</t>
    </r>
  </si>
  <si>
    <r>
      <rPr>
        <b/>
        <sz val="11"/>
        <color rgb="FF000000"/>
        <rFont val="Calibri"/>
        <scheme val="minor"/>
      </rPr>
      <t xml:space="preserve">Bangunan Publik (Sekolah, Rumah Sakit, dsb)
</t>
    </r>
    <r>
      <rPr>
        <sz val="11"/>
        <color rgb="FF000000"/>
        <rFont val="Calibri"/>
        <scheme val="minor"/>
      </rPr>
      <t xml:space="preserve">Nominal kerugian struktur bangunan, Nominal kerugian isi bangunan, Komponen kerusakan bangunan, Komponen kerusakan barang
</t>
    </r>
    <r>
      <rPr>
        <b/>
        <i/>
        <sz val="11"/>
        <color rgb="FFFF0000"/>
        <rFont val="Calibri (Body)"/>
      </rPr>
      <t>*Penjelasan lebih lanjut pada lampiran 6</t>
    </r>
    <r>
      <rPr>
        <i/>
        <sz val="11"/>
        <color rgb="FF000000"/>
        <rFont val="Calibri"/>
        <scheme val="minor"/>
      </rPr>
      <t xml:space="preserve">
</t>
    </r>
    <r>
      <rPr>
        <sz val="11"/>
        <color rgb="FF000000"/>
        <rFont val="Calibri"/>
        <scheme val="minor"/>
      </rPr>
      <t xml:space="preserve">
</t>
    </r>
    <r>
      <rPr>
        <b/>
        <sz val="11"/>
        <color rgb="FF000000"/>
        <rFont val="Calibri"/>
        <scheme val="minor"/>
      </rPr>
      <t xml:space="preserve">Infrastruktur (Jalan, Jembatan, Drainase, dsb)
</t>
    </r>
    <r>
      <rPr>
        <sz val="11"/>
        <color rgb="FF000000"/>
        <rFont val="Calibri"/>
        <scheme val="minor"/>
      </rPr>
      <t xml:space="preserve">Luas/lebar objek terdampak banjir, Biaya perbaikan pasca banjir
</t>
    </r>
    <r>
      <rPr>
        <b/>
        <i/>
        <sz val="11"/>
        <color rgb="FFFF0000"/>
        <rFont val="Calibri (Body)"/>
      </rPr>
      <t>*Penjelasan lebih lanjut pada lampiran 8</t>
    </r>
  </si>
  <si>
    <r>
      <rPr>
        <b/>
        <sz val="11"/>
        <color rgb="FF000000"/>
        <rFont val="Calibri"/>
        <scheme val="minor"/>
      </rPr>
      <t>Identitas &amp; Lokasi Aset :</t>
    </r>
    <r>
      <rPr>
        <sz val="11"/>
        <color rgb="FF000000"/>
        <rFont val="Calibri"/>
        <scheme val="minor"/>
      </rPr>
      <t xml:space="preserve"> Nama Lokasi, Koordinat, Kecamatan, Kelurahan, Elevasi Tanah
</t>
    </r>
    <r>
      <rPr>
        <b/>
        <sz val="11"/>
        <color rgb="FF000000"/>
        <rFont val="Calibri"/>
        <scheme val="minor"/>
      </rPr>
      <t>Struktur &amp; Material :</t>
    </r>
    <r>
      <rPr>
        <sz val="11"/>
        <color rgb="FF000000"/>
        <rFont val="Calibri"/>
        <scheme val="minor"/>
      </rPr>
      <t xml:space="preserve"> Jenis Bangunan (Panggung/Grounded), Material Utama (Beton/Bata/Kayu/Ulin)
</t>
    </r>
    <r>
      <rPr>
        <b/>
        <sz val="11"/>
        <color rgb="FF000000"/>
        <rFont val="Calibri"/>
        <scheme val="minor"/>
      </rPr>
      <t>Dimensi :</t>
    </r>
    <r>
      <rPr>
        <sz val="11"/>
        <color rgb="FF000000"/>
        <rFont val="Calibri"/>
        <scheme val="minor"/>
      </rPr>
      <t xml:space="preserve"> Luas Bangunan, Jumlah Lantai, Tinggi lantai dasar dari permukaan tanah, Usia bangunan/ Tahun dibangun
</t>
    </r>
    <r>
      <rPr>
        <b/>
        <sz val="11"/>
        <color rgb="FF000000"/>
        <rFont val="Calibri"/>
        <scheme val="minor"/>
      </rPr>
      <t>Nilai Ekonomi Bangunan :</t>
    </r>
    <r>
      <rPr>
        <sz val="11"/>
        <color rgb="FF000000"/>
        <rFont val="Calibri"/>
        <scheme val="minor"/>
      </rPr>
      <t xml:space="preserve"> Rata-rata omzet harian, Biaya Pembangunan Ulang, Nilai Aset dalam Bangunan (Mesin &amp; Barang Produksi)
</t>
    </r>
    <r>
      <rPr>
        <b/>
        <i/>
        <sz val="11"/>
        <color rgb="FFFF0000"/>
        <rFont val="Calibri (Body)"/>
      </rPr>
      <t>*Penjelasan lebih lanjut pada lampiran 3</t>
    </r>
  </si>
  <si>
    <r>
      <rPr>
        <b/>
        <sz val="11"/>
        <color rgb="FF000000"/>
        <rFont val="Calibri"/>
        <scheme val="minor"/>
      </rPr>
      <t>Infrastruktur (irigasi, kanal, parit, bendungan, waterfront) :
Identitas &amp; Lokasi Aset Infrastruktur :</t>
    </r>
    <r>
      <rPr>
        <sz val="11"/>
        <color rgb="FF000000"/>
        <rFont val="Calibri"/>
        <scheme val="minor"/>
      </rPr>
      <t xml:space="preserve"> Nama Lokasi, Dinas Terkait, Koordinat, Kecamatan, Kelurahan, Elevasi Tanah
</t>
    </r>
    <r>
      <rPr>
        <b/>
        <sz val="11"/>
        <color rgb="FF000000"/>
        <rFont val="Calibri"/>
        <scheme val="minor"/>
      </rPr>
      <t>Struktur &amp; Material :</t>
    </r>
    <r>
      <rPr>
        <sz val="11"/>
        <color rgb="FF000000"/>
        <rFont val="Calibri"/>
        <scheme val="minor"/>
      </rPr>
      <t xml:space="preserve"> Jenis Bangunan, Material Utama (Beton/Bata/Kayu/Ulin)
</t>
    </r>
    <r>
      <rPr>
        <b/>
        <sz val="11"/>
        <color rgb="FF000000"/>
        <rFont val="Calibri"/>
        <scheme val="minor"/>
      </rPr>
      <t>Dimensi :</t>
    </r>
    <r>
      <rPr>
        <sz val="11"/>
        <color rgb="FF000000"/>
        <rFont val="Calibri"/>
        <scheme val="minor"/>
      </rPr>
      <t xml:space="preserve"> Luas/Panjang/Lebar Bangunan, Usia bangunan/ Tahun dibangun
</t>
    </r>
    <r>
      <rPr>
        <b/>
        <sz val="11"/>
        <color rgb="FF000000"/>
        <rFont val="Calibri"/>
        <scheme val="minor"/>
      </rPr>
      <t>Nilai Ekonomi Bangunan :</t>
    </r>
    <r>
      <rPr>
        <sz val="11"/>
        <color rgb="FF000000"/>
        <rFont val="Calibri"/>
        <scheme val="minor"/>
      </rPr>
      <t xml:space="preserve"> Jadwal historis/rencana perbaikan, Biaya Pembangunan Ulang
</t>
    </r>
    <r>
      <rPr>
        <b/>
        <i/>
        <sz val="11"/>
        <color rgb="FFFF0000"/>
        <rFont val="Calibri (Body)"/>
      </rPr>
      <t>*Penjelasan lebih lanjut pada lampiran 5</t>
    </r>
  </si>
  <si>
    <r>
      <t xml:space="preserve">Nominal kerugian barang produksi, Nominal kerugian mesin, Komponen kerusakan barang produksi, Komponen kerusakan mesin, Jumlah hari henti kerja akibat banjir, Omzet harian yang dihasilkan saat banjir &amp; fase pemulihan.
</t>
    </r>
    <r>
      <rPr>
        <b/>
        <i/>
        <sz val="11"/>
        <color rgb="FFFF0000"/>
        <rFont val="Calibri (Body)"/>
      </rPr>
      <t>*Penjelasan lebih lanjut pada lampiran 7</t>
    </r>
  </si>
  <si>
    <r>
      <rPr>
        <b/>
        <sz val="11"/>
        <color rgb="FF000000"/>
        <rFont val="Calibri"/>
        <scheme val="minor"/>
      </rPr>
      <t>Kantor-kantor Dinas :
Identitas &amp; Lokasi Aset</t>
    </r>
    <r>
      <rPr>
        <sz val="11"/>
        <color rgb="FF000000"/>
        <rFont val="Calibri"/>
        <scheme val="minor"/>
      </rPr>
      <t xml:space="preserve"> : Nama Lokasi, Koordinat, Kecamatan, Kelurahan, Elevasi Tanah
</t>
    </r>
    <r>
      <rPr>
        <b/>
        <sz val="11"/>
        <color rgb="FF000000"/>
        <rFont val="Calibri"/>
        <scheme val="minor"/>
      </rPr>
      <t>Struktur &amp; Material :</t>
    </r>
    <r>
      <rPr>
        <sz val="11"/>
        <color rgb="FF000000"/>
        <rFont val="Calibri"/>
        <scheme val="minor"/>
      </rPr>
      <t xml:space="preserve"> Jenis Bangunan (Panggung/Grounded), Material Utama (Beton/Bata/Kayu/Ulin)
</t>
    </r>
    <r>
      <rPr>
        <b/>
        <sz val="11"/>
        <color rgb="FF000000"/>
        <rFont val="Calibri"/>
        <scheme val="minor"/>
      </rPr>
      <t>Dimensi</t>
    </r>
    <r>
      <rPr>
        <sz val="11"/>
        <color rgb="FF000000"/>
        <rFont val="Calibri"/>
        <scheme val="minor"/>
      </rPr>
      <t xml:space="preserve"> : Luas Bangunan, Jumlah Lantai, Tinggi lantai dasar dari permukaan tanah, Usia bangunan/ Tahun dibangun
</t>
    </r>
    <r>
      <rPr>
        <b/>
        <sz val="11"/>
        <color rgb="FF000000"/>
        <rFont val="Calibri"/>
        <scheme val="minor"/>
      </rPr>
      <t xml:space="preserve">Nilai Ekonomi Bangunan </t>
    </r>
    <r>
      <rPr>
        <sz val="11"/>
        <color rgb="FF000000"/>
        <rFont val="Calibri"/>
        <scheme val="minor"/>
      </rPr>
      <t xml:space="preserve">: Biaya Pembangunan Ulang, Nilai Aset dalam Bangunan (Mesin &amp; Barang Produksi)
</t>
    </r>
    <r>
      <rPr>
        <b/>
        <i/>
        <sz val="11"/>
        <color rgb="FFFF0000"/>
        <rFont val="Calibri (Body)"/>
      </rPr>
      <t>*Penjelasan lebih lanjut pada lampiran 4</t>
    </r>
  </si>
  <si>
    <r>
      <t xml:space="preserve">Nominal kerugian akibat banjir
</t>
    </r>
    <r>
      <rPr>
        <b/>
        <i/>
        <sz val="11"/>
        <color rgb="FFFF0000"/>
        <rFont val="Calibri (Body)"/>
      </rPr>
      <t>*Penjelasan lebih lanjut pada lampiran 6</t>
    </r>
  </si>
  <si>
    <r>
      <rPr>
        <b/>
        <sz val="11"/>
        <color rgb="FF000000"/>
        <rFont val="Calibri"/>
        <scheme val="minor"/>
      </rPr>
      <t xml:space="preserve">Residensial :
Identitas &amp; Lokasi Aset: </t>
    </r>
    <r>
      <rPr>
        <sz val="11"/>
        <color rgb="FF000000"/>
        <rFont val="Calibri"/>
        <scheme val="minor"/>
      </rPr>
      <t xml:space="preserve">Nama Lokasi, Koordinat, Kecamatan, Kelurahan, Elevasi Tanah
</t>
    </r>
    <r>
      <rPr>
        <b/>
        <sz val="11"/>
        <color rgb="FF000000"/>
        <rFont val="Calibri"/>
        <scheme val="minor"/>
      </rPr>
      <t>Struktur &amp; Material :</t>
    </r>
    <r>
      <rPr>
        <sz val="11"/>
        <color rgb="FF000000"/>
        <rFont val="Calibri"/>
        <scheme val="minor"/>
      </rPr>
      <t xml:space="preserve"> Jenis Bangunan (Panggung/Grounded/Apung), Material Utama (Beton/Bata/Kayu/Ulin)
</t>
    </r>
    <r>
      <rPr>
        <b/>
        <sz val="11"/>
        <color rgb="FF000000"/>
        <rFont val="Calibri"/>
        <scheme val="minor"/>
      </rPr>
      <t>Dimensi :</t>
    </r>
    <r>
      <rPr>
        <sz val="11"/>
        <color rgb="FF000000"/>
        <rFont val="Calibri"/>
        <scheme val="minor"/>
      </rPr>
      <t xml:space="preserve"> Luas Bangunan, Jumlah Lantai, Tinggi lantai dasar dari permukaan tanah, Usia bangunan/ Tahun dibangun
</t>
    </r>
    <r>
      <rPr>
        <b/>
        <sz val="11"/>
        <color rgb="FF000000"/>
        <rFont val="Calibri"/>
        <scheme val="minor"/>
      </rPr>
      <t>Nilai Ekonomi Bangunan :</t>
    </r>
    <r>
      <rPr>
        <sz val="11"/>
        <color rgb="FF000000"/>
        <rFont val="Calibri"/>
        <scheme val="minor"/>
      </rPr>
      <t xml:space="preserve"> Pendapatan total penghuni (/bulan), Biaya Pembangunan Ulang
</t>
    </r>
    <r>
      <rPr>
        <b/>
        <i/>
        <sz val="11"/>
        <color rgb="FFFF0000"/>
        <rFont val="Calibri (Body)"/>
      </rPr>
      <t>*Penjelasan lebih lanjut pada lampiran 1</t>
    </r>
  </si>
  <si>
    <r>
      <rPr>
        <b/>
        <sz val="11"/>
        <color rgb="FF000000"/>
        <rFont val="Calibri"/>
        <scheme val="minor"/>
      </rPr>
      <t xml:space="preserve">Residensial :
</t>
    </r>
    <r>
      <rPr>
        <sz val="11"/>
        <color rgb="FF000000"/>
        <rFont val="Calibri"/>
        <scheme val="minor"/>
      </rPr>
      <t xml:space="preserve">Nominal kerugian struktur bangunan, Nominal kerugian isi bangunan, Komponen kerusakan bangunan, Komponen kerusakan barang, Jumlah hari henti kerja akibat banjir
</t>
    </r>
    <r>
      <rPr>
        <b/>
        <i/>
        <sz val="11"/>
        <color rgb="FFFF0000"/>
        <rFont val="Calibri (Body)"/>
      </rPr>
      <t>*Penjelasan lebih lanjut pada lampiran 6</t>
    </r>
    <r>
      <rPr>
        <i/>
        <sz val="11"/>
        <color rgb="FF000000"/>
        <rFont val="Calibri"/>
        <scheme val="minor"/>
      </rPr>
      <t xml:space="preserve">
</t>
    </r>
    <r>
      <rPr>
        <sz val="11"/>
        <color rgb="FF000000"/>
        <rFont val="Calibri"/>
        <scheme val="minor"/>
      </rPr>
      <t xml:space="preserve">
Data Anggaran &amp; Realisasi Bantuan Pasca Banjir, Data Anggaran &amp; Realisasi Perbaikan Pasca Banjir</t>
    </r>
  </si>
  <si>
    <r>
      <rPr>
        <b/>
        <sz val="11"/>
        <color rgb="FF000000"/>
        <rFont val="Calibri"/>
        <scheme val="minor"/>
      </rPr>
      <t>Sektor Pertanian &amp; Perkebunan:</t>
    </r>
    <r>
      <rPr>
        <sz val="11"/>
        <color rgb="FF000000"/>
        <rFont val="Calibri"/>
        <scheme val="minor"/>
      </rPr>
      <t xml:space="preserve"> Lokasi lahan,</t>
    </r>
    <r>
      <rPr>
        <b/>
        <sz val="11"/>
        <color rgb="FF000000"/>
        <rFont val="Calibri"/>
        <scheme val="minor"/>
      </rPr>
      <t xml:space="preserve"> </t>
    </r>
    <r>
      <rPr>
        <sz val="11"/>
        <color rgb="FF000000"/>
        <rFont val="Calibri"/>
        <scheme val="minor"/>
      </rPr>
      <t xml:space="preserve">Luas lahan, Jenis tanaman, Sistem tanam (Sawah/Ladang/Polybag)
</t>
    </r>
    <r>
      <rPr>
        <b/>
        <sz val="11"/>
        <color rgb="FF000000"/>
        <rFont val="Calibri"/>
        <scheme val="minor"/>
      </rPr>
      <t xml:space="preserve">Sektor Peternakan/Perikanan: </t>
    </r>
    <r>
      <rPr>
        <sz val="11"/>
        <color rgb="FF000000"/>
        <rFont val="Calibri"/>
        <scheme val="minor"/>
      </rPr>
      <t xml:space="preserve">Lokasi lahan, Hewan ternak yang dimiliki, Tinggi lantai kandang dari permukaan tanah
</t>
    </r>
    <r>
      <rPr>
        <b/>
        <i/>
        <sz val="11"/>
        <color rgb="FFFF0000"/>
        <rFont val="Calibri (Body)"/>
      </rPr>
      <t>*Penjelasan lebih lanjut pada lampiran 2</t>
    </r>
  </si>
  <si>
    <r>
      <rPr>
        <b/>
        <sz val="11"/>
        <color rgb="FF000000"/>
        <rFont val="Calibri"/>
        <scheme val="minor"/>
      </rPr>
      <t xml:space="preserve">Komersial dan Industri :
Identitas &amp; Lokasi Aset : </t>
    </r>
    <r>
      <rPr>
        <sz val="11"/>
        <color rgb="FF000000"/>
        <rFont val="Calibri"/>
        <scheme val="minor"/>
      </rPr>
      <t xml:space="preserve">Nama Lokasi, Koordinat, Kecamatan, Kelurahan, Elevasi Tanah
</t>
    </r>
    <r>
      <rPr>
        <b/>
        <sz val="11"/>
        <color rgb="FF000000"/>
        <rFont val="Calibri"/>
        <scheme val="minor"/>
      </rPr>
      <t xml:space="preserve">Struktur &amp; Material : </t>
    </r>
    <r>
      <rPr>
        <sz val="11"/>
        <color rgb="FF000000"/>
        <rFont val="Calibri"/>
        <scheme val="minor"/>
      </rPr>
      <t xml:space="preserve">Jenis Bangunan (Panggung/Grounded), Material Utama (Beton/Bata/Kayu/Ulin)
</t>
    </r>
    <r>
      <rPr>
        <b/>
        <sz val="11"/>
        <color rgb="FF000000"/>
        <rFont val="Calibri"/>
        <scheme val="minor"/>
      </rPr>
      <t xml:space="preserve">Dimensi : </t>
    </r>
    <r>
      <rPr>
        <sz val="11"/>
        <color rgb="FF000000"/>
        <rFont val="Calibri"/>
        <scheme val="minor"/>
      </rPr>
      <t xml:space="preserve">Luas Bangunan, Jumlah Lantai, Tinggi lantai dasar dari permukaan tanah, Usia bangunan/ Tahun dibangun
</t>
    </r>
    <r>
      <rPr>
        <b/>
        <sz val="11"/>
        <color rgb="FF000000"/>
        <rFont val="Calibri"/>
        <scheme val="minor"/>
      </rPr>
      <t xml:space="preserve">Nilai Ekonomi Bangunan : </t>
    </r>
    <r>
      <rPr>
        <sz val="11"/>
        <color rgb="FF000000"/>
        <rFont val="Calibri"/>
        <scheme val="minor"/>
      </rPr>
      <t xml:space="preserve">Rata-rata omzet harian, Biaya Pembangunan Ulang, Nilai Aset dalam Bangunan (Mesin &amp; Barang Produksi)
</t>
    </r>
    <r>
      <rPr>
        <b/>
        <i/>
        <sz val="11"/>
        <color rgb="FFFF0000"/>
        <rFont val="Calibri (Body)"/>
      </rPr>
      <t>*Penjelasan lebih lanjut pada lampiran 3</t>
    </r>
  </si>
  <si>
    <r>
      <rPr>
        <b/>
        <sz val="11"/>
        <color rgb="FF000000"/>
        <rFont val="Calibri"/>
        <scheme val="minor"/>
      </rPr>
      <t xml:space="preserve">Komersial dan Industri :
</t>
    </r>
    <r>
      <rPr>
        <sz val="11"/>
        <color rgb="FF000000"/>
        <rFont val="Calibri"/>
        <scheme val="minor"/>
      </rPr>
      <t xml:space="preserve">Nominal kerugian barang produksi, Nominal kerugian mesin, Komponen kerusakan barang produksi, Komponen kerusakan mesin, Jumlah hari henti kerja akibat banjir, Omzet harian yang dihasilkan saat banjir &amp; fase pemulihan
</t>
    </r>
    <r>
      <rPr>
        <b/>
        <i/>
        <sz val="11"/>
        <color rgb="FFFF0000"/>
        <rFont val="Calibri (Body)"/>
      </rPr>
      <t>*Penjelasan lebih lanjut pada lampiran 7</t>
    </r>
  </si>
  <si>
    <r>
      <rPr>
        <b/>
        <sz val="11"/>
        <color rgb="FF000000"/>
        <rFont val="Calibri"/>
        <scheme val="minor"/>
      </rPr>
      <t>Fasilitas Kesehatan:
Identitas &amp; Lokasi Aset :</t>
    </r>
    <r>
      <rPr>
        <sz val="11"/>
        <color rgb="FF000000"/>
        <rFont val="Calibri"/>
        <scheme val="minor"/>
      </rPr>
      <t xml:space="preserve"> Nama Lokasi, Koordinat, Kecamatan, Kelurahan, Elevasi Tanah
</t>
    </r>
    <r>
      <rPr>
        <b/>
        <sz val="11"/>
        <color rgb="FF000000"/>
        <rFont val="Calibri"/>
        <scheme val="minor"/>
      </rPr>
      <t>Struktur &amp; Material :</t>
    </r>
    <r>
      <rPr>
        <sz val="11"/>
        <color rgb="FF000000"/>
        <rFont val="Calibri"/>
        <scheme val="minor"/>
      </rPr>
      <t xml:space="preserve"> Jenis Bangunan (Panggung/Grounded), Material Utama (Beton/Bata/Kayu/Ulin)
</t>
    </r>
    <r>
      <rPr>
        <b/>
        <sz val="11"/>
        <color rgb="FF000000"/>
        <rFont val="Calibri"/>
        <scheme val="minor"/>
      </rPr>
      <t>Dimensi :</t>
    </r>
    <r>
      <rPr>
        <sz val="11"/>
        <color rgb="FF000000"/>
        <rFont val="Calibri"/>
        <scheme val="minor"/>
      </rPr>
      <t xml:space="preserve"> Luas Bangunan, Jumlah Lantai, Tinggi lantai dasar dari permukaan tanah, Usia bangunan/ Tahun dibangun
</t>
    </r>
    <r>
      <rPr>
        <b/>
        <sz val="11"/>
        <color rgb="FF000000"/>
        <rFont val="Calibri"/>
        <scheme val="minor"/>
      </rPr>
      <t>Nilai Ekonomi Bangunan :</t>
    </r>
    <r>
      <rPr>
        <sz val="11"/>
        <color rgb="FF000000"/>
        <rFont val="Calibri"/>
        <scheme val="minor"/>
      </rPr>
      <t xml:space="preserve"> Nilai Aset dalam Bangunan, Biaya Pembangunan Ulang
</t>
    </r>
    <r>
      <rPr>
        <b/>
        <i/>
        <sz val="11"/>
        <color rgb="FFFF0000"/>
        <rFont val="Calibri (Body)"/>
      </rPr>
      <t>*Penjelasan lebih lanjut pada lampiran 4</t>
    </r>
  </si>
  <si>
    <r>
      <rPr>
        <b/>
        <sz val="11"/>
        <color rgb="FF000000"/>
        <rFont val="Calibri"/>
        <scheme val="minor"/>
      </rPr>
      <t xml:space="preserve">Fasilitas Kesehatan:
</t>
    </r>
    <r>
      <rPr>
        <sz val="11"/>
        <color rgb="FF000000"/>
        <rFont val="Calibri"/>
        <scheme val="minor"/>
      </rPr>
      <t xml:space="preserve">Nominal kerugian struktur bangunan, Nominal kerugian isi bangunan, Komponen kerusakan bangunan, Komponen kerusakan barang
</t>
    </r>
    <r>
      <rPr>
        <b/>
        <i/>
        <sz val="11"/>
        <color rgb="FFFF0000"/>
        <rFont val="Calibri (Body)"/>
      </rPr>
      <t>*Penjelasan lebih lanjut pada lampiran 6</t>
    </r>
  </si>
  <si>
    <r>
      <rPr>
        <b/>
        <sz val="11"/>
        <color rgb="FF000000"/>
        <rFont val="Calibri"/>
        <scheme val="minor"/>
      </rPr>
      <t xml:space="preserve">Bangunan Sekolah :
Identitas &amp; Lokasi Aset : </t>
    </r>
    <r>
      <rPr>
        <sz val="11"/>
        <color rgb="FF000000"/>
        <rFont val="Calibri"/>
        <scheme val="minor"/>
      </rPr>
      <t xml:space="preserve">Nama Lokasi, Koordinat, Kecamatan, Kelurahan, Elevasi Tanah
</t>
    </r>
    <r>
      <rPr>
        <b/>
        <sz val="11"/>
        <color rgb="FF000000"/>
        <rFont val="Calibri"/>
        <scheme val="minor"/>
      </rPr>
      <t xml:space="preserve">Struktur &amp; Material : </t>
    </r>
    <r>
      <rPr>
        <sz val="11"/>
        <color rgb="FF000000"/>
        <rFont val="Calibri"/>
        <scheme val="minor"/>
      </rPr>
      <t xml:space="preserve">Jenis Bangunan (Panggung/Grounded), Material Utama (Beton/Bata/Kayu/Ulin)
</t>
    </r>
    <r>
      <rPr>
        <b/>
        <sz val="11"/>
        <color rgb="FF000000"/>
        <rFont val="Calibri"/>
        <scheme val="minor"/>
      </rPr>
      <t xml:space="preserve">Dimensi : </t>
    </r>
    <r>
      <rPr>
        <sz val="11"/>
        <color rgb="FF000000"/>
        <rFont val="Calibri"/>
        <scheme val="minor"/>
      </rPr>
      <t xml:space="preserve">Luas Bangunan, Jumlah Lantai, Tinggi lantai dasar dari permukaan tanah, Usia bangunan/ Tahun dibangun
</t>
    </r>
    <r>
      <rPr>
        <b/>
        <sz val="11"/>
        <color rgb="FF000000"/>
        <rFont val="Calibri"/>
        <scheme val="minor"/>
      </rPr>
      <t xml:space="preserve">Nilai Ekonomi Bangunan : </t>
    </r>
    <r>
      <rPr>
        <sz val="11"/>
        <color rgb="FF000000"/>
        <rFont val="Calibri"/>
        <scheme val="minor"/>
      </rPr>
      <t xml:space="preserve">Nilai Aset dalam Bangunan, Biaya Pembangunan Ulang
</t>
    </r>
    <r>
      <rPr>
        <b/>
        <i/>
        <sz val="11"/>
        <color rgb="FFFF0000"/>
        <rFont val="Calibri (Body)"/>
      </rPr>
      <t>*Penjelasan lebih lanjut pada lampiran 4</t>
    </r>
  </si>
  <si>
    <r>
      <rPr>
        <b/>
        <sz val="11"/>
        <color rgb="FF000000"/>
        <rFont val="Calibri"/>
        <scheme val="minor"/>
      </rPr>
      <t xml:space="preserve">Bangunan Sekolah :
</t>
    </r>
    <r>
      <rPr>
        <sz val="11"/>
        <color rgb="FF000000"/>
        <rFont val="Calibri"/>
        <scheme val="minor"/>
      </rPr>
      <t xml:space="preserve">Nominal kerugian struktur bangunan, Nominal kerugian isi bangunan, Komponen kerusakan bangunan, Komponen kerusakan barang
</t>
    </r>
    <r>
      <rPr>
        <b/>
        <i/>
        <sz val="11"/>
        <color rgb="FFFF0000"/>
        <rFont val="Calibri (Body)"/>
      </rPr>
      <t>*Penjelasan lebih lanjut pada lampiran 6</t>
    </r>
  </si>
  <si>
    <r>
      <rPr>
        <b/>
        <sz val="11"/>
        <color rgb="FF000000"/>
        <rFont val="Calibri"/>
        <scheme val="minor"/>
      </rPr>
      <t xml:space="preserve">Aset Komersial dan Industri :
Identitas &amp; Lokasi : </t>
    </r>
    <r>
      <rPr>
        <sz val="11"/>
        <color rgb="FF000000"/>
        <rFont val="Calibri"/>
        <scheme val="minor"/>
      </rPr>
      <t xml:space="preserve">Nama Lokasi, Koordinat, Kecamatan, Kelurahan, Elevasi Tanah
</t>
    </r>
    <r>
      <rPr>
        <b/>
        <sz val="11"/>
        <color rgb="FF000000"/>
        <rFont val="Calibri"/>
        <scheme val="minor"/>
      </rPr>
      <t xml:space="preserve">Struktur &amp; Material : </t>
    </r>
    <r>
      <rPr>
        <sz val="11"/>
        <color rgb="FF000000"/>
        <rFont val="Calibri"/>
        <scheme val="minor"/>
      </rPr>
      <t xml:space="preserve">Jenis Bangunan (Panggung/Grounded), Material Utama (Beton/Bata/Kayu/Ulin)
</t>
    </r>
    <r>
      <rPr>
        <b/>
        <sz val="11"/>
        <color rgb="FF000000"/>
        <rFont val="Calibri"/>
        <scheme val="minor"/>
      </rPr>
      <t xml:space="preserve">Dimensi : </t>
    </r>
    <r>
      <rPr>
        <sz val="11"/>
        <color rgb="FF000000"/>
        <rFont val="Calibri"/>
        <scheme val="minor"/>
      </rPr>
      <t xml:space="preserve">Luas Bangunan, Jumlah Lantai, Tinggi lantai dasar dari permukaan tanah, Usia bangunan/ Tahun dibangun
</t>
    </r>
    <r>
      <rPr>
        <b/>
        <sz val="11"/>
        <color rgb="FF000000"/>
        <rFont val="Calibri"/>
        <scheme val="minor"/>
      </rPr>
      <t xml:space="preserve">Nilai Ekonomi Bangunan : </t>
    </r>
    <r>
      <rPr>
        <sz val="11"/>
        <color rgb="FF000000"/>
        <rFont val="Calibri"/>
        <scheme val="minor"/>
      </rPr>
      <t xml:space="preserve">Rata-rata omzet harian, Biaya Pembangunan Ulang, Nilai Aset dalam Bangunan (Mesin &amp; Barang Produksi)
</t>
    </r>
    <r>
      <rPr>
        <b/>
        <i/>
        <sz val="11"/>
        <color rgb="FFFF0000"/>
        <rFont val="Calibri (Body)"/>
      </rPr>
      <t>*Penjelasan lebih lanjut pada lampiran 3</t>
    </r>
  </si>
  <si>
    <r>
      <rPr>
        <b/>
        <sz val="11"/>
        <color rgb="FF000000"/>
        <rFont val="Calibri"/>
        <scheme val="minor"/>
      </rPr>
      <t xml:space="preserve">Aset Komersial dan Industri :
</t>
    </r>
    <r>
      <rPr>
        <sz val="11"/>
        <color rgb="FF000000"/>
        <rFont val="Calibri"/>
        <scheme val="minor"/>
      </rPr>
      <t xml:space="preserve">Nominal kerugian barang produksi,Nominal kerugian mesin, Komponen kerusakan barang produksi, Komponen kerusakan mesin, Jumlah hari henti kerja akibat banjir, Omzet harian yang dihasilkan saat banjir &amp; fase pemulihan
</t>
    </r>
    <r>
      <rPr>
        <b/>
        <i/>
        <sz val="11"/>
        <color rgb="FFFF0000"/>
        <rFont val="Calibri (Body)"/>
      </rPr>
      <t>*Penjelasan lebih lanjut pada lampiran 7</t>
    </r>
  </si>
  <si>
    <r>
      <rPr>
        <b/>
        <sz val="11"/>
        <color rgb="FF000000"/>
        <rFont val="Calibri"/>
        <scheme val="minor"/>
      </rPr>
      <t xml:space="preserve">Residensial : </t>
    </r>
    <r>
      <rPr>
        <sz val="11"/>
        <color rgb="FF000000"/>
        <rFont val="Calibri"/>
        <scheme val="minor"/>
      </rPr>
      <t xml:space="preserve">Nominal kerugian struktur bangunan, Nominal kerugian isi bangunan, Komponen kerusakan bangunan, Komponen kerusakan barang, Jumlah hari henti kerja akibat banjir, Data Anggaran &amp; Realisasi Bantuan Pasca Banjir, Data Anggaran &amp; Realisasi Perbaikan Pasca Banjir
</t>
    </r>
    <r>
      <rPr>
        <b/>
        <sz val="11"/>
        <color rgb="FF000000"/>
        <rFont val="Calibri"/>
        <scheme val="minor"/>
      </rPr>
      <t xml:space="preserve">Bangunan Publik (Sekolah, Rumah Sakit, dsb) : </t>
    </r>
    <r>
      <rPr>
        <sz val="11"/>
        <color rgb="FF000000"/>
        <rFont val="Calibri"/>
        <scheme val="minor"/>
      </rPr>
      <t xml:space="preserve">Nominal kerugian struktur bangunan, Nominal kerugian isi bangunan, Komponen kerusakan bangunan, Komponen kerusakan barang
</t>
    </r>
    <r>
      <rPr>
        <b/>
        <i/>
        <sz val="11"/>
        <color rgb="FFFF0000"/>
        <rFont val="Calibri (Body)"/>
      </rPr>
      <t>*Penjelasan lebih lanjut pada lampiran 6</t>
    </r>
    <r>
      <rPr>
        <i/>
        <sz val="11"/>
        <color rgb="FF000000"/>
        <rFont val="Calibri"/>
        <scheme val="minor"/>
      </rPr>
      <t xml:space="preserve">
</t>
    </r>
    <r>
      <rPr>
        <b/>
        <sz val="11"/>
        <color rgb="FF000000"/>
        <rFont val="Calibri"/>
        <scheme val="minor"/>
      </rPr>
      <t xml:space="preserve">Infrastruktur (Jalan, Jembatan, Drainase, dsb) : </t>
    </r>
    <r>
      <rPr>
        <sz val="11"/>
        <color rgb="FF000000"/>
        <rFont val="Calibri"/>
        <scheme val="minor"/>
      </rPr>
      <t xml:space="preserve">Luas/lebar objek terdampak banjir, Biaya perbaikan pasca banjir
</t>
    </r>
    <r>
      <rPr>
        <b/>
        <i/>
        <sz val="11"/>
        <color rgb="FFFF0000"/>
        <rFont val="Calibri (Body)"/>
      </rPr>
      <t>*Penjelasan lebih lanjut pada lampiran 8</t>
    </r>
  </si>
  <si>
    <r>
      <rPr>
        <b/>
        <sz val="11"/>
        <color rgb="FF000000"/>
        <rFont val="Calibri"/>
        <scheme val="minor"/>
      </rPr>
      <t>Bangunan Publik  (Sekolah, Rumah Sakit, dsb) /Kantor:
Identitas &amp; Lokasi Aset :</t>
    </r>
    <r>
      <rPr>
        <sz val="11"/>
        <color rgb="FF000000"/>
        <rFont val="Calibri"/>
        <scheme val="minor"/>
      </rPr>
      <t xml:space="preserve"> Nama Lokasi, Koordinat, Kecamatan, Kelurahan, Elevasi Tanah
</t>
    </r>
    <r>
      <rPr>
        <b/>
        <sz val="11"/>
        <color rgb="FF000000"/>
        <rFont val="Calibri"/>
        <scheme val="minor"/>
      </rPr>
      <t>Struktur &amp; Material :</t>
    </r>
    <r>
      <rPr>
        <sz val="11"/>
        <color rgb="FF000000"/>
        <rFont val="Calibri"/>
        <scheme val="minor"/>
      </rPr>
      <t xml:space="preserve"> Jenis Bangunan (Panggung/Grounded), Material Utama (Beton/Bata/Kayu/Ulin)
</t>
    </r>
    <r>
      <rPr>
        <b/>
        <sz val="11"/>
        <color rgb="FF000000"/>
        <rFont val="Calibri"/>
        <scheme val="minor"/>
      </rPr>
      <t>Dimensi :</t>
    </r>
    <r>
      <rPr>
        <sz val="11"/>
        <color rgb="FF000000"/>
        <rFont val="Calibri"/>
        <scheme val="minor"/>
      </rPr>
      <t xml:space="preserve"> Luas Bangunan, Jumlah Lantai, Tinggi lantai dasar dari permukaan tanah, Usia bangunan/ Tahun dibangun
</t>
    </r>
    <r>
      <rPr>
        <b/>
        <sz val="11"/>
        <color rgb="FF000000"/>
        <rFont val="Calibri"/>
        <scheme val="minor"/>
      </rPr>
      <t>Nilai Ekonomi Bangunan :</t>
    </r>
    <r>
      <rPr>
        <sz val="11"/>
        <color rgb="FF000000"/>
        <rFont val="Calibri"/>
        <scheme val="minor"/>
      </rPr>
      <t xml:space="preserve"> Nilai Aset dalam Bangunan, Biaya Pembangunan Ulang
</t>
    </r>
    <r>
      <rPr>
        <b/>
        <i/>
        <sz val="11"/>
        <color rgb="FFFF0000"/>
        <rFont val="Calibri (Body)"/>
      </rPr>
      <t>*Penjelasan lebih lanjut pada lampiran 4</t>
    </r>
    <r>
      <rPr>
        <i/>
        <sz val="11"/>
        <color rgb="FF000000"/>
        <rFont val="Calibri"/>
        <scheme val="minor"/>
      </rPr>
      <t xml:space="preserve">
</t>
    </r>
    <r>
      <rPr>
        <sz val="11"/>
        <color rgb="FF000000"/>
        <rFont val="Calibri"/>
        <scheme val="minor"/>
      </rPr>
      <t xml:space="preserve">
</t>
    </r>
    <r>
      <rPr>
        <b/>
        <sz val="11"/>
        <color rgb="FF000000"/>
        <rFont val="Calibri"/>
        <scheme val="minor"/>
      </rPr>
      <t>Infrastruktur (Jalan, Jembatan, Drainase, dsb) :
Identitas &amp; Lokasi Aset Infrastruktur :</t>
    </r>
    <r>
      <rPr>
        <sz val="11"/>
        <color rgb="FF000000"/>
        <rFont val="Calibri"/>
        <scheme val="minor"/>
      </rPr>
      <t xml:space="preserve"> Nama Lokasi, Dinas Terkait, Koordinat, Kecamatan, Kelurahan, Elevasi Tanah
</t>
    </r>
    <r>
      <rPr>
        <b/>
        <sz val="11"/>
        <color rgb="FF000000"/>
        <rFont val="Calibri"/>
        <scheme val="minor"/>
      </rPr>
      <t>Struktur &amp; Material :</t>
    </r>
    <r>
      <rPr>
        <sz val="11"/>
        <color rgb="FF000000"/>
        <rFont val="Calibri"/>
        <scheme val="minor"/>
      </rPr>
      <t xml:space="preserve"> Jenis Bangunan, Material Utama (Beton/Bata/Kayu/Ulin)
</t>
    </r>
    <r>
      <rPr>
        <b/>
        <sz val="11"/>
        <color rgb="FF000000"/>
        <rFont val="Calibri"/>
        <scheme val="minor"/>
      </rPr>
      <t>Dimensi :</t>
    </r>
    <r>
      <rPr>
        <sz val="11"/>
        <color rgb="FF000000"/>
        <rFont val="Calibri"/>
        <scheme val="minor"/>
      </rPr>
      <t xml:space="preserve"> Luas/Panjang/Lebar Bangunan, Usia bangunan/ Tahun dibangun
</t>
    </r>
    <r>
      <rPr>
        <b/>
        <sz val="11"/>
        <color rgb="FF000000"/>
        <rFont val="Calibri"/>
        <scheme val="minor"/>
      </rPr>
      <t xml:space="preserve">Nilai Ekonomi Bangunan : </t>
    </r>
    <r>
      <rPr>
        <sz val="11"/>
        <color rgb="FF000000"/>
        <rFont val="Calibri"/>
        <scheme val="minor"/>
      </rPr>
      <t xml:space="preserve">Jadwal historis/rencana perbaikan, Biaya Pembangunan Ulang
</t>
    </r>
    <r>
      <rPr>
        <b/>
        <i/>
        <sz val="11"/>
        <color rgb="FFFF0000"/>
        <rFont val="Calibri (Body)"/>
      </rPr>
      <t>*Penjelasan lebih lanjut pada lampiran 5</t>
    </r>
  </si>
  <si>
    <r>
      <rPr>
        <b/>
        <sz val="11"/>
        <color rgb="FF000000"/>
        <rFont val="Calibri"/>
        <scheme val="minor"/>
      </rPr>
      <t xml:space="preserve">Bangunan Publik (Sekolah, Rumah Sakit, dsb)
</t>
    </r>
    <r>
      <rPr>
        <sz val="11"/>
        <color rgb="FF000000"/>
        <rFont val="Calibri"/>
        <scheme val="minor"/>
      </rPr>
      <t xml:space="preserve">Nominal kerugian struktur bangunan, Nominal kerugian isi bangunan, Komponen kerusakan bangunan, Komponen kerusakan barang
</t>
    </r>
    <r>
      <rPr>
        <b/>
        <i/>
        <sz val="11"/>
        <color rgb="FFFF0000"/>
        <rFont val="Calibri (Body)"/>
      </rPr>
      <t>*Penjelasan lebih lanjut pada lampiran 6</t>
    </r>
    <r>
      <rPr>
        <i/>
        <sz val="11"/>
        <color rgb="FF000000"/>
        <rFont val="Calibri"/>
        <scheme val="minor"/>
      </rPr>
      <t xml:space="preserve">
</t>
    </r>
    <r>
      <rPr>
        <b/>
        <sz val="11"/>
        <color rgb="FF000000"/>
        <rFont val="Calibri"/>
        <scheme val="minor"/>
      </rPr>
      <t xml:space="preserve">Infrastruktur (Jalan, Jembatan, Drainase, dsb)
</t>
    </r>
    <r>
      <rPr>
        <sz val="11"/>
        <color rgb="FF000000"/>
        <rFont val="Calibri"/>
        <scheme val="minor"/>
      </rPr>
      <t xml:space="preserve">Luas/lebar objek terdampak banjir, Biaya perbaikan pasca banjir
</t>
    </r>
    <r>
      <rPr>
        <b/>
        <i/>
        <sz val="11"/>
        <color rgb="FFFF0000"/>
        <rFont val="Calibri (Body)"/>
      </rPr>
      <t>*Penjelasan lebih lanjut pada lampiran 8</t>
    </r>
  </si>
  <si>
    <r>
      <rPr>
        <b/>
        <sz val="11"/>
        <color rgb="FF000000"/>
        <rFont val="Calibri"/>
        <scheme val="minor"/>
      </rPr>
      <t xml:space="preserve">Bangunan Publik (Sekolah, Rumah Sakit, dsb)
</t>
    </r>
    <r>
      <rPr>
        <sz val="11"/>
        <color rgb="FF000000"/>
        <rFont val="Calibri"/>
        <scheme val="minor"/>
      </rPr>
      <t xml:space="preserve">Nominal kerugian struktur bangunan, Nominal kerugian isi bangunan, Komponen kerusakan bangunan, Komponen kerusakan barang
</t>
    </r>
    <r>
      <rPr>
        <b/>
        <i/>
        <sz val="11"/>
        <color rgb="FFFF0000"/>
        <rFont val="Calibri (Body)"/>
      </rPr>
      <t>*Penjelasan lebih lanjut pada lampiran 6</t>
    </r>
    <r>
      <rPr>
        <i/>
        <sz val="11"/>
        <color rgb="FF000000"/>
        <rFont val="Calibri"/>
        <scheme val="minor"/>
      </rPr>
      <t xml:space="preserve">
</t>
    </r>
    <r>
      <rPr>
        <b/>
        <sz val="11"/>
        <color rgb="FF000000"/>
        <rFont val="Calibri"/>
        <scheme val="minor"/>
      </rPr>
      <t xml:space="preserve">Infrastruktur (Jalan, Jembatan, Drainase, dsb)
</t>
    </r>
    <r>
      <rPr>
        <sz val="11"/>
        <color rgb="FF000000"/>
        <rFont val="Calibri"/>
        <scheme val="minor"/>
      </rPr>
      <t xml:space="preserve">Luas/lebar objek terdampak banjir, Biaya perbaikan pasca banjir
</t>
    </r>
    <r>
      <rPr>
        <b/>
        <sz val="11"/>
        <color rgb="FFFF0000"/>
        <rFont val="Calibri (Body)"/>
      </rPr>
      <t>*Penjelasan lebih lanjut pada lampiran 8</t>
    </r>
  </si>
  <si>
    <r>
      <t xml:space="preserve">Bangunan Publik (Sekolah, Rumah Sakit, dsb)
Nominal kerugian struktur bangunan, Nominal kerugian isi bangunan, Komponen kerusakan bangunan, Komponen kerusakan barang
</t>
    </r>
    <r>
      <rPr>
        <b/>
        <sz val="11"/>
        <color rgb="FFFF0000"/>
        <rFont val="Calibri (Body)"/>
      </rPr>
      <t>*Penjelasan lebih lanjut pada lampiran 6</t>
    </r>
    <r>
      <rPr>
        <sz val="11"/>
        <color rgb="FF000000"/>
        <rFont val="Calibri"/>
        <family val="2"/>
        <scheme val="minor"/>
      </rPr>
      <t xml:space="preserve">
Infrastruktur (Jalan, Jembatan, Drainase, dsb)
Luas/lebar objek terdampak banjir, Biaya perbaikan pasca banjir
</t>
    </r>
    <r>
      <rPr>
        <b/>
        <sz val="11"/>
        <color rgb="FFFF0000"/>
        <rFont val="Calibri (Body)"/>
      </rPr>
      <t>*Penjelasan lebih lanjut pada lampiran 8</t>
    </r>
  </si>
  <si>
    <r>
      <t xml:space="preserve">Nominal kerugian barang produksi, Nominal kerugian mesin, Komponen kerusakan barang produksi, Komponen kerusakan mesin, Jumlah hari henti kerja akibat banjir, Omzet harian yang dihasilkan saat banjir &amp; fase pemulihan
</t>
    </r>
    <r>
      <rPr>
        <b/>
        <i/>
        <sz val="11"/>
        <color rgb="FFFF0000"/>
        <rFont val="Calibri (Body)"/>
      </rPr>
      <t>*Penjelasan lebih lanjut pada lampiran 7</t>
    </r>
  </si>
  <si>
    <r>
      <rPr>
        <b/>
        <sz val="11"/>
        <color rgb="FF000000"/>
        <rFont val="Calibri"/>
        <scheme val="minor"/>
      </rPr>
      <t>Bangunan Publik  (Sekolah, Rumah Sakit, dsb) /Kantor:
Identitas &amp; Lokasi Aset :</t>
    </r>
    <r>
      <rPr>
        <sz val="11"/>
        <color rgb="FF000000"/>
        <rFont val="Calibri"/>
        <scheme val="minor"/>
      </rPr>
      <t xml:space="preserve"> Nama Lokasi, Koordinat, Kecamatan, Kelurahan, Elevasi Tanah
</t>
    </r>
    <r>
      <rPr>
        <b/>
        <sz val="11"/>
        <color rgb="FF000000"/>
        <rFont val="Calibri"/>
        <scheme val="minor"/>
      </rPr>
      <t>Struktur &amp; Material :</t>
    </r>
    <r>
      <rPr>
        <sz val="11"/>
        <color rgb="FF000000"/>
        <rFont val="Calibri"/>
        <scheme val="minor"/>
      </rPr>
      <t xml:space="preserve"> Jenis Bangunan (Panggung/Grounded), Material Utama (Beton/Bata/Kayu/Ulin)
</t>
    </r>
    <r>
      <rPr>
        <b/>
        <sz val="11"/>
        <color rgb="FF000000"/>
        <rFont val="Calibri"/>
        <scheme val="minor"/>
      </rPr>
      <t>Dimensi :</t>
    </r>
    <r>
      <rPr>
        <sz val="11"/>
        <color rgb="FF000000"/>
        <rFont val="Calibri"/>
        <scheme val="minor"/>
      </rPr>
      <t xml:space="preserve"> Luas Bangunan, Jumlah Lantai, Tinggi lantai dasar dari permukaan tanah, Usia bangunan/ Tahun dibangun
</t>
    </r>
    <r>
      <rPr>
        <b/>
        <sz val="11"/>
        <color rgb="FF000000"/>
        <rFont val="Calibri"/>
        <scheme val="minor"/>
      </rPr>
      <t>Nilai Ekonomi Bangunan :</t>
    </r>
    <r>
      <rPr>
        <sz val="11"/>
        <color rgb="FF000000"/>
        <rFont val="Calibri"/>
        <scheme val="minor"/>
      </rPr>
      <t xml:space="preserve"> Nilai Aset dalam Bangunan, Biaya Pembangunan Ulang
</t>
    </r>
    <r>
      <rPr>
        <b/>
        <i/>
        <sz val="11"/>
        <color rgb="FFFF0000"/>
        <rFont val="Calibri (Body)"/>
      </rPr>
      <t xml:space="preserve">*Penjelasan lebih lanjut pada lampiran 4
</t>
    </r>
    <r>
      <rPr>
        <sz val="11"/>
        <color rgb="FF000000"/>
        <rFont val="Calibri"/>
        <scheme val="minor"/>
      </rPr>
      <t xml:space="preserve">
</t>
    </r>
    <r>
      <rPr>
        <b/>
        <sz val="11"/>
        <color rgb="FF000000"/>
        <rFont val="Calibri"/>
        <scheme val="minor"/>
      </rPr>
      <t>Infrastruktur (Jalan, Jembatan, Drainase, dsb) :
Identitas &amp; Lokasi Aset Infrastruktur :</t>
    </r>
    <r>
      <rPr>
        <sz val="11"/>
        <color rgb="FF000000"/>
        <rFont val="Calibri"/>
        <scheme val="minor"/>
      </rPr>
      <t xml:space="preserve"> Nama Lokasi, Dinas Terkait, Koordinat, Kecamatan, Kelurahan, Elevasi Tanah
</t>
    </r>
    <r>
      <rPr>
        <b/>
        <sz val="11"/>
        <color rgb="FF000000"/>
        <rFont val="Calibri"/>
        <scheme val="minor"/>
      </rPr>
      <t>Struktur &amp; Material :</t>
    </r>
    <r>
      <rPr>
        <sz val="11"/>
        <color rgb="FF000000"/>
        <rFont val="Calibri"/>
        <scheme val="minor"/>
      </rPr>
      <t xml:space="preserve"> Jenis Bangunan, Material Utama (Beton/Bata/Kayu/Ulin)
</t>
    </r>
    <r>
      <rPr>
        <b/>
        <sz val="11"/>
        <color rgb="FF000000"/>
        <rFont val="Calibri"/>
        <scheme val="minor"/>
      </rPr>
      <t>Dimensi :</t>
    </r>
    <r>
      <rPr>
        <sz val="11"/>
        <color rgb="FF000000"/>
        <rFont val="Calibri"/>
        <scheme val="minor"/>
      </rPr>
      <t xml:space="preserve"> Luas/Panjang/Lebar Bangunan, Usia bangunan/ Tahun dibangun
</t>
    </r>
    <r>
      <rPr>
        <b/>
        <sz val="11"/>
        <color rgb="FF000000"/>
        <rFont val="Calibri"/>
        <scheme val="minor"/>
      </rPr>
      <t xml:space="preserve">Nilai Ekonomi Bangunan : </t>
    </r>
    <r>
      <rPr>
        <sz val="11"/>
        <color rgb="FF000000"/>
        <rFont val="Calibri"/>
        <scheme val="minor"/>
      </rPr>
      <t xml:space="preserve">Jadwal historis/rencana perbaikan, Biaya Pembangunan Ulang
</t>
    </r>
    <r>
      <rPr>
        <b/>
        <i/>
        <sz val="11"/>
        <color rgb="FFFF0000"/>
        <rFont val="Calibri (Body)"/>
      </rPr>
      <t>*Penjelasan lebih lanjut pada lampiran 5</t>
    </r>
  </si>
  <si>
    <t>GUDANG CEMARA</t>
  </si>
  <si>
    <t>-0.03081230982095576</t>
  </si>
  <si>
    <t>109.33768517670795</t>
  </si>
  <si>
    <t>Benua Melayu Darat</t>
  </si>
  <si>
    <t>Batako dan Beton</t>
  </si>
  <si>
    <t>Jl. Gusti Sulung Lelanang No.3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</si>
</sst>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charset val="1"/>
    </font>
    <font>
      <i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i/>
      <sz val="11"/>
      <color rgb="FF000000"/>
      <name val="Calibri"/>
      <scheme val="minor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  <font>
      <b/>
      <sz val="11"/>
      <color theme="1"/>
      <name val="Aptos Narrow"/>
    </font>
    <font>
      <sz val="11"/>
      <color theme="4"/>
      <name val="Calibri"/>
      <family val="2"/>
      <scheme val="minor"/>
    </font>
    <font>
      <i/>
      <sz val="11"/>
      <color theme="4"/>
      <name val="Calibri"/>
      <family val="2"/>
      <scheme val="minor"/>
    </font>
    <font>
      <i/>
      <sz val="11"/>
      <color rgb="FF4472C4"/>
      <name val="Calibri"/>
      <scheme val="minor"/>
    </font>
    <font>
      <b/>
      <i/>
      <sz val="11"/>
      <color rgb="FFFF0000"/>
      <name val="Calibri (Body)"/>
    </font>
    <font>
      <b/>
      <sz val="11"/>
      <color rgb="FFFF0000"/>
      <name val="Calibri (Body)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43" fontId="24" fillId="0" borderId="0" applyFont="0" applyFill="0" applyBorder="0" applyAlignment="0" applyProtection="0"/>
  </cellStyleXfs>
  <cellXfs count="7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5" fillId="2" borderId="1" xfId="0" applyFont="1" applyFill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 wrapText="1" readingOrder="1"/>
    </xf>
    <xf numFmtId="0" fontId="0" fillId="0" borderId="1" xfId="0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0" xfId="0" applyAlignment="1">
      <alignment vertic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12" fillId="0" borderId="0" xfId="0" applyFont="1" applyAlignment="1">
      <alignment horizontal="left" vertical="center"/>
    </xf>
    <xf numFmtId="0" fontId="0" fillId="0" borderId="4" xfId="0" applyBorder="1"/>
    <xf numFmtId="0" fontId="16" fillId="3" borderId="0" xfId="0" applyFont="1" applyFill="1"/>
    <xf numFmtId="0" fontId="17" fillId="3" borderId="0" xfId="0" applyFont="1" applyFill="1"/>
    <xf numFmtId="0" fontId="11" fillId="0" borderId="4" xfId="0" applyFont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11" fillId="0" borderId="4" xfId="0" applyFont="1" applyBorder="1"/>
    <xf numFmtId="0" fontId="7" fillId="0" borderId="1" xfId="0" applyFont="1" applyBorder="1"/>
    <xf numFmtId="0" fontId="19" fillId="0" borderId="0" xfId="0" applyFont="1"/>
    <xf numFmtId="0" fontId="20" fillId="0" borderId="1" xfId="0" applyFont="1" applyBorder="1"/>
    <xf numFmtId="0" fontId="20" fillId="0" borderId="1" xfId="0" applyFont="1" applyBorder="1" applyAlignment="1">
      <alignment wrapText="1"/>
    </xf>
    <xf numFmtId="0" fontId="20" fillId="0" borderId="0" xfId="0" applyFont="1"/>
    <xf numFmtId="0" fontId="20" fillId="0" borderId="4" xfId="0" applyFont="1" applyBorder="1"/>
    <xf numFmtId="0" fontId="0" fillId="0" borderId="2" xfId="0" applyBorder="1"/>
    <xf numFmtId="0" fontId="20" fillId="0" borderId="6" xfId="0" applyFont="1" applyBorder="1"/>
    <xf numFmtId="0" fontId="21" fillId="0" borderId="1" xfId="0" applyFont="1" applyBorder="1"/>
    <xf numFmtId="0" fontId="0" fillId="0" borderId="2" xfId="0" applyBorder="1" applyAlignment="1">
      <alignment wrapText="1"/>
    </xf>
    <xf numFmtId="0" fontId="20" fillId="0" borderId="4" xfId="0" applyFont="1" applyBorder="1" applyAlignment="1">
      <alignment wrapText="1"/>
    </xf>
    <xf numFmtId="0" fontId="1" fillId="0" borderId="1" xfId="0" applyFont="1" applyBorder="1" applyAlignment="1">
      <alignment vertical="top" wrapText="1"/>
    </xf>
    <xf numFmtId="0" fontId="1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 readingOrder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25" fillId="0" borderId="0" xfId="0" applyFont="1"/>
    <xf numFmtId="0" fontId="25" fillId="0" borderId="1" xfId="0" applyFont="1" applyBorder="1"/>
    <xf numFmtId="0" fontId="25" fillId="0" borderId="1" xfId="0" applyFont="1" applyBorder="1" applyAlignment="1">
      <alignment wrapText="1"/>
    </xf>
    <xf numFmtId="0" fontId="25" fillId="0" borderId="1" xfId="0" quotePrefix="1" applyFont="1" applyBorder="1"/>
    <xf numFmtId="4" fontId="25" fillId="0" borderId="1" xfId="0" applyNumberFormat="1" applyFont="1" applyBorder="1"/>
    <xf numFmtId="3" fontId="25" fillId="0" borderId="1" xfId="0" applyNumberFormat="1" applyFont="1" applyBorder="1"/>
    <xf numFmtId="43" fontId="0" fillId="0" borderId="0" xfId="1" applyFont="1"/>
    <xf numFmtId="43" fontId="25" fillId="0" borderId="1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workbookViewId="0">
      <pane ySplit="1" topLeftCell="A6" activePane="bottomLeft" state="frozen"/>
      <selection pane="bottomLeft" activeCell="B9" sqref="B9:F9"/>
    </sheetView>
  </sheetViews>
  <sheetFormatPr defaultColWidth="8.77734375" defaultRowHeight="14.4"/>
  <cols>
    <col min="1" max="1" width="25.6640625" style="2" bestFit="1" customWidth="1"/>
    <col min="2" max="6" width="40.77734375" customWidth="1"/>
  </cols>
  <sheetData>
    <row r="1" spans="1:6" s="1" customFormat="1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</row>
    <row r="2" spans="1:6" s="1" customFormat="1" ht="86.4">
      <c r="A2" s="22" t="s">
        <v>6</v>
      </c>
      <c r="B2" s="23" t="s">
        <v>7</v>
      </c>
      <c r="C2" s="23" t="s">
        <v>8</v>
      </c>
      <c r="D2" s="23" t="s">
        <v>9</v>
      </c>
      <c r="E2" s="24" t="s">
        <v>10</v>
      </c>
      <c r="F2" s="24" t="s">
        <v>11</v>
      </c>
    </row>
    <row r="3" spans="1:6" s="1" customFormat="1" ht="57.6">
      <c r="A3" s="22" t="s">
        <v>12</v>
      </c>
      <c r="B3" s="23" t="s">
        <v>13</v>
      </c>
      <c r="C3" s="24" t="s">
        <v>14</v>
      </c>
      <c r="D3" s="24" t="s">
        <v>13</v>
      </c>
      <c r="E3" s="24" t="s">
        <v>13</v>
      </c>
      <c r="F3" s="24" t="s">
        <v>15</v>
      </c>
    </row>
    <row r="4" spans="1:6" ht="180" customHeight="1">
      <c r="A4" s="22" t="s">
        <v>16</v>
      </c>
      <c r="B4" s="41" t="s">
        <v>17</v>
      </c>
      <c r="C4" s="42"/>
      <c r="D4" s="42"/>
      <c r="E4" s="42"/>
      <c r="F4" s="42"/>
    </row>
    <row r="5" spans="1:6" ht="403.2">
      <c r="A5" s="22" t="s">
        <v>18</v>
      </c>
      <c r="B5" s="23" t="s">
        <v>19</v>
      </c>
      <c r="C5" s="23" t="s">
        <v>20</v>
      </c>
      <c r="D5" s="23" t="s">
        <v>21</v>
      </c>
      <c r="E5" s="23" t="s">
        <v>22</v>
      </c>
      <c r="F5" s="23" t="s">
        <v>23</v>
      </c>
    </row>
    <row r="6" spans="1:6" ht="246" customHeight="1">
      <c r="A6" s="25" t="s">
        <v>24</v>
      </c>
      <c r="B6" s="23" t="s">
        <v>25</v>
      </c>
      <c r="C6" s="23" t="s">
        <v>26</v>
      </c>
      <c r="D6" s="23" t="s">
        <v>27</v>
      </c>
      <c r="E6" s="23" t="s">
        <v>28</v>
      </c>
      <c r="F6" s="23" t="s">
        <v>29</v>
      </c>
    </row>
    <row r="7" spans="1:6" ht="114" customHeight="1">
      <c r="A7" s="43" t="s">
        <v>30</v>
      </c>
      <c r="B7" s="23" t="s">
        <v>31</v>
      </c>
      <c r="C7" s="24" t="s">
        <v>32</v>
      </c>
      <c r="D7" s="24" t="s">
        <v>33</v>
      </c>
      <c r="E7" s="24" t="s">
        <v>34</v>
      </c>
      <c r="F7" s="24" t="s">
        <v>35</v>
      </c>
    </row>
    <row r="8" spans="1:6" ht="54" customHeight="1">
      <c r="A8" s="44"/>
      <c r="B8" s="45" t="s">
        <v>36</v>
      </c>
      <c r="C8" s="46"/>
      <c r="D8" s="46"/>
      <c r="E8" s="46"/>
      <c r="F8" s="47"/>
    </row>
    <row r="9" spans="1:6" ht="60.75" customHeight="1">
      <c r="A9" s="22" t="s">
        <v>37</v>
      </c>
      <c r="B9" s="48" t="s">
        <v>38</v>
      </c>
      <c r="C9" s="49"/>
      <c r="D9" s="49"/>
      <c r="E9" s="49"/>
      <c r="F9" s="50"/>
    </row>
    <row r="10" spans="1:6">
      <c r="A10" s="22" t="s">
        <v>39</v>
      </c>
      <c r="B10" s="27" t="s">
        <v>40</v>
      </c>
      <c r="C10" s="26" t="s">
        <v>41</v>
      </c>
      <c r="D10" s="26" t="s">
        <v>41</v>
      </c>
      <c r="E10" s="26" t="s">
        <v>42</v>
      </c>
      <c r="F10" s="26" t="s">
        <v>42</v>
      </c>
    </row>
    <row r="11" spans="1:6">
      <c r="A11" s="22" t="s">
        <v>43</v>
      </c>
      <c r="B11" s="27">
        <v>5</v>
      </c>
      <c r="C11" s="26">
        <v>3</v>
      </c>
      <c r="D11" s="26">
        <v>4</v>
      </c>
      <c r="E11" s="26">
        <v>2</v>
      </c>
      <c r="F11" s="26">
        <v>1</v>
      </c>
    </row>
    <row r="12" spans="1:6" ht="43.2">
      <c r="A12" s="22" t="s">
        <v>44</v>
      </c>
      <c r="B12" s="14" t="s">
        <v>45</v>
      </c>
      <c r="C12" s="14" t="s">
        <v>46</v>
      </c>
      <c r="D12" s="14" t="s">
        <v>47</v>
      </c>
      <c r="E12" s="14" t="s">
        <v>48</v>
      </c>
      <c r="F12" s="14" t="s">
        <v>49</v>
      </c>
    </row>
    <row r="13" spans="1:6" ht="43.2">
      <c r="A13" s="22" t="s">
        <v>50</v>
      </c>
      <c r="B13" s="14" t="s">
        <v>51</v>
      </c>
      <c r="C13" s="14" t="s">
        <v>52</v>
      </c>
      <c r="D13" s="14" t="s">
        <v>53</v>
      </c>
      <c r="E13" s="14" t="s">
        <v>54</v>
      </c>
      <c r="F13" s="14" t="s">
        <v>49</v>
      </c>
    </row>
  </sheetData>
  <mergeCells count="4">
    <mergeCell ref="B4:F4"/>
    <mergeCell ref="A7:A8"/>
    <mergeCell ref="B8:F8"/>
    <mergeCell ref="B9:F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E7509-BD45-403E-A323-773A8C40EF70}">
  <dimension ref="A1:D91"/>
  <sheetViews>
    <sheetView topLeftCell="B84" workbookViewId="0">
      <selection activeCell="B89" sqref="B89:B91"/>
    </sheetView>
  </sheetViews>
  <sheetFormatPr defaultColWidth="8.77734375" defaultRowHeight="14.4"/>
  <cols>
    <col min="1" max="1" width="6.44140625" style="2" bestFit="1" customWidth="1"/>
    <col min="2" max="2" width="54.6640625" style="2" customWidth="1"/>
    <col min="3" max="3" width="22" style="2" bestFit="1" customWidth="1"/>
    <col min="4" max="4" width="158.109375" style="3" customWidth="1"/>
  </cols>
  <sheetData>
    <row r="1" spans="1:4">
      <c r="A1" s="4" t="s">
        <v>55</v>
      </c>
      <c r="B1" s="4" t="s">
        <v>56</v>
      </c>
      <c r="C1" s="4" t="s">
        <v>57</v>
      </c>
      <c r="D1" s="9" t="s">
        <v>58</v>
      </c>
    </row>
    <row r="2" spans="1:4">
      <c r="A2" s="51">
        <v>1</v>
      </c>
      <c r="B2" s="51" t="s">
        <v>59</v>
      </c>
      <c r="C2" s="5" t="s">
        <v>16</v>
      </c>
      <c r="D2" s="6"/>
    </row>
    <row r="3" spans="1:4" ht="85.8">
      <c r="A3" s="51"/>
      <c r="B3" s="51"/>
      <c r="C3" s="5" t="s">
        <v>18</v>
      </c>
      <c r="D3" s="8" t="s">
        <v>198</v>
      </c>
    </row>
    <row r="4" spans="1:4" ht="28.2">
      <c r="A4" s="51"/>
      <c r="B4" s="51"/>
      <c r="C4" s="5" t="s">
        <v>24</v>
      </c>
      <c r="D4" s="8" t="s">
        <v>199</v>
      </c>
    </row>
    <row r="5" spans="1:4" ht="28.8">
      <c r="A5" s="51">
        <v>2</v>
      </c>
      <c r="B5" s="51" t="s">
        <v>60</v>
      </c>
      <c r="C5" s="5" t="s">
        <v>16</v>
      </c>
      <c r="D5" s="6" t="s">
        <v>61</v>
      </c>
    </row>
    <row r="6" spans="1:4" ht="186.6">
      <c r="A6" s="51"/>
      <c r="B6" s="51"/>
      <c r="C6" s="5" t="s">
        <v>18</v>
      </c>
      <c r="D6" s="8" t="s">
        <v>200</v>
      </c>
    </row>
    <row r="7" spans="1:4" ht="100.2">
      <c r="A7" s="51"/>
      <c r="B7" s="51"/>
      <c r="C7" s="5" t="s">
        <v>24</v>
      </c>
      <c r="D7" s="8" t="s">
        <v>201</v>
      </c>
    </row>
    <row r="8" spans="1:4">
      <c r="A8" s="51">
        <v>3</v>
      </c>
      <c r="B8" s="51" t="s">
        <v>62</v>
      </c>
      <c r="C8" s="5" t="s">
        <v>16</v>
      </c>
      <c r="D8" s="40" t="s">
        <v>63</v>
      </c>
    </row>
    <row r="9" spans="1:4" ht="85.8">
      <c r="A9" s="51"/>
      <c r="B9" s="51"/>
      <c r="C9" s="5" t="s">
        <v>18</v>
      </c>
      <c r="D9" s="8" t="s">
        <v>203</v>
      </c>
    </row>
    <row r="10" spans="1:4">
      <c r="A10" s="51"/>
      <c r="B10" s="51"/>
      <c r="C10" s="5" t="s">
        <v>24</v>
      </c>
      <c r="D10" s="6" t="s">
        <v>64</v>
      </c>
    </row>
    <row r="11" spans="1:4">
      <c r="A11" s="51">
        <v>4</v>
      </c>
      <c r="B11" s="51" t="s">
        <v>65</v>
      </c>
      <c r="C11" s="5" t="s">
        <v>16</v>
      </c>
      <c r="D11" s="6" t="s">
        <v>66</v>
      </c>
    </row>
    <row r="12" spans="1:4">
      <c r="A12" s="51"/>
      <c r="B12" s="51"/>
      <c r="C12" s="5" t="s">
        <v>18</v>
      </c>
    </row>
    <row r="13" spans="1:4">
      <c r="A13" s="51"/>
      <c r="B13" s="51"/>
      <c r="C13" s="5" t="s">
        <v>24</v>
      </c>
      <c r="D13" s="6"/>
    </row>
    <row r="14" spans="1:4">
      <c r="A14" s="51">
        <v>5</v>
      </c>
      <c r="B14" s="51" t="s">
        <v>67</v>
      </c>
      <c r="C14" s="5" t="s">
        <v>16</v>
      </c>
      <c r="D14" s="6"/>
    </row>
    <row r="15" spans="1:4" ht="71.400000000000006">
      <c r="A15" s="51"/>
      <c r="B15" s="51"/>
      <c r="C15" s="5" t="s">
        <v>18</v>
      </c>
      <c r="D15" s="8" t="s">
        <v>202</v>
      </c>
    </row>
    <row r="16" spans="1:4" ht="42.6">
      <c r="A16" s="51"/>
      <c r="B16" s="51"/>
      <c r="C16" s="5" t="s">
        <v>24</v>
      </c>
      <c r="D16" s="8" t="s">
        <v>204</v>
      </c>
    </row>
    <row r="17" spans="1:4">
      <c r="A17" s="51">
        <v>6</v>
      </c>
      <c r="B17" s="51" t="s">
        <v>68</v>
      </c>
      <c r="C17" s="5" t="s">
        <v>16</v>
      </c>
      <c r="D17" s="6"/>
    </row>
    <row r="18" spans="1:4" ht="85.8">
      <c r="A18" s="51"/>
      <c r="B18" s="51"/>
      <c r="C18" s="5" t="s">
        <v>18</v>
      </c>
      <c r="D18" s="8" t="s">
        <v>205</v>
      </c>
    </row>
    <row r="19" spans="1:4" ht="28.2">
      <c r="A19" s="51"/>
      <c r="B19" s="51"/>
      <c r="C19" s="5" t="s">
        <v>24</v>
      </c>
      <c r="D19" s="8" t="s">
        <v>199</v>
      </c>
    </row>
    <row r="20" spans="1:4">
      <c r="A20" s="51">
        <v>7</v>
      </c>
      <c r="B20" s="51" t="s">
        <v>69</v>
      </c>
      <c r="C20" s="5" t="s">
        <v>16</v>
      </c>
      <c r="D20" s="6" t="s">
        <v>66</v>
      </c>
    </row>
    <row r="21" spans="1:4">
      <c r="A21" s="51"/>
      <c r="B21" s="51"/>
      <c r="C21" s="5" t="s">
        <v>18</v>
      </c>
      <c r="D21" s="6"/>
    </row>
    <row r="22" spans="1:4" ht="28.2">
      <c r="A22" s="51"/>
      <c r="B22" s="51"/>
      <c r="C22" s="5" t="s">
        <v>24</v>
      </c>
      <c r="D22" s="8" t="s">
        <v>206</v>
      </c>
    </row>
    <row r="23" spans="1:4">
      <c r="A23" s="51">
        <v>8</v>
      </c>
      <c r="B23" s="51" t="s">
        <v>70</v>
      </c>
      <c r="C23" s="5" t="s">
        <v>16</v>
      </c>
      <c r="D23" s="6" t="s">
        <v>71</v>
      </c>
    </row>
    <row r="24" spans="1:4">
      <c r="A24" s="51"/>
      <c r="B24" s="51"/>
      <c r="C24" s="5" t="s">
        <v>18</v>
      </c>
      <c r="D24" s="6"/>
    </row>
    <row r="25" spans="1:4">
      <c r="A25" s="51"/>
      <c r="B25" s="51"/>
      <c r="C25" s="5" t="s">
        <v>24</v>
      </c>
      <c r="D25" s="6" t="s">
        <v>72</v>
      </c>
    </row>
    <row r="26" spans="1:4">
      <c r="A26" s="51">
        <v>9</v>
      </c>
      <c r="B26" s="51" t="s">
        <v>73</v>
      </c>
      <c r="C26" s="5" t="s">
        <v>16</v>
      </c>
      <c r="D26" s="6"/>
    </row>
    <row r="27" spans="1:4" ht="85.8">
      <c r="A27" s="51"/>
      <c r="B27" s="51"/>
      <c r="C27" s="5" t="s">
        <v>18</v>
      </c>
      <c r="D27" s="8" t="s">
        <v>207</v>
      </c>
    </row>
    <row r="28" spans="1:4" ht="72">
      <c r="A28" s="51"/>
      <c r="B28" s="51"/>
      <c r="C28" s="5" t="s">
        <v>24</v>
      </c>
      <c r="D28" s="8" t="s">
        <v>208</v>
      </c>
    </row>
    <row r="29" spans="1:4">
      <c r="A29" s="51">
        <v>10</v>
      </c>
      <c r="B29" s="51" t="s">
        <v>74</v>
      </c>
      <c r="C29" s="5" t="s">
        <v>16</v>
      </c>
      <c r="D29" s="6"/>
    </row>
    <row r="30" spans="1:4" ht="42.6">
      <c r="A30" s="51"/>
      <c r="B30" s="51"/>
      <c r="C30" s="5" t="s">
        <v>18</v>
      </c>
      <c r="D30" s="8" t="s">
        <v>209</v>
      </c>
    </row>
    <row r="31" spans="1:4" ht="28.8">
      <c r="A31" s="51"/>
      <c r="B31" s="51"/>
      <c r="C31" s="5" t="s">
        <v>24</v>
      </c>
      <c r="D31" s="8" t="s">
        <v>75</v>
      </c>
    </row>
    <row r="32" spans="1:4">
      <c r="A32" s="51">
        <v>11</v>
      </c>
      <c r="B32" s="51" t="s">
        <v>76</v>
      </c>
      <c r="C32" s="5" t="s">
        <v>16</v>
      </c>
      <c r="D32" s="6"/>
    </row>
    <row r="33" spans="1:4" ht="85.8">
      <c r="A33" s="51"/>
      <c r="B33" s="51"/>
      <c r="C33" s="5" t="s">
        <v>18</v>
      </c>
      <c r="D33" s="8" t="s">
        <v>210</v>
      </c>
    </row>
    <row r="34" spans="1:4" ht="57">
      <c r="A34" s="51"/>
      <c r="B34" s="51"/>
      <c r="C34" s="5" t="s">
        <v>24</v>
      </c>
      <c r="D34" s="8" t="s">
        <v>211</v>
      </c>
    </row>
    <row r="35" spans="1:4">
      <c r="A35" s="51">
        <v>12</v>
      </c>
      <c r="B35" s="51" t="s">
        <v>77</v>
      </c>
      <c r="C35" s="5" t="s">
        <v>16</v>
      </c>
      <c r="D35" s="7"/>
    </row>
    <row r="36" spans="1:4">
      <c r="A36" s="51"/>
      <c r="B36" s="51"/>
      <c r="C36" s="5" t="s">
        <v>18</v>
      </c>
      <c r="D36" s="7"/>
    </row>
    <row r="37" spans="1:4" ht="28.8">
      <c r="A37" s="51"/>
      <c r="B37" s="51"/>
      <c r="C37" s="5" t="s">
        <v>24</v>
      </c>
      <c r="D37" s="6" t="s">
        <v>78</v>
      </c>
    </row>
    <row r="38" spans="1:4">
      <c r="A38" s="51">
        <v>13</v>
      </c>
      <c r="B38" s="51" t="s">
        <v>79</v>
      </c>
      <c r="C38" s="5" t="s">
        <v>16</v>
      </c>
      <c r="D38" s="6"/>
    </row>
    <row r="39" spans="1:4" ht="85.8">
      <c r="A39" s="51"/>
      <c r="B39" s="51"/>
      <c r="C39" s="5" t="s">
        <v>18</v>
      </c>
      <c r="D39" s="8" t="s">
        <v>212</v>
      </c>
    </row>
    <row r="40" spans="1:4" ht="42.6">
      <c r="A40" s="51"/>
      <c r="B40" s="51"/>
      <c r="C40" s="5" t="s">
        <v>24</v>
      </c>
      <c r="D40" s="8" t="s">
        <v>213</v>
      </c>
    </row>
    <row r="41" spans="1:4">
      <c r="A41" s="51">
        <v>14</v>
      </c>
      <c r="B41" s="51" t="s">
        <v>80</v>
      </c>
      <c r="C41" s="5" t="s">
        <v>16</v>
      </c>
      <c r="D41" s="6"/>
    </row>
    <row r="42" spans="1:4">
      <c r="A42" s="51"/>
      <c r="B42" s="51"/>
      <c r="C42" s="5" t="s">
        <v>18</v>
      </c>
      <c r="D42" s="6"/>
    </row>
    <row r="43" spans="1:4">
      <c r="A43" s="51"/>
      <c r="B43" s="51"/>
      <c r="C43" s="5" t="s">
        <v>24</v>
      </c>
      <c r="D43" s="6"/>
    </row>
    <row r="44" spans="1:4">
      <c r="A44" s="51">
        <v>15</v>
      </c>
      <c r="B44" s="51" t="s">
        <v>81</v>
      </c>
      <c r="C44" s="5" t="s">
        <v>16</v>
      </c>
      <c r="D44" s="6"/>
    </row>
    <row r="45" spans="1:4">
      <c r="A45" s="51"/>
      <c r="B45" s="51"/>
      <c r="C45" s="5" t="s">
        <v>18</v>
      </c>
      <c r="D45" s="6"/>
    </row>
    <row r="46" spans="1:4">
      <c r="A46" s="51"/>
      <c r="B46" s="51"/>
      <c r="C46" s="5" t="s">
        <v>24</v>
      </c>
      <c r="D46" s="6"/>
    </row>
    <row r="47" spans="1:4">
      <c r="A47" s="51">
        <v>16</v>
      </c>
      <c r="B47" s="51" t="s">
        <v>82</v>
      </c>
      <c r="C47" s="5" t="s">
        <v>16</v>
      </c>
      <c r="D47" s="6"/>
    </row>
    <row r="48" spans="1:4" ht="85.8">
      <c r="A48" s="51"/>
      <c r="B48" s="51"/>
      <c r="C48" s="5" t="s">
        <v>18</v>
      </c>
      <c r="D48" s="8" t="s">
        <v>214</v>
      </c>
    </row>
    <row r="49" spans="1:4" ht="42.6">
      <c r="A49" s="51"/>
      <c r="B49" s="51"/>
      <c r="C49" s="5" t="s">
        <v>24</v>
      </c>
      <c r="D49" s="8" t="s">
        <v>215</v>
      </c>
    </row>
    <row r="50" spans="1:4">
      <c r="A50" s="51">
        <v>17</v>
      </c>
      <c r="B50" s="51" t="s">
        <v>83</v>
      </c>
      <c r="C50" s="5" t="s">
        <v>16</v>
      </c>
      <c r="D50" s="6"/>
    </row>
    <row r="51" spans="1:4" ht="85.8">
      <c r="A51" s="51"/>
      <c r="B51" s="51"/>
      <c r="C51" s="5" t="s">
        <v>18</v>
      </c>
      <c r="D51" s="8" t="s">
        <v>216</v>
      </c>
    </row>
    <row r="52" spans="1:4" ht="57">
      <c r="A52" s="51"/>
      <c r="B52" s="51"/>
      <c r="C52" s="5" t="s">
        <v>24</v>
      </c>
      <c r="D52" s="8" t="s">
        <v>217</v>
      </c>
    </row>
    <row r="53" spans="1:4">
      <c r="A53" s="51">
        <v>18</v>
      </c>
      <c r="B53" s="51" t="s">
        <v>68</v>
      </c>
      <c r="C53" s="5" t="s">
        <v>16</v>
      </c>
      <c r="D53" s="6"/>
    </row>
    <row r="54" spans="1:4">
      <c r="A54" s="51"/>
      <c r="B54" s="51"/>
      <c r="C54" s="5" t="s">
        <v>18</v>
      </c>
      <c r="D54" s="6"/>
    </row>
    <row r="55" spans="1:4">
      <c r="A55" s="51"/>
      <c r="B55" s="51"/>
      <c r="C55" s="5" t="s">
        <v>24</v>
      </c>
      <c r="D55" s="6"/>
    </row>
    <row r="56" spans="1:4">
      <c r="A56" s="51">
        <v>19</v>
      </c>
      <c r="B56" s="51" t="s">
        <v>84</v>
      </c>
      <c r="C56" s="5" t="s">
        <v>16</v>
      </c>
      <c r="D56" s="6"/>
    </row>
    <row r="57" spans="1:4">
      <c r="A57" s="51"/>
      <c r="B57" s="51"/>
      <c r="C57" s="5" t="s">
        <v>18</v>
      </c>
      <c r="D57" s="6"/>
    </row>
    <row r="58" spans="1:4" ht="100.2">
      <c r="A58" s="51"/>
      <c r="B58" s="51"/>
      <c r="C58" s="5" t="s">
        <v>24</v>
      </c>
      <c r="D58" s="8" t="s">
        <v>218</v>
      </c>
    </row>
    <row r="59" spans="1:4">
      <c r="A59" s="51">
        <v>20</v>
      </c>
      <c r="B59" s="51" t="s">
        <v>85</v>
      </c>
      <c r="C59" s="5" t="s">
        <v>16</v>
      </c>
      <c r="D59" s="6"/>
    </row>
    <row r="60" spans="1:4" ht="186.6">
      <c r="A60" s="51"/>
      <c r="B60" s="51"/>
      <c r="C60" s="5" t="s">
        <v>18</v>
      </c>
      <c r="D60" s="8" t="s">
        <v>219</v>
      </c>
    </row>
    <row r="61" spans="1:4" ht="85.8">
      <c r="A61" s="51"/>
      <c r="B61" s="51"/>
      <c r="C61" s="5" t="s">
        <v>24</v>
      </c>
      <c r="D61" s="8" t="s">
        <v>220</v>
      </c>
    </row>
    <row r="62" spans="1:4">
      <c r="A62" s="51">
        <v>21</v>
      </c>
      <c r="B62" s="51" t="s">
        <v>86</v>
      </c>
      <c r="C62" s="5" t="s">
        <v>16</v>
      </c>
      <c r="D62" s="6"/>
    </row>
    <row r="63" spans="1:4" ht="186.6">
      <c r="A63" s="51"/>
      <c r="B63" s="51"/>
      <c r="C63" s="5" t="s">
        <v>18</v>
      </c>
      <c r="D63" s="8" t="s">
        <v>219</v>
      </c>
    </row>
    <row r="64" spans="1:4" ht="85.8">
      <c r="A64" s="51"/>
      <c r="B64" s="51"/>
      <c r="C64" s="5" t="s">
        <v>24</v>
      </c>
      <c r="D64" s="8" t="s">
        <v>221</v>
      </c>
    </row>
    <row r="65" spans="1:4">
      <c r="A65" s="51">
        <v>22</v>
      </c>
      <c r="B65" s="51" t="s">
        <v>87</v>
      </c>
      <c r="C65" s="5" t="s">
        <v>16</v>
      </c>
      <c r="D65" s="6"/>
    </row>
    <row r="66" spans="1:4" ht="186.6">
      <c r="A66" s="51"/>
      <c r="B66" s="51"/>
      <c r="C66" s="5" t="s">
        <v>18</v>
      </c>
      <c r="D66" s="8" t="s">
        <v>219</v>
      </c>
    </row>
    <row r="67" spans="1:4" ht="85.8">
      <c r="A67" s="51"/>
      <c r="B67" s="51"/>
      <c r="C67" s="5" t="s">
        <v>24</v>
      </c>
      <c r="D67" s="8" t="s">
        <v>221</v>
      </c>
    </row>
    <row r="68" spans="1:4">
      <c r="A68" s="51">
        <v>23</v>
      </c>
      <c r="B68" s="51" t="s">
        <v>88</v>
      </c>
      <c r="C68" s="5" t="s">
        <v>16</v>
      </c>
      <c r="D68" s="6"/>
    </row>
    <row r="69" spans="1:4" ht="186.6">
      <c r="A69" s="51"/>
      <c r="B69" s="51"/>
      <c r="C69" s="5" t="s">
        <v>18</v>
      </c>
      <c r="D69" s="8" t="s">
        <v>219</v>
      </c>
    </row>
    <row r="70" spans="1:4" ht="85.8">
      <c r="A70" s="51"/>
      <c r="B70" s="51"/>
      <c r="C70" s="5" t="s">
        <v>24</v>
      </c>
      <c r="D70" s="8" t="s">
        <v>220</v>
      </c>
    </row>
    <row r="71" spans="1:4">
      <c r="A71" s="51">
        <v>24</v>
      </c>
      <c r="B71" s="51" t="s">
        <v>89</v>
      </c>
      <c r="C71" s="5" t="s">
        <v>16</v>
      </c>
      <c r="D71" s="6"/>
    </row>
    <row r="72" spans="1:4" ht="186.6">
      <c r="A72" s="51"/>
      <c r="B72" s="51"/>
      <c r="C72" s="5" t="s">
        <v>18</v>
      </c>
      <c r="D72" s="8" t="s">
        <v>219</v>
      </c>
    </row>
    <row r="73" spans="1:4" ht="85.8">
      <c r="A73" s="51"/>
      <c r="B73" s="51"/>
      <c r="C73" s="5" t="s">
        <v>24</v>
      </c>
      <c r="D73" s="8" t="s">
        <v>222</v>
      </c>
    </row>
    <row r="74" spans="1:4">
      <c r="A74" s="51">
        <v>25</v>
      </c>
      <c r="B74" s="51" t="s">
        <v>90</v>
      </c>
      <c r="C74" s="5" t="s">
        <v>16</v>
      </c>
      <c r="D74" s="6"/>
    </row>
    <row r="75" spans="1:4" ht="186.6">
      <c r="A75" s="51"/>
      <c r="B75" s="51"/>
      <c r="C75" s="5" t="s">
        <v>18</v>
      </c>
      <c r="D75" s="8" t="s">
        <v>219</v>
      </c>
    </row>
    <row r="76" spans="1:4" ht="85.8">
      <c r="A76" s="51"/>
      <c r="B76" s="51"/>
      <c r="C76" s="5" t="s">
        <v>24</v>
      </c>
      <c r="D76" s="8" t="s">
        <v>221</v>
      </c>
    </row>
    <row r="77" spans="1:4">
      <c r="A77" s="51">
        <v>26</v>
      </c>
      <c r="B77" s="51" t="s">
        <v>91</v>
      </c>
      <c r="C77" s="5" t="s">
        <v>16</v>
      </c>
      <c r="D77" s="6"/>
    </row>
    <row r="78" spans="1:4" ht="186.6">
      <c r="A78" s="51"/>
      <c r="B78" s="51"/>
      <c r="C78" s="5" t="s">
        <v>18</v>
      </c>
      <c r="D78" s="8" t="s">
        <v>219</v>
      </c>
    </row>
    <row r="79" spans="1:4" ht="85.8">
      <c r="A79" s="51"/>
      <c r="B79" s="51"/>
      <c r="C79" s="5" t="s">
        <v>24</v>
      </c>
      <c r="D79" s="8" t="s">
        <v>221</v>
      </c>
    </row>
    <row r="80" spans="1:4">
      <c r="A80" s="51">
        <v>27</v>
      </c>
      <c r="B80" s="51" t="s">
        <v>92</v>
      </c>
      <c r="C80" s="5" t="s">
        <v>16</v>
      </c>
      <c r="D80" s="6"/>
    </row>
    <row r="81" spans="1:4" ht="186">
      <c r="A81" s="51"/>
      <c r="B81" s="51"/>
      <c r="C81" s="5" t="s">
        <v>18</v>
      </c>
      <c r="D81" s="8" t="s">
        <v>224</v>
      </c>
    </row>
    <row r="82" spans="1:4" ht="85.8">
      <c r="A82" s="51"/>
      <c r="B82" s="51"/>
      <c r="C82" s="5" t="s">
        <v>24</v>
      </c>
      <c r="D82" s="8" t="s">
        <v>221</v>
      </c>
    </row>
    <row r="83" spans="1:4">
      <c r="A83" s="51">
        <v>28</v>
      </c>
      <c r="B83" s="51" t="s">
        <v>93</v>
      </c>
      <c r="C83" s="5" t="s">
        <v>16</v>
      </c>
      <c r="D83" s="6"/>
    </row>
    <row r="84" spans="1:4" ht="186.6">
      <c r="A84" s="51"/>
      <c r="B84" s="51"/>
      <c r="C84" s="5" t="s">
        <v>18</v>
      </c>
      <c r="D84" s="8" t="s">
        <v>219</v>
      </c>
    </row>
    <row r="85" spans="1:4" ht="85.8">
      <c r="A85" s="51"/>
      <c r="B85" s="51"/>
      <c r="C85" s="5" t="s">
        <v>24</v>
      </c>
      <c r="D85" s="8" t="s">
        <v>221</v>
      </c>
    </row>
    <row r="86" spans="1:4">
      <c r="A86" s="51">
        <v>29</v>
      </c>
      <c r="B86" s="51" t="s">
        <v>94</v>
      </c>
      <c r="C86" s="5" t="s">
        <v>16</v>
      </c>
      <c r="D86" s="6"/>
    </row>
    <row r="87" spans="1:4">
      <c r="A87" s="51"/>
      <c r="B87" s="51"/>
      <c r="C87" s="5" t="s">
        <v>18</v>
      </c>
      <c r="D87" s="6"/>
    </row>
    <row r="88" spans="1:4">
      <c r="A88" s="51"/>
      <c r="B88" s="51"/>
      <c r="C88" s="5" t="s">
        <v>24</v>
      </c>
      <c r="D88" s="6"/>
    </row>
    <row r="89" spans="1:4">
      <c r="A89" s="51">
        <v>30</v>
      </c>
      <c r="B89" s="51" t="s">
        <v>95</v>
      </c>
      <c r="C89" s="5" t="s">
        <v>16</v>
      </c>
      <c r="D89" s="6"/>
    </row>
    <row r="90" spans="1:4" ht="71.400000000000006">
      <c r="A90" s="51"/>
      <c r="B90" s="51"/>
      <c r="C90" s="5" t="s">
        <v>18</v>
      </c>
      <c r="D90" s="8" t="s">
        <v>202</v>
      </c>
    </row>
    <row r="91" spans="1:4" ht="42.6">
      <c r="A91" s="51"/>
      <c r="B91" s="51"/>
      <c r="C91" s="5" t="s">
        <v>24</v>
      </c>
      <c r="D91" s="8" t="s">
        <v>223</v>
      </c>
    </row>
  </sheetData>
  <autoFilter ref="A1:D1" xr:uid="{3FBE7509-BD45-403E-A323-773A8C40EF70}"/>
  <mergeCells count="60">
    <mergeCell ref="A11:A13"/>
    <mergeCell ref="B11:B13"/>
    <mergeCell ref="A14:A16"/>
    <mergeCell ref="B14:B16"/>
    <mergeCell ref="A2:A4"/>
    <mergeCell ref="B2:B4"/>
    <mergeCell ref="A5:A7"/>
    <mergeCell ref="B5:B7"/>
    <mergeCell ref="A8:A10"/>
    <mergeCell ref="B8:B10"/>
    <mergeCell ref="A17:A19"/>
    <mergeCell ref="B17:B19"/>
    <mergeCell ref="A20:A22"/>
    <mergeCell ref="B20:B22"/>
    <mergeCell ref="A23:A25"/>
    <mergeCell ref="B23:B25"/>
    <mergeCell ref="A26:A28"/>
    <mergeCell ref="B26:B28"/>
    <mergeCell ref="A29:A31"/>
    <mergeCell ref="B29:B31"/>
    <mergeCell ref="A32:A34"/>
    <mergeCell ref="B32:B34"/>
    <mergeCell ref="A35:A37"/>
    <mergeCell ref="B35:B37"/>
    <mergeCell ref="A38:A40"/>
    <mergeCell ref="B38:B40"/>
    <mergeCell ref="A41:A43"/>
    <mergeCell ref="B41:B43"/>
    <mergeCell ref="A44:A46"/>
    <mergeCell ref="B44:B46"/>
    <mergeCell ref="A47:A49"/>
    <mergeCell ref="B47:B49"/>
    <mergeCell ref="A50:A52"/>
    <mergeCell ref="B50:B52"/>
    <mergeCell ref="A53:A55"/>
    <mergeCell ref="B53:B55"/>
    <mergeCell ref="A56:A58"/>
    <mergeCell ref="B56:B58"/>
    <mergeCell ref="A59:A61"/>
    <mergeCell ref="B59:B61"/>
    <mergeCell ref="A62:A64"/>
    <mergeCell ref="B62:B64"/>
    <mergeCell ref="A65:A67"/>
    <mergeCell ref="B65:B67"/>
    <mergeCell ref="A68:A70"/>
    <mergeCell ref="B68:B70"/>
    <mergeCell ref="A71:A73"/>
    <mergeCell ref="B71:B73"/>
    <mergeCell ref="A74:A76"/>
    <mergeCell ref="B74:B76"/>
    <mergeCell ref="A77:A79"/>
    <mergeCell ref="B77:B79"/>
    <mergeCell ref="A89:A91"/>
    <mergeCell ref="B89:B91"/>
    <mergeCell ref="A80:A82"/>
    <mergeCell ref="B80:B82"/>
    <mergeCell ref="A83:A85"/>
    <mergeCell ref="B83:B85"/>
    <mergeCell ref="A86:A88"/>
    <mergeCell ref="B86:B8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89526-2555-478F-800A-ADD42AF4A406}">
  <dimension ref="B2:Q11"/>
  <sheetViews>
    <sheetView workbookViewId="0">
      <selection activeCell="B7" sqref="B7:B9"/>
    </sheetView>
  </sheetViews>
  <sheetFormatPr defaultColWidth="8.77734375" defaultRowHeight="14.4"/>
  <cols>
    <col min="2" max="2" width="3.44140625" bestFit="1" customWidth="1"/>
    <col min="3" max="3" width="12.33203125" bestFit="1" customWidth="1"/>
    <col min="4" max="4" width="20.33203125" bestFit="1" customWidth="1"/>
    <col min="5" max="5" width="17.77734375" bestFit="1" customWidth="1"/>
    <col min="6" max="6" width="19.33203125" bestFit="1" customWidth="1"/>
    <col min="7" max="7" width="16.6640625" bestFit="1" customWidth="1"/>
    <col min="8" max="8" width="12" bestFit="1" customWidth="1"/>
    <col min="9" max="9" width="26.44140625" bestFit="1" customWidth="1"/>
    <col min="10" max="11" width="14.77734375" bestFit="1" customWidth="1"/>
    <col min="12" max="12" width="19.33203125" bestFit="1" customWidth="1"/>
    <col min="13" max="13" width="13.44140625" bestFit="1" customWidth="1"/>
    <col min="14" max="14" width="42.44140625" customWidth="1"/>
    <col min="15" max="15" width="15.33203125" bestFit="1" customWidth="1"/>
    <col min="16" max="16" width="25.77734375" bestFit="1" customWidth="1"/>
    <col min="17" max="17" width="25" bestFit="1" customWidth="1"/>
  </cols>
  <sheetData>
    <row r="2" spans="2:17">
      <c r="B2" s="10" t="s">
        <v>96</v>
      </c>
    </row>
    <row r="3" spans="2:17">
      <c r="B3" s="10" t="s">
        <v>97</v>
      </c>
    </row>
    <row r="4" spans="2:17">
      <c r="B4" s="10" t="s">
        <v>98</v>
      </c>
    </row>
    <row r="5" spans="2:17">
      <c r="B5" s="10" t="s">
        <v>99</v>
      </c>
    </row>
    <row r="7" spans="2:17">
      <c r="B7" s="52" t="s">
        <v>55</v>
      </c>
      <c r="C7" s="53" t="s">
        <v>100</v>
      </c>
      <c r="D7" s="53"/>
      <c r="E7" s="53"/>
      <c r="F7" s="53"/>
      <c r="G7" s="53"/>
      <c r="H7" s="53"/>
      <c r="I7" s="53"/>
      <c r="J7" s="53" t="s">
        <v>101</v>
      </c>
      <c r="K7" s="53"/>
      <c r="L7" s="53"/>
      <c r="M7" s="53"/>
      <c r="N7" s="53"/>
      <c r="O7" s="53"/>
      <c r="P7" s="53" t="s">
        <v>102</v>
      </c>
      <c r="Q7" s="53"/>
    </row>
    <row r="8" spans="2:17">
      <c r="B8" s="52"/>
      <c r="C8" s="53" t="s">
        <v>103</v>
      </c>
      <c r="D8" s="53" t="s">
        <v>104</v>
      </c>
      <c r="E8" s="53" t="s">
        <v>105</v>
      </c>
      <c r="F8" s="53" t="s">
        <v>106</v>
      </c>
      <c r="G8" s="53" t="s">
        <v>107</v>
      </c>
      <c r="H8" s="53" t="s">
        <v>108</v>
      </c>
      <c r="I8" s="53" t="s">
        <v>109</v>
      </c>
      <c r="J8" s="53" t="s">
        <v>110</v>
      </c>
      <c r="K8" s="53"/>
      <c r="L8" s="53" t="s">
        <v>111</v>
      </c>
      <c r="M8" s="53"/>
      <c r="N8" s="53"/>
      <c r="O8" s="11" t="s">
        <v>112</v>
      </c>
      <c r="P8" s="54" t="s">
        <v>113</v>
      </c>
      <c r="Q8" s="54" t="s">
        <v>114</v>
      </c>
    </row>
    <row r="9" spans="2:17">
      <c r="B9" s="52"/>
      <c r="C9" s="53"/>
      <c r="D9" s="53"/>
      <c r="E9" s="53"/>
      <c r="F9" s="53"/>
      <c r="G9" s="53"/>
      <c r="H9" s="53"/>
      <c r="I9" s="53"/>
      <c r="J9" s="12" t="s">
        <v>115</v>
      </c>
      <c r="K9" s="12" t="s">
        <v>116</v>
      </c>
      <c r="L9" s="12" t="s">
        <v>117</v>
      </c>
      <c r="M9" s="12" t="s">
        <v>118</v>
      </c>
      <c r="N9" s="12" t="s">
        <v>119</v>
      </c>
      <c r="O9" s="12" t="s">
        <v>120</v>
      </c>
      <c r="P9" s="55"/>
      <c r="Q9" s="55"/>
    </row>
    <row r="10" spans="2:17" ht="100.8">
      <c r="B10" s="13"/>
      <c r="C10" s="13"/>
      <c r="D10" s="13"/>
      <c r="E10" s="13"/>
      <c r="F10" s="13"/>
      <c r="G10" s="13"/>
      <c r="H10" s="13"/>
      <c r="I10" s="13"/>
      <c r="J10" s="14" t="s">
        <v>121</v>
      </c>
      <c r="K10" s="14" t="s">
        <v>122</v>
      </c>
      <c r="L10" s="13"/>
      <c r="M10" s="13"/>
      <c r="N10" s="13"/>
      <c r="O10" s="13"/>
      <c r="P10" s="13"/>
      <c r="Q10" s="13"/>
    </row>
    <row r="11" spans="2:17" s="30" customFormat="1">
      <c r="B11" s="31">
        <v>1</v>
      </c>
      <c r="C11" s="31">
        <v>123177072</v>
      </c>
      <c r="D11" s="31" t="s">
        <v>123</v>
      </c>
      <c r="E11" s="31">
        <v>9.03465E-3</v>
      </c>
      <c r="F11" s="31">
        <v>109.298898199999</v>
      </c>
      <c r="G11" s="31">
        <v>1</v>
      </c>
      <c r="H11" s="31" t="s">
        <v>124</v>
      </c>
      <c r="I11" s="31" t="s">
        <v>90</v>
      </c>
      <c r="J11" s="32" t="s">
        <v>125</v>
      </c>
      <c r="K11" s="32" t="s">
        <v>126</v>
      </c>
      <c r="L11" s="31">
        <v>45</v>
      </c>
      <c r="M11" s="31">
        <v>2</v>
      </c>
      <c r="N11" s="31">
        <v>20</v>
      </c>
      <c r="O11" s="31">
        <v>1945</v>
      </c>
      <c r="P11" s="31">
        <v>3000000</v>
      </c>
      <c r="Q11" s="31">
        <v>500000000</v>
      </c>
    </row>
  </sheetData>
  <mergeCells count="15">
    <mergeCell ref="B7:B9"/>
    <mergeCell ref="C7:I7"/>
    <mergeCell ref="J7:O7"/>
    <mergeCell ref="P7:Q7"/>
    <mergeCell ref="C8:C9"/>
    <mergeCell ref="D8:D9"/>
    <mergeCell ref="E8:E9"/>
    <mergeCell ref="F8:F9"/>
    <mergeCell ref="G8:G9"/>
    <mergeCell ref="H8:H9"/>
    <mergeCell ref="I8:I9"/>
    <mergeCell ref="J8:K8"/>
    <mergeCell ref="L8:N8"/>
    <mergeCell ref="P8:P9"/>
    <mergeCell ref="Q8:Q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4AB71-9D8D-4EBF-AE6B-2C19501997F8}">
  <dimension ref="B2:P11"/>
  <sheetViews>
    <sheetView workbookViewId="0">
      <selection activeCell="B7" sqref="B7:P11"/>
    </sheetView>
  </sheetViews>
  <sheetFormatPr defaultColWidth="8.77734375" defaultRowHeight="14.4"/>
  <cols>
    <col min="2" max="2" width="3.44140625" bestFit="1" customWidth="1"/>
    <col min="3" max="3" width="20.33203125" bestFit="1" customWidth="1"/>
    <col min="4" max="4" width="11.44140625" bestFit="1" customWidth="1"/>
    <col min="5" max="5" width="12.44140625" bestFit="1" customWidth="1"/>
    <col min="6" max="6" width="16.6640625" bestFit="1" customWidth="1"/>
    <col min="7" max="7" width="12" bestFit="1" customWidth="1"/>
    <col min="8" max="8" width="26.44140625" bestFit="1" customWidth="1"/>
    <col min="9" max="9" width="20.44140625" customWidth="1"/>
    <col min="10" max="10" width="21.109375" bestFit="1" customWidth="1"/>
    <col min="11" max="11" width="15" bestFit="1" customWidth="1"/>
    <col min="12" max="12" width="13.77734375" bestFit="1" customWidth="1"/>
    <col min="13" max="13" width="45.109375" bestFit="1" customWidth="1"/>
    <col min="14" max="14" width="25" bestFit="1" customWidth="1"/>
    <col min="15" max="15" width="16.33203125" bestFit="1" customWidth="1"/>
    <col min="16" max="16" width="16.109375" bestFit="1" customWidth="1"/>
  </cols>
  <sheetData>
    <row r="2" spans="2:16">
      <c r="B2" s="10" t="s">
        <v>127</v>
      </c>
    </row>
    <row r="3" spans="2:16">
      <c r="B3" s="10" t="s">
        <v>128</v>
      </c>
    </row>
    <row r="4" spans="2:16">
      <c r="B4" s="10" t="s">
        <v>98</v>
      </c>
    </row>
    <row r="5" spans="2:16">
      <c r="B5" s="10" t="s">
        <v>129</v>
      </c>
    </row>
    <row r="6" spans="2:16">
      <c r="B6" s="15"/>
    </row>
    <row r="7" spans="2:16">
      <c r="B7" s="52" t="s">
        <v>55</v>
      </c>
      <c r="C7" s="56" t="s">
        <v>100</v>
      </c>
      <c r="D7" s="57"/>
      <c r="E7" s="57"/>
      <c r="F7" s="57"/>
      <c r="G7" s="57"/>
      <c r="H7" s="58"/>
      <c r="I7" s="53" t="s">
        <v>101</v>
      </c>
      <c r="J7" s="53"/>
      <c r="K7" s="53"/>
      <c r="L7" s="53"/>
      <c r="M7" s="53"/>
      <c r="N7" s="53" t="s">
        <v>102</v>
      </c>
      <c r="O7" s="53"/>
      <c r="P7" s="53"/>
    </row>
    <row r="8" spans="2:16">
      <c r="B8" s="52"/>
      <c r="C8" s="59" t="s">
        <v>104</v>
      </c>
      <c r="D8" s="53" t="s">
        <v>130</v>
      </c>
      <c r="E8" s="53"/>
      <c r="F8" s="53" t="s">
        <v>107</v>
      </c>
      <c r="G8" s="53" t="s">
        <v>131</v>
      </c>
      <c r="H8" s="53"/>
      <c r="I8" s="56" t="s">
        <v>110</v>
      </c>
      <c r="J8" s="58"/>
      <c r="K8" s="53" t="s">
        <v>111</v>
      </c>
      <c r="L8" s="53"/>
      <c r="M8" s="53"/>
      <c r="N8" s="53" t="s">
        <v>132</v>
      </c>
      <c r="O8" s="53" t="s">
        <v>133</v>
      </c>
      <c r="P8" s="53" t="s">
        <v>134</v>
      </c>
    </row>
    <row r="9" spans="2:16">
      <c r="B9" s="52"/>
      <c r="C9" s="60"/>
      <c r="D9" s="12" t="s">
        <v>135</v>
      </c>
      <c r="E9" s="12" t="s">
        <v>136</v>
      </c>
      <c r="F9" s="53"/>
      <c r="G9" s="12" t="s">
        <v>108</v>
      </c>
      <c r="H9" s="12" t="s">
        <v>109</v>
      </c>
      <c r="I9" s="12" t="s">
        <v>137</v>
      </c>
      <c r="J9" s="12" t="s">
        <v>138</v>
      </c>
      <c r="K9" s="12" t="s">
        <v>139</v>
      </c>
      <c r="L9" s="12" t="s">
        <v>140</v>
      </c>
      <c r="M9" s="12" t="s">
        <v>141</v>
      </c>
      <c r="N9" s="53"/>
      <c r="O9" s="53"/>
      <c r="P9" s="53"/>
    </row>
    <row r="10" spans="2:16" ht="57.6">
      <c r="B10" s="13"/>
      <c r="C10" s="13"/>
      <c r="D10" s="13"/>
      <c r="E10" s="13"/>
      <c r="F10" s="13"/>
      <c r="G10" s="13"/>
      <c r="H10" s="13"/>
      <c r="I10" s="14" t="s">
        <v>142</v>
      </c>
      <c r="J10" s="14" t="s">
        <v>143</v>
      </c>
      <c r="K10" s="13"/>
      <c r="L10" s="14" t="s">
        <v>144</v>
      </c>
      <c r="M10" s="13"/>
      <c r="N10" s="13"/>
      <c r="O10" s="13"/>
      <c r="P10" s="13"/>
    </row>
    <row r="11" spans="2:16">
      <c r="B11" s="31">
        <v>1</v>
      </c>
      <c r="C11" s="31" t="s">
        <v>123</v>
      </c>
      <c r="D11" s="31">
        <v>9.03465E-3</v>
      </c>
      <c r="E11" s="31">
        <v>109.298898199999</v>
      </c>
      <c r="F11" s="31">
        <v>1</v>
      </c>
      <c r="G11" s="31" t="s">
        <v>124</v>
      </c>
      <c r="H11" s="31" t="s">
        <v>90</v>
      </c>
      <c r="I11" s="32" t="s">
        <v>145</v>
      </c>
      <c r="J11" s="32" t="s">
        <v>146</v>
      </c>
      <c r="K11" s="31">
        <v>45</v>
      </c>
      <c r="L11" s="31" t="s">
        <v>147</v>
      </c>
      <c r="M11" s="31">
        <v>20</v>
      </c>
      <c r="N11" s="31">
        <v>3000000</v>
      </c>
      <c r="O11" s="31">
        <v>3000000</v>
      </c>
      <c r="P11" s="31" t="s">
        <v>148</v>
      </c>
    </row>
  </sheetData>
  <mergeCells count="13">
    <mergeCell ref="N8:N9"/>
    <mergeCell ref="O8:O9"/>
    <mergeCell ref="P8:P9"/>
    <mergeCell ref="B7:B9"/>
    <mergeCell ref="C7:H7"/>
    <mergeCell ref="I7:M7"/>
    <mergeCell ref="N7:P7"/>
    <mergeCell ref="C8:C9"/>
    <mergeCell ref="D8:E8"/>
    <mergeCell ref="F8:F9"/>
    <mergeCell ref="G8:H8"/>
    <mergeCell ref="I8:J8"/>
    <mergeCell ref="K8:M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C166A-4110-4DF6-BE91-C4820EE96F88}">
  <dimension ref="B2:S14"/>
  <sheetViews>
    <sheetView tabSelected="1" topLeftCell="A3" workbookViewId="0">
      <selection activeCell="F17" sqref="F17"/>
    </sheetView>
  </sheetViews>
  <sheetFormatPr defaultColWidth="8.77734375" defaultRowHeight="14.4"/>
  <cols>
    <col min="2" max="2" width="3.44140625" bestFit="1" customWidth="1"/>
    <col min="3" max="3" width="12.33203125" bestFit="1" customWidth="1"/>
    <col min="4" max="4" width="20.33203125" bestFit="1" customWidth="1"/>
    <col min="5" max="5" width="17.77734375" bestFit="1" customWidth="1"/>
    <col min="6" max="6" width="19.33203125" bestFit="1" customWidth="1"/>
    <col min="7" max="7" width="16.6640625" bestFit="1" customWidth="1"/>
    <col min="8" max="8" width="12" bestFit="1" customWidth="1"/>
    <col min="9" max="9" width="26.44140625" bestFit="1" customWidth="1"/>
    <col min="10" max="11" width="14.77734375" bestFit="1" customWidth="1"/>
    <col min="12" max="12" width="19.33203125" bestFit="1" customWidth="1"/>
    <col min="13" max="13" width="13.44140625" bestFit="1" customWidth="1"/>
    <col min="14" max="14" width="18.109375" customWidth="1"/>
    <col min="15" max="15" width="15.33203125" bestFit="1" customWidth="1"/>
    <col min="16" max="16" width="12.77734375" customWidth="1"/>
    <col min="17" max="17" width="24.6640625" bestFit="1" customWidth="1"/>
    <col min="18" max="18" width="8.6640625" customWidth="1"/>
    <col min="19" max="19" width="15.6640625" customWidth="1"/>
  </cols>
  <sheetData>
    <row r="2" spans="2:19">
      <c r="B2" s="10" t="s">
        <v>149</v>
      </c>
    </row>
    <row r="3" spans="2:19">
      <c r="B3" s="10" t="s">
        <v>97</v>
      </c>
    </row>
    <row r="4" spans="2:19">
      <c r="B4" s="10" t="s">
        <v>98</v>
      </c>
    </row>
    <row r="5" spans="2:19">
      <c r="B5" s="10" t="s">
        <v>150</v>
      </c>
    </row>
    <row r="7" spans="2:19">
      <c r="B7" s="52" t="s">
        <v>55</v>
      </c>
      <c r="C7" s="53" t="s">
        <v>100</v>
      </c>
      <c r="D7" s="53"/>
      <c r="E7" s="53"/>
      <c r="F7" s="53"/>
      <c r="G7" s="53"/>
      <c r="H7" s="53"/>
      <c r="I7" s="53"/>
      <c r="J7" s="53" t="s">
        <v>101</v>
      </c>
      <c r="K7" s="53"/>
      <c r="L7" s="53"/>
      <c r="M7" s="53"/>
      <c r="N7" s="53"/>
      <c r="O7" s="56"/>
      <c r="P7" s="62" t="s">
        <v>102</v>
      </c>
      <c r="Q7" s="63"/>
      <c r="R7" s="63"/>
      <c r="S7" s="64"/>
    </row>
    <row r="8" spans="2:19">
      <c r="B8" s="52"/>
      <c r="C8" s="59" t="s">
        <v>103</v>
      </c>
      <c r="D8" s="59" t="s">
        <v>104</v>
      </c>
      <c r="E8" s="59" t="s">
        <v>105</v>
      </c>
      <c r="F8" s="59" t="s">
        <v>106</v>
      </c>
      <c r="G8" s="53" t="s">
        <v>107</v>
      </c>
      <c r="H8" s="59" t="s">
        <v>108</v>
      </c>
      <c r="I8" s="59" t="s">
        <v>109</v>
      </c>
      <c r="J8" s="53" t="s">
        <v>110</v>
      </c>
      <c r="K8" s="53"/>
      <c r="L8" s="53" t="s">
        <v>111</v>
      </c>
      <c r="M8" s="53"/>
      <c r="N8" s="53"/>
      <c r="O8" s="19" t="s">
        <v>112</v>
      </c>
      <c r="P8" s="65" t="s">
        <v>151</v>
      </c>
      <c r="Q8" s="53" t="s">
        <v>152</v>
      </c>
      <c r="R8" s="61" t="s">
        <v>153</v>
      </c>
      <c r="S8" s="61"/>
    </row>
    <row r="9" spans="2:19">
      <c r="B9" s="52"/>
      <c r="C9" s="60"/>
      <c r="D9" s="60"/>
      <c r="E9" s="60"/>
      <c r="F9" s="60"/>
      <c r="G9" s="53"/>
      <c r="H9" s="60"/>
      <c r="I9" s="60"/>
      <c r="J9" s="12" t="s">
        <v>115</v>
      </c>
      <c r="K9" s="12" t="s">
        <v>116</v>
      </c>
      <c r="L9" s="12" t="s">
        <v>117</v>
      </c>
      <c r="M9" s="12" t="s">
        <v>118</v>
      </c>
      <c r="N9" s="12" t="s">
        <v>119</v>
      </c>
      <c r="O9" s="28" t="s">
        <v>120</v>
      </c>
      <c r="P9" s="65"/>
      <c r="Q9" s="53"/>
      <c r="R9" s="12" t="s">
        <v>154</v>
      </c>
      <c r="S9" s="29" t="s">
        <v>155</v>
      </c>
    </row>
    <row r="10" spans="2:19" ht="100.8">
      <c r="B10" s="13"/>
      <c r="C10" s="13"/>
      <c r="D10" s="13"/>
      <c r="E10" s="13"/>
      <c r="F10" s="13"/>
      <c r="G10" s="13"/>
      <c r="H10" s="13"/>
      <c r="I10" s="13"/>
      <c r="J10" s="14" t="s">
        <v>121</v>
      </c>
      <c r="K10" s="14" t="s">
        <v>122</v>
      </c>
      <c r="L10" s="13"/>
      <c r="M10" s="13"/>
      <c r="N10" s="13"/>
      <c r="O10" s="16"/>
      <c r="P10" s="13"/>
      <c r="Q10" s="13"/>
      <c r="R10" s="14"/>
      <c r="S10" s="13"/>
    </row>
    <row r="11" spans="2:19">
      <c r="B11" s="31">
        <v>1</v>
      </c>
      <c r="C11" s="31">
        <v>123177072</v>
      </c>
      <c r="D11" s="31" t="s">
        <v>156</v>
      </c>
      <c r="E11" s="31">
        <v>9.03465E-3</v>
      </c>
      <c r="F11" s="31">
        <v>109.298898199999</v>
      </c>
      <c r="G11" s="31">
        <v>1</v>
      </c>
      <c r="H11" s="31" t="s">
        <v>124</v>
      </c>
      <c r="I11" s="31" t="s">
        <v>90</v>
      </c>
      <c r="J11" s="32" t="s">
        <v>125</v>
      </c>
      <c r="K11" s="32" t="s">
        <v>126</v>
      </c>
      <c r="L11" s="31">
        <v>45</v>
      </c>
      <c r="M11" s="31">
        <v>2</v>
      </c>
      <c r="N11" s="31">
        <v>20</v>
      </c>
      <c r="O11" s="31">
        <v>1945</v>
      </c>
      <c r="P11" s="31">
        <v>3000000</v>
      </c>
      <c r="Q11" s="31">
        <v>500000000</v>
      </c>
      <c r="R11" s="31">
        <v>3000000</v>
      </c>
      <c r="S11" s="31">
        <v>5000000</v>
      </c>
    </row>
    <row r="12" spans="2:19" s="70" customFormat="1" ht="28.8">
      <c r="B12" s="71">
        <v>1</v>
      </c>
      <c r="C12" s="71"/>
      <c r="D12" s="71" t="s">
        <v>225</v>
      </c>
      <c r="E12" s="73" t="s">
        <v>226</v>
      </c>
      <c r="F12" s="73" t="s">
        <v>227</v>
      </c>
      <c r="G12" s="71">
        <v>1</v>
      </c>
      <c r="H12" s="71" t="s">
        <v>228</v>
      </c>
      <c r="I12" s="71" t="s">
        <v>88</v>
      </c>
      <c r="J12" s="72" t="s">
        <v>125</v>
      </c>
      <c r="K12" s="72" t="s">
        <v>229</v>
      </c>
      <c r="L12" s="77">
        <f>1400+465+210+160</f>
        <v>2235</v>
      </c>
      <c r="M12" s="71">
        <v>1</v>
      </c>
      <c r="N12" s="71">
        <v>25</v>
      </c>
      <c r="O12" s="71">
        <v>1978</v>
      </c>
      <c r="P12" s="71">
        <v>0</v>
      </c>
      <c r="Q12" s="74">
        <v>5618239930</v>
      </c>
      <c r="R12" s="71">
        <v>0</v>
      </c>
      <c r="S12" s="75">
        <v>21995661474</v>
      </c>
    </row>
    <row r="13" spans="2:19">
      <c r="D13" t="s">
        <v>230</v>
      </c>
    </row>
    <row r="14" spans="2:19">
      <c r="Q14" s="76"/>
    </row>
  </sheetData>
  <mergeCells count="16">
    <mergeCell ref="R8:S8"/>
    <mergeCell ref="P7:S7"/>
    <mergeCell ref="B7:B9"/>
    <mergeCell ref="C7:I7"/>
    <mergeCell ref="J7:O7"/>
    <mergeCell ref="C8:C9"/>
    <mergeCell ref="D8:D9"/>
    <mergeCell ref="E8:E9"/>
    <mergeCell ref="F8:F9"/>
    <mergeCell ref="G8:G9"/>
    <mergeCell ref="H8:H9"/>
    <mergeCell ref="I8:I9"/>
    <mergeCell ref="J8:K8"/>
    <mergeCell ref="L8:N8"/>
    <mergeCell ref="P8:P9"/>
    <mergeCell ref="Q8:Q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62915-194E-484D-AD65-3C432C607E83}">
  <dimension ref="B2:T14"/>
  <sheetViews>
    <sheetView topLeftCell="A3" workbookViewId="0">
      <selection activeCell="B7" sqref="B7:Q11"/>
    </sheetView>
  </sheetViews>
  <sheetFormatPr defaultColWidth="8.77734375" defaultRowHeight="14.4"/>
  <cols>
    <col min="2" max="2" width="3.44140625" bestFit="1" customWidth="1"/>
    <col min="3" max="3" width="12.33203125" bestFit="1" customWidth="1"/>
    <col min="4" max="4" width="20.33203125" bestFit="1" customWidth="1"/>
    <col min="5" max="5" width="17.77734375" bestFit="1" customWidth="1"/>
    <col min="6" max="6" width="19.33203125" bestFit="1" customWidth="1"/>
    <col min="7" max="7" width="16.6640625" bestFit="1" customWidth="1"/>
    <col min="8" max="8" width="12" bestFit="1" customWidth="1"/>
    <col min="9" max="9" width="26.44140625" bestFit="1" customWidth="1"/>
    <col min="10" max="11" width="14.77734375" bestFit="1" customWidth="1"/>
    <col min="12" max="12" width="19.33203125" bestFit="1" customWidth="1"/>
    <col min="13" max="13" width="13.44140625" bestFit="1" customWidth="1"/>
    <col min="14" max="14" width="42.44140625" bestFit="1" customWidth="1"/>
    <col min="15" max="15" width="15.33203125" bestFit="1" customWidth="1"/>
    <col min="16" max="16" width="24.6640625" bestFit="1" customWidth="1"/>
    <col min="17" max="17" width="25.109375" bestFit="1" customWidth="1"/>
  </cols>
  <sheetData>
    <row r="2" spans="2:20">
      <c r="B2" s="10" t="s">
        <v>157</v>
      </c>
    </row>
    <row r="3" spans="2:20">
      <c r="B3" s="10" t="s">
        <v>97</v>
      </c>
    </row>
    <row r="4" spans="2:20">
      <c r="B4" s="10" t="s">
        <v>98</v>
      </c>
    </row>
    <row r="5" spans="2:20">
      <c r="B5" s="10" t="s">
        <v>158</v>
      </c>
    </row>
    <row r="7" spans="2:20">
      <c r="B7" s="52" t="s">
        <v>55</v>
      </c>
      <c r="C7" s="53" t="s">
        <v>100</v>
      </c>
      <c r="D7" s="53"/>
      <c r="E7" s="53"/>
      <c r="F7" s="53"/>
      <c r="G7" s="53"/>
      <c r="H7" s="53"/>
      <c r="I7" s="53"/>
      <c r="J7" s="53" t="s">
        <v>101</v>
      </c>
      <c r="K7" s="53"/>
      <c r="L7" s="53"/>
      <c r="M7" s="53"/>
      <c r="N7" s="53"/>
      <c r="O7" s="53"/>
      <c r="P7" s="53" t="s">
        <v>102</v>
      </c>
      <c r="Q7" s="53"/>
    </row>
    <row r="8" spans="2:20">
      <c r="B8" s="52"/>
      <c r="C8" s="53" t="s">
        <v>103</v>
      </c>
      <c r="D8" s="53" t="s">
        <v>104</v>
      </c>
      <c r="E8" s="53" t="s">
        <v>105</v>
      </c>
      <c r="F8" s="53" t="s">
        <v>106</v>
      </c>
      <c r="G8" s="53" t="s">
        <v>107</v>
      </c>
      <c r="H8" s="53" t="s">
        <v>108</v>
      </c>
      <c r="I8" s="53" t="s">
        <v>109</v>
      </c>
      <c r="J8" s="53" t="s">
        <v>110</v>
      </c>
      <c r="K8" s="53"/>
      <c r="L8" s="53" t="s">
        <v>111</v>
      </c>
      <c r="M8" s="53"/>
      <c r="N8" s="53"/>
      <c r="O8" s="11" t="s">
        <v>112</v>
      </c>
      <c r="P8" s="53" t="s">
        <v>152</v>
      </c>
      <c r="Q8" s="53" t="s">
        <v>153</v>
      </c>
    </row>
    <row r="9" spans="2:20">
      <c r="B9" s="52"/>
      <c r="C9" s="53"/>
      <c r="D9" s="53"/>
      <c r="E9" s="53"/>
      <c r="F9" s="53"/>
      <c r="G9" s="53"/>
      <c r="H9" s="53"/>
      <c r="I9" s="53"/>
      <c r="J9" s="12" t="s">
        <v>115</v>
      </c>
      <c r="K9" s="12" t="s">
        <v>116</v>
      </c>
      <c r="L9" s="12" t="s">
        <v>117</v>
      </c>
      <c r="M9" s="12" t="s">
        <v>118</v>
      </c>
      <c r="N9" s="12" t="s">
        <v>119</v>
      </c>
      <c r="O9" s="12" t="s">
        <v>120</v>
      </c>
      <c r="P9" s="53"/>
      <c r="Q9" s="53"/>
    </row>
    <row r="10" spans="2:20" ht="100.8">
      <c r="B10" s="13"/>
      <c r="C10" s="13"/>
      <c r="D10" s="13"/>
      <c r="E10" s="13"/>
      <c r="F10" s="13"/>
      <c r="G10" s="13"/>
      <c r="H10" s="13"/>
      <c r="I10" s="13"/>
      <c r="J10" s="14" t="s">
        <v>159</v>
      </c>
      <c r="K10" s="14" t="s">
        <v>122</v>
      </c>
      <c r="L10" s="13"/>
      <c r="M10" s="13"/>
      <c r="N10" s="13"/>
      <c r="O10" s="13"/>
      <c r="P10" s="13"/>
      <c r="Q10" s="13"/>
    </row>
    <row r="11" spans="2:20">
      <c r="B11" s="31">
        <v>1</v>
      </c>
      <c r="C11" s="31">
        <v>123177072</v>
      </c>
      <c r="D11" s="31" t="s">
        <v>160</v>
      </c>
      <c r="E11" s="31">
        <v>9.03465E-3</v>
      </c>
      <c r="F11" s="31">
        <v>109.298898199999</v>
      </c>
      <c r="G11" s="31">
        <v>1</v>
      </c>
      <c r="H11" s="31" t="s">
        <v>124</v>
      </c>
      <c r="I11" s="31" t="s">
        <v>90</v>
      </c>
      <c r="J11" s="32" t="s">
        <v>125</v>
      </c>
      <c r="K11" s="32" t="s">
        <v>126</v>
      </c>
      <c r="L11" s="31">
        <v>45</v>
      </c>
      <c r="M11" s="31">
        <v>1</v>
      </c>
      <c r="N11" s="31">
        <v>20</v>
      </c>
      <c r="O11" s="31">
        <v>1945</v>
      </c>
      <c r="P11" s="31">
        <v>300000000</v>
      </c>
      <c r="Q11" s="31">
        <v>50000000</v>
      </c>
    </row>
    <row r="14" spans="2:20">
      <c r="S14" s="33"/>
      <c r="T14" s="33"/>
    </row>
  </sheetData>
  <mergeCells count="15">
    <mergeCell ref="B7:B9"/>
    <mergeCell ref="C7:I7"/>
    <mergeCell ref="J7:O7"/>
    <mergeCell ref="P7:Q7"/>
    <mergeCell ref="C8:C9"/>
    <mergeCell ref="D8:D9"/>
    <mergeCell ref="E8:E9"/>
    <mergeCell ref="F8:F9"/>
    <mergeCell ref="G8:G9"/>
    <mergeCell ref="H8:H9"/>
    <mergeCell ref="I8:I9"/>
    <mergeCell ref="J8:K8"/>
    <mergeCell ref="L8:N8"/>
    <mergeCell ref="P8:P9"/>
    <mergeCell ref="Q8:Q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57599-5AEF-441A-9484-347E98F95312}">
  <dimension ref="B2:S11"/>
  <sheetViews>
    <sheetView workbookViewId="0">
      <selection activeCell="B7" sqref="B7:S11"/>
    </sheetView>
  </sheetViews>
  <sheetFormatPr defaultColWidth="8.77734375" defaultRowHeight="14.4"/>
  <cols>
    <col min="2" max="2" width="3.44140625" bestFit="1" customWidth="1"/>
    <col min="3" max="3" width="12.33203125" bestFit="1" customWidth="1"/>
    <col min="4" max="4" width="12.6640625" customWidth="1"/>
    <col min="5" max="5" width="20.33203125" bestFit="1" customWidth="1"/>
    <col min="6" max="6" width="17.77734375" bestFit="1" customWidth="1"/>
    <col min="7" max="7" width="19.33203125" bestFit="1" customWidth="1"/>
    <col min="8" max="8" width="16.6640625" bestFit="1" customWidth="1"/>
    <col min="9" max="9" width="12" bestFit="1" customWidth="1"/>
    <col min="10" max="10" width="26.44140625" bestFit="1" customWidth="1"/>
    <col min="11" max="12" width="14.77734375" bestFit="1" customWidth="1"/>
    <col min="13" max="13" width="19.33203125" bestFit="1" customWidth="1"/>
    <col min="14" max="14" width="17.6640625" bestFit="1" customWidth="1"/>
    <col min="15" max="15" width="15.44140625" bestFit="1" customWidth="1"/>
    <col min="16" max="16" width="15.33203125" bestFit="1" customWidth="1"/>
    <col min="17" max="17" width="24.6640625" bestFit="1" customWidth="1"/>
    <col min="18" max="18" width="12.33203125" customWidth="1"/>
    <col min="19" max="19" width="28.109375" customWidth="1"/>
  </cols>
  <sheetData>
    <row r="2" spans="2:19">
      <c r="B2" s="10" t="s">
        <v>161</v>
      </c>
    </row>
    <row r="3" spans="2:19">
      <c r="B3" s="10" t="s">
        <v>97</v>
      </c>
    </row>
    <row r="4" spans="2:19">
      <c r="B4" s="10" t="s">
        <v>98</v>
      </c>
    </row>
    <row r="5" spans="2:19">
      <c r="B5" s="10" t="s">
        <v>162</v>
      </c>
    </row>
    <row r="7" spans="2:19">
      <c r="B7" s="52" t="s">
        <v>55</v>
      </c>
      <c r="C7" s="53" t="s">
        <v>100</v>
      </c>
      <c r="D7" s="53"/>
      <c r="E7" s="53"/>
      <c r="F7" s="53"/>
      <c r="G7" s="53"/>
      <c r="H7" s="53"/>
      <c r="I7" s="53"/>
      <c r="J7" s="53"/>
      <c r="K7" s="53" t="s">
        <v>101</v>
      </c>
      <c r="L7" s="53"/>
      <c r="M7" s="53"/>
      <c r="N7" s="53"/>
      <c r="O7" s="53"/>
      <c r="P7" s="56"/>
      <c r="Q7" s="53" t="s">
        <v>102</v>
      </c>
      <c r="R7" s="53"/>
      <c r="S7" s="53"/>
    </row>
    <row r="8" spans="2:19">
      <c r="B8" s="52"/>
      <c r="C8" s="53" t="s">
        <v>103</v>
      </c>
      <c r="D8" s="59" t="s">
        <v>163</v>
      </c>
      <c r="E8" s="53" t="s">
        <v>104</v>
      </c>
      <c r="F8" s="53" t="s">
        <v>105</v>
      </c>
      <c r="G8" s="53" t="s">
        <v>106</v>
      </c>
      <c r="H8" s="53" t="s">
        <v>107</v>
      </c>
      <c r="I8" s="53" t="s">
        <v>108</v>
      </c>
      <c r="J8" s="53" t="s">
        <v>109</v>
      </c>
      <c r="K8" s="53" t="s">
        <v>110</v>
      </c>
      <c r="L8" s="53"/>
      <c r="M8" s="53" t="s">
        <v>111</v>
      </c>
      <c r="N8" s="53"/>
      <c r="O8" s="53"/>
      <c r="P8" s="19" t="s">
        <v>112</v>
      </c>
      <c r="Q8" s="53" t="s">
        <v>152</v>
      </c>
      <c r="R8" s="53" t="s">
        <v>164</v>
      </c>
      <c r="S8" s="53"/>
    </row>
    <row r="9" spans="2:19">
      <c r="B9" s="52"/>
      <c r="C9" s="53"/>
      <c r="D9" s="60"/>
      <c r="E9" s="53"/>
      <c r="F9" s="53"/>
      <c r="G9" s="53"/>
      <c r="H9" s="53"/>
      <c r="I9" s="53"/>
      <c r="J9" s="53"/>
      <c r="K9" s="12" t="s">
        <v>115</v>
      </c>
      <c r="L9" s="12" t="s">
        <v>116</v>
      </c>
      <c r="M9" s="12" t="s">
        <v>117</v>
      </c>
      <c r="N9" s="12" t="s">
        <v>165</v>
      </c>
      <c r="O9" s="12" t="s">
        <v>166</v>
      </c>
      <c r="P9" s="28" t="s">
        <v>120</v>
      </c>
      <c r="Q9" s="53"/>
      <c r="R9" s="12" t="s">
        <v>167</v>
      </c>
      <c r="S9" s="29" t="s">
        <v>168</v>
      </c>
    </row>
    <row r="10" spans="2:19" ht="100.8">
      <c r="B10" s="13"/>
      <c r="C10" s="13"/>
      <c r="D10" s="13"/>
      <c r="E10" s="35"/>
      <c r="F10" s="13"/>
      <c r="G10" s="13"/>
      <c r="H10" s="13"/>
      <c r="I10" s="13"/>
      <c r="J10" s="13"/>
      <c r="K10" s="14"/>
      <c r="L10" s="14" t="s">
        <v>122</v>
      </c>
      <c r="M10" s="13"/>
      <c r="N10" s="13"/>
      <c r="O10" s="13"/>
      <c r="P10" s="16"/>
      <c r="Q10" s="13"/>
      <c r="R10" s="13" t="s">
        <v>169</v>
      </c>
      <c r="S10" s="13"/>
    </row>
    <row r="11" spans="2:19" ht="28.8">
      <c r="B11" s="31">
        <v>1</v>
      </c>
      <c r="C11" s="31">
        <v>123177072</v>
      </c>
      <c r="D11" s="34" t="s">
        <v>170</v>
      </c>
      <c r="E11" s="37" t="s">
        <v>171</v>
      </c>
      <c r="F11" s="36">
        <v>9.03465E-3</v>
      </c>
      <c r="G11" s="31">
        <v>109.298898199999</v>
      </c>
      <c r="H11" s="31">
        <v>1</v>
      </c>
      <c r="I11" s="31" t="s">
        <v>124</v>
      </c>
      <c r="J11" s="31" t="s">
        <v>90</v>
      </c>
      <c r="K11" s="32" t="s">
        <v>125</v>
      </c>
      <c r="L11" s="32" t="s">
        <v>126</v>
      </c>
      <c r="M11" s="31">
        <v>45</v>
      </c>
      <c r="N11" s="31">
        <v>1</v>
      </c>
      <c r="O11" s="31">
        <v>20</v>
      </c>
      <c r="P11" s="34">
        <v>1945</v>
      </c>
      <c r="Q11" s="31">
        <v>300000000</v>
      </c>
      <c r="R11" s="32" t="s">
        <v>172</v>
      </c>
      <c r="S11" s="32" t="s">
        <v>173</v>
      </c>
    </row>
  </sheetData>
  <mergeCells count="16">
    <mergeCell ref="R8:S8"/>
    <mergeCell ref="Q7:S7"/>
    <mergeCell ref="D8:D9"/>
    <mergeCell ref="B7:B9"/>
    <mergeCell ref="C7:J7"/>
    <mergeCell ref="K7:P7"/>
    <mergeCell ref="C8:C9"/>
    <mergeCell ref="E8:E9"/>
    <mergeCell ref="F8:F9"/>
    <mergeCell ref="G8:G9"/>
    <mergeCell ref="H8:H9"/>
    <mergeCell ref="I8:I9"/>
    <mergeCell ref="J8:J9"/>
    <mergeCell ref="K8:L8"/>
    <mergeCell ref="M8:O8"/>
    <mergeCell ref="Q8:Q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E9F19-ABA9-40A7-A055-DEDAFC607A18}">
  <dimension ref="B2:Q11"/>
  <sheetViews>
    <sheetView workbookViewId="0">
      <selection activeCell="G18" sqref="G18"/>
    </sheetView>
  </sheetViews>
  <sheetFormatPr defaultColWidth="8.77734375" defaultRowHeight="14.4"/>
  <cols>
    <col min="2" max="2" width="3.44140625" bestFit="1" customWidth="1"/>
    <col min="3" max="3" width="12.33203125" bestFit="1" customWidth="1"/>
    <col min="4" max="4" width="20.33203125" bestFit="1" customWidth="1"/>
    <col min="5" max="5" width="17.77734375" bestFit="1" customWidth="1"/>
    <col min="6" max="6" width="19.33203125" bestFit="1" customWidth="1"/>
    <col min="7" max="7" width="16.6640625" bestFit="1" customWidth="1"/>
    <col min="8" max="8" width="12" bestFit="1" customWidth="1"/>
    <col min="9" max="9" width="26.44140625" bestFit="1" customWidth="1"/>
    <col min="10" max="10" width="17.77734375" bestFit="1" customWidth="1"/>
    <col min="11" max="11" width="12.44140625" bestFit="1" customWidth="1"/>
    <col min="12" max="12" width="17.77734375" bestFit="1" customWidth="1"/>
    <col min="13" max="13" width="16.109375" bestFit="1" customWidth="1"/>
  </cols>
  <sheetData>
    <row r="2" spans="2:17">
      <c r="B2" s="10" t="s">
        <v>174</v>
      </c>
    </row>
    <row r="3" spans="2:17">
      <c r="B3" s="10" t="s">
        <v>175</v>
      </c>
    </row>
    <row r="4" spans="2:17">
      <c r="B4" s="10" t="s">
        <v>98</v>
      </c>
    </row>
    <row r="5" spans="2:17">
      <c r="B5" s="10" t="s">
        <v>176</v>
      </c>
    </row>
    <row r="7" spans="2:17">
      <c r="B7" s="52" t="s">
        <v>55</v>
      </c>
      <c r="C7" s="53" t="s">
        <v>100</v>
      </c>
      <c r="D7" s="53"/>
      <c r="E7" s="53"/>
      <c r="F7" s="53"/>
      <c r="G7" s="53"/>
      <c r="H7" s="53"/>
      <c r="I7" s="53"/>
      <c r="J7" s="53" t="s">
        <v>177</v>
      </c>
      <c r="K7" s="53"/>
      <c r="L7" s="53" t="s">
        <v>178</v>
      </c>
      <c r="M7" s="53"/>
    </row>
    <row r="8" spans="2:17">
      <c r="B8" s="52"/>
      <c r="C8" s="53" t="s">
        <v>103</v>
      </c>
      <c r="D8" s="53" t="s">
        <v>104</v>
      </c>
      <c r="E8" s="59" t="s">
        <v>105</v>
      </c>
      <c r="F8" s="59" t="s">
        <v>106</v>
      </c>
      <c r="G8" s="53" t="s">
        <v>107</v>
      </c>
      <c r="H8" s="59" t="s">
        <v>108</v>
      </c>
      <c r="I8" s="59" t="s">
        <v>109</v>
      </c>
      <c r="J8" s="59" t="s">
        <v>179</v>
      </c>
      <c r="K8" s="59" t="s">
        <v>180</v>
      </c>
      <c r="L8" s="54" t="s">
        <v>179</v>
      </c>
      <c r="M8" s="54" t="s">
        <v>181</v>
      </c>
    </row>
    <row r="9" spans="2:17">
      <c r="B9" s="52"/>
      <c r="C9" s="53"/>
      <c r="D9" s="53"/>
      <c r="E9" s="60"/>
      <c r="F9" s="60"/>
      <c r="G9" s="53"/>
      <c r="H9" s="60"/>
      <c r="I9" s="60"/>
      <c r="J9" s="60"/>
      <c r="K9" s="60"/>
      <c r="L9" s="55"/>
      <c r="M9" s="55"/>
    </row>
    <row r="10" spans="2:17" ht="57.6">
      <c r="B10" s="13"/>
      <c r="C10" s="13"/>
      <c r="D10" s="13"/>
      <c r="E10" s="13"/>
      <c r="F10" s="13"/>
      <c r="G10" s="13"/>
      <c r="H10" s="13"/>
      <c r="I10" s="13"/>
      <c r="J10" s="14"/>
      <c r="K10" s="14"/>
      <c r="L10" s="14" t="s">
        <v>182</v>
      </c>
      <c r="M10" s="38" t="s">
        <v>183</v>
      </c>
    </row>
    <row r="11" spans="2:17">
      <c r="B11" s="31">
        <v>1</v>
      </c>
      <c r="C11" s="31">
        <v>123177072</v>
      </c>
      <c r="D11" s="31" t="s">
        <v>160</v>
      </c>
      <c r="E11" s="31">
        <v>9.03465E-3</v>
      </c>
      <c r="F11" s="31">
        <v>109.298898199999</v>
      </c>
      <c r="G11" s="31">
        <v>1</v>
      </c>
      <c r="H11" s="31" t="s">
        <v>124</v>
      </c>
      <c r="I11" s="31" t="s">
        <v>90</v>
      </c>
      <c r="J11" s="32">
        <v>3000000</v>
      </c>
      <c r="K11" s="32">
        <v>5000000</v>
      </c>
      <c r="L11" s="34" t="s">
        <v>184</v>
      </c>
      <c r="M11" s="31" t="s">
        <v>185</v>
      </c>
      <c r="N11" s="33"/>
      <c r="O11" s="33"/>
      <c r="P11" s="33"/>
      <c r="Q11" s="33"/>
    </row>
  </sheetData>
  <mergeCells count="15">
    <mergeCell ref="B7:B9"/>
    <mergeCell ref="C7:I7"/>
    <mergeCell ref="J7:K7"/>
    <mergeCell ref="L7:M7"/>
    <mergeCell ref="C8:C9"/>
    <mergeCell ref="D8:D9"/>
    <mergeCell ref="E8:E9"/>
    <mergeCell ref="F8:F9"/>
    <mergeCell ref="G8:G9"/>
    <mergeCell ref="H8:H9"/>
    <mergeCell ref="I8:I9"/>
    <mergeCell ref="L8:L9"/>
    <mergeCell ref="M8:M9"/>
    <mergeCell ref="J8:J9"/>
    <mergeCell ref="K8:K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06EA9-10FF-4256-97E3-96F2972AFC98}">
  <dimension ref="B2:P11"/>
  <sheetViews>
    <sheetView workbookViewId="0">
      <selection activeCell="B7" sqref="B7:P11"/>
    </sheetView>
  </sheetViews>
  <sheetFormatPr defaultColWidth="8.77734375" defaultRowHeight="14.4"/>
  <cols>
    <col min="2" max="2" width="3.44140625" bestFit="1" customWidth="1"/>
    <col min="3" max="3" width="12.33203125" bestFit="1" customWidth="1"/>
    <col min="4" max="4" width="20.33203125" bestFit="1" customWidth="1"/>
    <col min="5" max="5" width="17.77734375" bestFit="1" customWidth="1"/>
    <col min="6" max="6" width="19.33203125" bestFit="1" customWidth="1"/>
    <col min="7" max="7" width="16.6640625" bestFit="1" customWidth="1"/>
    <col min="8" max="8" width="12" bestFit="1" customWidth="1"/>
    <col min="9" max="9" width="26.44140625" bestFit="1" customWidth="1"/>
    <col min="10" max="10" width="15.6640625" bestFit="1" customWidth="1"/>
    <col min="11" max="11" width="6.44140625" bestFit="1" customWidth="1"/>
    <col min="12" max="12" width="19.44140625" bestFit="1" customWidth="1"/>
    <col min="13" max="13" width="6.44140625" bestFit="1" customWidth="1"/>
    <col min="14" max="14" width="17.77734375" customWidth="1"/>
    <col min="15" max="16" width="15.44140625" customWidth="1"/>
  </cols>
  <sheetData>
    <row r="2" spans="2:16">
      <c r="B2" s="10" t="s">
        <v>186</v>
      </c>
    </row>
    <row r="3" spans="2:16">
      <c r="B3" s="10" t="s">
        <v>175</v>
      </c>
    </row>
    <row r="4" spans="2:16">
      <c r="B4" s="10" t="s">
        <v>98</v>
      </c>
    </row>
    <row r="5" spans="2:16">
      <c r="B5" s="10" t="s">
        <v>187</v>
      </c>
    </row>
    <row r="7" spans="2:16">
      <c r="B7" s="52" t="s">
        <v>55</v>
      </c>
      <c r="C7" s="53" t="s">
        <v>100</v>
      </c>
      <c r="D7" s="53"/>
      <c r="E7" s="53"/>
      <c r="F7" s="53"/>
      <c r="G7" s="53"/>
      <c r="H7" s="53"/>
      <c r="I7" s="53"/>
      <c r="J7" s="53" t="s">
        <v>177</v>
      </c>
      <c r="K7" s="53"/>
      <c r="L7" s="53" t="s">
        <v>178</v>
      </c>
      <c r="M7" s="56"/>
      <c r="N7" s="67" t="s">
        <v>188</v>
      </c>
      <c r="O7" s="67"/>
      <c r="P7" s="67"/>
    </row>
    <row r="8" spans="2:16">
      <c r="B8" s="52"/>
      <c r="C8" s="53" t="s">
        <v>103</v>
      </c>
      <c r="D8" s="53" t="s">
        <v>104</v>
      </c>
      <c r="E8" s="59" t="s">
        <v>105</v>
      </c>
      <c r="F8" s="59" t="s">
        <v>106</v>
      </c>
      <c r="G8" s="53" t="s">
        <v>107</v>
      </c>
      <c r="H8" s="59" t="s">
        <v>108</v>
      </c>
      <c r="I8" s="59" t="s">
        <v>109</v>
      </c>
      <c r="J8" s="59" t="s">
        <v>155</v>
      </c>
      <c r="K8" s="59" t="s">
        <v>154</v>
      </c>
      <c r="L8" s="54" t="s">
        <v>155</v>
      </c>
      <c r="M8" s="68" t="s">
        <v>154</v>
      </c>
      <c r="N8" s="66" t="s">
        <v>189</v>
      </c>
      <c r="O8" s="66" t="s">
        <v>190</v>
      </c>
      <c r="P8" s="66" t="s">
        <v>191</v>
      </c>
    </row>
    <row r="9" spans="2:16">
      <c r="B9" s="52"/>
      <c r="C9" s="53"/>
      <c r="D9" s="53"/>
      <c r="E9" s="60"/>
      <c r="F9" s="60"/>
      <c r="G9" s="53"/>
      <c r="H9" s="60"/>
      <c r="I9" s="60"/>
      <c r="J9" s="60"/>
      <c r="K9" s="60"/>
      <c r="L9" s="55"/>
      <c r="M9" s="69"/>
      <c r="N9" s="66"/>
      <c r="O9" s="66"/>
      <c r="P9" s="66"/>
    </row>
    <row r="10" spans="2:16">
      <c r="B10" s="13"/>
      <c r="C10" s="13"/>
      <c r="D10" s="13"/>
      <c r="E10" s="13"/>
      <c r="F10" s="13"/>
      <c r="G10" s="13"/>
      <c r="H10" s="13"/>
      <c r="I10" s="13"/>
      <c r="J10" s="14"/>
      <c r="K10" s="14"/>
      <c r="L10" s="13" t="s">
        <v>192</v>
      </c>
      <c r="M10" s="16"/>
      <c r="N10" s="13"/>
      <c r="O10" s="13"/>
      <c r="P10" s="13"/>
    </row>
    <row r="11" spans="2:16">
      <c r="B11" s="31">
        <v>1</v>
      </c>
      <c r="C11" s="31">
        <v>123177072</v>
      </c>
      <c r="D11" s="31" t="s">
        <v>156</v>
      </c>
      <c r="E11" s="31">
        <v>9.03465E-3</v>
      </c>
      <c r="F11" s="31">
        <v>109.298898199999</v>
      </c>
      <c r="G11" s="31">
        <v>1</v>
      </c>
      <c r="H11" s="31" t="s">
        <v>124</v>
      </c>
      <c r="I11" s="31" t="s">
        <v>90</v>
      </c>
      <c r="J11" s="32">
        <v>500000</v>
      </c>
      <c r="K11" s="32" t="s">
        <v>148</v>
      </c>
      <c r="L11" s="34" t="s">
        <v>193</v>
      </c>
      <c r="M11" s="31" t="s">
        <v>148</v>
      </c>
      <c r="N11" s="34">
        <v>3</v>
      </c>
      <c r="O11" s="31" t="s">
        <v>148</v>
      </c>
      <c r="P11" s="31">
        <v>100000</v>
      </c>
    </row>
  </sheetData>
  <mergeCells count="19">
    <mergeCell ref="O8:O9"/>
    <mergeCell ref="P8:P9"/>
    <mergeCell ref="N7:P7"/>
    <mergeCell ref="I8:I9"/>
    <mergeCell ref="J8:J9"/>
    <mergeCell ref="K8:K9"/>
    <mergeCell ref="L8:L9"/>
    <mergeCell ref="M8:M9"/>
    <mergeCell ref="N8:N9"/>
    <mergeCell ref="B7:B9"/>
    <mergeCell ref="C7:I7"/>
    <mergeCell ref="J7:K7"/>
    <mergeCell ref="L7:M7"/>
    <mergeCell ref="C8:C9"/>
    <mergeCell ref="D8:D9"/>
    <mergeCell ref="E8:E9"/>
    <mergeCell ref="F8:F9"/>
    <mergeCell ref="G8:G9"/>
    <mergeCell ref="H8:H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7EA80-BE74-43DA-BEB1-E1F39D903999}">
  <dimension ref="B2:M12"/>
  <sheetViews>
    <sheetView workbookViewId="0">
      <selection activeCell="B7" sqref="B7:L10"/>
    </sheetView>
  </sheetViews>
  <sheetFormatPr defaultColWidth="8.77734375" defaultRowHeight="14.4"/>
  <cols>
    <col min="2" max="2" width="3.44140625" bestFit="1" customWidth="1"/>
    <col min="3" max="3" width="12.33203125" bestFit="1" customWidth="1"/>
    <col min="4" max="4" width="14.109375" bestFit="1" customWidth="1"/>
    <col min="5" max="5" width="20.33203125" bestFit="1" customWidth="1"/>
    <col min="6" max="6" width="17.77734375" bestFit="1" customWidth="1"/>
    <col min="7" max="7" width="19.33203125" bestFit="1" customWidth="1"/>
    <col min="8" max="8" width="16.6640625" bestFit="1" customWidth="1"/>
    <col min="9" max="9" width="12" bestFit="1" customWidth="1"/>
    <col min="10" max="10" width="26.44140625" bestFit="1" customWidth="1"/>
    <col min="11" max="11" width="22" customWidth="1"/>
    <col min="12" max="12" width="15.109375" customWidth="1"/>
  </cols>
  <sheetData>
    <row r="2" spans="2:13">
      <c r="B2" s="10" t="s">
        <v>194</v>
      </c>
    </row>
    <row r="3" spans="2:13">
      <c r="B3" s="10" t="s">
        <v>175</v>
      </c>
    </row>
    <row r="4" spans="2:13">
      <c r="B4" s="10" t="s">
        <v>98</v>
      </c>
    </row>
    <row r="5" spans="2:13">
      <c r="B5" s="10" t="s">
        <v>162</v>
      </c>
    </row>
    <row r="7" spans="2:13">
      <c r="B7" s="52" t="s">
        <v>55</v>
      </c>
      <c r="C7" s="53" t="s">
        <v>100</v>
      </c>
      <c r="D7" s="53"/>
      <c r="E7" s="53"/>
      <c r="F7" s="53"/>
      <c r="G7" s="53"/>
      <c r="H7" s="53"/>
      <c r="I7" s="53"/>
      <c r="J7" s="56"/>
      <c r="K7" s="53" t="s">
        <v>178</v>
      </c>
      <c r="L7" s="53"/>
    </row>
    <row r="8" spans="2:13" ht="15" customHeight="1">
      <c r="B8" s="52"/>
      <c r="C8" s="53" t="s">
        <v>103</v>
      </c>
      <c r="D8" s="59" t="s">
        <v>163</v>
      </c>
      <c r="E8" s="53" t="s">
        <v>104</v>
      </c>
      <c r="F8" s="53" t="s">
        <v>105</v>
      </c>
      <c r="G8" s="53" t="s">
        <v>106</v>
      </c>
      <c r="H8" s="53" t="s">
        <v>107</v>
      </c>
      <c r="I8" s="53" t="s">
        <v>108</v>
      </c>
      <c r="J8" s="56" t="s">
        <v>109</v>
      </c>
      <c r="K8" s="65" t="s">
        <v>195</v>
      </c>
      <c r="L8" s="65" t="s">
        <v>196</v>
      </c>
    </row>
    <row r="9" spans="2:13" ht="20.25" customHeight="1">
      <c r="B9" s="52"/>
      <c r="C9" s="53"/>
      <c r="D9" s="60"/>
      <c r="E9" s="53"/>
      <c r="F9" s="53"/>
      <c r="G9" s="53"/>
      <c r="H9" s="53"/>
      <c r="I9" s="53"/>
      <c r="J9" s="56"/>
      <c r="K9" s="65"/>
      <c r="L9" s="65"/>
    </row>
    <row r="10" spans="2:13">
      <c r="B10" s="31">
        <v>1</v>
      </c>
      <c r="C10" s="34">
        <v>123177072</v>
      </c>
      <c r="D10" s="31" t="s">
        <v>160</v>
      </c>
      <c r="E10" s="31" t="s">
        <v>197</v>
      </c>
      <c r="F10" s="36">
        <v>9.03465E-3</v>
      </c>
      <c r="G10" s="31">
        <v>109.298898199999</v>
      </c>
      <c r="H10" s="31">
        <v>1</v>
      </c>
      <c r="I10" s="31" t="s">
        <v>124</v>
      </c>
      <c r="J10" s="31" t="s">
        <v>90</v>
      </c>
      <c r="K10" s="39">
        <v>100</v>
      </c>
      <c r="L10" s="32">
        <v>5000000</v>
      </c>
      <c r="M10" s="33"/>
    </row>
    <row r="11" spans="2:13">
      <c r="B11" s="17"/>
    </row>
    <row r="12" spans="2:13">
      <c r="B12" s="18"/>
    </row>
  </sheetData>
  <mergeCells count="13">
    <mergeCell ref="L8:L9"/>
    <mergeCell ref="B7:B9"/>
    <mergeCell ref="K7:L7"/>
    <mergeCell ref="C8:C9"/>
    <mergeCell ref="D8:D9"/>
    <mergeCell ref="E8:E9"/>
    <mergeCell ref="F8:F9"/>
    <mergeCell ref="G8:G9"/>
    <mergeCell ref="C7:J7"/>
    <mergeCell ref="H8:H9"/>
    <mergeCell ref="I8:I9"/>
    <mergeCell ref="J8:J9"/>
    <mergeCell ref="K8:K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" ma:contentTypeID="0x010100CCD785251A4E724B934A12AB8BE46060" ma:contentTypeVersion="12" ma:contentTypeDescription="Buat sebuah dokumen baru." ma:contentTypeScope="" ma:versionID="5ae3aba09e4cbefebb89020ec97f4692">
  <xsd:schema xmlns:xsd="http://www.w3.org/2001/XMLSchema" xmlns:xs="http://www.w3.org/2001/XMLSchema" xmlns:p="http://schemas.microsoft.com/office/2006/metadata/properties" xmlns:ns2="15954fb3-4959-4f5b-ae14-d7aa01180869" xmlns:ns3="4ce1a36b-806a-4732-b893-33b689d3fa0c" targetNamespace="http://schemas.microsoft.com/office/2006/metadata/properties" ma:root="true" ma:fieldsID="f158cec65280218b3e83bd78c7c2c412" ns2:_="" ns3:_="">
    <xsd:import namespace="15954fb3-4959-4f5b-ae14-d7aa01180869"/>
    <xsd:import namespace="4ce1a36b-806a-4732-b893-33b689d3fa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54fb3-4959-4f5b-ae14-d7aa011808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Gambar" ma:readOnly="false" ma:fieldId="{5cf76f15-5ced-4ddc-b409-7134ff3c332f}" ma:taxonomyMulti="true" ma:sspId="795b8f99-d5c3-49ce-bcdf-4154162c98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e1a36b-806a-4732-b893-33b689d3fa0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1b6f268-1674-4c17-8613-95ab09963715}" ma:internalName="TaxCatchAll" ma:showField="CatchAllData" ma:web="4ce1a36b-806a-4732-b893-33b689d3fa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e Isi"/>
        <xsd:element ref="dc:title" minOccurs="0" maxOccurs="1" ma:index="4" ma:displayName="Judu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954fb3-4959-4f5b-ae14-d7aa01180869">
      <Terms xmlns="http://schemas.microsoft.com/office/infopath/2007/PartnerControls"/>
    </lcf76f155ced4ddcb4097134ff3c332f>
    <TaxCatchAll xmlns="4ce1a36b-806a-4732-b893-33b689d3fa0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FAFDB7-5FB0-4326-A5BD-4FBA03A9DA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954fb3-4959-4f5b-ae14-d7aa01180869"/>
    <ds:schemaRef ds:uri="4ce1a36b-806a-4732-b893-33b689d3fa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A4EA55-D12E-405E-BED6-0BA57582BF57}">
  <ds:schemaRefs>
    <ds:schemaRef ds:uri="http://schemas.microsoft.com/office/2006/metadata/properties"/>
    <ds:schemaRef ds:uri="http://schemas.microsoft.com/office/infopath/2007/PartnerControls"/>
    <ds:schemaRef ds:uri="15954fb3-4959-4f5b-ae14-d7aa01180869"/>
    <ds:schemaRef ds:uri="4ce1a36b-806a-4732-b893-33b689d3fa0c"/>
  </ds:schemaRefs>
</ds:datastoreItem>
</file>

<file path=customXml/itemProps3.xml><?xml version="1.0" encoding="utf-8"?>
<ds:datastoreItem xmlns:ds="http://schemas.openxmlformats.org/officeDocument/2006/customXml" ds:itemID="{2882ED93-0E0A-48D1-B4EF-7F40EDBF8C3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Action Plan</vt:lpstr>
      <vt:lpstr>Data</vt:lpstr>
      <vt:lpstr>Lampiran 1</vt:lpstr>
      <vt:lpstr>Lampiran 2</vt:lpstr>
      <vt:lpstr>Lampiran 3</vt:lpstr>
      <vt:lpstr>Lampiran 4</vt:lpstr>
      <vt:lpstr>Lampiran 5</vt:lpstr>
      <vt:lpstr>Lampiran 6</vt:lpstr>
      <vt:lpstr>Lampiran 7</vt:lpstr>
      <vt:lpstr>Lampiran 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WAHYU MAULANA</cp:lastModifiedBy>
  <cp:revision/>
  <dcterms:created xsi:type="dcterms:W3CDTF">2026-02-10T06:03:18Z</dcterms:created>
  <dcterms:modified xsi:type="dcterms:W3CDTF">2026-03-09T04:10:57Z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0x010100CCD785251A4E724B934A12AB8BE46060</vt:lpwstr>
  </property>
  <property fmtid="{D5CDD505-2E9C-101B-9397-08002B2CF9AE}" pid="3" name="MediaServiceImageTags">
    <vt:lpwstr/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SetDate">
    <vt:lpwstr>2026-03-09T04:03:17Z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iteId">
    <vt:lpwstr>0e48f9d7-2701-4b80-bb71-211bde24768a</vt:lpwstr>
  </property>
  <property fmtid="{D5CDD505-2E9C-101B-9397-08002B2CF9AE}" pid="9" name="MSIP_Label_defa4170-0d19-0005-0004-bc88714345d2_ActionId">
    <vt:lpwstr>ba5e66d2-8c05-4c4a-b3c2-bc92ac2bd158</vt:lpwstr>
  </property>
  <property fmtid="{D5CDD505-2E9C-101B-9397-08002B2CF9AE}" pid="10" name="MSIP_Label_defa4170-0d19-0005-0004-bc88714345d2_ContentBits">
    <vt:lpwstr>0</vt:lpwstr>
  </property>
  <property fmtid="{D5CDD505-2E9C-101B-9397-08002B2CF9AE}" pid="11" name="MSIP_Label_defa4170-0d19-0005-0004-bc88714345d2_Tag">
    <vt:lpwstr>10, 3, 0, 1</vt:lpwstr>
  </property>
</Properties>
</file>