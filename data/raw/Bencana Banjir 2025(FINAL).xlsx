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3C8D83C-16E2-4822-81AA-DC672E7A7228}" xr6:coauthVersionLast="47" xr6:coauthVersionMax="47" xr10:uidLastSave="{00000000-0000-0000-0000-000000000000}"/>
  <bookViews>
    <workbookView xWindow="-110" yWindow="-110" windowWidth="19420" windowHeight="10300" xr2:uid="{FA786F5F-EEF1-4E60-B667-7D9963C883CA}"/>
  </bookViews>
  <sheets>
    <sheet name="BNBA BENCANA BANJIR 2025" sheetId="1" r:id="rId1"/>
  </sheets>
  <definedNames>
    <definedName name="_xlnm._FilterDatabase" localSheetId="0" hidden="1">'BNBA BENCANA BANJIR 2025'!$A$3:$L$58</definedName>
    <definedName name="_xlnm.Print_Area" localSheetId="0">'BNBA BENCANA BANJIR 2025'!$A$1:$N$105</definedName>
    <definedName name="_xlnm.Print_Titles" localSheetId="0">'BNBA BENCANA BANJIR 2025'!$3:$4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6" i="1" l="1"/>
  <c r="N48" i="1"/>
  <c r="N46" i="1"/>
  <c r="N41" i="1"/>
  <c r="N5" i="1"/>
  <c r="N99" i="1"/>
  <c r="N97" i="1"/>
  <c r="N59" i="1" l="1"/>
  <c r="N52" i="1"/>
  <c r="N23" i="1"/>
  <c r="N19" i="1"/>
  <c r="N17" i="1"/>
  <c r="N13" i="1"/>
  <c r="N9" i="1"/>
  <c r="N6" i="1"/>
  <c r="K105" i="1" l="1"/>
  <c r="J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3" i="1"/>
  <c r="E72" i="1"/>
  <c r="E71" i="1"/>
  <c r="E70" i="1"/>
  <c r="E69" i="1"/>
  <c r="E68" i="1"/>
  <c r="E67" i="1"/>
  <c r="E66" i="1"/>
  <c r="E65" i="1"/>
  <c r="E64" i="1"/>
  <c r="E51" i="1"/>
  <c r="E50" i="1"/>
  <c r="E49" i="1"/>
  <c r="E48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</calcChain>
</file>

<file path=xl/sharedStrings.xml><?xml version="1.0" encoding="utf-8"?>
<sst xmlns="http://schemas.openxmlformats.org/spreadsheetml/2006/main" count="463" uniqueCount="266">
  <si>
    <t>PERIODE JANUARI SAMPAI DENGAN DESEMBER TAHUN 2025</t>
  </si>
  <si>
    <t>NO</t>
  </si>
  <si>
    <t>NAMA</t>
  </si>
  <si>
    <t>NIK</t>
  </si>
  <si>
    <t>UMUR</t>
  </si>
  <si>
    <t>ALAMAT</t>
  </si>
  <si>
    <t xml:space="preserve">KELURAHAN </t>
  </si>
  <si>
    <t>KECAMATAN</t>
  </si>
  <si>
    <t>TANGGAL KEJADIAN</t>
  </si>
  <si>
    <t>JUMLAH KK</t>
  </si>
  <si>
    <t>JUMLAH JIWA</t>
  </si>
  <si>
    <t>AIR PASANG ROB (RUMAH ROBOH)</t>
  </si>
  <si>
    <t>Sungai Beliung</t>
  </si>
  <si>
    <t>Pontianak Barat</t>
  </si>
  <si>
    <t>Rani Majid</t>
  </si>
  <si>
    <t>61710245056550011</t>
  </si>
  <si>
    <t>JL. Tanjung Harapan, RT/RW. 002/007</t>
  </si>
  <si>
    <t>Banjar Serasan</t>
  </si>
  <si>
    <t>Pontianak Timur</t>
  </si>
  <si>
    <t>Pontianak Utara</t>
  </si>
  <si>
    <t>Sungai Jawi Luar</t>
  </si>
  <si>
    <t>Ida</t>
  </si>
  <si>
    <t>Tabrani</t>
  </si>
  <si>
    <t>'6171032705640007</t>
  </si>
  <si>
    <t>Jl. Pelabuhan Rakyat  Gg. Karya Tani I, RT/RW. 003/027</t>
  </si>
  <si>
    <t>Adetia</t>
  </si>
  <si>
    <t>'6171035509040001</t>
  </si>
  <si>
    <t>Azzara</t>
  </si>
  <si>
    <t>'6171036806100003</t>
  </si>
  <si>
    <t>Haris Munandar</t>
  </si>
  <si>
    <t>6171030606000024</t>
  </si>
  <si>
    <t>Sutinah</t>
  </si>
  <si>
    <t>6112055401920001</t>
  </si>
  <si>
    <t>Nabil Syabana</t>
  </si>
  <si>
    <t>6112052305170002</t>
  </si>
  <si>
    <t>Adhitama Alvan Syahreza</t>
  </si>
  <si>
    <t>6171031207220002</t>
  </si>
  <si>
    <t>Eko Perianto</t>
  </si>
  <si>
    <t>6171032202900007</t>
  </si>
  <si>
    <t>Ayu Rahayu</t>
  </si>
  <si>
    <t>6171036910890010</t>
  </si>
  <si>
    <t>Resti Ananda</t>
  </si>
  <si>
    <t>6171035509110004</t>
  </si>
  <si>
    <t>Revi Acikah</t>
  </si>
  <si>
    <t>6171034110180002</t>
  </si>
  <si>
    <t>Heri Purwanto</t>
  </si>
  <si>
    <t>6171031906940013</t>
  </si>
  <si>
    <t>Pareda</t>
  </si>
  <si>
    <t>6101064704990006</t>
  </si>
  <si>
    <t>Setiawan Teja Lestari</t>
  </si>
  <si>
    <t>6171031010960502</t>
  </si>
  <si>
    <t>Novi</t>
  </si>
  <si>
    <t>6112086909980002</t>
  </si>
  <si>
    <t>Aska Teja Pratama</t>
  </si>
  <si>
    <t>6171031810150003</t>
  </si>
  <si>
    <t>Assyifa Teja Khairunnisa</t>
  </si>
  <si>
    <t>6171036804220001</t>
  </si>
  <si>
    <t>Ali</t>
  </si>
  <si>
    <t>6112080506730003</t>
  </si>
  <si>
    <t>Lilis Suryani</t>
  </si>
  <si>
    <t>6112084101800005</t>
  </si>
  <si>
    <t>Rangga</t>
  </si>
  <si>
    <t>6112080601040001</t>
  </si>
  <si>
    <t>Raidit</t>
  </si>
  <si>
    <t>6112081404090001</t>
  </si>
  <si>
    <t>Edi Rahmad</t>
  </si>
  <si>
    <t>6112090702840009</t>
  </si>
  <si>
    <t>Jl. Pelabuhan Rakyat  Gg. Karya Tani I Jalur 3, RT/RW. 003/027</t>
  </si>
  <si>
    <t>6112096807870004</t>
  </si>
  <si>
    <t>Andik Virmansyah</t>
  </si>
  <si>
    <t>6112091809150004</t>
  </si>
  <si>
    <t>Paza Fauzan Azhima</t>
  </si>
  <si>
    <t>6112090703170002</t>
  </si>
  <si>
    <t>Imran</t>
  </si>
  <si>
    <t>6171030808820016</t>
  </si>
  <si>
    <t>Jl. Pelabuhan Rakyat  Gg. Karya Tani I Jalur 3 Laut, RT/RW. 003/027</t>
  </si>
  <si>
    <t>Ria</t>
  </si>
  <si>
    <t>6171034107840066</t>
  </si>
  <si>
    <t>Ulan Noprianti</t>
  </si>
  <si>
    <t>6171036311020005</t>
  </si>
  <si>
    <t>Muhammad Bilal</t>
  </si>
  <si>
    <t>6171031802100002</t>
  </si>
  <si>
    <t>Aisyah Nabila</t>
  </si>
  <si>
    <t>6171034509170002</t>
  </si>
  <si>
    <t>Syarif Arizal</t>
  </si>
  <si>
    <t>6171011703800009</t>
  </si>
  <si>
    <t>Syarifah Yuliana</t>
  </si>
  <si>
    <t>6171015807850008</t>
  </si>
  <si>
    <t>Basri</t>
  </si>
  <si>
    <t>6171030101630015</t>
  </si>
  <si>
    <t>Jl. KY. Sudarso Gg. Belimbing RT/RW 003/010</t>
  </si>
  <si>
    <t>Zubaidah</t>
  </si>
  <si>
    <t>6171034510600008</t>
  </si>
  <si>
    <t>Pratiwi</t>
  </si>
  <si>
    <t>6171034405960019</t>
  </si>
  <si>
    <t>Mardani</t>
  </si>
  <si>
    <t>6171030612780003</t>
  </si>
  <si>
    <t>Gg. Alpokat Raya  RT/RW 003/015</t>
  </si>
  <si>
    <t>Nurhayati</t>
  </si>
  <si>
    <t>6171035011750003</t>
  </si>
  <si>
    <t>Andi Muhammad Saleh</t>
  </si>
  <si>
    <t>6171031503030004</t>
  </si>
  <si>
    <t>Mega Auliani</t>
  </si>
  <si>
    <t>6171034605080009</t>
  </si>
  <si>
    <t>Yunus</t>
  </si>
  <si>
    <t>6171030311130003</t>
  </si>
  <si>
    <t>Umar Kumran</t>
  </si>
  <si>
    <t>6171060101500001</t>
  </si>
  <si>
    <t>Jl. Adi Sucipto Gg. Hakaraya RT/RW 005/005</t>
  </si>
  <si>
    <t>Bangka Belitung Laut</t>
  </si>
  <si>
    <t>Pontianak Tenggara</t>
  </si>
  <si>
    <t>Jaliyah</t>
  </si>
  <si>
    <t>6171064101630003</t>
  </si>
  <si>
    <t>Dedi Herianto</t>
  </si>
  <si>
    <t>6171062810860002</t>
  </si>
  <si>
    <t>Saedah</t>
  </si>
  <si>
    <t>Verdiansyah Herianto</t>
  </si>
  <si>
    <t>Devano Ramadhan</t>
  </si>
  <si>
    <t>Husin</t>
  </si>
  <si>
    <t>&lt;1</t>
  </si>
  <si>
    <t>Kucit</t>
  </si>
  <si>
    <t>6108072512870012</t>
  </si>
  <si>
    <t>Jl. Khatulistiwa Gg. Flora RT/RW. 003/017</t>
  </si>
  <si>
    <t>Batu Layang</t>
  </si>
  <si>
    <t>Yuli</t>
  </si>
  <si>
    <t>6108075501930010</t>
  </si>
  <si>
    <t>Tika</t>
  </si>
  <si>
    <t>6171044606100003</t>
  </si>
  <si>
    <t>Pitara</t>
  </si>
  <si>
    <t>6171046611140005</t>
  </si>
  <si>
    <t>Muhammad Hanif</t>
  </si>
  <si>
    <t>6171041509150004</t>
  </si>
  <si>
    <t>Muhammad Aiman Zhafran</t>
  </si>
  <si>
    <t>6171040304210001</t>
  </si>
  <si>
    <t>Amelia Putri Kirana</t>
  </si>
  <si>
    <t>6171044301240002</t>
  </si>
  <si>
    <t>Yusandi</t>
  </si>
  <si>
    <t>6171022011640001</t>
  </si>
  <si>
    <t>Jl. Tepian Kapuas RT/RW. 003/003</t>
  </si>
  <si>
    <t>Hamidah</t>
  </si>
  <si>
    <t>6171026306640005</t>
  </si>
  <si>
    <t>Dede Saputra</t>
  </si>
  <si>
    <t>6171021909060001</t>
  </si>
  <si>
    <t>6171064609700001</t>
  </si>
  <si>
    <t>Jl. Parit H. Husin II, Komp. Bali Mas 3 No. B-12A RT/RW. 003/002</t>
  </si>
  <si>
    <t>Bangka Belitung Darat</t>
  </si>
  <si>
    <t>Anindhita Dwi Maharani Putri</t>
  </si>
  <si>
    <t>1750064509970003</t>
  </si>
  <si>
    <t>Khoirunnisa</t>
  </si>
  <si>
    <t>Tambelan Sampit</t>
  </si>
  <si>
    <t>Murni A. Bustami</t>
  </si>
  <si>
    <t>6171021109630003</t>
  </si>
  <si>
    <t>Jl. Tepian Kapuas RT/RW. 003/001</t>
  </si>
  <si>
    <t>Ratnawati</t>
  </si>
  <si>
    <t>6171024108620002</t>
  </si>
  <si>
    <t>Mahmud</t>
  </si>
  <si>
    <t>6171021505680011</t>
  </si>
  <si>
    <t>Jl. Gaya Baru Gg. Datok Bintara RT/RW. 003/006</t>
  </si>
  <si>
    <t>Umriyen</t>
  </si>
  <si>
    <t>6171026907730009</t>
  </si>
  <si>
    <t>Kamarudin</t>
  </si>
  <si>
    <t>6171021611000009</t>
  </si>
  <si>
    <t>6171024408060005</t>
  </si>
  <si>
    <t>Muhammad Ramadan</t>
  </si>
  <si>
    <t>6171020408130001</t>
  </si>
  <si>
    <t>Muhammad Harun</t>
  </si>
  <si>
    <t>6171022509210002</t>
  </si>
  <si>
    <t>Syarif Jafar</t>
  </si>
  <si>
    <t>6171022606990012</t>
  </si>
  <si>
    <t>Jl. Tanjung Raya I Gg. Pemda RT/RW. 002/008</t>
  </si>
  <si>
    <t>Syarifah Rositawati</t>
  </si>
  <si>
    <t>6102185012980004</t>
  </si>
  <si>
    <t>Syarif Muhammad Rizieq</t>
  </si>
  <si>
    <t>6171020502250001</t>
  </si>
  <si>
    <t>Abdul Hai</t>
  </si>
  <si>
    <t>6171022612750003</t>
  </si>
  <si>
    <t>Jl. Swadaya Gg.III RT/RW. 002/007</t>
  </si>
  <si>
    <t>Ventia Belgis Margaretha</t>
  </si>
  <si>
    <t>6171026803800006</t>
  </si>
  <si>
    <t>Muhammad Satria Gustiadi</t>
  </si>
  <si>
    <t>6171020608970007</t>
  </si>
  <si>
    <t>Dwi Syahdam Desviandi</t>
  </si>
  <si>
    <t>6171022512010002</t>
  </si>
  <si>
    <t>Muhammad Devirzha Al Ghazali</t>
  </si>
  <si>
    <t>6171020406140002</t>
  </si>
  <si>
    <t>Rahmah</t>
  </si>
  <si>
    <t>6171025205510004</t>
  </si>
  <si>
    <t>Jl. Tanjung Raya I Gg. H. Mahmud RT/RW. 002/001</t>
  </si>
  <si>
    <t>Maryamah</t>
  </si>
  <si>
    <t>6171025203440002</t>
  </si>
  <si>
    <t>Jl. Tepian Kapuas RT/RW. 004/001</t>
  </si>
  <si>
    <t>Agus Yuliasyah</t>
  </si>
  <si>
    <t>6171020608790004</t>
  </si>
  <si>
    <t>Jubai</t>
  </si>
  <si>
    <t>6171026801550001</t>
  </si>
  <si>
    <t>Jl. Pinggir Kapuas RT/RW. 001/002</t>
  </si>
  <si>
    <t>Surya</t>
  </si>
  <si>
    <t>6171027112670001</t>
  </si>
  <si>
    <t>Sy. Bahtiar</t>
  </si>
  <si>
    <t>6171021503730005</t>
  </si>
  <si>
    <t>Jl. Tanjung Raya I Gg. Said RT/RW. 003/003</t>
  </si>
  <si>
    <t>Syf. Zubaidah</t>
  </si>
  <si>
    <t>6171026505700002</t>
  </si>
  <si>
    <t>Sy. Lufi Afriansyah</t>
  </si>
  <si>
    <t>6171020210000002</t>
  </si>
  <si>
    <t>Syf. Nurfani</t>
  </si>
  <si>
    <t>6171025203040001</t>
  </si>
  <si>
    <t>Mahmud Daeng Hayun</t>
  </si>
  <si>
    <t>6171031112630008</t>
  </si>
  <si>
    <t>Jl. Tepian Kapuas RT/RW. 003/002</t>
  </si>
  <si>
    <t>Dya Fitaloka</t>
  </si>
  <si>
    <t>6171035701870006</t>
  </si>
  <si>
    <t>Meysha Citra Kirana</t>
  </si>
  <si>
    <t>6171066706110001</t>
  </si>
  <si>
    <t>Delisha Andriana</t>
  </si>
  <si>
    <t>6171066505170001</t>
  </si>
  <si>
    <t>Ghina Maulidya</t>
  </si>
  <si>
    <t>6171026610190002</t>
  </si>
  <si>
    <t>Kenzo Al Aqsa</t>
  </si>
  <si>
    <t>6171020509240001</t>
  </si>
  <si>
    <t>Zul Agusman</t>
  </si>
  <si>
    <t>6171020407640009</t>
  </si>
  <si>
    <t>Jl. Tanjung Raya I Gg. Harapan RT/RW. 002/008</t>
  </si>
  <si>
    <t>Fauziah</t>
  </si>
  <si>
    <t>6171026910670005</t>
  </si>
  <si>
    <t>Razali</t>
  </si>
  <si>
    <t>6171031206460011</t>
  </si>
  <si>
    <t>Gg. Jeruju 1 RT/RW 001/008</t>
  </si>
  <si>
    <t>Normah</t>
  </si>
  <si>
    <t>6171035503460002</t>
  </si>
  <si>
    <t>6171033112630039</t>
  </si>
  <si>
    <t>Jl. Kom. Yos Sudarso Gg. Juruju 2 Dalam RT/RW. 005/008</t>
  </si>
  <si>
    <t>Muryati</t>
  </si>
  <si>
    <t>6171037112650514</t>
  </si>
  <si>
    <t>Intan Permatasari</t>
  </si>
  <si>
    <t>6171036611070005</t>
  </si>
  <si>
    <t>Arjuna Saputra</t>
  </si>
  <si>
    <t>6171030709140010</t>
  </si>
  <si>
    <t>Danil Gunawan</t>
  </si>
  <si>
    <t>6171031706010012</t>
  </si>
  <si>
    <t>JUMLAH  KELUARGA KORBAN TERDAMPAK BENCANA</t>
  </si>
  <si>
    <t>JUMLAH  JIWA KORBAN TERDAMPAK BENCANA</t>
  </si>
  <si>
    <t>JENIS BENCANA</t>
  </si>
  <si>
    <t>JENIS KELAMIN</t>
  </si>
  <si>
    <t>P</t>
  </si>
  <si>
    <t>L</t>
  </si>
  <si>
    <t>Sumaryam</t>
  </si>
  <si>
    <t>REALISASI BANTUAN PASCA BENCANA</t>
  </si>
  <si>
    <t>Makanan siap saji, Terpal hijau</t>
  </si>
  <si>
    <t>Makanan Siap Saji, Selimut dan Handuk</t>
  </si>
  <si>
    <t>Terpal Hijau</t>
  </si>
  <si>
    <t>ANGGARAN</t>
  </si>
  <si>
    <t>Makanan siap saji, Selimut dan Handuk, Terpal Hijau</t>
  </si>
  <si>
    <t>Makanan siap saji, Terpal Hijau</t>
  </si>
  <si>
    <t>Makanan siap saji,  Terpal Hijau</t>
  </si>
  <si>
    <t xml:space="preserve">  Terpal Hijau</t>
  </si>
  <si>
    <t>Makanan siap saji</t>
  </si>
  <si>
    <t>Makanan Siap Saji</t>
  </si>
  <si>
    <t>Makanan Siap Saji, Selimut dan Handuk, Terpal Hijau</t>
  </si>
  <si>
    <t>REKAP KELUARGA TERDAMPAK BENCANA AIR ROB</t>
  </si>
  <si>
    <t xml:space="preserve">Air rob </t>
  </si>
  <si>
    <t>Air rob</t>
  </si>
  <si>
    <t xml:space="preserve">Air Rob </t>
  </si>
  <si>
    <t>Air Rob</t>
  </si>
  <si>
    <t>Tidak ada bantuan yang diberikan karena Hanya genangan air dan cepat surut</t>
  </si>
  <si>
    <t xml:space="preserve">TOTAL ANGGARAN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</si>
</sst>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p-421]#,##0"/>
    <numFmt numFmtId="166" formatCode="[$-409]d\-mmm\-yyyy;@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Bookman Old Style"/>
      <family val="1"/>
    </font>
    <font>
      <b/>
      <sz val="9"/>
      <color theme="1"/>
      <name val="Bookman Old Style"/>
      <family val="1"/>
    </font>
    <font>
      <b/>
      <sz val="10"/>
      <color theme="1"/>
      <name val="Bookman Old Style"/>
      <family val="1"/>
    </font>
    <font>
      <b/>
      <sz val="9"/>
      <name val="Bookman Old Style"/>
      <family val="1"/>
    </font>
    <font>
      <b/>
      <sz val="8"/>
      <color theme="1"/>
      <name val="Bookman Old Style"/>
      <family val="1"/>
    </font>
    <font>
      <sz val="9"/>
      <color theme="1"/>
      <name val="Bookman Old Style"/>
      <family val="1"/>
    </font>
    <font>
      <sz val="9"/>
      <name val="Bookman Old Style"/>
      <family val="1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10">
    <xf numFmtId="0" fontId="0" fillId="0" borderId="0" xfId="0"/>
    <xf numFmtId="0" fontId="3" fillId="0" borderId="0" xfId="1"/>
    <xf numFmtId="0" fontId="7" fillId="2" borderId="5" xfId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/>
    </xf>
    <xf numFmtId="49" fontId="9" fillId="0" borderId="2" xfId="0" quotePrefix="1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" fontId="9" fillId="0" borderId="2" xfId="0" applyNumberFormat="1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3" fillId="0" borderId="0" xfId="1" applyAlignment="1">
      <alignment vertical="center"/>
    </xf>
    <xf numFmtId="0" fontId="10" fillId="0" borderId="2" xfId="0" applyFont="1" applyBorder="1" applyAlignment="1">
      <alignment horizontal="left" vertical="center"/>
    </xf>
    <xf numFmtId="0" fontId="3" fillId="0" borderId="2" xfId="1" applyBorder="1" applyAlignment="1">
      <alignment horizontal="center" vertical="center"/>
    </xf>
    <xf numFmtId="0" fontId="8" fillId="2" borderId="0" xfId="1" applyFont="1" applyFill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3" fillId="0" borderId="0" xfId="1" applyAlignment="1">
      <alignment wrapText="1"/>
    </xf>
    <xf numFmtId="0" fontId="8" fillId="2" borderId="10" xfId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 wrapText="1"/>
    </xf>
    <xf numFmtId="164" fontId="9" fillId="0" borderId="3" xfId="0" applyNumberFormat="1" applyFont="1" applyBorder="1" applyAlignment="1">
      <alignment horizontal="center" vertical="center" wrapText="1"/>
    </xf>
    <xf numFmtId="164" fontId="9" fillId="0" borderId="8" xfId="0" applyNumberFormat="1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164" fontId="10" fillId="0" borderId="7" xfId="0" applyNumberFormat="1" applyFont="1" applyBorder="1" applyAlignment="1">
      <alignment horizontal="center" vertical="center" wrapText="1"/>
    </xf>
    <xf numFmtId="164" fontId="10" fillId="0" borderId="8" xfId="0" applyNumberFormat="1" applyFont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3" fillId="0" borderId="2" xfId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3" fillId="0" borderId="3" xfId="1" applyBorder="1" applyAlignment="1">
      <alignment horizontal="center" vertical="center"/>
    </xf>
    <xf numFmtId="0" fontId="3" fillId="0" borderId="7" xfId="1" applyBorder="1" applyAlignment="1">
      <alignment horizontal="center" vertical="center"/>
    </xf>
    <xf numFmtId="0" fontId="3" fillId="0" borderId="8" xfId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 wrapText="1"/>
    </xf>
    <xf numFmtId="1" fontId="9" fillId="0" borderId="8" xfId="0" applyNumberFormat="1" applyFont="1" applyBorder="1" applyAlignment="1">
      <alignment horizontal="center" vertical="center" wrapText="1"/>
    </xf>
    <xf numFmtId="1" fontId="9" fillId="0" borderId="7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4" fillId="0" borderId="0" xfId="1" applyFont="1" applyAlignment="1">
      <alignment horizontal="center"/>
    </xf>
    <xf numFmtId="0" fontId="5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49" fontId="5" fillId="2" borderId="3" xfId="1" applyNumberFormat="1" applyFont="1" applyFill="1" applyBorder="1" applyAlignment="1">
      <alignment horizontal="center" vertical="center" wrapText="1"/>
    </xf>
    <xf numFmtId="49" fontId="5" fillId="2" borderId="7" xfId="1" applyNumberFormat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right" vertical="center"/>
    </xf>
    <xf numFmtId="0" fontId="2" fillId="2" borderId="5" xfId="1" applyFont="1" applyFill="1" applyBorder="1" applyAlignment="1">
      <alignment horizontal="right" vertical="center"/>
    </xf>
    <xf numFmtId="0" fontId="2" fillId="2" borderId="6" xfId="1" applyFont="1" applyFill="1" applyBorder="1" applyAlignment="1">
      <alignment horizontal="right" vertical="center"/>
    </xf>
    <xf numFmtId="1" fontId="3" fillId="2" borderId="4" xfId="1" applyNumberFormat="1" applyFill="1" applyBorder="1" applyAlignment="1">
      <alignment horizontal="center" vertical="center"/>
    </xf>
    <xf numFmtId="0" fontId="3" fillId="2" borderId="2" xfId="1" applyFill="1" applyBorder="1"/>
    <xf numFmtId="1" fontId="3" fillId="2" borderId="2" xfId="1" applyNumberForma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right" vertical="center"/>
    </xf>
    <xf numFmtId="0" fontId="2" fillId="2" borderId="1" xfId="1" applyFont="1" applyFill="1" applyBorder="1" applyAlignment="1">
      <alignment horizontal="right" vertical="center"/>
    </xf>
    <xf numFmtId="0" fontId="2" fillId="2" borderId="14" xfId="1" applyFont="1" applyFill="1" applyBorder="1" applyAlignment="1">
      <alignment horizontal="right" vertical="center"/>
    </xf>
    <xf numFmtId="1" fontId="3" fillId="2" borderId="13" xfId="1" applyNumberFormat="1" applyFill="1" applyBorder="1" applyAlignment="1">
      <alignment horizontal="center" vertical="center"/>
    </xf>
    <xf numFmtId="0" fontId="3" fillId="2" borderId="4" xfId="1" applyFill="1" applyBorder="1" applyAlignment="1">
      <alignment horizontal="center" vertical="center"/>
    </xf>
    <xf numFmtId="0" fontId="3" fillId="2" borderId="2" xfId="1" applyFill="1" applyBorder="1" applyAlignment="1">
      <alignment horizontal="center" vertical="center"/>
    </xf>
    <xf numFmtId="166" fontId="9" fillId="0" borderId="2" xfId="0" applyNumberFormat="1" applyFont="1" applyBorder="1" applyAlignment="1">
      <alignment horizontal="center" vertical="center"/>
    </xf>
    <xf numFmtId="166" fontId="9" fillId="0" borderId="3" xfId="0" applyNumberFormat="1" applyFont="1" applyBorder="1" applyAlignment="1">
      <alignment horizontal="center" vertical="center"/>
    </xf>
    <xf numFmtId="166" fontId="9" fillId="0" borderId="8" xfId="0" applyNumberFormat="1" applyFont="1" applyBorder="1" applyAlignment="1">
      <alignment horizontal="center" vertical="center"/>
    </xf>
    <xf numFmtId="166" fontId="9" fillId="0" borderId="7" xfId="0" applyNumberFormat="1" applyFont="1" applyBorder="1" applyAlignment="1">
      <alignment horizontal="center" vertical="center"/>
    </xf>
    <xf numFmtId="166" fontId="9" fillId="0" borderId="2" xfId="0" applyNumberFormat="1" applyFont="1" applyBorder="1" applyAlignment="1">
      <alignment horizontal="center" vertical="center"/>
    </xf>
    <xf numFmtId="166" fontId="9" fillId="0" borderId="3" xfId="0" applyNumberFormat="1" applyFont="1" applyBorder="1" applyAlignment="1">
      <alignment horizontal="center" vertical="center" wrapText="1"/>
    </xf>
    <xf numFmtId="166" fontId="9" fillId="0" borderId="8" xfId="0" applyNumberFormat="1" applyFont="1" applyBorder="1" applyAlignment="1">
      <alignment horizontal="center" vertical="center" wrapText="1"/>
    </xf>
    <xf numFmtId="166" fontId="9" fillId="0" borderId="7" xfId="0" applyNumberFormat="1" applyFont="1" applyBorder="1" applyAlignment="1">
      <alignment horizontal="center" vertical="center" wrapText="1"/>
    </xf>
    <xf numFmtId="166" fontId="9" fillId="0" borderId="2" xfId="0" applyNumberFormat="1" applyFont="1" applyBorder="1" applyAlignment="1">
      <alignment horizontal="center" vertical="center" wrapText="1"/>
    </xf>
    <xf numFmtId="166" fontId="9" fillId="0" borderId="2" xfId="0" applyNumberFormat="1" applyFont="1" applyBorder="1" applyAlignment="1">
      <alignment horizontal="center" vertical="center" wrapText="1"/>
    </xf>
    <xf numFmtId="166" fontId="10" fillId="0" borderId="3" xfId="0" applyNumberFormat="1" applyFont="1" applyBorder="1" applyAlignment="1">
      <alignment horizontal="center" vertical="center"/>
    </xf>
    <xf numFmtId="166" fontId="10" fillId="0" borderId="7" xfId="0" applyNumberFormat="1" applyFont="1" applyBorder="1" applyAlignment="1">
      <alignment horizontal="center" vertical="center"/>
    </xf>
    <xf numFmtId="166" fontId="10" fillId="0" borderId="8" xfId="0" applyNumberFormat="1" applyFont="1" applyBorder="1" applyAlignment="1">
      <alignment horizontal="center" vertical="center"/>
    </xf>
    <xf numFmtId="0" fontId="1" fillId="3" borderId="13" xfId="1" applyFont="1" applyFill="1" applyBorder="1" applyAlignment="1">
      <alignment horizontal="right" vertical="center"/>
    </xf>
    <xf numFmtId="0" fontId="2" fillId="3" borderId="1" xfId="1" applyFont="1" applyFill="1" applyBorder="1" applyAlignment="1">
      <alignment horizontal="right" vertical="center"/>
    </xf>
    <xf numFmtId="0" fontId="2" fillId="3" borderId="14" xfId="1" applyFont="1" applyFill="1" applyBorder="1" applyAlignment="1">
      <alignment horizontal="right" vertical="center"/>
    </xf>
    <xf numFmtId="1" fontId="3" fillId="3" borderId="13" xfId="1" applyNumberFormat="1" applyFill="1" applyBorder="1" applyAlignment="1">
      <alignment horizontal="center" vertical="center"/>
    </xf>
    <xf numFmtId="1" fontId="3" fillId="3" borderId="2" xfId="1" applyNumberFormat="1" applyFill="1" applyBorder="1" applyAlignment="1">
      <alignment horizontal="center" vertical="center"/>
    </xf>
    <xf numFmtId="0" fontId="3" fillId="3" borderId="4" xfId="1" applyFill="1" applyBorder="1" applyAlignment="1">
      <alignment horizontal="center" vertical="center"/>
    </xf>
    <xf numFmtId="0" fontId="3" fillId="3" borderId="2" xfId="1" applyFill="1" applyBorder="1" applyAlignment="1">
      <alignment horizontal="center" vertical="center"/>
    </xf>
    <xf numFmtId="164" fontId="3" fillId="3" borderId="2" xfId="1" applyNumberFormat="1" applyFill="1" applyBorder="1" applyAlignment="1">
      <alignment horizontal="center" vertical="center"/>
    </xf>
    <xf numFmtId="0" fontId="4" fillId="0" borderId="1" xfId="1" applyFont="1" applyBorder="1" applyAlignment="1">
      <alignment horizontal="center"/>
    </xf>
  </cellXfs>
  <cellStyles count="2">
    <cellStyle name="Normal" xfId="0" builtinId="0"/>
    <cellStyle name="Normal 2 2" xfId="1" xr:uid="{6D57A17A-EC9B-4D67-BA3F-26937EAE8C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699-6779-408E-88BC-DA1D27159F24}">
  <sheetPr>
    <tabColor rgb="FFFFC000"/>
  </sheetPr>
  <dimension ref="A1:O106"/>
  <sheetViews>
    <sheetView tabSelected="1" view="pageBreakPreview" topLeftCell="A7" zoomScaleNormal="100" workbookViewId="0">
      <selection activeCell="F6" sqref="F6:F8"/>
    </sheetView>
  </sheetViews>
  <sheetFormatPr defaultColWidth="9" defaultRowHeight="14.5"/>
  <cols>
    <col min="1" max="1" width="3.81640625" style="1" customWidth="1"/>
    <col min="2" max="2" width="34" style="12" customWidth="1"/>
    <col min="3" max="3" width="18.81640625" style="17" customWidth="1"/>
    <col min="4" max="4" width="11.81640625" style="17" customWidth="1"/>
    <col min="5" max="5" width="7.7265625" style="12" customWidth="1"/>
    <col min="6" max="6" width="19.1796875" style="1" customWidth="1"/>
    <col min="7" max="8" width="13.7265625" style="18" customWidth="1"/>
    <col min="9" max="9" width="13" style="1" customWidth="1"/>
    <col min="10" max="10" width="10.26953125" style="12" customWidth="1"/>
    <col min="11" max="11" width="10.26953125" style="1" customWidth="1"/>
    <col min="12" max="12" width="22.54296875" style="12" customWidth="1"/>
    <col min="13" max="13" width="23.26953125" style="12" customWidth="1"/>
    <col min="14" max="14" width="18.36328125" style="12" customWidth="1"/>
    <col min="15" max="15" width="9" style="1"/>
    <col min="16" max="18" width="16" style="1" customWidth="1"/>
    <col min="19" max="16384" width="9" style="1"/>
  </cols>
  <sheetData>
    <row r="1" spans="1:14" ht="17.5">
      <c r="A1" s="64" t="s">
        <v>259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4" ht="17.5">
      <c r="A2" s="109" t="s">
        <v>0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</row>
    <row r="3" spans="1:14" ht="17" customHeight="1">
      <c r="A3" s="65" t="s">
        <v>1</v>
      </c>
      <c r="B3" s="65" t="s">
        <v>2</v>
      </c>
      <c r="C3" s="66" t="s">
        <v>3</v>
      </c>
      <c r="D3" s="74" t="s">
        <v>243</v>
      </c>
      <c r="E3" s="68" t="s">
        <v>4</v>
      </c>
      <c r="F3" s="68" t="s">
        <v>5</v>
      </c>
      <c r="G3" s="70" t="s">
        <v>6</v>
      </c>
      <c r="H3" s="70" t="s">
        <v>7</v>
      </c>
      <c r="I3" s="72" t="s">
        <v>8</v>
      </c>
      <c r="J3" s="70" t="s">
        <v>9</v>
      </c>
      <c r="K3" s="70" t="s">
        <v>10</v>
      </c>
      <c r="L3" s="2" t="s">
        <v>242</v>
      </c>
      <c r="M3" s="34" t="s">
        <v>247</v>
      </c>
      <c r="N3" s="34" t="s">
        <v>251</v>
      </c>
    </row>
    <row r="4" spans="1:14" ht="35" customHeight="1">
      <c r="A4" s="65"/>
      <c r="B4" s="65"/>
      <c r="C4" s="67"/>
      <c r="D4" s="75"/>
      <c r="E4" s="69"/>
      <c r="F4" s="69"/>
      <c r="G4" s="71"/>
      <c r="H4" s="71"/>
      <c r="I4" s="73"/>
      <c r="J4" s="71"/>
      <c r="K4" s="71"/>
      <c r="L4" s="19" t="s">
        <v>11</v>
      </c>
      <c r="M4" s="35"/>
      <c r="N4" s="35"/>
    </row>
    <row r="5" spans="1:14" ht="60" customHeight="1">
      <c r="A5" s="7">
        <v>1</v>
      </c>
      <c r="B5" s="3" t="s">
        <v>14</v>
      </c>
      <c r="C5" s="4" t="s">
        <v>15</v>
      </c>
      <c r="D5" s="4" t="s">
        <v>244</v>
      </c>
      <c r="E5" s="7">
        <v>60</v>
      </c>
      <c r="F5" s="9" t="s">
        <v>16</v>
      </c>
      <c r="G5" s="9" t="s">
        <v>17</v>
      </c>
      <c r="H5" s="9" t="s">
        <v>18</v>
      </c>
      <c r="I5" s="88">
        <v>45689</v>
      </c>
      <c r="J5" s="10">
        <v>1</v>
      </c>
      <c r="K5" s="9">
        <v>1</v>
      </c>
      <c r="L5" s="20" t="s">
        <v>260</v>
      </c>
      <c r="M5" s="9" t="s">
        <v>252</v>
      </c>
      <c r="N5" s="21">
        <f>420000+450000+250000</f>
        <v>1120000</v>
      </c>
    </row>
    <row r="6" spans="1:14" ht="21" customHeight="1">
      <c r="A6" s="50">
        <v>2</v>
      </c>
      <c r="B6" s="3" t="s">
        <v>22</v>
      </c>
      <c r="C6" s="4" t="s">
        <v>23</v>
      </c>
      <c r="D6" s="4" t="s">
        <v>245</v>
      </c>
      <c r="E6" s="7">
        <f>2025-1964</f>
        <v>61</v>
      </c>
      <c r="F6" s="25" t="s">
        <v>24</v>
      </c>
      <c r="G6" s="25" t="s">
        <v>12</v>
      </c>
      <c r="H6" s="25" t="s">
        <v>13</v>
      </c>
      <c r="I6" s="89">
        <v>45803</v>
      </c>
      <c r="J6" s="25">
        <v>1</v>
      </c>
      <c r="K6" s="5">
        <v>1</v>
      </c>
      <c r="L6" s="47" t="s">
        <v>260</v>
      </c>
      <c r="M6" s="25" t="s">
        <v>253</v>
      </c>
      <c r="N6" s="22">
        <f>1260000+450000</f>
        <v>1710000</v>
      </c>
    </row>
    <row r="7" spans="1:14" ht="21" customHeight="1">
      <c r="A7" s="28"/>
      <c r="B7" s="3" t="s">
        <v>25</v>
      </c>
      <c r="C7" s="4" t="s">
        <v>26</v>
      </c>
      <c r="D7" s="4" t="s">
        <v>244</v>
      </c>
      <c r="E7" s="7">
        <f>2025-2004</f>
        <v>21</v>
      </c>
      <c r="F7" s="26"/>
      <c r="G7" s="26"/>
      <c r="H7" s="26"/>
      <c r="I7" s="90"/>
      <c r="J7" s="26"/>
      <c r="K7" s="6">
        <v>1</v>
      </c>
      <c r="L7" s="48"/>
      <c r="M7" s="26"/>
      <c r="N7" s="23"/>
    </row>
    <row r="8" spans="1:14" ht="21" customHeight="1">
      <c r="A8" s="29"/>
      <c r="B8" s="3" t="s">
        <v>27</v>
      </c>
      <c r="C8" s="4" t="s">
        <v>28</v>
      </c>
      <c r="D8" s="4" t="s">
        <v>244</v>
      </c>
      <c r="E8" s="7">
        <f>2025-2010</f>
        <v>15</v>
      </c>
      <c r="F8" s="27"/>
      <c r="G8" s="27"/>
      <c r="H8" s="27"/>
      <c r="I8" s="91"/>
      <c r="J8" s="27"/>
      <c r="K8" s="8">
        <v>1</v>
      </c>
      <c r="L8" s="49"/>
      <c r="M8" s="27"/>
      <c r="N8" s="24"/>
    </row>
    <row r="9" spans="1:14" ht="21.75" customHeight="1">
      <c r="A9" s="50">
        <v>3</v>
      </c>
      <c r="B9" s="3" t="s">
        <v>29</v>
      </c>
      <c r="C9" s="4" t="s">
        <v>30</v>
      </c>
      <c r="D9" s="4" t="s">
        <v>245</v>
      </c>
      <c r="E9" s="7">
        <f>2025-2000</f>
        <v>25</v>
      </c>
      <c r="F9" s="47" t="s">
        <v>24</v>
      </c>
      <c r="G9" s="51" t="s">
        <v>12</v>
      </c>
      <c r="H9" s="51" t="s">
        <v>13</v>
      </c>
      <c r="I9" s="92">
        <v>45803</v>
      </c>
      <c r="J9" s="61">
        <v>1</v>
      </c>
      <c r="K9" s="6">
        <v>1</v>
      </c>
      <c r="L9" s="58" t="s">
        <v>260</v>
      </c>
      <c r="M9" s="25" t="s">
        <v>254</v>
      </c>
      <c r="N9" s="22">
        <f>1680000+450000</f>
        <v>2130000</v>
      </c>
    </row>
    <row r="10" spans="1:14" ht="21.75" customHeight="1">
      <c r="A10" s="28"/>
      <c r="B10" s="3" t="s">
        <v>31</v>
      </c>
      <c r="C10" s="4" t="s">
        <v>32</v>
      </c>
      <c r="D10" s="4" t="s">
        <v>244</v>
      </c>
      <c r="E10" s="7">
        <f>2025-1999</f>
        <v>26</v>
      </c>
      <c r="F10" s="48"/>
      <c r="G10" s="51"/>
      <c r="H10" s="51"/>
      <c r="I10" s="92"/>
      <c r="J10" s="62"/>
      <c r="K10" s="6">
        <v>1</v>
      </c>
      <c r="L10" s="59"/>
      <c r="M10" s="26"/>
      <c r="N10" s="23"/>
    </row>
    <row r="11" spans="1:14" ht="21.75" customHeight="1">
      <c r="A11" s="28"/>
      <c r="B11" s="3" t="s">
        <v>33</v>
      </c>
      <c r="C11" s="4" t="s">
        <v>34</v>
      </c>
      <c r="D11" s="4" t="s">
        <v>244</v>
      </c>
      <c r="E11" s="7">
        <f>2025-2017</f>
        <v>8</v>
      </c>
      <c r="F11" s="48"/>
      <c r="G11" s="51"/>
      <c r="H11" s="51"/>
      <c r="I11" s="92"/>
      <c r="J11" s="62"/>
      <c r="K11" s="6">
        <v>1</v>
      </c>
      <c r="L11" s="59"/>
      <c r="M11" s="26"/>
      <c r="N11" s="23"/>
    </row>
    <row r="12" spans="1:14" ht="21.75" customHeight="1">
      <c r="A12" s="29"/>
      <c r="B12" s="3" t="s">
        <v>35</v>
      </c>
      <c r="C12" s="4" t="s">
        <v>36</v>
      </c>
      <c r="D12" s="4" t="s">
        <v>245</v>
      </c>
      <c r="E12" s="7">
        <f>2025-2022</f>
        <v>3</v>
      </c>
      <c r="F12" s="49"/>
      <c r="G12" s="51"/>
      <c r="H12" s="51"/>
      <c r="I12" s="92"/>
      <c r="J12" s="63"/>
      <c r="K12" s="6">
        <v>1</v>
      </c>
      <c r="L12" s="60"/>
      <c r="M12" s="27"/>
      <c r="N12" s="24"/>
    </row>
    <row r="13" spans="1:14" ht="21.75" customHeight="1">
      <c r="A13" s="50">
        <v>4</v>
      </c>
      <c r="B13" s="3" t="s">
        <v>37</v>
      </c>
      <c r="C13" s="4" t="s">
        <v>38</v>
      </c>
      <c r="D13" s="4" t="s">
        <v>245</v>
      </c>
      <c r="E13" s="7">
        <f>2025-1990</f>
        <v>35</v>
      </c>
      <c r="F13" s="25" t="s">
        <v>24</v>
      </c>
      <c r="G13" s="51" t="s">
        <v>12</v>
      </c>
      <c r="H13" s="25" t="s">
        <v>13</v>
      </c>
      <c r="I13" s="93">
        <v>45803</v>
      </c>
      <c r="J13" s="25">
        <v>1</v>
      </c>
      <c r="K13" s="5">
        <v>1</v>
      </c>
      <c r="L13" s="47" t="s">
        <v>261</v>
      </c>
      <c r="M13" s="25" t="s">
        <v>248</v>
      </c>
      <c r="N13" s="22">
        <f>1680000+450000</f>
        <v>2130000</v>
      </c>
    </row>
    <row r="14" spans="1:14" ht="21.75" customHeight="1">
      <c r="A14" s="28"/>
      <c r="B14" s="3" t="s">
        <v>39</v>
      </c>
      <c r="C14" s="4" t="s">
        <v>40</v>
      </c>
      <c r="D14" s="4" t="s">
        <v>244</v>
      </c>
      <c r="E14" s="7">
        <f>2025-1989</f>
        <v>36</v>
      </c>
      <c r="F14" s="26"/>
      <c r="G14" s="51"/>
      <c r="H14" s="26"/>
      <c r="I14" s="94"/>
      <c r="J14" s="26"/>
      <c r="K14" s="6">
        <v>1</v>
      </c>
      <c r="L14" s="48"/>
      <c r="M14" s="26"/>
      <c r="N14" s="23"/>
    </row>
    <row r="15" spans="1:14" ht="21.75" customHeight="1">
      <c r="A15" s="28"/>
      <c r="B15" s="3" t="s">
        <v>41</v>
      </c>
      <c r="C15" s="4" t="s">
        <v>42</v>
      </c>
      <c r="D15" s="4" t="s">
        <v>244</v>
      </c>
      <c r="E15" s="7">
        <f>2025-2011</f>
        <v>14</v>
      </c>
      <c r="F15" s="26"/>
      <c r="G15" s="51"/>
      <c r="H15" s="26"/>
      <c r="I15" s="94"/>
      <c r="J15" s="26"/>
      <c r="K15" s="6">
        <v>1</v>
      </c>
      <c r="L15" s="48"/>
      <c r="M15" s="26"/>
      <c r="N15" s="23"/>
    </row>
    <row r="16" spans="1:14" ht="21.75" customHeight="1">
      <c r="A16" s="29"/>
      <c r="B16" s="3" t="s">
        <v>43</v>
      </c>
      <c r="C16" s="4" t="s">
        <v>44</v>
      </c>
      <c r="D16" s="4" t="s">
        <v>245</v>
      </c>
      <c r="E16" s="7">
        <f>2025-2018</f>
        <v>7</v>
      </c>
      <c r="F16" s="27"/>
      <c r="G16" s="51"/>
      <c r="H16" s="27"/>
      <c r="I16" s="95"/>
      <c r="J16" s="27"/>
      <c r="K16" s="6">
        <v>1</v>
      </c>
      <c r="L16" s="49"/>
      <c r="M16" s="27"/>
      <c r="N16" s="24"/>
    </row>
    <row r="17" spans="1:14" ht="21" customHeight="1">
      <c r="A17" s="50">
        <v>5</v>
      </c>
      <c r="B17" s="3" t="s">
        <v>45</v>
      </c>
      <c r="C17" s="4" t="s">
        <v>46</v>
      </c>
      <c r="D17" s="4" t="s">
        <v>245</v>
      </c>
      <c r="E17" s="7">
        <f>2025-1994</f>
        <v>31</v>
      </c>
      <c r="F17" s="25" t="s">
        <v>24</v>
      </c>
      <c r="G17" s="25" t="s">
        <v>12</v>
      </c>
      <c r="H17" s="25" t="s">
        <v>13</v>
      </c>
      <c r="I17" s="93">
        <v>45803</v>
      </c>
      <c r="J17" s="25">
        <v>1</v>
      </c>
      <c r="K17" s="5">
        <v>1</v>
      </c>
      <c r="L17" s="47" t="s">
        <v>260</v>
      </c>
      <c r="M17" s="25" t="s">
        <v>248</v>
      </c>
      <c r="N17" s="22">
        <f>840000+450000</f>
        <v>1290000</v>
      </c>
    </row>
    <row r="18" spans="1:14" ht="21" customHeight="1">
      <c r="A18" s="29"/>
      <c r="B18" s="3" t="s">
        <v>47</v>
      </c>
      <c r="C18" s="4" t="s">
        <v>48</v>
      </c>
      <c r="D18" s="4" t="s">
        <v>244</v>
      </c>
      <c r="E18" s="7">
        <f>2025-1999</f>
        <v>26</v>
      </c>
      <c r="F18" s="27"/>
      <c r="G18" s="27"/>
      <c r="H18" s="27"/>
      <c r="I18" s="95"/>
      <c r="J18" s="27"/>
      <c r="K18" s="6">
        <v>1</v>
      </c>
      <c r="L18" s="49"/>
      <c r="M18" s="27"/>
      <c r="N18" s="24"/>
    </row>
    <row r="19" spans="1:14" ht="21" customHeight="1">
      <c r="A19" s="50">
        <v>6</v>
      </c>
      <c r="B19" s="3" t="s">
        <v>49</v>
      </c>
      <c r="C19" s="4" t="s">
        <v>50</v>
      </c>
      <c r="D19" s="4" t="s">
        <v>245</v>
      </c>
      <c r="E19" s="7">
        <f>2025-1996</f>
        <v>29</v>
      </c>
      <c r="F19" s="51" t="s">
        <v>24</v>
      </c>
      <c r="G19" s="58" t="s">
        <v>12</v>
      </c>
      <c r="H19" s="51" t="s">
        <v>13</v>
      </c>
      <c r="I19" s="96">
        <v>45803</v>
      </c>
      <c r="J19" s="61">
        <v>1</v>
      </c>
      <c r="K19" s="5">
        <v>1</v>
      </c>
      <c r="L19" s="58" t="s">
        <v>261</v>
      </c>
      <c r="M19" s="25" t="s">
        <v>253</v>
      </c>
      <c r="N19" s="22">
        <f>1680000+450000</f>
        <v>2130000</v>
      </c>
    </row>
    <row r="20" spans="1:14" ht="21" customHeight="1">
      <c r="A20" s="28"/>
      <c r="B20" s="3" t="s">
        <v>51</v>
      </c>
      <c r="C20" s="4" t="s">
        <v>52</v>
      </c>
      <c r="D20" s="4" t="s">
        <v>244</v>
      </c>
      <c r="E20" s="7">
        <f>2025-1998</f>
        <v>27</v>
      </c>
      <c r="F20" s="51"/>
      <c r="G20" s="59"/>
      <c r="H20" s="51"/>
      <c r="I20" s="96"/>
      <c r="J20" s="62"/>
      <c r="K20" s="6">
        <v>1</v>
      </c>
      <c r="L20" s="59"/>
      <c r="M20" s="26"/>
      <c r="N20" s="23"/>
    </row>
    <row r="21" spans="1:14" ht="21" customHeight="1">
      <c r="A21" s="28"/>
      <c r="B21" s="3" t="s">
        <v>53</v>
      </c>
      <c r="C21" s="4" t="s">
        <v>54</v>
      </c>
      <c r="D21" s="4" t="s">
        <v>245</v>
      </c>
      <c r="E21" s="7">
        <f>2025-2015</f>
        <v>10</v>
      </c>
      <c r="F21" s="51"/>
      <c r="G21" s="59"/>
      <c r="H21" s="51"/>
      <c r="I21" s="96"/>
      <c r="J21" s="62"/>
      <c r="K21" s="6">
        <v>1</v>
      </c>
      <c r="L21" s="59"/>
      <c r="M21" s="26"/>
      <c r="N21" s="23"/>
    </row>
    <row r="22" spans="1:14" ht="21" customHeight="1">
      <c r="A22" s="29"/>
      <c r="B22" s="3" t="s">
        <v>55</v>
      </c>
      <c r="C22" s="4" t="s">
        <v>56</v>
      </c>
      <c r="D22" s="4" t="s">
        <v>244</v>
      </c>
      <c r="E22" s="7">
        <f>2025-2022</f>
        <v>3</v>
      </c>
      <c r="F22" s="51"/>
      <c r="G22" s="60"/>
      <c r="H22" s="51"/>
      <c r="I22" s="96"/>
      <c r="J22" s="63"/>
      <c r="K22" s="6">
        <v>1</v>
      </c>
      <c r="L22" s="60"/>
      <c r="M22" s="27"/>
      <c r="N22" s="24"/>
    </row>
    <row r="23" spans="1:14" ht="27" customHeight="1">
      <c r="A23" s="50">
        <v>7</v>
      </c>
      <c r="B23" s="3" t="s">
        <v>57</v>
      </c>
      <c r="C23" s="4" t="s">
        <v>58</v>
      </c>
      <c r="D23" s="4" t="s">
        <v>245</v>
      </c>
      <c r="E23" s="7">
        <f>2025-1973</f>
        <v>52</v>
      </c>
      <c r="F23" s="25" t="s">
        <v>24</v>
      </c>
      <c r="G23" s="25" t="s">
        <v>12</v>
      </c>
      <c r="H23" s="25" t="s">
        <v>13</v>
      </c>
      <c r="I23" s="93">
        <v>45803</v>
      </c>
      <c r="J23" s="25">
        <v>1</v>
      </c>
      <c r="K23" s="5">
        <v>1</v>
      </c>
      <c r="L23" s="47" t="s">
        <v>260</v>
      </c>
      <c r="M23" s="25" t="s">
        <v>253</v>
      </c>
      <c r="N23" s="22">
        <f>1680000+450000</f>
        <v>2130000</v>
      </c>
    </row>
    <row r="24" spans="1:14" ht="27" customHeight="1">
      <c r="A24" s="28"/>
      <c r="B24" s="3" t="s">
        <v>59</v>
      </c>
      <c r="C24" s="4" t="s">
        <v>60</v>
      </c>
      <c r="D24" s="4" t="s">
        <v>244</v>
      </c>
      <c r="E24" s="7">
        <f>2025-1980</f>
        <v>45</v>
      </c>
      <c r="F24" s="26"/>
      <c r="G24" s="26"/>
      <c r="H24" s="26"/>
      <c r="I24" s="94"/>
      <c r="J24" s="26"/>
      <c r="K24" s="6">
        <v>1</v>
      </c>
      <c r="L24" s="48"/>
      <c r="M24" s="26"/>
      <c r="N24" s="23"/>
    </row>
    <row r="25" spans="1:14" ht="27" customHeight="1">
      <c r="A25" s="28"/>
      <c r="B25" s="3" t="s">
        <v>61</v>
      </c>
      <c r="C25" s="4" t="s">
        <v>62</v>
      </c>
      <c r="D25" s="4" t="s">
        <v>245</v>
      </c>
      <c r="E25" s="7">
        <f>2025-2009</f>
        <v>16</v>
      </c>
      <c r="F25" s="26"/>
      <c r="G25" s="26"/>
      <c r="H25" s="26"/>
      <c r="I25" s="94"/>
      <c r="J25" s="26"/>
      <c r="K25" s="6">
        <v>1</v>
      </c>
      <c r="L25" s="48"/>
      <c r="M25" s="26"/>
      <c r="N25" s="23"/>
    </row>
    <row r="26" spans="1:14" ht="27" customHeight="1">
      <c r="A26" s="29"/>
      <c r="B26" s="3" t="s">
        <v>63</v>
      </c>
      <c r="C26" s="4" t="s">
        <v>64</v>
      </c>
      <c r="D26" s="4" t="s">
        <v>245</v>
      </c>
      <c r="E26" s="7">
        <f>2025-2004</f>
        <v>21</v>
      </c>
      <c r="F26" s="27"/>
      <c r="G26" s="27"/>
      <c r="H26" s="27"/>
      <c r="I26" s="95"/>
      <c r="J26" s="27"/>
      <c r="K26" s="6">
        <v>1</v>
      </c>
      <c r="L26" s="49"/>
      <c r="M26" s="27"/>
      <c r="N26" s="24"/>
    </row>
    <row r="27" spans="1:14" ht="26.25" customHeight="1">
      <c r="A27" s="50">
        <v>8</v>
      </c>
      <c r="B27" s="3" t="s">
        <v>65</v>
      </c>
      <c r="C27" s="4" t="s">
        <v>66</v>
      </c>
      <c r="D27" s="4" t="s">
        <v>245</v>
      </c>
      <c r="E27" s="7">
        <v>41</v>
      </c>
      <c r="F27" s="25" t="s">
        <v>67</v>
      </c>
      <c r="G27" s="25" t="s">
        <v>12</v>
      </c>
      <c r="H27" s="25" t="s">
        <v>13</v>
      </c>
      <c r="I27" s="93">
        <v>45803</v>
      </c>
      <c r="J27" s="25">
        <v>1</v>
      </c>
      <c r="K27" s="5">
        <v>1</v>
      </c>
      <c r="L27" s="47" t="s">
        <v>262</v>
      </c>
      <c r="M27" s="25" t="s">
        <v>255</v>
      </c>
      <c r="N27" s="22">
        <v>450000</v>
      </c>
    </row>
    <row r="28" spans="1:14" ht="26.25" customHeight="1">
      <c r="A28" s="28"/>
      <c r="B28" s="3" t="s">
        <v>21</v>
      </c>
      <c r="C28" s="4" t="s">
        <v>68</v>
      </c>
      <c r="D28" s="4" t="s">
        <v>244</v>
      </c>
      <c r="E28" s="7">
        <v>38</v>
      </c>
      <c r="F28" s="26"/>
      <c r="G28" s="26"/>
      <c r="H28" s="26"/>
      <c r="I28" s="94"/>
      <c r="J28" s="26"/>
      <c r="K28" s="6">
        <v>1</v>
      </c>
      <c r="L28" s="48"/>
      <c r="M28" s="26"/>
      <c r="N28" s="23"/>
    </row>
    <row r="29" spans="1:14" ht="26.25" customHeight="1">
      <c r="A29" s="28"/>
      <c r="B29" s="3" t="s">
        <v>69</v>
      </c>
      <c r="C29" s="4" t="s">
        <v>70</v>
      </c>
      <c r="D29" s="4" t="s">
        <v>245</v>
      </c>
      <c r="E29" s="7">
        <v>10</v>
      </c>
      <c r="F29" s="26"/>
      <c r="G29" s="26"/>
      <c r="H29" s="26"/>
      <c r="I29" s="94"/>
      <c r="J29" s="26"/>
      <c r="K29" s="6">
        <v>1</v>
      </c>
      <c r="L29" s="48"/>
      <c r="M29" s="26"/>
      <c r="N29" s="23"/>
    </row>
    <row r="30" spans="1:14" ht="26.25" customHeight="1">
      <c r="A30" s="29"/>
      <c r="B30" s="3" t="s">
        <v>71</v>
      </c>
      <c r="C30" s="4" t="s">
        <v>72</v>
      </c>
      <c r="D30" s="4" t="s">
        <v>245</v>
      </c>
      <c r="E30" s="7">
        <v>8</v>
      </c>
      <c r="F30" s="27"/>
      <c r="G30" s="27"/>
      <c r="H30" s="27"/>
      <c r="I30" s="95"/>
      <c r="J30" s="27"/>
      <c r="K30" s="6">
        <v>1</v>
      </c>
      <c r="L30" s="49"/>
      <c r="M30" s="27"/>
      <c r="N30" s="24"/>
    </row>
    <row r="31" spans="1:14" ht="21" customHeight="1">
      <c r="A31" s="50">
        <v>9</v>
      </c>
      <c r="B31" s="3" t="s">
        <v>73</v>
      </c>
      <c r="C31" s="4" t="s">
        <v>74</v>
      </c>
      <c r="D31" s="4" t="s">
        <v>245</v>
      </c>
      <c r="E31" s="7">
        <v>43</v>
      </c>
      <c r="F31" s="25" t="s">
        <v>75</v>
      </c>
      <c r="G31" s="25" t="s">
        <v>12</v>
      </c>
      <c r="H31" s="25" t="s">
        <v>13</v>
      </c>
      <c r="I31" s="93">
        <v>45803</v>
      </c>
      <c r="J31" s="25">
        <v>1</v>
      </c>
      <c r="K31" s="5">
        <v>1</v>
      </c>
      <c r="L31" s="47" t="s">
        <v>262</v>
      </c>
      <c r="M31" s="25" t="s">
        <v>255</v>
      </c>
      <c r="N31" s="22">
        <v>450000</v>
      </c>
    </row>
    <row r="32" spans="1:14" ht="21" customHeight="1">
      <c r="A32" s="28"/>
      <c r="B32" s="3" t="s">
        <v>76</v>
      </c>
      <c r="C32" s="4" t="s">
        <v>77</v>
      </c>
      <c r="D32" s="4" t="s">
        <v>244</v>
      </c>
      <c r="E32" s="7">
        <v>41</v>
      </c>
      <c r="F32" s="26"/>
      <c r="G32" s="26"/>
      <c r="H32" s="26"/>
      <c r="I32" s="94"/>
      <c r="J32" s="26"/>
      <c r="K32" s="6">
        <v>1</v>
      </c>
      <c r="L32" s="48"/>
      <c r="M32" s="26"/>
      <c r="N32" s="23"/>
    </row>
    <row r="33" spans="1:14" ht="21" customHeight="1">
      <c r="A33" s="28"/>
      <c r="B33" s="3" t="s">
        <v>78</v>
      </c>
      <c r="C33" s="4" t="s">
        <v>79</v>
      </c>
      <c r="D33" s="4" t="s">
        <v>244</v>
      </c>
      <c r="E33" s="7">
        <v>23</v>
      </c>
      <c r="F33" s="26"/>
      <c r="G33" s="26"/>
      <c r="H33" s="26"/>
      <c r="I33" s="94"/>
      <c r="J33" s="26"/>
      <c r="K33" s="6">
        <v>1</v>
      </c>
      <c r="L33" s="48"/>
      <c r="M33" s="26"/>
      <c r="N33" s="23"/>
    </row>
    <row r="34" spans="1:14" ht="21" customHeight="1">
      <c r="A34" s="28"/>
      <c r="B34" s="3" t="s">
        <v>80</v>
      </c>
      <c r="C34" s="4" t="s">
        <v>81</v>
      </c>
      <c r="D34" s="4" t="s">
        <v>245</v>
      </c>
      <c r="E34" s="7">
        <v>15</v>
      </c>
      <c r="F34" s="26"/>
      <c r="G34" s="26"/>
      <c r="H34" s="26"/>
      <c r="I34" s="94"/>
      <c r="J34" s="26"/>
      <c r="K34" s="6">
        <v>1</v>
      </c>
      <c r="L34" s="48"/>
      <c r="M34" s="26"/>
      <c r="N34" s="23"/>
    </row>
    <row r="35" spans="1:14" ht="21" customHeight="1">
      <c r="A35" s="29"/>
      <c r="B35" s="3" t="s">
        <v>82</v>
      </c>
      <c r="C35" s="4" t="s">
        <v>83</v>
      </c>
      <c r="D35" s="4" t="s">
        <v>244</v>
      </c>
      <c r="E35" s="7">
        <v>8</v>
      </c>
      <c r="F35" s="27"/>
      <c r="G35" s="27"/>
      <c r="H35" s="27"/>
      <c r="I35" s="95"/>
      <c r="J35" s="27"/>
      <c r="K35" s="8">
        <v>1</v>
      </c>
      <c r="L35" s="49"/>
      <c r="M35" s="27"/>
      <c r="N35" s="24"/>
    </row>
    <row r="36" spans="1:14" ht="30" customHeight="1">
      <c r="A36" s="50">
        <v>10</v>
      </c>
      <c r="B36" s="3" t="s">
        <v>84</v>
      </c>
      <c r="C36" s="4" t="s">
        <v>85</v>
      </c>
      <c r="D36" s="4" t="s">
        <v>245</v>
      </c>
      <c r="E36" s="7">
        <v>45</v>
      </c>
      <c r="F36" s="25" t="s">
        <v>75</v>
      </c>
      <c r="G36" s="25" t="s">
        <v>12</v>
      </c>
      <c r="H36" s="25" t="s">
        <v>13</v>
      </c>
      <c r="I36" s="93">
        <v>45803</v>
      </c>
      <c r="J36" s="25">
        <v>1</v>
      </c>
      <c r="K36" s="6">
        <v>1</v>
      </c>
      <c r="L36" s="47" t="s">
        <v>262</v>
      </c>
      <c r="M36" s="25" t="s">
        <v>255</v>
      </c>
      <c r="N36" s="22">
        <v>450000</v>
      </c>
    </row>
    <row r="37" spans="1:14" ht="30" customHeight="1">
      <c r="A37" s="29"/>
      <c r="B37" s="3" t="s">
        <v>86</v>
      </c>
      <c r="C37" s="4" t="s">
        <v>87</v>
      </c>
      <c r="D37" s="4" t="s">
        <v>244</v>
      </c>
      <c r="E37" s="7">
        <v>40</v>
      </c>
      <c r="F37" s="27"/>
      <c r="G37" s="27"/>
      <c r="H37" s="27"/>
      <c r="I37" s="95"/>
      <c r="J37" s="27"/>
      <c r="K37" s="6">
        <v>1</v>
      </c>
      <c r="L37" s="49"/>
      <c r="M37" s="27"/>
      <c r="N37" s="24"/>
    </row>
    <row r="38" spans="1:14" ht="21.75" customHeight="1">
      <c r="A38" s="50">
        <v>11</v>
      </c>
      <c r="B38" s="3" t="s">
        <v>88</v>
      </c>
      <c r="C38" s="4" t="s">
        <v>89</v>
      </c>
      <c r="D38" s="4" t="s">
        <v>245</v>
      </c>
      <c r="E38" s="7">
        <v>62</v>
      </c>
      <c r="F38" s="25" t="s">
        <v>90</v>
      </c>
      <c r="G38" s="25" t="s">
        <v>20</v>
      </c>
      <c r="H38" s="25" t="s">
        <v>13</v>
      </c>
      <c r="I38" s="93">
        <v>45819</v>
      </c>
      <c r="J38" s="55">
        <v>1</v>
      </c>
      <c r="K38" s="5">
        <v>1</v>
      </c>
      <c r="L38" s="47" t="s">
        <v>262</v>
      </c>
      <c r="M38" s="25" t="s">
        <v>256</v>
      </c>
      <c r="N38" s="22">
        <v>420000</v>
      </c>
    </row>
    <row r="39" spans="1:14" ht="21.75" customHeight="1">
      <c r="A39" s="28"/>
      <c r="B39" s="13" t="s">
        <v>91</v>
      </c>
      <c r="C39" s="4" t="s">
        <v>92</v>
      </c>
      <c r="D39" s="4" t="s">
        <v>244</v>
      </c>
      <c r="E39" s="7">
        <v>65</v>
      </c>
      <c r="F39" s="26"/>
      <c r="G39" s="26"/>
      <c r="H39" s="26"/>
      <c r="I39" s="94"/>
      <c r="J39" s="56"/>
      <c r="K39" s="6">
        <v>1</v>
      </c>
      <c r="L39" s="48"/>
      <c r="M39" s="26"/>
      <c r="N39" s="23"/>
    </row>
    <row r="40" spans="1:14" ht="21.75" customHeight="1">
      <c r="A40" s="29"/>
      <c r="B40" s="3" t="s">
        <v>93</v>
      </c>
      <c r="C40" s="4" t="s">
        <v>94</v>
      </c>
      <c r="D40" s="4" t="s">
        <v>244</v>
      </c>
      <c r="E40" s="7">
        <v>29</v>
      </c>
      <c r="F40" s="27"/>
      <c r="G40" s="27"/>
      <c r="H40" s="27"/>
      <c r="I40" s="95"/>
      <c r="J40" s="57"/>
      <c r="K40" s="8">
        <v>1</v>
      </c>
      <c r="L40" s="49"/>
      <c r="M40" s="27"/>
      <c r="N40" s="24"/>
    </row>
    <row r="41" spans="1:14" ht="23.25" customHeight="1">
      <c r="A41" s="50">
        <v>12</v>
      </c>
      <c r="B41" s="3" t="s">
        <v>95</v>
      </c>
      <c r="C41" s="4" t="s">
        <v>96</v>
      </c>
      <c r="D41" s="4" t="s">
        <v>245</v>
      </c>
      <c r="E41" s="7">
        <v>50</v>
      </c>
      <c r="F41" s="25" t="s">
        <v>97</v>
      </c>
      <c r="G41" s="25" t="s">
        <v>12</v>
      </c>
      <c r="H41" s="25" t="s">
        <v>13</v>
      </c>
      <c r="I41" s="93">
        <v>45832</v>
      </c>
      <c r="J41" s="25">
        <v>1</v>
      </c>
      <c r="K41" s="5">
        <v>1</v>
      </c>
      <c r="L41" s="47" t="s">
        <v>262</v>
      </c>
      <c r="M41" s="25" t="s">
        <v>258</v>
      </c>
      <c r="N41" s="22">
        <f>1260000+450000+250000</f>
        <v>1960000</v>
      </c>
    </row>
    <row r="42" spans="1:14" ht="23.25" customHeight="1">
      <c r="A42" s="28"/>
      <c r="B42" s="3" t="s">
        <v>98</v>
      </c>
      <c r="C42" s="4" t="s">
        <v>99</v>
      </c>
      <c r="D42" s="4" t="s">
        <v>244</v>
      </c>
      <c r="E42" s="7">
        <v>50</v>
      </c>
      <c r="F42" s="26"/>
      <c r="G42" s="26"/>
      <c r="H42" s="26"/>
      <c r="I42" s="94"/>
      <c r="J42" s="26"/>
      <c r="K42" s="6">
        <v>1</v>
      </c>
      <c r="L42" s="48"/>
      <c r="M42" s="26"/>
      <c r="N42" s="23"/>
    </row>
    <row r="43" spans="1:14" ht="23.25" customHeight="1">
      <c r="A43" s="28"/>
      <c r="B43" s="3" t="s">
        <v>100</v>
      </c>
      <c r="C43" s="4" t="s">
        <v>101</v>
      </c>
      <c r="D43" s="4" t="s">
        <v>245</v>
      </c>
      <c r="E43" s="7">
        <v>21</v>
      </c>
      <c r="F43" s="26"/>
      <c r="G43" s="26"/>
      <c r="H43" s="26"/>
      <c r="I43" s="94"/>
      <c r="J43" s="26"/>
      <c r="K43" s="6">
        <v>1</v>
      </c>
      <c r="L43" s="48"/>
      <c r="M43" s="26"/>
      <c r="N43" s="23"/>
    </row>
    <row r="44" spans="1:14" ht="23.25" customHeight="1">
      <c r="A44" s="28"/>
      <c r="B44" s="3" t="s">
        <v>102</v>
      </c>
      <c r="C44" s="4" t="s">
        <v>103</v>
      </c>
      <c r="D44" s="4" t="s">
        <v>244</v>
      </c>
      <c r="E44" s="7">
        <v>17</v>
      </c>
      <c r="F44" s="26"/>
      <c r="G44" s="26"/>
      <c r="H44" s="26"/>
      <c r="I44" s="94"/>
      <c r="J44" s="26"/>
      <c r="K44" s="6">
        <v>1</v>
      </c>
      <c r="L44" s="48"/>
      <c r="M44" s="26"/>
      <c r="N44" s="23"/>
    </row>
    <row r="45" spans="1:14" ht="23.25" customHeight="1">
      <c r="A45" s="29"/>
      <c r="B45" s="3" t="s">
        <v>104</v>
      </c>
      <c r="C45" s="4" t="s">
        <v>105</v>
      </c>
      <c r="D45" s="4" t="s">
        <v>245</v>
      </c>
      <c r="E45" s="7">
        <v>12</v>
      </c>
      <c r="F45" s="27"/>
      <c r="G45" s="27"/>
      <c r="H45" s="27"/>
      <c r="I45" s="95"/>
      <c r="J45" s="27"/>
      <c r="K45" s="6">
        <v>1</v>
      </c>
      <c r="L45" s="49"/>
      <c r="M45" s="27"/>
      <c r="N45" s="24"/>
    </row>
    <row r="46" spans="1:14" ht="24" customHeight="1">
      <c r="A46" s="50">
        <v>13</v>
      </c>
      <c r="B46" s="3" t="s">
        <v>106</v>
      </c>
      <c r="C46" s="4" t="s">
        <v>107</v>
      </c>
      <c r="D46" s="4" t="s">
        <v>245</v>
      </c>
      <c r="E46" s="7">
        <v>65</v>
      </c>
      <c r="F46" s="25" t="s">
        <v>108</v>
      </c>
      <c r="G46" s="25" t="s">
        <v>109</v>
      </c>
      <c r="H46" s="25" t="s">
        <v>110</v>
      </c>
      <c r="I46" s="93">
        <v>45833</v>
      </c>
      <c r="J46" s="25">
        <v>1</v>
      </c>
      <c r="K46" s="5">
        <v>1</v>
      </c>
      <c r="L46" s="47" t="s">
        <v>262</v>
      </c>
      <c r="M46" s="25" t="s">
        <v>258</v>
      </c>
      <c r="N46" s="22">
        <f>840000+450000+250000</f>
        <v>1540000</v>
      </c>
    </row>
    <row r="47" spans="1:14" ht="24" customHeight="1">
      <c r="A47" s="29"/>
      <c r="B47" s="3" t="s">
        <v>111</v>
      </c>
      <c r="C47" s="4" t="s">
        <v>112</v>
      </c>
      <c r="D47" s="4" t="s">
        <v>244</v>
      </c>
      <c r="E47" s="7">
        <v>62</v>
      </c>
      <c r="F47" s="27"/>
      <c r="G47" s="27"/>
      <c r="H47" s="27"/>
      <c r="I47" s="95"/>
      <c r="J47" s="27"/>
      <c r="K47" s="6">
        <v>1</v>
      </c>
      <c r="L47" s="49"/>
      <c r="M47" s="27"/>
      <c r="N47" s="24"/>
    </row>
    <row r="48" spans="1:14" ht="23.25" customHeight="1">
      <c r="A48" s="50">
        <v>14</v>
      </c>
      <c r="B48" s="13" t="s">
        <v>113</v>
      </c>
      <c r="C48" s="4" t="s">
        <v>114</v>
      </c>
      <c r="D48" s="4" t="s">
        <v>245</v>
      </c>
      <c r="E48" s="7">
        <f>2025-1986</f>
        <v>39</v>
      </c>
      <c r="F48" s="25" t="s">
        <v>108</v>
      </c>
      <c r="G48" s="25" t="s">
        <v>109</v>
      </c>
      <c r="H48" s="25" t="s">
        <v>110</v>
      </c>
      <c r="I48" s="93">
        <v>45833</v>
      </c>
      <c r="J48" s="25">
        <v>1</v>
      </c>
      <c r="K48" s="5">
        <v>1</v>
      </c>
      <c r="L48" s="47" t="s">
        <v>263</v>
      </c>
      <c r="M48" s="25" t="s">
        <v>249</v>
      </c>
      <c r="N48" s="22">
        <f>1260000+250000+250000</f>
        <v>1760000</v>
      </c>
    </row>
    <row r="49" spans="1:15" ht="23.25" customHeight="1">
      <c r="A49" s="28"/>
      <c r="B49" s="3" t="s">
        <v>115</v>
      </c>
      <c r="C49" s="4" t="s">
        <v>112</v>
      </c>
      <c r="D49" s="4" t="s">
        <v>244</v>
      </c>
      <c r="E49" s="7">
        <f>2025-1980</f>
        <v>45</v>
      </c>
      <c r="F49" s="26"/>
      <c r="G49" s="26"/>
      <c r="H49" s="26"/>
      <c r="I49" s="94"/>
      <c r="J49" s="26"/>
      <c r="K49" s="6">
        <v>1</v>
      </c>
      <c r="L49" s="48"/>
      <c r="M49" s="26"/>
      <c r="N49" s="23"/>
    </row>
    <row r="50" spans="1:15" ht="23.25" customHeight="1">
      <c r="A50" s="28"/>
      <c r="B50" s="3" t="s">
        <v>116</v>
      </c>
      <c r="C50" s="4" t="s">
        <v>112</v>
      </c>
      <c r="D50" s="4" t="s">
        <v>245</v>
      </c>
      <c r="E50" s="7">
        <f>2025-2014</f>
        <v>11</v>
      </c>
      <c r="F50" s="26"/>
      <c r="G50" s="26"/>
      <c r="H50" s="26"/>
      <c r="I50" s="94"/>
      <c r="J50" s="26"/>
      <c r="K50" s="6">
        <v>1</v>
      </c>
      <c r="L50" s="48"/>
      <c r="M50" s="26"/>
      <c r="N50" s="23"/>
    </row>
    <row r="51" spans="1:15" ht="23.25" customHeight="1">
      <c r="A51" s="29"/>
      <c r="B51" s="3" t="s">
        <v>117</v>
      </c>
      <c r="C51" s="4" t="s">
        <v>112</v>
      </c>
      <c r="D51" s="4" t="s">
        <v>245</v>
      </c>
      <c r="E51" s="7">
        <f>2025-2019</f>
        <v>6</v>
      </c>
      <c r="F51" s="27"/>
      <c r="G51" s="27"/>
      <c r="H51" s="27"/>
      <c r="I51" s="95"/>
      <c r="J51" s="27"/>
      <c r="K51" s="6">
        <v>1</v>
      </c>
      <c r="L51" s="49"/>
      <c r="M51" s="27"/>
      <c r="N51" s="24"/>
    </row>
    <row r="52" spans="1:15">
      <c r="A52" s="50">
        <v>15</v>
      </c>
      <c r="B52" s="3" t="s">
        <v>120</v>
      </c>
      <c r="C52" s="4" t="s">
        <v>121</v>
      </c>
      <c r="D52" s="4" t="s">
        <v>245</v>
      </c>
      <c r="E52" s="7">
        <v>38</v>
      </c>
      <c r="F52" s="25" t="s">
        <v>122</v>
      </c>
      <c r="G52" s="25" t="s">
        <v>123</v>
      </c>
      <c r="H52" s="25" t="s">
        <v>19</v>
      </c>
      <c r="I52" s="93">
        <v>45908</v>
      </c>
      <c r="J52" s="25">
        <v>1</v>
      </c>
      <c r="K52" s="5">
        <v>1</v>
      </c>
      <c r="L52" s="47" t="s">
        <v>262</v>
      </c>
      <c r="M52" s="25" t="s">
        <v>250</v>
      </c>
      <c r="N52" s="22">
        <f>450000</f>
        <v>450000</v>
      </c>
      <c r="O52" s="15"/>
    </row>
    <row r="53" spans="1:15">
      <c r="A53" s="28"/>
      <c r="B53" s="3" t="s">
        <v>124</v>
      </c>
      <c r="C53" s="4" t="s">
        <v>125</v>
      </c>
      <c r="D53" s="4" t="s">
        <v>244</v>
      </c>
      <c r="E53" s="7">
        <v>33</v>
      </c>
      <c r="F53" s="26"/>
      <c r="G53" s="26"/>
      <c r="H53" s="26"/>
      <c r="I53" s="94"/>
      <c r="J53" s="26"/>
      <c r="K53" s="6">
        <v>1</v>
      </c>
      <c r="L53" s="48"/>
      <c r="M53" s="26"/>
      <c r="N53" s="23"/>
      <c r="O53" s="15"/>
    </row>
    <row r="54" spans="1:15">
      <c r="A54" s="28"/>
      <c r="B54" s="3" t="s">
        <v>126</v>
      </c>
      <c r="C54" s="4" t="s">
        <v>127</v>
      </c>
      <c r="D54" s="4" t="s">
        <v>244</v>
      </c>
      <c r="E54" s="7">
        <v>15</v>
      </c>
      <c r="F54" s="26"/>
      <c r="G54" s="26"/>
      <c r="H54" s="26"/>
      <c r="I54" s="94"/>
      <c r="J54" s="26"/>
      <c r="K54" s="6">
        <v>1</v>
      </c>
      <c r="L54" s="48"/>
      <c r="M54" s="26"/>
      <c r="N54" s="23"/>
      <c r="O54" s="15"/>
    </row>
    <row r="55" spans="1:15">
      <c r="A55" s="28"/>
      <c r="B55" s="3" t="s">
        <v>128</v>
      </c>
      <c r="C55" s="4" t="s">
        <v>129</v>
      </c>
      <c r="D55" s="4" t="s">
        <v>244</v>
      </c>
      <c r="E55" s="7">
        <v>11</v>
      </c>
      <c r="F55" s="26"/>
      <c r="G55" s="26"/>
      <c r="H55" s="26"/>
      <c r="I55" s="94"/>
      <c r="J55" s="26"/>
      <c r="K55" s="6">
        <v>1</v>
      </c>
      <c r="L55" s="48"/>
      <c r="M55" s="26"/>
      <c r="N55" s="23"/>
      <c r="O55" s="15"/>
    </row>
    <row r="56" spans="1:15">
      <c r="A56" s="28"/>
      <c r="B56" s="3" t="s">
        <v>130</v>
      </c>
      <c r="C56" s="4" t="s">
        <v>131</v>
      </c>
      <c r="D56" s="4" t="s">
        <v>245</v>
      </c>
      <c r="E56" s="7">
        <v>9</v>
      </c>
      <c r="F56" s="26"/>
      <c r="G56" s="26"/>
      <c r="H56" s="26"/>
      <c r="I56" s="94"/>
      <c r="J56" s="26"/>
      <c r="K56" s="6">
        <v>1</v>
      </c>
      <c r="L56" s="48"/>
      <c r="M56" s="26"/>
      <c r="N56" s="23"/>
      <c r="O56" s="15"/>
    </row>
    <row r="57" spans="1:15">
      <c r="A57" s="28"/>
      <c r="B57" s="3" t="s">
        <v>132</v>
      </c>
      <c r="C57" s="4" t="s">
        <v>133</v>
      </c>
      <c r="D57" s="4" t="s">
        <v>245</v>
      </c>
      <c r="E57" s="7">
        <v>4</v>
      </c>
      <c r="F57" s="26"/>
      <c r="G57" s="26"/>
      <c r="H57" s="26"/>
      <c r="I57" s="94"/>
      <c r="J57" s="26"/>
      <c r="K57" s="6">
        <v>1</v>
      </c>
      <c r="L57" s="48"/>
      <c r="M57" s="26"/>
      <c r="N57" s="23"/>
      <c r="O57" s="15"/>
    </row>
    <row r="58" spans="1:15" ht="21.5" customHeight="1">
      <c r="A58" s="29"/>
      <c r="B58" s="3" t="s">
        <v>134</v>
      </c>
      <c r="C58" s="4" t="s">
        <v>135</v>
      </c>
      <c r="D58" s="4" t="s">
        <v>244</v>
      </c>
      <c r="E58" s="7">
        <v>1</v>
      </c>
      <c r="F58" s="27"/>
      <c r="G58" s="27"/>
      <c r="H58" s="27"/>
      <c r="I58" s="95"/>
      <c r="J58" s="27"/>
      <c r="K58" s="8">
        <v>1</v>
      </c>
      <c r="L58" s="49"/>
      <c r="M58" s="27"/>
      <c r="N58" s="24"/>
      <c r="O58" s="15"/>
    </row>
    <row r="59" spans="1:15" ht="18.5" customHeight="1">
      <c r="A59" s="50">
        <v>16</v>
      </c>
      <c r="B59" s="3" t="s">
        <v>136</v>
      </c>
      <c r="C59" s="4" t="s">
        <v>137</v>
      </c>
      <c r="D59" s="4" t="s">
        <v>245</v>
      </c>
      <c r="E59" s="7">
        <v>61</v>
      </c>
      <c r="F59" s="25" t="s">
        <v>138</v>
      </c>
      <c r="G59" s="25" t="s">
        <v>17</v>
      </c>
      <c r="H59" s="25" t="s">
        <v>18</v>
      </c>
      <c r="I59" s="93">
        <v>45915</v>
      </c>
      <c r="J59" s="52">
        <v>1</v>
      </c>
      <c r="K59" s="5">
        <v>1</v>
      </c>
      <c r="L59" s="47" t="s">
        <v>262</v>
      </c>
      <c r="M59" s="25" t="s">
        <v>250</v>
      </c>
      <c r="N59" s="22">
        <f>450000</f>
        <v>450000</v>
      </c>
      <c r="O59" s="15"/>
    </row>
    <row r="60" spans="1:15" ht="22" customHeight="1">
      <c r="A60" s="28"/>
      <c r="B60" s="3" t="s">
        <v>139</v>
      </c>
      <c r="C60" s="4" t="s">
        <v>140</v>
      </c>
      <c r="D60" s="4" t="s">
        <v>244</v>
      </c>
      <c r="E60" s="7">
        <v>61</v>
      </c>
      <c r="F60" s="26"/>
      <c r="G60" s="26"/>
      <c r="H60" s="26"/>
      <c r="I60" s="94"/>
      <c r="J60" s="54"/>
      <c r="K60" s="6">
        <v>1</v>
      </c>
      <c r="L60" s="48"/>
      <c r="M60" s="26"/>
      <c r="N60" s="23"/>
      <c r="O60" s="15"/>
    </row>
    <row r="61" spans="1:15" ht="23.5" customHeight="1">
      <c r="A61" s="29"/>
      <c r="B61" s="3" t="s">
        <v>141</v>
      </c>
      <c r="C61" s="4" t="s">
        <v>142</v>
      </c>
      <c r="D61" s="4" t="s">
        <v>245</v>
      </c>
      <c r="E61" s="7">
        <v>19</v>
      </c>
      <c r="F61" s="27"/>
      <c r="G61" s="27"/>
      <c r="H61" s="27"/>
      <c r="I61" s="95"/>
      <c r="J61" s="53"/>
      <c r="K61" s="8">
        <v>1</v>
      </c>
      <c r="L61" s="49"/>
      <c r="M61" s="27"/>
      <c r="N61" s="24"/>
      <c r="O61" s="15"/>
    </row>
    <row r="62" spans="1:15" ht="25.5" customHeight="1">
      <c r="A62" s="50">
        <v>17</v>
      </c>
      <c r="B62" s="3" t="s">
        <v>246</v>
      </c>
      <c r="C62" s="4" t="s">
        <v>143</v>
      </c>
      <c r="D62" s="4" t="s">
        <v>244</v>
      </c>
      <c r="E62" s="7">
        <v>55</v>
      </c>
      <c r="F62" s="25" t="s">
        <v>144</v>
      </c>
      <c r="G62" s="25" t="s">
        <v>145</v>
      </c>
      <c r="H62" s="25" t="s">
        <v>110</v>
      </c>
      <c r="I62" s="93">
        <v>45919</v>
      </c>
      <c r="J62" s="52">
        <v>1</v>
      </c>
      <c r="K62" s="6">
        <v>1</v>
      </c>
      <c r="L62" s="47" t="s">
        <v>262</v>
      </c>
      <c r="M62" s="25" t="s">
        <v>250</v>
      </c>
      <c r="N62" s="22">
        <v>450000</v>
      </c>
      <c r="O62" s="15"/>
    </row>
    <row r="63" spans="1:15" ht="25.5" customHeight="1">
      <c r="A63" s="29"/>
      <c r="B63" s="3" t="s">
        <v>146</v>
      </c>
      <c r="C63" s="4" t="s">
        <v>147</v>
      </c>
      <c r="D63" s="4" t="s">
        <v>245</v>
      </c>
      <c r="E63" s="7">
        <v>28</v>
      </c>
      <c r="F63" s="27"/>
      <c r="G63" s="27"/>
      <c r="H63" s="27"/>
      <c r="I63" s="95"/>
      <c r="J63" s="53"/>
      <c r="K63" s="8">
        <v>1</v>
      </c>
      <c r="L63" s="49"/>
      <c r="M63" s="27"/>
      <c r="N63" s="24"/>
      <c r="O63" s="15"/>
    </row>
    <row r="64" spans="1:15" ht="18" customHeight="1">
      <c r="A64" s="50">
        <v>18</v>
      </c>
      <c r="B64" s="3" t="s">
        <v>150</v>
      </c>
      <c r="C64" s="4" t="s">
        <v>151</v>
      </c>
      <c r="D64" s="4" t="s">
        <v>245</v>
      </c>
      <c r="E64" s="7">
        <f>2025-1963</f>
        <v>62</v>
      </c>
      <c r="F64" s="25" t="s">
        <v>152</v>
      </c>
      <c r="G64" s="25" t="s">
        <v>149</v>
      </c>
      <c r="H64" s="25" t="s">
        <v>18</v>
      </c>
      <c r="I64" s="93">
        <v>45979</v>
      </c>
      <c r="J64" s="42">
        <v>1</v>
      </c>
      <c r="K64" s="16">
        <v>1</v>
      </c>
      <c r="L64" s="47" t="s">
        <v>262</v>
      </c>
      <c r="M64" s="25" t="s">
        <v>264</v>
      </c>
      <c r="N64" s="22">
        <v>0</v>
      </c>
      <c r="O64" s="15"/>
    </row>
    <row r="65" spans="1:15" ht="18" customHeight="1">
      <c r="A65" s="29"/>
      <c r="B65" s="3" t="s">
        <v>153</v>
      </c>
      <c r="C65" s="4" t="s">
        <v>154</v>
      </c>
      <c r="D65" s="4" t="s">
        <v>244</v>
      </c>
      <c r="E65" s="7">
        <f>2025-1962</f>
        <v>63</v>
      </c>
      <c r="F65" s="27"/>
      <c r="G65" s="27"/>
      <c r="H65" s="27"/>
      <c r="I65" s="95"/>
      <c r="J65" s="42"/>
      <c r="K65" s="16">
        <v>1</v>
      </c>
      <c r="L65" s="49"/>
      <c r="M65" s="27"/>
      <c r="N65" s="24"/>
      <c r="O65" s="15"/>
    </row>
    <row r="66" spans="1:15" ht="18" customHeight="1">
      <c r="A66" s="50">
        <v>19</v>
      </c>
      <c r="B66" s="3" t="s">
        <v>155</v>
      </c>
      <c r="C66" s="4" t="s">
        <v>156</v>
      </c>
      <c r="D66" s="4" t="s">
        <v>245</v>
      </c>
      <c r="E66" s="7">
        <f>2025-1968</f>
        <v>57</v>
      </c>
      <c r="F66" s="25" t="s">
        <v>157</v>
      </c>
      <c r="G66" s="25" t="s">
        <v>149</v>
      </c>
      <c r="H66" s="25" t="s">
        <v>18</v>
      </c>
      <c r="I66" s="93">
        <v>45979</v>
      </c>
      <c r="J66" s="42">
        <v>1</v>
      </c>
      <c r="K66" s="16">
        <v>1</v>
      </c>
      <c r="L66" s="47" t="s">
        <v>262</v>
      </c>
      <c r="M66" s="25" t="s">
        <v>264</v>
      </c>
      <c r="N66" s="22">
        <v>0</v>
      </c>
      <c r="O66" s="15"/>
    </row>
    <row r="67" spans="1:15" ht="18" customHeight="1">
      <c r="A67" s="28"/>
      <c r="B67" s="3" t="s">
        <v>158</v>
      </c>
      <c r="C67" s="4" t="s">
        <v>159</v>
      </c>
      <c r="D67" s="4" t="s">
        <v>245</v>
      </c>
      <c r="E67" s="7">
        <f>2025-1973</f>
        <v>52</v>
      </c>
      <c r="F67" s="26"/>
      <c r="G67" s="26"/>
      <c r="H67" s="26"/>
      <c r="I67" s="94"/>
      <c r="J67" s="42"/>
      <c r="K67" s="16">
        <v>1</v>
      </c>
      <c r="L67" s="48"/>
      <c r="M67" s="26"/>
      <c r="N67" s="23"/>
      <c r="O67" s="15"/>
    </row>
    <row r="68" spans="1:15" ht="18" customHeight="1">
      <c r="A68" s="28"/>
      <c r="B68" s="3" t="s">
        <v>160</v>
      </c>
      <c r="C68" s="4" t="s">
        <v>161</v>
      </c>
      <c r="D68" s="4" t="s">
        <v>245</v>
      </c>
      <c r="E68" s="7">
        <f>2025-2000</f>
        <v>25</v>
      </c>
      <c r="F68" s="26"/>
      <c r="G68" s="26"/>
      <c r="H68" s="26"/>
      <c r="I68" s="94"/>
      <c r="J68" s="42"/>
      <c r="K68" s="16">
        <v>1</v>
      </c>
      <c r="L68" s="48"/>
      <c r="M68" s="26"/>
      <c r="N68" s="23"/>
      <c r="O68" s="15"/>
    </row>
    <row r="69" spans="1:15" ht="18" customHeight="1">
      <c r="A69" s="28"/>
      <c r="B69" s="3" t="s">
        <v>148</v>
      </c>
      <c r="C69" s="4" t="s">
        <v>162</v>
      </c>
      <c r="D69" s="4" t="s">
        <v>244</v>
      </c>
      <c r="E69" s="7">
        <f>2025-2008</f>
        <v>17</v>
      </c>
      <c r="F69" s="26"/>
      <c r="G69" s="26"/>
      <c r="H69" s="26"/>
      <c r="I69" s="94"/>
      <c r="J69" s="42"/>
      <c r="K69" s="16">
        <v>1</v>
      </c>
      <c r="L69" s="48"/>
      <c r="M69" s="26"/>
      <c r="N69" s="23"/>
      <c r="O69" s="15"/>
    </row>
    <row r="70" spans="1:15" ht="18" customHeight="1">
      <c r="A70" s="28"/>
      <c r="B70" s="3" t="s">
        <v>163</v>
      </c>
      <c r="C70" s="4" t="s">
        <v>164</v>
      </c>
      <c r="D70" s="4" t="s">
        <v>245</v>
      </c>
      <c r="E70" s="7">
        <f>2025-2013</f>
        <v>12</v>
      </c>
      <c r="F70" s="26"/>
      <c r="G70" s="26"/>
      <c r="H70" s="26"/>
      <c r="I70" s="94"/>
      <c r="J70" s="42"/>
      <c r="K70" s="16">
        <v>1</v>
      </c>
      <c r="L70" s="48"/>
      <c r="M70" s="26"/>
      <c r="N70" s="23"/>
      <c r="O70" s="15"/>
    </row>
    <row r="71" spans="1:15" ht="18" customHeight="1">
      <c r="A71" s="29"/>
      <c r="B71" s="3" t="s">
        <v>165</v>
      </c>
      <c r="C71" s="4" t="s">
        <v>166</v>
      </c>
      <c r="D71" s="4" t="s">
        <v>245</v>
      </c>
      <c r="E71" s="7">
        <f>2025-2021</f>
        <v>4</v>
      </c>
      <c r="F71" s="27"/>
      <c r="G71" s="27"/>
      <c r="H71" s="27"/>
      <c r="I71" s="95"/>
      <c r="J71" s="42"/>
      <c r="K71" s="16">
        <v>1</v>
      </c>
      <c r="L71" s="49"/>
      <c r="M71" s="27"/>
      <c r="N71" s="24"/>
      <c r="O71" s="15"/>
    </row>
    <row r="72" spans="1:15" ht="18" customHeight="1">
      <c r="A72" s="50">
        <v>20</v>
      </c>
      <c r="B72" s="3" t="s">
        <v>167</v>
      </c>
      <c r="C72" s="4" t="s">
        <v>168</v>
      </c>
      <c r="D72" s="4" t="s">
        <v>245</v>
      </c>
      <c r="E72" s="7">
        <f>2025-1999</f>
        <v>26</v>
      </c>
      <c r="F72" s="25" t="s">
        <v>169</v>
      </c>
      <c r="G72" s="25" t="s">
        <v>149</v>
      </c>
      <c r="H72" s="25" t="s">
        <v>18</v>
      </c>
      <c r="I72" s="93">
        <v>45979</v>
      </c>
      <c r="J72" s="42">
        <v>1</v>
      </c>
      <c r="K72" s="16">
        <v>1</v>
      </c>
      <c r="L72" s="47" t="s">
        <v>262</v>
      </c>
      <c r="M72" s="25" t="s">
        <v>264</v>
      </c>
      <c r="N72" s="22">
        <v>0</v>
      </c>
      <c r="O72" s="15"/>
    </row>
    <row r="73" spans="1:15" ht="18" customHeight="1">
      <c r="A73" s="28"/>
      <c r="B73" s="3" t="s">
        <v>170</v>
      </c>
      <c r="C73" s="4" t="s">
        <v>171</v>
      </c>
      <c r="D73" s="4" t="s">
        <v>244</v>
      </c>
      <c r="E73" s="7">
        <f>2025-1998</f>
        <v>27</v>
      </c>
      <c r="F73" s="26"/>
      <c r="G73" s="26"/>
      <c r="H73" s="26"/>
      <c r="I73" s="94"/>
      <c r="J73" s="42"/>
      <c r="K73" s="16">
        <v>1</v>
      </c>
      <c r="L73" s="48"/>
      <c r="M73" s="26"/>
      <c r="N73" s="23"/>
      <c r="O73" s="15"/>
    </row>
    <row r="74" spans="1:15" ht="18" customHeight="1">
      <c r="A74" s="29"/>
      <c r="B74" s="3" t="s">
        <v>172</v>
      </c>
      <c r="C74" s="4" t="s">
        <v>173</v>
      </c>
      <c r="D74" s="4" t="s">
        <v>245</v>
      </c>
      <c r="E74" s="7" t="s">
        <v>119</v>
      </c>
      <c r="F74" s="27"/>
      <c r="G74" s="27"/>
      <c r="H74" s="27"/>
      <c r="I74" s="95"/>
      <c r="J74" s="42"/>
      <c r="K74" s="16">
        <v>1</v>
      </c>
      <c r="L74" s="49"/>
      <c r="M74" s="27"/>
      <c r="N74" s="24"/>
      <c r="O74" s="15"/>
    </row>
    <row r="75" spans="1:15" ht="18" customHeight="1">
      <c r="A75" s="50">
        <v>21</v>
      </c>
      <c r="B75" s="3" t="s">
        <v>174</v>
      </c>
      <c r="C75" s="4" t="s">
        <v>175</v>
      </c>
      <c r="D75" s="4" t="s">
        <v>245</v>
      </c>
      <c r="E75" s="7">
        <f>2025-1975</f>
        <v>50</v>
      </c>
      <c r="F75" s="25" t="s">
        <v>176</v>
      </c>
      <c r="G75" s="25" t="s">
        <v>149</v>
      </c>
      <c r="H75" s="25" t="s">
        <v>18</v>
      </c>
      <c r="I75" s="93">
        <v>45979</v>
      </c>
      <c r="J75" s="42">
        <v>1</v>
      </c>
      <c r="K75" s="16">
        <v>1</v>
      </c>
      <c r="L75" s="47" t="s">
        <v>262</v>
      </c>
      <c r="M75" s="25" t="s">
        <v>264</v>
      </c>
      <c r="N75" s="22">
        <v>0</v>
      </c>
      <c r="O75" s="15"/>
    </row>
    <row r="76" spans="1:15" ht="18" customHeight="1">
      <c r="A76" s="28"/>
      <c r="B76" s="3" t="s">
        <v>177</v>
      </c>
      <c r="C76" s="4" t="s">
        <v>178</v>
      </c>
      <c r="D76" s="4" t="s">
        <v>244</v>
      </c>
      <c r="E76" s="7">
        <f>2025-1980</f>
        <v>45</v>
      </c>
      <c r="F76" s="26"/>
      <c r="G76" s="26"/>
      <c r="H76" s="26"/>
      <c r="I76" s="94"/>
      <c r="J76" s="42"/>
      <c r="K76" s="16">
        <v>1</v>
      </c>
      <c r="L76" s="48"/>
      <c r="M76" s="26"/>
      <c r="N76" s="23"/>
      <c r="O76" s="15"/>
    </row>
    <row r="77" spans="1:15" ht="18" customHeight="1">
      <c r="A77" s="28"/>
      <c r="B77" s="3" t="s">
        <v>179</v>
      </c>
      <c r="C77" s="4" t="s">
        <v>180</v>
      </c>
      <c r="D77" s="4" t="s">
        <v>245</v>
      </c>
      <c r="E77" s="7">
        <f>2025-1997</f>
        <v>28</v>
      </c>
      <c r="F77" s="26"/>
      <c r="G77" s="26"/>
      <c r="H77" s="26"/>
      <c r="I77" s="94"/>
      <c r="J77" s="42"/>
      <c r="K77" s="16">
        <v>1</v>
      </c>
      <c r="L77" s="48"/>
      <c r="M77" s="26"/>
      <c r="N77" s="23"/>
      <c r="O77" s="15"/>
    </row>
    <row r="78" spans="1:15" ht="18" customHeight="1">
      <c r="A78" s="28"/>
      <c r="B78" s="3" t="s">
        <v>181</v>
      </c>
      <c r="C78" s="4" t="s">
        <v>182</v>
      </c>
      <c r="D78" s="4" t="s">
        <v>245</v>
      </c>
      <c r="E78" s="7">
        <f>2025-2001</f>
        <v>24</v>
      </c>
      <c r="F78" s="26"/>
      <c r="G78" s="26"/>
      <c r="H78" s="26"/>
      <c r="I78" s="94"/>
      <c r="J78" s="42"/>
      <c r="K78" s="16">
        <v>1</v>
      </c>
      <c r="L78" s="48"/>
      <c r="M78" s="26"/>
      <c r="N78" s="23"/>
      <c r="O78" s="15"/>
    </row>
    <row r="79" spans="1:15" ht="18" customHeight="1">
      <c r="A79" s="29"/>
      <c r="B79" s="3" t="s">
        <v>183</v>
      </c>
      <c r="C79" s="4" t="s">
        <v>184</v>
      </c>
      <c r="D79" s="4" t="s">
        <v>245</v>
      </c>
      <c r="E79" s="7">
        <f>2025-2014</f>
        <v>11</v>
      </c>
      <c r="F79" s="27"/>
      <c r="G79" s="27"/>
      <c r="H79" s="27"/>
      <c r="I79" s="95"/>
      <c r="J79" s="42"/>
      <c r="K79" s="16">
        <v>1</v>
      </c>
      <c r="L79" s="49"/>
      <c r="M79" s="27"/>
      <c r="N79" s="24"/>
      <c r="O79" s="15"/>
    </row>
    <row r="80" spans="1:15" ht="44.25" customHeight="1">
      <c r="A80" s="11">
        <v>22</v>
      </c>
      <c r="B80" s="3" t="s">
        <v>185</v>
      </c>
      <c r="C80" s="4" t="s">
        <v>186</v>
      </c>
      <c r="D80" s="4" t="s">
        <v>244</v>
      </c>
      <c r="E80" s="7">
        <f>2025-1951</f>
        <v>74</v>
      </c>
      <c r="F80" s="9" t="s">
        <v>187</v>
      </c>
      <c r="G80" s="9" t="s">
        <v>149</v>
      </c>
      <c r="H80" s="9" t="s">
        <v>18</v>
      </c>
      <c r="I80" s="97">
        <v>45979</v>
      </c>
      <c r="J80" s="14">
        <v>1</v>
      </c>
      <c r="K80" s="16">
        <v>1</v>
      </c>
      <c r="L80" s="20" t="s">
        <v>262</v>
      </c>
      <c r="M80" s="5" t="s">
        <v>264</v>
      </c>
      <c r="N80" s="21">
        <v>0</v>
      </c>
      <c r="O80" s="15"/>
    </row>
    <row r="81" spans="1:15" ht="18" customHeight="1">
      <c r="A81" s="50">
        <v>23</v>
      </c>
      <c r="B81" s="3" t="s">
        <v>188</v>
      </c>
      <c r="C81" s="4" t="s">
        <v>189</v>
      </c>
      <c r="D81" s="4" t="s">
        <v>244</v>
      </c>
      <c r="E81" s="7">
        <f>2025-1944</f>
        <v>81</v>
      </c>
      <c r="F81" s="25" t="s">
        <v>190</v>
      </c>
      <c r="G81" s="25" t="s">
        <v>149</v>
      </c>
      <c r="H81" s="25" t="s">
        <v>18</v>
      </c>
      <c r="I81" s="93">
        <v>45979</v>
      </c>
      <c r="J81" s="42">
        <v>1</v>
      </c>
      <c r="K81" s="16">
        <v>1</v>
      </c>
      <c r="L81" s="47" t="s">
        <v>263</v>
      </c>
      <c r="M81" s="25" t="s">
        <v>264</v>
      </c>
      <c r="N81" s="22">
        <v>0</v>
      </c>
      <c r="O81" s="15"/>
    </row>
    <row r="82" spans="1:15" ht="18" customHeight="1">
      <c r="A82" s="29"/>
      <c r="B82" s="3" t="s">
        <v>191</v>
      </c>
      <c r="C82" s="4" t="s">
        <v>192</v>
      </c>
      <c r="D82" s="4" t="s">
        <v>245</v>
      </c>
      <c r="E82" s="7">
        <f>2025-1979</f>
        <v>46</v>
      </c>
      <c r="F82" s="27"/>
      <c r="G82" s="27"/>
      <c r="H82" s="27"/>
      <c r="I82" s="95"/>
      <c r="J82" s="42"/>
      <c r="K82" s="16">
        <v>1</v>
      </c>
      <c r="L82" s="49"/>
      <c r="M82" s="26"/>
      <c r="N82" s="23"/>
      <c r="O82" s="15"/>
    </row>
    <row r="83" spans="1:15" ht="18" customHeight="1">
      <c r="A83" s="50">
        <v>24</v>
      </c>
      <c r="B83" s="3" t="s">
        <v>193</v>
      </c>
      <c r="C83" s="4" t="s">
        <v>194</v>
      </c>
      <c r="D83" s="4" t="s">
        <v>244</v>
      </c>
      <c r="E83" s="7">
        <f>2025-1955</f>
        <v>70</v>
      </c>
      <c r="F83" s="25" t="s">
        <v>195</v>
      </c>
      <c r="G83" s="25" t="s">
        <v>149</v>
      </c>
      <c r="H83" s="25" t="s">
        <v>18</v>
      </c>
      <c r="I83" s="93">
        <v>45979</v>
      </c>
      <c r="J83" s="42">
        <v>1</v>
      </c>
      <c r="K83" s="16">
        <v>1</v>
      </c>
      <c r="L83" s="47" t="s">
        <v>263</v>
      </c>
      <c r="M83" s="25" t="s">
        <v>264</v>
      </c>
      <c r="N83" s="23"/>
      <c r="O83" s="15"/>
    </row>
    <row r="84" spans="1:15" ht="18" customHeight="1">
      <c r="A84" s="29"/>
      <c r="B84" s="3" t="s">
        <v>196</v>
      </c>
      <c r="C84" s="4" t="s">
        <v>197</v>
      </c>
      <c r="D84" s="4" t="s">
        <v>245</v>
      </c>
      <c r="E84" s="7">
        <f>2025-1967</f>
        <v>58</v>
      </c>
      <c r="F84" s="27"/>
      <c r="G84" s="27"/>
      <c r="H84" s="27"/>
      <c r="I84" s="95"/>
      <c r="J84" s="42"/>
      <c r="K84" s="16">
        <v>1</v>
      </c>
      <c r="L84" s="49"/>
      <c r="M84" s="26"/>
      <c r="N84" s="24"/>
      <c r="O84" s="15"/>
    </row>
    <row r="85" spans="1:15" ht="18" customHeight="1">
      <c r="A85" s="50">
        <v>25</v>
      </c>
      <c r="B85" s="3" t="s">
        <v>198</v>
      </c>
      <c r="C85" s="4" t="s">
        <v>199</v>
      </c>
      <c r="D85" s="4" t="s">
        <v>245</v>
      </c>
      <c r="E85" s="7">
        <f>2025-1973</f>
        <v>52</v>
      </c>
      <c r="F85" s="25" t="s">
        <v>200</v>
      </c>
      <c r="G85" s="25" t="s">
        <v>149</v>
      </c>
      <c r="H85" s="25" t="s">
        <v>18</v>
      </c>
      <c r="I85" s="93">
        <v>45979</v>
      </c>
      <c r="J85" s="42">
        <v>1</v>
      </c>
      <c r="K85" s="16">
        <v>1</v>
      </c>
      <c r="L85" s="47" t="s">
        <v>263</v>
      </c>
      <c r="M85" s="25" t="s">
        <v>264</v>
      </c>
      <c r="N85" s="22">
        <v>0</v>
      </c>
      <c r="O85" s="15"/>
    </row>
    <row r="86" spans="1:15" ht="18" customHeight="1">
      <c r="A86" s="28"/>
      <c r="B86" s="3" t="s">
        <v>201</v>
      </c>
      <c r="C86" s="4" t="s">
        <v>202</v>
      </c>
      <c r="D86" s="4" t="s">
        <v>244</v>
      </c>
      <c r="E86" s="7">
        <f>2025-1970</f>
        <v>55</v>
      </c>
      <c r="F86" s="26"/>
      <c r="G86" s="26"/>
      <c r="H86" s="26"/>
      <c r="I86" s="94"/>
      <c r="J86" s="42"/>
      <c r="K86" s="16">
        <v>1</v>
      </c>
      <c r="L86" s="48"/>
      <c r="M86" s="26"/>
      <c r="N86" s="23"/>
      <c r="O86" s="15"/>
    </row>
    <row r="87" spans="1:15" ht="18" customHeight="1">
      <c r="A87" s="28"/>
      <c r="B87" s="3" t="s">
        <v>203</v>
      </c>
      <c r="C87" s="4" t="s">
        <v>204</v>
      </c>
      <c r="D87" s="4" t="s">
        <v>245</v>
      </c>
      <c r="E87" s="7">
        <f>2025-2000</f>
        <v>25</v>
      </c>
      <c r="F87" s="26"/>
      <c r="G87" s="26"/>
      <c r="H87" s="26"/>
      <c r="I87" s="94"/>
      <c r="J87" s="42"/>
      <c r="K87" s="16">
        <v>1</v>
      </c>
      <c r="L87" s="48"/>
      <c r="M87" s="26"/>
      <c r="N87" s="23"/>
      <c r="O87" s="15"/>
    </row>
    <row r="88" spans="1:15" ht="18" customHeight="1">
      <c r="A88" s="29"/>
      <c r="B88" s="3" t="s">
        <v>205</v>
      </c>
      <c r="C88" s="4" t="s">
        <v>206</v>
      </c>
      <c r="D88" s="4" t="s">
        <v>244</v>
      </c>
      <c r="E88" s="7">
        <f>2025-2004</f>
        <v>21</v>
      </c>
      <c r="F88" s="27"/>
      <c r="G88" s="27"/>
      <c r="H88" s="27"/>
      <c r="I88" s="95"/>
      <c r="J88" s="42"/>
      <c r="K88" s="16">
        <v>1</v>
      </c>
      <c r="L88" s="49"/>
      <c r="M88" s="27"/>
      <c r="N88" s="24"/>
      <c r="O88" s="15"/>
    </row>
    <row r="89" spans="1:15" ht="18" customHeight="1">
      <c r="A89" s="50">
        <v>26</v>
      </c>
      <c r="B89" s="3" t="s">
        <v>207</v>
      </c>
      <c r="C89" s="4" t="s">
        <v>208</v>
      </c>
      <c r="D89" s="4" t="s">
        <v>245</v>
      </c>
      <c r="E89" s="7">
        <f>2025-1963</f>
        <v>62</v>
      </c>
      <c r="F89" s="25" t="s">
        <v>209</v>
      </c>
      <c r="G89" s="25" t="s">
        <v>149</v>
      </c>
      <c r="H89" s="25" t="s">
        <v>18</v>
      </c>
      <c r="I89" s="93">
        <v>45979</v>
      </c>
      <c r="J89" s="42">
        <v>1</v>
      </c>
      <c r="K89" s="16">
        <v>1</v>
      </c>
      <c r="L89" s="47" t="s">
        <v>262</v>
      </c>
      <c r="M89" s="25" t="s">
        <v>264</v>
      </c>
      <c r="N89" s="22">
        <v>0</v>
      </c>
      <c r="O89" s="15"/>
    </row>
    <row r="90" spans="1:15" ht="18" customHeight="1">
      <c r="A90" s="28"/>
      <c r="B90" s="3" t="s">
        <v>210</v>
      </c>
      <c r="C90" s="4" t="s">
        <v>211</v>
      </c>
      <c r="D90" s="4" t="s">
        <v>244</v>
      </c>
      <c r="E90" s="7">
        <f>2025-1987</f>
        <v>38</v>
      </c>
      <c r="F90" s="26"/>
      <c r="G90" s="26"/>
      <c r="H90" s="26"/>
      <c r="I90" s="94"/>
      <c r="J90" s="42"/>
      <c r="K90" s="16">
        <v>1</v>
      </c>
      <c r="L90" s="48"/>
      <c r="M90" s="26"/>
      <c r="N90" s="23"/>
      <c r="O90" s="15"/>
    </row>
    <row r="91" spans="1:15" ht="18" customHeight="1">
      <c r="A91" s="28"/>
      <c r="B91" s="3" t="s">
        <v>212</v>
      </c>
      <c r="C91" s="4" t="s">
        <v>213</v>
      </c>
      <c r="D91" s="4" t="s">
        <v>244</v>
      </c>
      <c r="E91" s="7">
        <f t="shared" ref="E91" si="0">2025-2011</f>
        <v>14</v>
      </c>
      <c r="F91" s="26"/>
      <c r="G91" s="26"/>
      <c r="H91" s="26"/>
      <c r="I91" s="94"/>
      <c r="J91" s="42"/>
      <c r="K91" s="16">
        <v>1</v>
      </c>
      <c r="L91" s="48"/>
      <c r="M91" s="26"/>
      <c r="N91" s="23"/>
      <c r="O91" s="15"/>
    </row>
    <row r="92" spans="1:15" ht="18" customHeight="1">
      <c r="A92" s="28"/>
      <c r="B92" s="3" t="s">
        <v>214</v>
      </c>
      <c r="C92" s="4" t="s">
        <v>215</v>
      </c>
      <c r="D92" s="4" t="s">
        <v>244</v>
      </c>
      <c r="E92" s="7">
        <f>2025-2017</f>
        <v>8</v>
      </c>
      <c r="F92" s="26"/>
      <c r="G92" s="26"/>
      <c r="H92" s="26"/>
      <c r="I92" s="94"/>
      <c r="J92" s="42"/>
      <c r="K92" s="16">
        <v>1</v>
      </c>
      <c r="L92" s="48"/>
      <c r="M92" s="26"/>
      <c r="N92" s="23"/>
      <c r="O92" s="15"/>
    </row>
    <row r="93" spans="1:15" ht="18" customHeight="1">
      <c r="A93" s="28"/>
      <c r="B93" s="3" t="s">
        <v>216</v>
      </c>
      <c r="C93" s="4" t="s">
        <v>217</v>
      </c>
      <c r="D93" s="4" t="s">
        <v>244</v>
      </c>
      <c r="E93" s="7">
        <f>2025-2019</f>
        <v>6</v>
      </c>
      <c r="F93" s="26"/>
      <c r="G93" s="26"/>
      <c r="H93" s="26"/>
      <c r="I93" s="94"/>
      <c r="J93" s="42"/>
      <c r="K93" s="16">
        <v>1</v>
      </c>
      <c r="L93" s="48"/>
      <c r="M93" s="26"/>
      <c r="N93" s="23"/>
      <c r="O93" s="15"/>
    </row>
    <row r="94" spans="1:15" ht="18" customHeight="1">
      <c r="A94" s="29"/>
      <c r="B94" s="3" t="s">
        <v>218</v>
      </c>
      <c r="C94" s="4" t="s">
        <v>219</v>
      </c>
      <c r="D94" s="4" t="s">
        <v>245</v>
      </c>
      <c r="E94" s="7">
        <f>2025-2024</f>
        <v>1</v>
      </c>
      <c r="F94" s="27"/>
      <c r="G94" s="27"/>
      <c r="H94" s="27"/>
      <c r="I94" s="95"/>
      <c r="J94" s="42"/>
      <c r="K94" s="16">
        <v>1</v>
      </c>
      <c r="L94" s="49"/>
      <c r="M94" s="27"/>
      <c r="N94" s="24"/>
      <c r="O94" s="15"/>
    </row>
    <row r="95" spans="1:15" ht="18" customHeight="1">
      <c r="A95" s="50">
        <v>27</v>
      </c>
      <c r="B95" s="3" t="s">
        <v>220</v>
      </c>
      <c r="C95" s="4" t="s">
        <v>221</v>
      </c>
      <c r="D95" s="4" t="s">
        <v>245</v>
      </c>
      <c r="E95" s="7">
        <f>2025-1964</f>
        <v>61</v>
      </c>
      <c r="F95" s="25" t="s">
        <v>222</v>
      </c>
      <c r="G95" s="51" t="s">
        <v>149</v>
      </c>
      <c r="H95" s="51" t="s">
        <v>18</v>
      </c>
      <c r="I95" s="96">
        <v>45979</v>
      </c>
      <c r="J95" s="42">
        <v>1</v>
      </c>
      <c r="K95" s="16">
        <v>1</v>
      </c>
      <c r="L95" s="46" t="s">
        <v>262</v>
      </c>
      <c r="M95" s="30" t="s">
        <v>264</v>
      </c>
      <c r="N95" s="22">
        <v>0</v>
      </c>
      <c r="O95" s="15"/>
    </row>
    <row r="96" spans="1:15" ht="18" customHeight="1">
      <c r="A96" s="29"/>
      <c r="B96" s="3" t="s">
        <v>223</v>
      </c>
      <c r="C96" s="4" t="s">
        <v>224</v>
      </c>
      <c r="D96" s="4" t="s">
        <v>244</v>
      </c>
      <c r="E96" s="7">
        <f>2025-1967</f>
        <v>58</v>
      </c>
      <c r="F96" s="27"/>
      <c r="G96" s="51"/>
      <c r="H96" s="51"/>
      <c r="I96" s="96"/>
      <c r="J96" s="42"/>
      <c r="K96" s="16">
        <v>1</v>
      </c>
      <c r="L96" s="46"/>
      <c r="M96" s="30"/>
      <c r="N96" s="24"/>
      <c r="O96" s="15"/>
    </row>
    <row r="97" spans="1:15" ht="18" customHeight="1">
      <c r="A97" s="36">
        <v>28</v>
      </c>
      <c r="B97" s="13" t="s">
        <v>225</v>
      </c>
      <c r="C97" s="4" t="s">
        <v>226</v>
      </c>
      <c r="D97" s="4" t="s">
        <v>245</v>
      </c>
      <c r="E97" s="7">
        <f>2025-1946</f>
        <v>79</v>
      </c>
      <c r="F97" s="39" t="s">
        <v>227</v>
      </c>
      <c r="G97" s="39" t="s">
        <v>12</v>
      </c>
      <c r="H97" s="39" t="s">
        <v>13</v>
      </c>
      <c r="I97" s="98">
        <v>45999</v>
      </c>
      <c r="J97" s="42">
        <v>1</v>
      </c>
      <c r="K97" s="16">
        <v>1</v>
      </c>
      <c r="L97" s="43" t="s">
        <v>262</v>
      </c>
      <c r="M97" s="28" t="s">
        <v>257</v>
      </c>
      <c r="N97" s="31">
        <f>840000</f>
        <v>840000</v>
      </c>
      <c r="O97" s="15"/>
    </row>
    <row r="98" spans="1:15" ht="18" customHeight="1">
      <c r="A98" s="38"/>
      <c r="B98" s="13" t="s">
        <v>228</v>
      </c>
      <c r="C98" s="4" t="s">
        <v>229</v>
      </c>
      <c r="D98" s="4" t="s">
        <v>244</v>
      </c>
      <c r="E98" s="7">
        <f>2025-1946</f>
        <v>79</v>
      </c>
      <c r="F98" s="41"/>
      <c r="G98" s="41"/>
      <c r="H98" s="41"/>
      <c r="I98" s="99"/>
      <c r="J98" s="42"/>
      <c r="K98" s="16">
        <v>1</v>
      </c>
      <c r="L98" s="45"/>
      <c r="M98" s="29"/>
      <c r="N98" s="32"/>
      <c r="O98" s="15"/>
    </row>
    <row r="99" spans="1:15" ht="18" customHeight="1">
      <c r="A99" s="36">
        <v>29</v>
      </c>
      <c r="B99" s="13" t="s">
        <v>118</v>
      </c>
      <c r="C99" s="4" t="s">
        <v>230</v>
      </c>
      <c r="D99" s="4" t="s">
        <v>245</v>
      </c>
      <c r="E99" s="7">
        <f>2025-1963</f>
        <v>62</v>
      </c>
      <c r="F99" s="39" t="s">
        <v>231</v>
      </c>
      <c r="G99" s="39" t="s">
        <v>12</v>
      </c>
      <c r="H99" s="39" t="s">
        <v>13</v>
      </c>
      <c r="I99" s="98">
        <v>45999</v>
      </c>
      <c r="J99" s="42">
        <v>1</v>
      </c>
      <c r="K99" s="16">
        <v>1</v>
      </c>
      <c r="L99" s="43" t="s">
        <v>262</v>
      </c>
      <c r="M99" s="25" t="s">
        <v>257</v>
      </c>
      <c r="N99" s="31">
        <f>210000</f>
        <v>210000</v>
      </c>
      <c r="O99" s="15"/>
    </row>
    <row r="100" spans="1:15" ht="18" customHeight="1">
      <c r="A100" s="37"/>
      <c r="B100" s="13" t="s">
        <v>232</v>
      </c>
      <c r="C100" s="4" t="s">
        <v>233</v>
      </c>
      <c r="D100" s="4" t="s">
        <v>244</v>
      </c>
      <c r="E100" s="7">
        <f>2025-1965</f>
        <v>60</v>
      </c>
      <c r="F100" s="40"/>
      <c r="G100" s="40"/>
      <c r="H100" s="40"/>
      <c r="I100" s="100"/>
      <c r="J100" s="42"/>
      <c r="K100" s="16">
        <v>1</v>
      </c>
      <c r="L100" s="44"/>
      <c r="M100" s="26"/>
      <c r="N100" s="33"/>
      <c r="O100" s="15"/>
    </row>
    <row r="101" spans="1:15" ht="18" customHeight="1">
      <c r="A101" s="37"/>
      <c r="B101" s="13" t="s">
        <v>234</v>
      </c>
      <c r="C101" s="4" t="s">
        <v>235</v>
      </c>
      <c r="D101" s="4" t="s">
        <v>244</v>
      </c>
      <c r="E101" s="7">
        <f>2025-2007</f>
        <v>18</v>
      </c>
      <c r="F101" s="40"/>
      <c r="G101" s="40"/>
      <c r="H101" s="40"/>
      <c r="I101" s="100"/>
      <c r="J101" s="42"/>
      <c r="K101" s="16">
        <v>1</v>
      </c>
      <c r="L101" s="44"/>
      <c r="M101" s="26"/>
      <c r="N101" s="33"/>
      <c r="O101" s="15"/>
    </row>
    <row r="102" spans="1:15" ht="18" customHeight="1">
      <c r="A102" s="37"/>
      <c r="B102" s="13" t="s">
        <v>236</v>
      </c>
      <c r="C102" s="4" t="s">
        <v>237</v>
      </c>
      <c r="D102" s="4" t="s">
        <v>245</v>
      </c>
      <c r="E102" s="7">
        <f>2025-2014</f>
        <v>11</v>
      </c>
      <c r="F102" s="40"/>
      <c r="G102" s="40"/>
      <c r="H102" s="40"/>
      <c r="I102" s="100"/>
      <c r="J102" s="42"/>
      <c r="K102" s="16">
        <v>1</v>
      </c>
      <c r="L102" s="44"/>
      <c r="M102" s="26"/>
      <c r="N102" s="33"/>
      <c r="O102" s="15"/>
    </row>
    <row r="103" spans="1:15" ht="18" customHeight="1">
      <c r="A103" s="38"/>
      <c r="B103" s="13" t="s">
        <v>238</v>
      </c>
      <c r="C103" s="4" t="s">
        <v>239</v>
      </c>
      <c r="D103" s="4" t="s">
        <v>245</v>
      </c>
      <c r="E103" s="7">
        <f>2025-2001</f>
        <v>24</v>
      </c>
      <c r="F103" s="41"/>
      <c r="G103" s="41"/>
      <c r="H103" s="41"/>
      <c r="I103" s="99"/>
      <c r="J103" s="42"/>
      <c r="K103" s="16">
        <v>1</v>
      </c>
      <c r="L103" s="45"/>
      <c r="M103" s="27"/>
      <c r="N103" s="32"/>
      <c r="O103" s="15"/>
    </row>
    <row r="104" spans="1:15" ht="21" customHeight="1">
      <c r="A104" s="76" t="s">
        <v>240</v>
      </c>
      <c r="B104" s="77"/>
      <c r="C104" s="77"/>
      <c r="D104" s="77"/>
      <c r="E104" s="77"/>
      <c r="F104" s="77"/>
      <c r="G104" s="77"/>
      <c r="H104" s="77"/>
      <c r="I104" s="78"/>
      <c r="J104" s="79">
        <f>SUM(J5:J103)</f>
        <v>29</v>
      </c>
      <c r="K104" s="80"/>
      <c r="L104" s="79"/>
      <c r="M104" s="81"/>
      <c r="N104" s="81"/>
    </row>
    <row r="105" spans="1:15" ht="21" customHeight="1">
      <c r="A105" s="82" t="s">
        <v>241</v>
      </c>
      <c r="B105" s="83"/>
      <c r="C105" s="83"/>
      <c r="D105" s="83"/>
      <c r="E105" s="83"/>
      <c r="F105" s="83"/>
      <c r="G105" s="83"/>
      <c r="H105" s="83"/>
      <c r="I105" s="84"/>
      <c r="J105" s="85"/>
      <c r="K105" s="81">
        <f>SUM(K5:K104)</f>
        <v>99</v>
      </c>
      <c r="L105" s="86"/>
      <c r="M105" s="87"/>
      <c r="N105" s="87"/>
    </row>
    <row r="106" spans="1:15">
      <c r="A106" s="101" t="s">
        <v>265</v>
      </c>
      <c r="B106" s="102"/>
      <c r="C106" s="102"/>
      <c r="D106" s="102"/>
      <c r="E106" s="102"/>
      <c r="F106" s="102"/>
      <c r="G106" s="102"/>
      <c r="H106" s="102"/>
      <c r="I106" s="103"/>
      <c r="J106" s="104"/>
      <c r="K106" s="105"/>
      <c r="L106" s="106"/>
      <c r="M106" s="107"/>
      <c r="N106" s="108">
        <f>SUM(N5:N103)</f>
        <v>22070000</v>
      </c>
    </row>
  </sheetData>
  <mergeCells count="260">
    <mergeCell ref="A106:I106"/>
    <mergeCell ref="A1:N1"/>
    <mergeCell ref="A2:N2"/>
    <mergeCell ref="A3:A4"/>
    <mergeCell ref="B3:B4"/>
    <mergeCell ref="C3:C4"/>
    <mergeCell ref="E3:E4"/>
    <mergeCell ref="F3:F4"/>
    <mergeCell ref="G3:G4"/>
    <mergeCell ref="H3:H4"/>
    <mergeCell ref="I3:I4"/>
    <mergeCell ref="D3:D4"/>
    <mergeCell ref="J3:J4"/>
    <mergeCell ref="K3:K4"/>
    <mergeCell ref="L6:L8"/>
    <mergeCell ref="A9:A12"/>
    <mergeCell ref="F9:F12"/>
    <mergeCell ref="G9:G12"/>
    <mergeCell ref="H9:H12"/>
    <mergeCell ref="I9:I12"/>
    <mergeCell ref="J9:J12"/>
    <mergeCell ref="L9:L12"/>
    <mergeCell ref="A6:A8"/>
    <mergeCell ref="F6:F8"/>
    <mergeCell ref="G6:G8"/>
    <mergeCell ref="H6:H8"/>
    <mergeCell ref="I6:I8"/>
    <mergeCell ref="J6:J8"/>
    <mergeCell ref="F19:F22"/>
    <mergeCell ref="G19:G22"/>
    <mergeCell ref="H19:H22"/>
    <mergeCell ref="I19:I22"/>
    <mergeCell ref="J19:J22"/>
    <mergeCell ref="A17:A18"/>
    <mergeCell ref="F17:F18"/>
    <mergeCell ref="G17:G18"/>
    <mergeCell ref="H17:H18"/>
    <mergeCell ref="I17:I18"/>
    <mergeCell ref="J17:J18"/>
    <mergeCell ref="A13:A16"/>
    <mergeCell ref="F13:F16"/>
    <mergeCell ref="G13:G16"/>
    <mergeCell ref="H13:H16"/>
    <mergeCell ref="I13:I16"/>
    <mergeCell ref="J13:J16"/>
    <mergeCell ref="L13:L16"/>
    <mergeCell ref="A27:A30"/>
    <mergeCell ref="F27:F30"/>
    <mergeCell ref="G27:G30"/>
    <mergeCell ref="H27:H30"/>
    <mergeCell ref="I27:I30"/>
    <mergeCell ref="J27:J30"/>
    <mergeCell ref="L27:L30"/>
    <mergeCell ref="L19:L22"/>
    <mergeCell ref="A23:A26"/>
    <mergeCell ref="F23:F26"/>
    <mergeCell ref="G23:G26"/>
    <mergeCell ref="H23:H26"/>
    <mergeCell ref="I23:I26"/>
    <mergeCell ref="J23:J26"/>
    <mergeCell ref="L23:L26"/>
    <mergeCell ref="L17:L18"/>
    <mergeCell ref="A19:A22"/>
    <mergeCell ref="L36:L37"/>
    <mergeCell ref="L31:L35"/>
    <mergeCell ref="A36:A37"/>
    <mergeCell ref="F36:F37"/>
    <mergeCell ref="G36:G37"/>
    <mergeCell ref="H36:H37"/>
    <mergeCell ref="I36:I37"/>
    <mergeCell ref="J36:J37"/>
    <mergeCell ref="A31:A35"/>
    <mergeCell ref="F31:F35"/>
    <mergeCell ref="G31:G35"/>
    <mergeCell ref="H31:H35"/>
    <mergeCell ref="I31:I35"/>
    <mergeCell ref="J31:J35"/>
    <mergeCell ref="A38:A40"/>
    <mergeCell ref="F38:F40"/>
    <mergeCell ref="G38:G40"/>
    <mergeCell ref="H38:H40"/>
    <mergeCell ref="I38:I40"/>
    <mergeCell ref="J38:J40"/>
    <mergeCell ref="L38:L40"/>
    <mergeCell ref="A41:A45"/>
    <mergeCell ref="F41:F45"/>
    <mergeCell ref="G41:G45"/>
    <mergeCell ref="H41:H45"/>
    <mergeCell ref="I41:I45"/>
    <mergeCell ref="J41:J45"/>
    <mergeCell ref="L41:L45"/>
    <mergeCell ref="L48:L51"/>
    <mergeCell ref="L46:L47"/>
    <mergeCell ref="A48:A51"/>
    <mergeCell ref="F48:F51"/>
    <mergeCell ref="G48:G51"/>
    <mergeCell ref="H48:H51"/>
    <mergeCell ref="I48:I51"/>
    <mergeCell ref="J48:J51"/>
    <mergeCell ref="A46:A47"/>
    <mergeCell ref="F46:F47"/>
    <mergeCell ref="G46:G47"/>
    <mergeCell ref="H46:H47"/>
    <mergeCell ref="I46:I47"/>
    <mergeCell ref="J46:J47"/>
    <mergeCell ref="L52:L58"/>
    <mergeCell ref="A59:A61"/>
    <mergeCell ref="F59:F61"/>
    <mergeCell ref="G59:G61"/>
    <mergeCell ref="H59:H61"/>
    <mergeCell ref="I59:I61"/>
    <mergeCell ref="J59:J61"/>
    <mergeCell ref="L59:L61"/>
    <mergeCell ref="A52:A58"/>
    <mergeCell ref="F52:F58"/>
    <mergeCell ref="G52:G58"/>
    <mergeCell ref="H52:H58"/>
    <mergeCell ref="I52:I58"/>
    <mergeCell ref="J52:J58"/>
    <mergeCell ref="A62:A63"/>
    <mergeCell ref="F62:F63"/>
    <mergeCell ref="G62:G63"/>
    <mergeCell ref="H62:H63"/>
    <mergeCell ref="I62:I63"/>
    <mergeCell ref="J62:J63"/>
    <mergeCell ref="L62:L63"/>
    <mergeCell ref="L64:L65"/>
    <mergeCell ref="A66:A71"/>
    <mergeCell ref="F66:F71"/>
    <mergeCell ref="G66:G71"/>
    <mergeCell ref="H66:H71"/>
    <mergeCell ref="I66:I71"/>
    <mergeCell ref="J66:J71"/>
    <mergeCell ref="L66:L71"/>
    <mergeCell ref="A64:A65"/>
    <mergeCell ref="F64:F65"/>
    <mergeCell ref="G64:G65"/>
    <mergeCell ref="H64:H65"/>
    <mergeCell ref="I64:I65"/>
    <mergeCell ref="J64:J65"/>
    <mergeCell ref="F81:F82"/>
    <mergeCell ref="G81:G82"/>
    <mergeCell ref="H81:H82"/>
    <mergeCell ref="I81:I82"/>
    <mergeCell ref="J81:J82"/>
    <mergeCell ref="A75:A79"/>
    <mergeCell ref="F75:F79"/>
    <mergeCell ref="G75:G79"/>
    <mergeCell ref="H75:H79"/>
    <mergeCell ref="I75:I79"/>
    <mergeCell ref="J75:J79"/>
    <mergeCell ref="A72:A74"/>
    <mergeCell ref="F72:F74"/>
    <mergeCell ref="G72:G74"/>
    <mergeCell ref="H72:H74"/>
    <mergeCell ref="I72:I74"/>
    <mergeCell ref="J72:J74"/>
    <mergeCell ref="L72:L74"/>
    <mergeCell ref="A85:A88"/>
    <mergeCell ref="F85:F88"/>
    <mergeCell ref="G85:G88"/>
    <mergeCell ref="H85:H88"/>
    <mergeCell ref="I85:I88"/>
    <mergeCell ref="J85:J88"/>
    <mergeCell ref="L85:L88"/>
    <mergeCell ref="L81:L82"/>
    <mergeCell ref="A83:A84"/>
    <mergeCell ref="F83:F84"/>
    <mergeCell ref="G83:G84"/>
    <mergeCell ref="H83:H84"/>
    <mergeCell ref="I83:I84"/>
    <mergeCell ref="J83:J84"/>
    <mergeCell ref="L83:L84"/>
    <mergeCell ref="L75:L79"/>
    <mergeCell ref="A81:A82"/>
    <mergeCell ref="L89:L94"/>
    <mergeCell ref="A95:A96"/>
    <mergeCell ref="F95:F96"/>
    <mergeCell ref="G95:G96"/>
    <mergeCell ref="H95:H96"/>
    <mergeCell ref="I95:I96"/>
    <mergeCell ref="J95:J96"/>
    <mergeCell ref="A89:A94"/>
    <mergeCell ref="F89:F94"/>
    <mergeCell ref="G89:G94"/>
    <mergeCell ref="H89:H94"/>
    <mergeCell ref="I89:I94"/>
    <mergeCell ref="J89:J94"/>
    <mergeCell ref="H99:H103"/>
    <mergeCell ref="I99:I103"/>
    <mergeCell ref="J99:J103"/>
    <mergeCell ref="L99:L103"/>
    <mergeCell ref="A104:I104"/>
    <mergeCell ref="A105:I105"/>
    <mergeCell ref="L95:L96"/>
    <mergeCell ref="A97:A98"/>
    <mergeCell ref="F97:F98"/>
    <mergeCell ref="G97:G98"/>
    <mergeCell ref="H97:H98"/>
    <mergeCell ref="I97:I98"/>
    <mergeCell ref="J97:J98"/>
    <mergeCell ref="L97:L98"/>
    <mergeCell ref="M3:M4"/>
    <mergeCell ref="M6:M8"/>
    <mergeCell ref="M9:M12"/>
    <mergeCell ref="M13:M16"/>
    <mergeCell ref="M17:M18"/>
    <mergeCell ref="M19:M22"/>
    <mergeCell ref="M23:M26"/>
    <mergeCell ref="M27:M30"/>
    <mergeCell ref="M31:M35"/>
    <mergeCell ref="M36:M37"/>
    <mergeCell ref="M38:M40"/>
    <mergeCell ref="M41:M45"/>
    <mergeCell ref="M46:M47"/>
    <mergeCell ref="M48:M51"/>
    <mergeCell ref="M52:M58"/>
    <mergeCell ref="M59:M61"/>
    <mergeCell ref="M62:M63"/>
    <mergeCell ref="M66:M71"/>
    <mergeCell ref="M72:M74"/>
    <mergeCell ref="A99:A103"/>
    <mergeCell ref="F99:F103"/>
    <mergeCell ref="G99:G103"/>
    <mergeCell ref="N3:N4"/>
    <mergeCell ref="N6:N8"/>
    <mergeCell ref="N9:N12"/>
    <mergeCell ref="N13:N16"/>
    <mergeCell ref="N17:N18"/>
    <mergeCell ref="N19:N22"/>
    <mergeCell ref="N23:N26"/>
    <mergeCell ref="N27:N30"/>
    <mergeCell ref="N31:N35"/>
    <mergeCell ref="M99:M103"/>
    <mergeCell ref="M97:M98"/>
    <mergeCell ref="M95:M96"/>
    <mergeCell ref="N97:N98"/>
    <mergeCell ref="N99:N103"/>
    <mergeCell ref="N36:N37"/>
    <mergeCell ref="N38:N40"/>
    <mergeCell ref="N41:N45"/>
    <mergeCell ref="N46:N47"/>
    <mergeCell ref="N48:N51"/>
    <mergeCell ref="N52:N58"/>
    <mergeCell ref="N59:N61"/>
    <mergeCell ref="N62:N63"/>
    <mergeCell ref="M64:M65"/>
    <mergeCell ref="N64:N65"/>
    <mergeCell ref="M81:M82"/>
    <mergeCell ref="M83:M84"/>
    <mergeCell ref="N66:N71"/>
    <mergeCell ref="N72:N74"/>
    <mergeCell ref="N75:N79"/>
    <mergeCell ref="N81:N84"/>
    <mergeCell ref="N85:N88"/>
    <mergeCell ref="N89:N94"/>
    <mergeCell ref="N95:N96"/>
    <mergeCell ref="M75:M79"/>
    <mergeCell ref="M85:M88"/>
    <mergeCell ref="M89:M94"/>
  </mergeCells>
  <pageMargins left="0.39370078740157499" right="0.23622047244094499" top="0.60433070899999997" bottom="0.60433070899999997" header="0.31496062992126" footer="0.31496062992126"/>
  <pageSetup paperSize="10000" scale="70" orientation="landscape" horizontalDpi="4294967293" r:id="rId1"/>
  <rowBreaks count="2" manualBreakCount="2">
    <brk id="30" max="13" man="1"/>
    <brk id="61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BNBA BENCANA BANJIR 2025</vt:lpstr>
      <vt:lpstr>'BNBA BENCANA BANJIR 2025'!Print_Area</vt:lpstr>
      <vt:lpstr>'BNBA BENCANA BANJIR 2025'!Print_Titles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</cp:lastModifiedBy>
  <cp:lastPrinted>2026-03-31T07:39:48Z</cp:lastPrinted>
  <dcterms:created xsi:type="dcterms:W3CDTF">2026-03-30T01:33:26Z</dcterms:created>
  <dcterms:modified xsi:type="dcterms:W3CDTF">2026-03-31T07:41:16Z</dcterms:modified>
</cp:coreProperties>
</file>