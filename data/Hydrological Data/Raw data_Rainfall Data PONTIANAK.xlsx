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CAPES\PERHITUNGAN HIDROLOGI\"/>
    </mc:Choice>
  </mc:AlternateContent>
  <xr:revisionPtr revIDLastSave="0" documentId="13_ncr:1_{2E619728-E3BA-4F74-883D-5F9E3D3C1301}" xr6:coauthVersionLast="47" xr6:coauthVersionMax="47" xr10:uidLastSave="{00000000-0000-0000-0000-000000000000}"/>
  <bookViews>
    <workbookView xWindow="-120" yWindow="-120" windowWidth="20730" windowHeight="11040" tabRatio="980" firstSheet="6" activeTab="6" xr2:uid="{AAC50EB0-496D-4549-9784-0B63FEBBB0B8}"/>
  </bookViews>
  <sheets>
    <sheet name="Data" sheetId="13" r:id="rId1"/>
    <sheet name="Stasiun Pontianak Kota" sheetId="10" r:id="rId2"/>
    <sheet name="Sta. Meteorologi pnk" sheetId="1" r:id="rId3"/>
    <sheet name="Data 2" sheetId="11" r:id="rId4"/>
    <sheet name="Sta. Meteorologi Supadio" sheetId="6" r:id="rId5"/>
    <sheet name="Sta. Klimatologi Kalbar" sheetId="7" r:id="rId6"/>
    <sheet name="REKAP CH MAX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8" l="1"/>
  <c r="K9" i="8"/>
  <c r="K8" i="8"/>
  <c r="AB362" i="11"/>
  <c r="AB322" i="11"/>
  <c r="AB282" i="11"/>
  <c r="AB242" i="11"/>
  <c r="AB202" i="11"/>
  <c r="AB162" i="11"/>
  <c r="AB122" i="11"/>
  <c r="AB82" i="11"/>
  <c r="AB42" i="11"/>
  <c r="I14" i="8"/>
  <c r="I15" i="8"/>
  <c r="I16" i="8"/>
  <c r="I17" i="8"/>
  <c r="I18" i="8"/>
  <c r="I19" i="8"/>
  <c r="N362" i="11"/>
  <c r="N202" i="11"/>
  <c r="N162" i="11"/>
  <c r="N122" i="11"/>
  <c r="N82" i="11"/>
  <c r="N42" i="11"/>
  <c r="G19" i="8"/>
  <c r="G18" i="8"/>
  <c r="G17" i="8"/>
  <c r="G16" i="8"/>
  <c r="G15" i="8"/>
  <c r="G14" i="8"/>
  <c r="BL241" i="11"/>
  <c r="BL242" i="11"/>
  <c r="BL243" i="11"/>
  <c r="BL244" i="11"/>
  <c r="BL245" i="11"/>
  <c r="BR202" i="11"/>
  <c r="BR162" i="11"/>
  <c r="BR122" i="11"/>
  <c r="BR82" i="11"/>
  <c r="BR42" i="11"/>
  <c r="BF42" i="11"/>
  <c r="BH223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BF240" i="13" s="1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BF238" i="13" s="1"/>
  <c r="M237" i="13"/>
  <c r="BQ237" i="13" s="1"/>
  <c r="L237" i="13"/>
  <c r="K237" i="13"/>
  <c r="J237" i="13"/>
  <c r="I237" i="13"/>
  <c r="H237" i="13"/>
  <c r="G237" i="13"/>
  <c r="F237" i="13"/>
  <c r="BJ237" i="13" s="1"/>
  <c r="E237" i="13"/>
  <c r="BI237" i="13" s="1"/>
  <c r="D237" i="13"/>
  <c r="C237" i="13"/>
  <c r="B237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M235" i="13"/>
  <c r="BQ235" i="13" s="1"/>
  <c r="L235" i="13"/>
  <c r="K235" i="13"/>
  <c r="J235" i="13"/>
  <c r="I235" i="13"/>
  <c r="H235" i="13"/>
  <c r="G235" i="13"/>
  <c r="F235" i="13"/>
  <c r="E235" i="13"/>
  <c r="D235" i="13"/>
  <c r="C235" i="13"/>
  <c r="B235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M233" i="13"/>
  <c r="L233" i="13"/>
  <c r="K233" i="13"/>
  <c r="J233" i="13"/>
  <c r="I233" i="13"/>
  <c r="H233" i="13"/>
  <c r="G233" i="13"/>
  <c r="F233" i="13"/>
  <c r="BJ233" i="13" s="1"/>
  <c r="E233" i="13"/>
  <c r="BI233" i="13" s="1"/>
  <c r="D233" i="13"/>
  <c r="C233" i="13"/>
  <c r="B233" i="13"/>
  <c r="M232" i="13"/>
  <c r="L232" i="13"/>
  <c r="K232" i="13"/>
  <c r="J232" i="13"/>
  <c r="BN232" i="13" s="1"/>
  <c r="I232" i="13"/>
  <c r="H232" i="13"/>
  <c r="G232" i="13"/>
  <c r="F232" i="13"/>
  <c r="E232" i="13"/>
  <c r="D232" i="13"/>
  <c r="C232" i="13"/>
  <c r="B232" i="13"/>
  <c r="M231" i="13"/>
  <c r="BQ231" i="13" s="1"/>
  <c r="L231" i="13"/>
  <c r="K231" i="13"/>
  <c r="J231" i="13"/>
  <c r="I231" i="13"/>
  <c r="H231" i="13"/>
  <c r="G231" i="13"/>
  <c r="F231" i="13"/>
  <c r="E231" i="13"/>
  <c r="BI231" i="13" s="1"/>
  <c r="D231" i="13"/>
  <c r="C231" i="13"/>
  <c r="B231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M228" i="13"/>
  <c r="L228" i="13"/>
  <c r="K228" i="13"/>
  <c r="J228" i="13"/>
  <c r="BN228" i="13" s="1"/>
  <c r="I228" i="13"/>
  <c r="H228" i="13"/>
  <c r="G228" i="13"/>
  <c r="F228" i="13"/>
  <c r="E228" i="13"/>
  <c r="D228" i="13"/>
  <c r="C228" i="13"/>
  <c r="B228" i="13"/>
  <c r="M227" i="13"/>
  <c r="L227" i="13"/>
  <c r="K227" i="13"/>
  <c r="J227" i="13"/>
  <c r="I227" i="13"/>
  <c r="H227" i="13"/>
  <c r="G227" i="13"/>
  <c r="F227" i="13"/>
  <c r="E227" i="13"/>
  <c r="BI227" i="13" s="1"/>
  <c r="D227" i="13"/>
  <c r="C227" i="13"/>
  <c r="B227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BF226" i="13" s="1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M224" i="13"/>
  <c r="L224" i="13"/>
  <c r="K224" i="13"/>
  <c r="J224" i="13"/>
  <c r="I224" i="13"/>
  <c r="H224" i="13"/>
  <c r="BL224" i="13" s="1"/>
  <c r="G224" i="13"/>
  <c r="BK224" i="13" s="1"/>
  <c r="F224" i="13"/>
  <c r="BJ224" i="13" s="1"/>
  <c r="E224" i="13"/>
  <c r="D224" i="13"/>
  <c r="C224" i="13"/>
  <c r="B224" i="13"/>
  <c r="M223" i="13"/>
  <c r="L223" i="13"/>
  <c r="BP223" i="13" s="1"/>
  <c r="K223" i="13"/>
  <c r="J223" i="13"/>
  <c r="I223" i="13"/>
  <c r="H223" i="13"/>
  <c r="G223" i="13"/>
  <c r="F223" i="13"/>
  <c r="E223" i="13"/>
  <c r="D223" i="13"/>
  <c r="C223" i="13"/>
  <c r="BG223" i="13" s="1"/>
  <c r="B223" i="13"/>
  <c r="M222" i="13"/>
  <c r="L222" i="13"/>
  <c r="K222" i="13"/>
  <c r="J222" i="13"/>
  <c r="I222" i="13"/>
  <c r="H222" i="13"/>
  <c r="G222" i="13"/>
  <c r="F222" i="13"/>
  <c r="E222" i="13"/>
  <c r="D222" i="13"/>
  <c r="C222" i="13"/>
  <c r="B222" i="13"/>
  <c r="M221" i="13"/>
  <c r="L221" i="13"/>
  <c r="BP221" i="13" s="1"/>
  <c r="K221" i="13"/>
  <c r="BO221" i="13" s="1"/>
  <c r="J221" i="13"/>
  <c r="I221" i="13"/>
  <c r="H221" i="13"/>
  <c r="G221" i="13"/>
  <c r="F221" i="13"/>
  <c r="E221" i="13"/>
  <c r="D221" i="13"/>
  <c r="BH221" i="13" s="1"/>
  <c r="C221" i="13"/>
  <c r="BG221" i="13" s="1"/>
  <c r="B221" i="13"/>
  <c r="BF221" i="13" s="1"/>
  <c r="M220" i="13"/>
  <c r="L220" i="13"/>
  <c r="K220" i="13"/>
  <c r="J220" i="13"/>
  <c r="I220" i="13"/>
  <c r="H220" i="13"/>
  <c r="BL220" i="13" s="1"/>
  <c r="G220" i="13"/>
  <c r="BK220" i="13" s="1"/>
  <c r="F220" i="13"/>
  <c r="BJ220" i="13" s="1"/>
  <c r="E220" i="13"/>
  <c r="D220" i="13"/>
  <c r="C220" i="13"/>
  <c r="B220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M218" i="13"/>
  <c r="L218" i="13"/>
  <c r="K218" i="13"/>
  <c r="J218" i="13"/>
  <c r="I218" i="13"/>
  <c r="H218" i="13"/>
  <c r="G218" i="13"/>
  <c r="F218" i="13"/>
  <c r="BJ218" i="13" s="1"/>
  <c r="E218" i="13"/>
  <c r="D218" i="13"/>
  <c r="C218" i="13"/>
  <c r="B218" i="13"/>
  <c r="M217" i="13"/>
  <c r="L217" i="13"/>
  <c r="BP217" i="13" s="1"/>
  <c r="K217" i="13"/>
  <c r="BO217" i="13" s="1"/>
  <c r="J217" i="13"/>
  <c r="BN217" i="13" s="1"/>
  <c r="I217" i="13"/>
  <c r="H217" i="13"/>
  <c r="G217" i="13"/>
  <c r="F217" i="13"/>
  <c r="E217" i="13"/>
  <c r="D217" i="13"/>
  <c r="BH217" i="13" s="1"/>
  <c r="C217" i="13"/>
  <c r="BG217" i="13" s="1"/>
  <c r="B217" i="13"/>
  <c r="BF217" i="13" s="1"/>
  <c r="M216" i="13"/>
  <c r="L216" i="13"/>
  <c r="K216" i="13"/>
  <c r="J216" i="13"/>
  <c r="I216" i="13"/>
  <c r="BM216" i="13" s="1"/>
  <c r="H216" i="13"/>
  <c r="BL216" i="13" s="1"/>
  <c r="G216" i="13"/>
  <c r="F216" i="13"/>
  <c r="E216" i="13"/>
  <c r="D216" i="13"/>
  <c r="C216" i="13"/>
  <c r="B216" i="13"/>
  <c r="M215" i="13"/>
  <c r="L215" i="13"/>
  <c r="BP215" i="13" s="1"/>
  <c r="K215" i="13"/>
  <c r="BO215" i="13" s="1"/>
  <c r="J215" i="13"/>
  <c r="I215" i="13"/>
  <c r="H215" i="13"/>
  <c r="G215" i="13"/>
  <c r="F215" i="13"/>
  <c r="E215" i="13"/>
  <c r="D215" i="13"/>
  <c r="C215" i="13"/>
  <c r="B215" i="13"/>
  <c r="M214" i="13"/>
  <c r="L214" i="13"/>
  <c r="K214" i="13"/>
  <c r="J214" i="13"/>
  <c r="I214" i="13"/>
  <c r="H214" i="13"/>
  <c r="BL214" i="13" s="1"/>
  <c r="G214" i="13"/>
  <c r="F214" i="13"/>
  <c r="BJ214" i="13" s="1"/>
  <c r="E214" i="13"/>
  <c r="D214" i="13"/>
  <c r="C214" i="13"/>
  <c r="B214" i="13"/>
  <c r="M213" i="13"/>
  <c r="L213" i="13"/>
  <c r="K213" i="13"/>
  <c r="BO213" i="13" s="1"/>
  <c r="J213" i="13"/>
  <c r="BN213" i="13" s="1"/>
  <c r="I213" i="13"/>
  <c r="H213" i="13"/>
  <c r="G213" i="13"/>
  <c r="F213" i="13"/>
  <c r="E213" i="13"/>
  <c r="BI213" i="13" s="1"/>
  <c r="D213" i="13"/>
  <c r="BH213" i="13" s="1"/>
  <c r="C213" i="13"/>
  <c r="BG213" i="13" s="1"/>
  <c r="B213" i="13"/>
  <c r="BF213" i="13" s="1"/>
  <c r="M212" i="13"/>
  <c r="L212" i="13"/>
  <c r="K212" i="13"/>
  <c r="J212" i="13"/>
  <c r="I212" i="13"/>
  <c r="H212" i="13"/>
  <c r="G212" i="13"/>
  <c r="F212" i="13"/>
  <c r="BJ212" i="13" s="1"/>
  <c r="E212" i="13"/>
  <c r="D212" i="13"/>
  <c r="C212" i="13"/>
  <c r="B212" i="13"/>
  <c r="M211" i="13"/>
  <c r="L211" i="13"/>
  <c r="BP211" i="13" s="1"/>
  <c r="K211" i="13"/>
  <c r="BO211" i="13" s="1"/>
  <c r="J211" i="13"/>
  <c r="BN211" i="13" s="1"/>
  <c r="I211" i="13"/>
  <c r="H211" i="13"/>
  <c r="G211" i="13"/>
  <c r="F211" i="13"/>
  <c r="E211" i="13"/>
  <c r="D211" i="13"/>
  <c r="C211" i="13"/>
  <c r="B211" i="13"/>
  <c r="BF211" i="13" s="1"/>
  <c r="M210" i="13"/>
  <c r="L210" i="13"/>
  <c r="K210" i="13"/>
  <c r="J210" i="13"/>
  <c r="I210" i="13"/>
  <c r="H210" i="13"/>
  <c r="G210" i="13"/>
  <c r="BK210" i="13" s="1"/>
  <c r="F210" i="13"/>
  <c r="E210" i="13"/>
  <c r="D210" i="13"/>
  <c r="C210" i="13"/>
  <c r="B21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M199" i="13"/>
  <c r="L199" i="13"/>
  <c r="BP199" i="13" s="1"/>
  <c r="K199" i="13"/>
  <c r="J199" i="13"/>
  <c r="I199" i="13"/>
  <c r="H199" i="13"/>
  <c r="G199" i="13"/>
  <c r="F199" i="13"/>
  <c r="E199" i="13"/>
  <c r="D199" i="13"/>
  <c r="C199" i="13"/>
  <c r="B199" i="13"/>
  <c r="M198" i="13"/>
  <c r="L198" i="13"/>
  <c r="K198" i="13"/>
  <c r="J198" i="13"/>
  <c r="I198" i="13"/>
  <c r="H198" i="13"/>
  <c r="G198" i="13"/>
  <c r="F198" i="13"/>
  <c r="BJ198" i="13" s="1"/>
  <c r="E198" i="13"/>
  <c r="D198" i="13"/>
  <c r="C198" i="13"/>
  <c r="B198" i="13"/>
  <c r="M197" i="13"/>
  <c r="L197" i="13"/>
  <c r="K197" i="13"/>
  <c r="BO197" i="13" s="1"/>
  <c r="J197" i="13"/>
  <c r="I197" i="13"/>
  <c r="H197" i="13"/>
  <c r="G197" i="13"/>
  <c r="F197" i="13"/>
  <c r="E197" i="13"/>
  <c r="D197" i="13"/>
  <c r="BH197" i="13" s="1"/>
  <c r="C197" i="13"/>
  <c r="B197" i="13"/>
  <c r="M196" i="13"/>
  <c r="L196" i="13"/>
  <c r="K196" i="13"/>
  <c r="J196" i="13"/>
  <c r="I196" i="13"/>
  <c r="H196" i="13"/>
  <c r="BL196" i="13" s="1"/>
  <c r="G196" i="13"/>
  <c r="F196" i="13"/>
  <c r="E196" i="13"/>
  <c r="D196" i="13"/>
  <c r="C196" i="13"/>
  <c r="B196" i="13"/>
  <c r="M195" i="13"/>
  <c r="BQ195" i="13" s="1"/>
  <c r="L195" i="13"/>
  <c r="K195" i="13"/>
  <c r="J195" i="13"/>
  <c r="I195" i="13"/>
  <c r="H195" i="13"/>
  <c r="G195" i="13"/>
  <c r="F195" i="13"/>
  <c r="E195" i="13"/>
  <c r="BI195" i="13" s="1"/>
  <c r="D195" i="13"/>
  <c r="BH195" i="13" s="1"/>
  <c r="C195" i="13"/>
  <c r="B195" i="13"/>
  <c r="M194" i="13"/>
  <c r="L194" i="13"/>
  <c r="K194" i="13"/>
  <c r="J194" i="13"/>
  <c r="BN194" i="13" s="1"/>
  <c r="I194" i="13"/>
  <c r="H194" i="13"/>
  <c r="BL194" i="13" s="1"/>
  <c r="G194" i="13"/>
  <c r="BK194" i="13" s="1"/>
  <c r="F194" i="13"/>
  <c r="E194" i="13"/>
  <c r="D194" i="13"/>
  <c r="C194" i="13"/>
  <c r="B194" i="13"/>
  <c r="M193" i="13"/>
  <c r="L193" i="13"/>
  <c r="BP193" i="13" s="1"/>
  <c r="K193" i="13"/>
  <c r="BO193" i="13" s="1"/>
  <c r="J193" i="13"/>
  <c r="BN193" i="13" s="1"/>
  <c r="I193" i="13"/>
  <c r="H193" i="13"/>
  <c r="G193" i="13"/>
  <c r="F193" i="13"/>
  <c r="E193" i="13"/>
  <c r="D193" i="13"/>
  <c r="C193" i="13"/>
  <c r="BG193" i="13" s="1"/>
  <c r="B193" i="13"/>
  <c r="BF193" i="13" s="1"/>
  <c r="M192" i="13"/>
  <c r="L192" i="13"/>
  <c r="K192" i="13"/>
  <c r="J192" i="13"/>
  <c r="I192" i="13"/>
  <c r="H192" i="13"/>
  <c r="G192" i="13"/>
  <c r="BK192" i="13" s="1"/>
  <c r="F192" i="13"/>
  <c r="E192" i="13"/>
  <c r="D192" i="13"/>
  <c r="C192" i="13"/>
  <c r="B192" i="13"/>
  <c r="M191" i="13"/>
  <c r="BQ191" i="13" s="1"/>
  <c r="L191" i="13"/>
  <c r="K191" i="13"/>
  <c r="J191" i="13"/>
  <c r="BN191" i="13" s="1"/>
  <c r="I191" i="13"/>
  <c r="H191" i="13"/>
  <c r="G191" i="13"/>
  <c r="F191" i="13"/>
  <c r="E191" i="13"/>
  <c r="BI191" i="13" s="1"/>
  <c r="D191" i="13"/>
  <c r="C191" i="13"/>
  <c r="B191" i="13"/>
  <c r="BF191" i="13" s="1"/>
  <c r="M190" i="13"/>
  <c r="L190" i="13"/>
  <c r="K190" i="13"/>
  <c r="J190" i="13"/>
  <c r="I190" i="13"/>
  <c r="H190" i="13"/>
  <c r="BL190" i="13" s="1"/>
  <c r="G190" i="13"/>
  <c r="F190" i="13"/>
  <c r="E190" i="13"/>
  <c r="D190" i="13"/>
  <c r="C190" i="13"/>
  <c r="B190" i="13"/>
  <c r="M189" i="13"/>
  <c r="L189" i="13"/>
  <c r="K189" i="13"/>
  <c r="J189" i="13"/>
  <c r="I189" i="13"/>
  <c r="H189" i="13"/>
  <c r="G189" i="13"/>
  <c r="F189" i="13"/>
  <c r="E189" i="13"/>
  <c r="BI189" i="13" s="1"/>
  <c r="D189" i="13"/>
  <c r="BH189" i="13" s="1"/>
  <c r="C189" i="13"/>
  <c r="BG189" i="13" s="1"/>
  <c r="B189" i="13"/>
  <c r="BF189" i="13" s="1"/>
  <c r="M188" i="13"/>
  <c r="L188" i="13"/>
  <c r="K188" i="13"/>
  <c r="J188" i="13"/>
  <c r="I188" i="13"/>
  <c r="H188" i="13"/>
  <c r="G188" i="13"/>
  <c r="BK188" i="13" s="1"/>
  <c r="F188" i="13"/>
  <c r="BJ188" i="13" s="1"/>
  <c r="E188" i="13"/>
  <c r="D188" i="13"/>
  <c r="C188" i="13"/>
  <c r="B188" i="13"/>
  <c r="M187" i="13"/>
  <c r="BQ187" i="13" s="1"/>
  <c r="L187" i="13"/>
  <c r="K187" i="13"/>
  <c r="BO187" i="13" s="1"/>
  <c r="J187" i="13"/>
  <c r="BN187" i="13" s="1"/>
  <c r="I187" i="13"/>
  <c r="H187" i="13"/>
  <c r="G187" i="13"/>
  <c r="F187" i="13"/>
  <c r="E187" i="13"/>
  <c r="D187" i="13"/>
  <c r="C187" i="13"/>
  <c r="B187" i="13"/>
  <c r="BF187" i="13" s="1"/>
  <c r="M186" i="13"/>
  <c r="L186" i="13"/>
  <c r="K186" i="13"/>
  <c r="J186" i="13"/>
  <c r="I186" i="13"/>
  <c r="H186" i="13"/>
  <c r="G186" i="13"/>
  <c r="BK186" i="13" s="1"/>
  <c r="F186" i="13"/>
  <c r="E186" i="13"/>
  <c r="D186" i="13"/>
  <c r="C186" i="13"/>
  <c r="B186" i="13"/>
  <c r="M185" i="13"/>
  <c r="BQ185" i="13" s="1"/>
  <c r="L185" i="13"/>
  <c r="BP185" i="13" s="1"/>
  <c r="K185" i="13"/>
  <c r="J185" i="13"/>
  <c r="BN185" i="13" s="1"/>
  <c r="I185" i="13"/>
  <c r="H185" i="13"/>
  <c r="G185" i="13"/>
  <c r="F185" i="13"/>
  <c r="E185" i="13"/>
  <c r="D185" i="13"/>
  <c r="C185" i="13"/>
  <c r="B185" i="13"/>
  <c r="M184" i="13"/>
  <c r="L184" i="13"/>
  <c r="K184" i="13"/>
  <c r="J184" i="13"/>
  <c r="I184" i="13"/>
  <c r="H184" i="13"/>
  <c r="BL184" i="13" s="1"/>
  <c r="G184" i="13"/>
  <c r="BK184" i="13" s="1"/>
  <c r="F184" i="13"/>
  <c r="E184" i="13"/>
  <c r="D184" i="13"/>
  <c r="C184" i="13"/>
  <c r="B184" i="13"/>
  <c r="M183" i="13"/>
  <c r="BQ183" i="13" s="1"/>
  <c r="L183" i="13"/>
  <c r="BP183" i="13" s="1"/>
  <c r="K183" i="13"/>
  <c r="BO183" i="13" s="1"/>
  <c r="J183" i="13"/>
  <c r="BN183" i="13" s="1"/>
  <c r="I183" i="13"/>
  <c r="H183" i="13"/>
  <c r="G183" i="13"/>
  <c r="F183" i="13"/>
  <c r="E183" i="13"/>
  <c r="D183" i="13"/>
  <c r="C183" i="13"/>
  <c r="B183" i="13"/>
  <c r="M182" i="13"/>
  <c r="L182" i="13"/>
  <c r="K182" i="13"/>
  <c r="J182" i="13"/>
  <c r="I182" i="13"/>
  <c r="BM182" i="13" s="1"/>
  <c r="H182" i="13"/>
  <c r="BL182" i="13" s="1"/>
  <c r="G182" i="13"/>
  <c r="BK182" i="13" s="1"/>
  <c r="F182" i="13"/>
  <c r="E182" i="13"/>
  <c r="D182" i="13"/>
  <c r="C182" i="13"/>
  <c r="B182" i="13"/>
  <c r="M181" i="13"/>
  <c r="BQ181" i="13" s="1"/>
  <c r="L181" i="13"/>
  <c r="BP181" i="13" s="1"/>
  <c r="K181" i="13"/>
  <c r="BO181" i="13" s="1"/>
  <c r="J181" i="13"/>
  <c r="BN181" i="13" s="1"/>
  <c r="I181" i="13"/>
  <c r="H181" i="13"/>
  <c r="G181" i="13"/>
  <c r="F181" i="13"/>
  <c r="E181" i="13"/>
  <c r="D181" i="13"/>
  <c r="C181" i="13"/>
  <c r="B181" i="13"/>
  <c r="BF181" i="13" s="1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M179" i="13"/>
  <c r="BQ179" i="13" s="1"/>
  <c r="L179" i="13"/>
  <c r="BP179" i="13" s="1"/>
  <c r="K179" i="13"/>
  <c r="BO179" i="13" s="1"/>
  <c r="J179" i="13"/>
  <c r="I179" i="13"/>
  <c r="H179" i="13"/>
  <c r="G179" i="13"/>
  <c r="F179" i="13"/>
  <c r="E179" i="13"/>
  <c r="BI179" i="13" s="1"/>
  <c r="D179" i="13"/>
  <c r="BH179" i="13" s="1"/>
  <c r="C179" i="13"/>
  <c r="BG179" i="13" s="1"/>
  <c r="B179" i="13"/>
  <c r="BF179" i="13" s="1"/>
  <c r="M178" i="13"/>
  <c r="L178" i="13"/>
  <c r="K178" i="13"/>
  <c r="J178" i="13"/>
  <c r="I178" i="13"/>
  <c r="H178" i="13"/>
  <c r="BL178" i="13" s="1"/>
  <c r="G178" i="13"/>
  <c r="BK178" i="13" s="1"/>
  <c r="F178" i="13"/>
  <c r="BJ178" i="13" s="1"/>
  <c r="E178" i="13"/>
  <c r="D178" i="13"/>
  <c r="C178" i="13"/>
  <c r="B178" i="13"/>
  <c r="M177" i="13"/>
  <c r="L177" i="13"/>
  <c r="K177" i="13"/>
  <c r="J177" i="13"/>
  <c r="BN177" i="13" s="1"/>
  <c r="I177" i="13"/>
  <c r="H177" i="13"/>
  <c r="G177" i="13"/>
  <c r="F177" i="13"/>
  <c r="E177" i="13"/>
  <c r="D177" i="13"/>
  <c r="C177" i="13"/>
  <c r="B177" i="13"/>
  <c r="M176" i="13"/>
  <c r="L176" i="13"/>
  <c r="K176" i="13"/>
  <c r="J176" i="13"/>
  <c r="I176" i="13"/>
  <c r="H176" i="13"/>
  <c r="G176" i="13"/>
  <c r="F176" i="13"/>
  <c r="BJ176" i="13" s="1"/>
  <c r="E176" i="13"/>
  <c r="D176" i="13"/>
  <c r="C176" i="13"/>
  <c r="B176" i="13"/>
  <c r="M175" i="13"/>
  <c r="L175" i="13"/>
  <c r="K175" i="13"/>
  <c r="J175" i="13"/>
  <c r="BN175" i="13" s="1"/>
  <c r="I175" i="13"/>
  <c r="H175" i="13"/>
  <c r="G175" i="13"/>
  <c r="F175" i="13"/>
  <c r="E175" i="13"/>
  <c r="D175" i="13"/>
  <c r="C175" i="13"/>
  <c r="B175" i="13"/>
  <c r="M174" i="13"/>
  <c r="L174" i="13"/>
  <c r="K174" i="13"/>
  <c r="J174" i="13"/>
  <c r="I174" i="13"/>
  <c r="BM174" i="13" s="1"/>
  <c r="H174" i="13"/>
  <c r="BL174" i="13" s="1"/>
  <c r="G174" i="13"/>
  <c r="BK174" i="13" s="1"/>
  <c r="F174" i="13"/>
  <c r="E174" i="13"/>
  <c r="D174" i="13"/>
  <c r="C174" i="13"/>
  <c r="B174" i="13"/>
  <c r="M173" i="13"/>
  <c r="BQ173" i="13" s="1"/>
  <c r="L173" i="13"/>
  <c r="BP173" i="13" s="1"/>
  <c r="K173" i="13"/>
  <c r="BO173" i="13" s="1"/>
  <c r="J173" i="13"/>
  <c r="BN173" i="13" s="1"/>
  <c r="I173" i="13"/>
  <c r="H173" i="13"/>
  <c r="G173" i="13"/>
  <c r="F173" i="13"/>
  <c r="E173" i="13"/>
  <c r="D173" i="13"/>
  <c r="C173" i="13"/>
  <c r="BG173" i="13" s="1"/>
  <c r="B173" i="13"/>
  <c r="BF173" i="13" s="1"/>
  <c r="M172" i="13"/>
  <c r="L172" i="13"/>
  <c r="K172" i="13"/>
  <c r="J172" i="13"/>
  <c r="I172" i="13"/>
  <c r="H172" i="13"/>
  <c r="G172" i="13"/>
  <c r="F172" i="13"/>
  <c r="E172" i="13"/>
  <c r="D172" i="13"/>
  <c r="C172" i="13"/>
  <c r="B172" i="13"/>
  <c r="M171" i="13"/>
  <c r="BQ171" i="13" s="1"/>
  <c r="L171" i="13"/>
  <c r="BP171" i="13" s="1"/>
  <c r="K171" i="13"/>
  <c r="BO171" i="13" s="1"/>
  <c r="J171" i="13"/>
  <c r="BN171" i="13" s="1"/>
  <c r="I171" i="13"/>
  <c r="H171" i="13"/>
  <c r="G171" i="13"/>
  <c r="F171" i="13"/>
  <c r="E171" i="13"/>
  <c r="BI171" i="13" s="1"/>
  <c r="D171" i="13"/>
  <c r="BH171" i="13" s="1"/>
  <c r="C171" i="13"/>
  <c r="BG171" i="13" s="1"/>
  <c r="B171" i="13"/>
  <c r="BF171" i="13" s="1"/>
  <c r="M170" i="13"/>
  <c r="L170" i="13"/>
  <c r="K170" i="13"/>
  <c r="J170" i="13"/>
  <c r="I170" i="13"/>
  <c r="H170" i="13"/>
  <c r="G170" i="13"/>
  <c r="F170" i="13"/>
  <c r="E170" i="13"/>
  <c r="D170" i="13"/>
  <c r="C170" i="13"/>
  <c r="B170" i="13"/>
  <c r="M160" i="13"/>
  <c r="L160" i="13"/>
  <c r="K160" i="13"/>
  <c r="J160" i="13"/>
  <c r="I160" i="13"/>
  <c r="BM160" i="13" s="1"/>
  <c r="H160" i="13"/>
  <c r="G160" i="13"/>
  <c r="F160" i="13"/>
  <c r="BJ160" i="13" s="1"/>
  <c r="E160" i="13"/>
  <c r="D160" i="13"/>
  <c r="C160" i="13"/>
  <c r="B160" i="13"/>
  <c r="M159" i="13"/>
  <c r="L159" i="13"/>
  <c r="K159" i="13"/>
  <c r="J159" i="13"/>
  <c r="BN159" i="13" s="1"/>
  <c r="I159" i="13"/>
  <c r="H159" i="13"/>
  <c r="G159" i="13"/>
  <c r="F159" i="13"/>
  <c r="E159" i="13"/>
  <c r="D159" i="13"/>
  <c r="C159" i="13"/>
  <c r="BG159" i="13" s="1"/>
  <c r="B159" i="13"/>
  <c r="BF159" i="13" s="1"/>
  <c r="M158" i="13"/>
  <c r="L158" i="13"/>
  <c r="K158" i="13"/>
  <c r="J158" i="13"/>
  <c r="I158" i="13"/>
  <c r="H158" i="13"/>
  <c r="G158" i="13"/>
  <c r="BK158" i="13" s="1"/>
  <c r="F158" i="13"/>
  <c r="BJ158" i="13" s="1"/>
  <c r="E158" i="13"/>
  <c r="D158" i="13"/>
  <c r="C158" i="13"/>
  <c r="B158" i="13"/>
  <c r="M157" i="13"/>
  <c r="L157" i="13"/>
  <c r="K157" i="13"/>
  <c r="BO157" i="13" s="1"/>
  <c r="J157" i="13"/>
  <c r="BN157" i="13" s="1"/>
  <c r="I157" i="13"/>
  <c r="H157" i="13"/>
  <c r="G157" i="13"/>
  <c r="F157" i="13"/>
  <c r="E157" i="13"/>
  <c r="D157" i="13"/>
  <c r="C157" i="13"/>
  <c r="B157" i="13"/>
  <c r="M156" i="13"/>
  <c r="L156" i="13"/>
  <c r="K156" i="13"/>
  <c r="J156" i="13"/>
  <c r="I156" i="13"/>
  <c r="H156" i="13"/>
  <c r="G156" i="13"/>
  <c r="F156" i="13"/>
  <c r="E156" i="13"/>
  <c r="D156" i="13"/>
  <c r="C156" i="13"/>
  <c r="B156" i="13"/>
  <c r="M155" i="13"/>
  <c r="L155" i="13"/>
  <c r="K155" i="13"/>
  <c r="J155" i="13"/>
  <c r="I155" i="13"/>
  <c r="H155" i="13"/>
  <c r="G155" i="13"/>
  <c r="F155" i="13"/>
  <c r="E155" i="13"/>
  <c r="D155" i="13"/>
  <c r="C155" i="13"/>
  <c r="B155" i="13"/>
  <c r="M154" i="13"/>
  <c r="L154" i="13"/>
  <c r="K154" i="13"/>
  <c r="J154" i="13"/>
  <c r="I154" i="13"/>
  <c r="H154" i="13"/>
  <c r="G154" i="13"/>
  <c r="F154" i="13"/>
  <c r="E154" i="13"/>
  <c r="D154" i="13"/>
  <c r="C154" i="13"/>
  <c r="B154" i="13"/>
  <c r="M153" i="13"/>
  <c r="BQ153" i="13" s="1"/>
  <c r="L153" i="13"/>
  <c r="K153" i="13"/>
  <c r="J153" i="13"/>
  <c r="BN153" i="13" s="1"/>
  <c r="I153" i="13"/>
  <c r="H153" i="13"/>
  <c r="G153" i="13"/>
  <c r="F153" i="13"/>
  <c r="BJ153" i="13" s="1"/>
  <c r="E153" i="13"/>
  <c r="D153" i="13"/>
  <c r="C153" i="13"/>
  <c r="B153" i="13"/>
  <c r="M152" i="13"/>
  <c r="L152" i="13"/>
  <c r="K152" i="13"/>
  <c r="J152" i="13"/>
  <c r="BN152" i="13" s="1"/>
  <c r="I152" i="13"/>
  <c r="H152" i="13"/>
  <c r="G152" i="13"/>
  <c r="F152" i="13"/>
  <c r="E152" i="13"/>
  <c r="D152" i="13"/>
  <c r="C152" i="13"/>
  <c r="B152" i="13"/>
  <c r="M151" i="13"/>
  <c r="L151" i="13"/>
  <c r="K151" i="13"/>
  <c r="J151" i="13"/>
  <c r="I151" i="13"/>
  <c r="H151" i="13"/>
  <c r="G151" i="13"/>
  <c r="F151" i="13"/>
  <c r="E151" i="13"/>
  <c r="D151" i="13"/>
  <c r="C151" i="13"/>
  <c r="B151" i="13"/>
  <c r="M150" i="13"/>
  <c r="L150" i="13"/>
  <c r="K150" i="13"/>
  <c r="BO150" i="13" s="1"/>
  <c r="J150" i="13"/>
  <c r="BN150" i="13" s="1"/>
  <c r="I150" i="13"/>
  <c r="H150" i="13"/>
  <c r="G150" i="13"/>
  <c r="F150" i="13"/>
  <c r="E150" i="13"/>
  <c r="D150" i="13"/>
  <c r="C150" i="13"/>
  <c r="B150" i="13"/>
  <c r="M149" i="13"/>
  <c r="L149" i="13"/>
  <c r="K149" i="13"/>
  <c r="J149" i="13"/>
  <c r="I149" i="13"/>
  <c r="H149" i="13"/>
  <c r="G149" i="13"/>
  <c r="F149" i="13"/>
  <c r="BJ149" i="13" s="1"/>
  <c r="E149" i="13"/>
  <c r="BI149" i="13" s="1"/>
  <c r="D149" i="13"/>
  <c r="C149" i="13"/>
  <c r="B149" i="13"/>
  <c r="M148" i="13"/>
  <c r="L148" i="13"/>
  <c r="K148" i="13"/>
  <c r="J148" i="13"/>
  <c r="BN148" i="13" s="1"/>
  <c r="I148" i="13"/>
  <c r="H148" i="13"/>
  <c r="G148" i="13"/>
  <c r="F148" i="13"/>
  <c r="E148" i="13"/>
  <c r="D148" i="13"/>
  <c r="C148" i="13"/>
  <c r="B148" i="13"/>
  <c r="BF148" i="13" s="1"/>
  <c r="M147" i="13"/>
  <c r="L147" i="13"/>
  <c r="K147" i="13"/>
  <c r="J147" i="13"/>
  <c r="I147" i="13"/>
  <c r="H147" i="13"/>
  <c r="G147" i="13"/>
  <c r="F147" i="13"/>
  <c r="E147" i="13"/>
  <c r="D147" i="13"/>
  <c r="C147" i="13"/>
  <c r="B147" i="13"/>
  <c r="M146" i="13"/>
  <c r="L146" i="13"/>
  <c r="K146" i="13"/>
  <c r="BO146" i="13" s="1"/>
  <c r="J146" i="13"/>
  <c r="I146" i="13"/>
  <c r="H146" i="13"/>
  <c r="G146" i="13"/>
  <c r="F146" i="13"/>
  <c r="E146" i="13"/>
  <c r="D146" i="13"/>
  <c r="C146" i="13"/>
  <c r="B146" i="13"/>
  <c r="M145" i="13"/>
  <c r="L145" i="13"/>
  <c r="K145" i="13"/>
  <c r="J145" i="13"/>
  <c r="I145" i="13"/>
  <c r="H145" i="13"/>
  <c r="G145" i="13"/>
  <c r="F145" i="13"/>
  <c r="E145" i="13"/>
  <c r="D145" i="13"/>
  <c r="C145" i="13"/>
  <c r="B145" i="13"/>
  <c r="M144" i="13"/>
  <c r="L144" i="13"/>
  <c r="K144" i="13"/>
  <c r="J144" i="13"/>
  <c r="I144" i="13"/>
  <c r="H144" i="13"/>
  <c r="G144" i="13"/>
  <c r="F144" i="13"/>
  <c r="E144" i="13"/>
  <c r="D144" i="13"/>
  <c r="C144" i="13"/>
  <c r="BG144" i="13" s="1"/>
  <c r="B144" i="13"/>
  <c r="BF144" i="13" s="1"/>
  <c r="M143" i="13"/>
  <c r="BQ143" i="13" s="1"/>
  <c r="L143" i="13"/>
  <c r="K143" i="13"/>
  <c r="J143" i="13"/>
  <c r="I143" i="13"/>
  <c r="H143" i="13"/>
  <c r="G143" i="13"/>
  <c r="F143" i="13"/>
  <c r="BJ143" i="13" s="1"/>
  <c r="E143" i="13"/>
  <c r="BI143" i="13" s="1"/>
  <c r="D143" i="13"/>
  <c r="C143" i="13"/>
  <c r="B143" i="13"/>
  <c r="M142" i="13"/>
  <c r="L142" i="13"/>
  <c r="K142" i="13"/>
  <c r="J142" i="13"/>
  <c r="I142" i="13"/>
  <c r="H142" i="13"/>
  <c r="G142" i="13"/>
  <c r="F142" i="13"/>
  <c r="E142" i="13"/>
  <c r="D142" i="13"/>
  <c r="C142" i="13"/>
  <c r="BG142" i="13" s="1"/>
  <c r="B142" i="13"/>
  <c r="BF142" i="13" s="1"/>
  <c r="M141" i="13"/>
  <c r="BQ141" i="13" s="1"/>
  <c r="L141" i="13"/>
  <c r="K141" i="13"/>
  <c r="J141" i="13"/>
  <c r="I141" i="13"/>
  <c r="H141" i="13"/>
  <c r="G141" i="13"/>
  <c r="F141" i="13"/>
  <c r="E141" i="13"/>
  <c r="D141" i="13"/>
  <c r="C141" i="13"/>
  <c r="B141" i="13"/>
  <c r="M140" i="13"/>
  <c r="L140" i="13"/>
  <c r="K140" i="13"/>
  <c r="J140" i="13"/>
  <c r="I140" i="13"/>
  <c r="BM140" i="13" s="1"/>
  <c r="H140" i="13"/>
  <c r="G140" i="13"/>
  <c r="F140" i="13"/>
  <c r="E140" i="13"/>
  <c r="D140" i="13"/>
  <c r="C140" i="13"/>
  <c r="BG140" i="13" s="1"/>
  <c r="B140" i="13"/>
  <c r="M139" i="13"/>
  <c r="BQ139" i="13" s="1"/>
  <c r="L139" i="13"/>
  <c r="K139" i="13"/>
  <c r="J139" i="13"/>
  <c r="I139" i="13"/>
  <c r="H139" i="13"/>
  <c r="G139" i="13"/>
  <c r="F139" i="13"/>
  <c r="BJ139" i="13" s="1"/>
  <c r="E139" i="13"/>
  <c r="D139" i="13"/>
  <c r="C139" i="13"/>
  <c r="B139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M136" i="13"/>
  <c r="L136" i="13"/>
  <c r="K136" i="13"/>
  <c r="J136" i="13"/>
  <c r="BN136" i="13" s="1"/>
  <c r="I136" i="13"/>
  <c r="H136" i="13"/>
  <c r="G136" i="13"/>
  <c r="F136" i="13"/>
  <c r="E136" i="13"/>
  <c r="D136" i="13"/>
  <c r="C136" i="13"/>
  <c r="B136" i="13"/>
  <c r="M135" i="13"/>
  <c r="L135" i="13"/>
  <c r="K135" i="13"/>
  <c r="J135" i="13"/>
  <c r="I135" i="13"/>
  <c r="H135" i="13"/>
  <c r="G135" i="13"/>
  <c r="BK135" i="13" s="1"/>
  <c r="F135" i="13"/>
  <c r="BJ135" i="13" s="1"/>
  <c r="E135" i="13"/>
  <c r="D135" i="13"/>
  <c r="C135" i="13"/>
  <c r="B135" i="13"/>
  <c r="M134" i="13"/>
  <c r="L134" i="13"/>
  <c r="K134" i="13"/>
  <c r="J134" i="13"/>
  <c r="BN134" i="13" s="1"/>
  <c r="I134" i="13"/>
  <c r="H134" i="13"/>
  <c r="G134" i="13"/>
  <c r="F134" i="13"/>
  <c r="E134" i="13"/>
  <c r="D134" i="13"/>
  <c r="C134" i="13"/>
  <c r="B134" i="13"/>
  <c r="M133" i="13"/>
  <c r="L133" i="13"/>
  <c r="K133" i="13"/>
  <c r="J133" i="13"/>
  <c r="I133" i="13"/>
  <c r="H133" i="13"/>
  <c r="G133" i="13"/>
  <c r="F133" i="13"/>
  <c r="E133" i="13"/>
  <c r="BI133" i="13" s="1"/>
  <c r="D133" i="13"/>
  <c r="C133" i="13"/>
  <c r="B133" i="13"/>
  <c r="M132" i="13"/>
  <c r="L132" i="13"/>
  <c r="K132" i="13"/>
  <c r="J132" i="13"/>
  <c r="I132" i="13"/>
  <c r="BM132" i="13" s="1"/>
  <c r="H132" i="13"/>
  <c r="G132" i="13"/>
  <c r="F132" i="13"/>
  <c r="E132" i="13"/>
  <c r="D132" i="13"/>
  <c r="C132" i="13"/>
  <c r="B132" i="13"/>
  <c r="M131" i="13"/>
  <c r="BQ131" i="13" s="1"/>
  <c r="L131" i="13"/>
  <c r="K131" i="13"/>
  <c r="J131" i="13"/>
  <c r="I131" i="13"/>
  <c r="H131" i="13"/>
  <c r="G131" i="13"/>
  <c r="F131" i="13"/>
  <c r="BJ131" i="13" s="1"/>
  <c r="E131" i="13"/>
  <c r="D131" i="13"/>
  <c r="C131" i="13"/>
  <c r="B131" i="13"/>
  <c r="M130" i="13"/>
  <c r="L130" i="13"/>
  <c r="K130" i="13"/>
  <c r="J130" i="13"/>
  <c r="J163" i="13" s="1"/>
  <c r="I130" i="13"/>
  <c r="H130" i="13"/>
  <c r="G130" i="13"/>
  <c r="F130" i="13"/>
  <c r="E130" i="13"/>
  <c r="D130" i="13"/>
  <c r="C130" i="13"/>
  <c r="B130" i="13"/>
  <c r="M120" i="13"/>
  <c r="L120" i="13"/>
  <c r="K120" i="13"/>
  <c r="J120" i="13"/>
  <c r="I120" i="13"/>
  <c r="BM120" i="13" s="1"/>
  <c r="H120" i="13"/>
  <c r="G120" i="13"/>
  <c r="F120" i="13"/>
  <c r="BJ120" i="13" s="1"/>
  <c r="E120" i="13"/>
  <c r="D120" i="13"/>
  <c r="C120" i="13"/>
  <c r="B120" i="13"/>
  <c r="M119" i="13"/>
  <c r="L119" i="13"/>
  <c r="BP119" i="13" s="1"/>
  <c r="K119" i="13"/>
  <c r="BO119" i="13" s="1"/>
  <c r="J119" i="13"/>
  <c r="BN119" i="13" s="1"/>
  <c r="I119" i="13"/>
  <c r="H119" i="13"/>
  <c r="G119" i="13"/>
  <c r="F119" i="13"/>
  <c r="E119" i="13"/>
  <c r="D119" i="13"/>
  <c r="BH119" i="13" s="1"/>
  <c r="C119" i="13"/>
  <c r="BG119" i="13" s="1"/>
  <c r="B119" i="13"/>
  <c r="BF119" i="13" s="1"/>
  <c r="M118" i="13"/>
  <c r="L118" i="13"/>
  <c r="K118" i="13"/>
  <c r="J118" i="13"/>
  <c r="I118" i="13"/>
  <c r="H118" i="13"/>
  <c r="G118" i="13"/>
  <c r="F118" i="13"/>
  <c r="BJ118" i="13" s="1"/>
  <c r="E118" i="13"/>
  <c r="D118" i="13"/>
  <c r="C118" i="13"/>
  <c r="B118" i="13"/>
  <c r="M117" i="13"/>
  <c r="BQ117" i="13" s="1"/>
  <c r="L117" i="13"/>
  <c r="K117" i="13"/>
  <c r="J117" i="13"/>
  <c r="I117" i="13"/>
  <c r="H117" i="13"/>
  <c r="G117" i="13"/>
  <c r="F117" i="13"/>
  <c r="E117" i="13"/>
  <c r="BI117" i="13" s="1"/>
  <c r="D117" i="13"/>
  <c r="BH117" i="13" s="1"/>
  <c r="C117" i="13"/>
  <c r="B117" i="13"/>
  <c r="BF117" i="13" s="1"/>
  <c r="M116" i="13"/>
  <c r="L116" i="13"/>
  <c r="K116" i="13"/>
  <c r="J116" i="13"/>
  <c r="I116" i="13"/>
  <c r="BM116" i="13" s="1"/>
  <c r="H116" i="13"/>
  <c r="G116" i="13"/>
  <c r="F116" i="13"/>
  <c r="BJ116" i="13" s="1"/>
  <c r="E116" i="13"/>
  <c r="D116" i="13"/>
  <c r="C116" i="13"/>
  <c r="B116" i="13"/>
  <c r="M115" i="13"/>
  <c r="BQ115" i="13" s="1"/>
  <c r="L115" i="13"/>
  <c r="BP115" i="13" s="1"/>
  <c r="K115" i="13"/>
  <c r="BO115" i="13" s="1"/>
  <c r="J115" i="13"/>
  <c r="BN115" i="13" s="1"/>
  <c r="I115" i="13"/>
  <c r="H115" i="13"/>
  <c r="G115" i="13"/>
  <c r="F115" i="13"/>
  <c r="E115" i="13"/>
  <c r="D115" i="13"/>
  <c r="BH115" i="13" s="1"/>
  <c r="C115" i="13"/>
  <c r="BG115" i="13" s="1"/>
  <c r="B115" i="13"/>
  <c r="BF115" i="13" s="1"/>
  <c r="M114" i="13"/>
  <c r="L114" i="13"/>
  <c r="K114" i="13"/>
  <c r="J114" i="13"/>
  <c r="I114" i="13"/>
  <c r="H114" i="13"/>
  <c r="BL114" i="13" s="1"/>
  <c r="G114" i="13"/>
  <c r="BK114" i="13" s="1"/>
  <c r="F114" i="13"/>
  <c r="BJ114" i="13" s="1"/>
  <c r="E114" i="13"/>
  <c r="D114" i="13"/>
  <c r="C114" i="13"/>
  <c r="B114" i="13"/>
  <c r="M113" i="13"/>
  <c r="L113" i="13"/>
  <c r="BP113" i="13" s="1"/>
  <c r="K113" i="13"/>
  <c r="BO113" i="13" s="1"/>
  <c r="J113" i="13"/>
  <c r="BN113" i="13" s="1"/>
  <c r="I113" i="13"/>
  <c r="H113" i="13"/>
  <c r="G113" i="13"/>
  <c r="F113" i="13"/>
  <c r="E113" i="13"/>
  <c r="D113" i="13"/>
  <c r="C113" i="13"/>
  <c r="B113" i="13"/>
  <c r="M112" i="13"/>
  <c r="L112" i="13"/>
  <c r="K112" i="13"/>
  <c r="J112" i="13"/>
  <c r="I112" i="13"/>
  <c r="BM112" i="13" s="1"/>
  <c r="H112" i="13"/>
  <c r="G112" i="13"/>
  <c r="F112" i="13"/>
  <c r="E112" i="13"/>
  <c r="D112" i="13"/>
  <c r="C112" i="13"/>
  <c r="B112" i="13"/>
  <c r="M111" i="13"/>
  <c r="L111" i="13"/>
  <c r="BP111" i="13" s="1"/>
  <c r="K111" i="13"/>
  <c r="BO111" i="13" s="1"/>
  <c r="J111" i="13"/>
  <c r="BN111" i="13" s="1"/>
  <c r="I111" i="13"/>
  <c r="H111" i="13"/>
  <c r="G111" i="13"/>
  <c r="F111" i="13"/>
  <c r="E111" i="13"/>
  <c r="D111" i="13"/>
  <c r="BH111" i="13" s="1"/>
  <c r="C111" i="13"/>
  <c r="BG111" i="13" s="1"/>
  <c r="B111" i="13"/>
  <c r="BF111" i="13" s="1"/>
  <c r="M110" i="13"/>
  <c r="L110" i="13"/>
  <c r="K110" i="13"/>
  <c r="J110" i="13"/>
  <c r="I110" i="13"/>
  <c r="H110" i="13"/>
  <c r="G110" i="13"/>
  <c r="F110" i="13"/>
  <c r="BJ110" i="13" s="1"/>
  <c r="E110" i="13"/>
  <c r="D110" i="13"/>
  <c r="C110" i="13"/>
  <c r="B110" i="13"/>
  <c r="M109" i="13"/>
  <c r="BQ109" i="13" s="1"/>
  <c r="L109" i="13"/>
  <c r="BP109" i="13" s="1"/>
  <c r="K109" i="13"/>
  <c r="BO109" i="13" s="1"/>
  <c r="J109" i="13"/>
  <c r="BN109" i="13" s="1"/>
  <c r="I109" i="13"/>
  <c r="H109" i="13"/>
  <c r="G109" i="13"/>
  <c r="F109" i="13"/>
  <c r="E109" i="13"/>
  <c r="D109" i="13"/>
  <c r="BH109" i="13" s="1"/>
  <c r="C109" i="13"/>
  <c r="B109" i="13"/>
  <c r="M108" i="13"/>
  <c r="L108" i="13"/>
  <c r="K108" i="13"/>
  <c r="J108" i="13"/>
  <c r="I108" i="13"/>
  <c r="BM108" i="13" s="1"/>
  <c r="H108" i="13"/>
  <c r="BL108" i="13" s="1"/>
  <c r="G108" i="13"/>
  <c r="F108" i="13"/>
  <c r="BJ108" i="13" s="1"/>
  <c r="E108" i="13"/>
  <c r="D108" i="13"/>
  <c r="C108" i="13"/>
  <c r="B108" i="13"/>
  <c r="M107" i="13"/>
  <c r="BQ107" i="13" s="1"/>
  <c r="L107" i="13"/>
  <c r="BP107" i="13" s="1"/>
  <c r="K107" i="13"/>
  <c r="BO107" i="13" s="1"/>
  <c r="J107" i="13"/>
  <c r="BN107" i="13" s="1"/>
  <c r="I107" i="13"/>
  <c r="H107" i="13"/>
  <c r="G107" i="13"/>
  <c r="F107" i="13"/>
  <c r="E107" i="13"/>
  <c r="D107" i="13"/>
  <c r="BH107" i="13" s="1"/>
  <c r="C107" i="13"/>
  <c r="BG107" i="13" s="1"/>
  <c r="B107" i="13"/>
  <c r="BF107" i="13" s="1"/>
  <c r="M106" i="13"/>
  <c r="L106" i="13"/>
  <c r="K106" i="13"/>
  <c r="J106" i="13"/>
  <c r="I106" i="13"/>
  <c r="H106" i="13"/>
  <c r="G106" i="13"/>
  <c r="BK106" i="13" s="1"/>
  <c r="F106" i="13"/>
  <c r="BJ106" i="13" s="1"/>
  <c r="E106" i="13"/>
  <c r="D106" i="13"/>
  <c r="C106" i="13"/>
  <c r="B106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BF105" i="13" s="1"/>
  <c r="M104" i="13"/>
  <c r="L104" i="13"/>
  <c r="K104" i="13"/>
  <c r="J104" i="13"/>
  <c r="I104" i="13"/>
  <c r="H104" i="13"/>
  <c r="G104" i="13"/>
  <c r="F104" i="13"/>
  <c r="BJ104" i="13" s="1"/>
  <c r="E104" i="13"/>
  <c r="D104" i="13"/>
  <c r="C104" i="13"/>
  <c r="B104" i="13"/>
  <c r="M103" i="13"/>
  <c r="L103" i="13"/>
  <c r="K103" i="13"/>
  <c r="J103" i="13"/>
  <c r="I103" i="13"/>
  <c r="H103" i="13"/>
  <c r="G103" i="13"/>
  <c r="F103" i="13"/>
  <c r="E103" i="13"/>
  <c r="D103" i="13"/>
  <c r="C103" i="13"/>
  <c r="B103" i="13"/>
  <c r="M102" i="13"/>
  <c r="L102" i="13"/>
  <c r="BP102" i="13" s="1"/>
  <c r="K102" i="13"/>
  <c r="J102" i="13"/>
  <c r="I102" i="13"/>
  <c r="H102" i="13"/>
  <c r="G102" i="13"/>
  <c r="F102" i="13"/>
  <c r="E102" i="13"/>
  <c r="D102" i="13"/>
  <c r="C102" i="13"/>
  <c r="B102" i="13"/>
  <c r="M101" i="13"/>
  <c r="L101" i="13"/>
  <c r="K101" i="13"/>
  <c r="BO101" i="13" s="1"/>
  <c r="J101" i="13"/>
  <c r="I101" i="13"/>
  <c r="H101" i="13"/>
  <c r="G101" i="13"/>
  <c r="F101" i="13"/>
  <c r="E101" i="13"/>
  <c r="D101" i="13"/>
  <c r="C101" i="13"/>
  <c r="BG101" i="13" s="1"/>
  <c r="B101" i="13"/>
  <c r="M100" i="13"/>
  <c r="L100" i="13"/>
  <c r="K100" i="13"/>
  <c r="J100" i="13"/>
  <c r="I100" i="13"/>
  <c r="H100" i="13"/>
  <c r="G100" i="13"/>
  <c r="F100" i="13"/>
  <c r="BJ100" i="13" s="1"/>
  <c r="E100" i="13"/>
  <c r="D100" i="13"/>
  <c r="C100" i="13"/>
  <c r="B100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BF99" i="13" s="1"/>
  <c r="M98" i="13"/>
  <c r="L98" i="13"/>
  <c r="K98" i="13"/>
  <c r="J98" i="13"/>
  <c r="I98" i="13"/>
  <c r="H98" i="13"/>
  <c r="G98" i="13"/>
  <c r="BK98" i="13" s="1"/>
  <c r="F98" i="13"/>
  <c r="E98" i="13"/>
  <c r="D98" i="13"/>
  <c r="C98" i="13"/>
  <c r="B98" i="13"/>
  <c r="M97" i="13"/>
  <c r="L97" i="13"/>
  <c r="K97" i="13"/>
  <c r="J97" i="13"/>
  <c r="I97" i="13"/>
  <c r="H97" i="13"/>
  <c r="G97" i="13"/>
  <c r="F97" i="13"/>
  <c r="E97" i="13"/>
  <c r="D97" i="13"/>
  <c r="C97" i="13"/>
  <c r="BG97" i="13" s="1"/>
  <c r="B97" i="13"/>
  <c r="BF97" i="13" s="1"/>
  <c r="M96" i="13"/>
  <c r="L96" i="13"/>
  <c r="K96" i="13"/>
  <c r="J96" i="13"/>
  <c r="I96" i="13"/>
  <c r="H96" i="13"/>
  <c r="G96" i="13"/>
  <c r="F96" i="13"/>
  <c r="BJ96" i="13" s="1"/>
  <c r="E96" i="13"/>
  <c r="D96" i="13"/>
  <c r="C96" i="13"/>
  <c r="B96" i="13"/>
  <c r="M95" i="13"/>
  <c r="L95" i="13"/>
  <c r="K95" i="13"/>
  <c r="BO95" i="13" s="1"/>
  <c r="J95" i="13"/>
  <c r="BN95" i="13" s="1"/>
  <c r="I95" i="13"/>
  <c r="H95" i="13"/>
  <c r="G95" i="13"/>
  <c r="F95" i="13"/>
  <c r="E95" i="13"/>
  <c r="D95" i="13"/>
  <c r="C95" i="13"/>
  <c r="B95" i="13"/>
  <c r="M94" i="13"/>
  <c r="L94" i="13"/>
  <c r="K94" i="13"/>
  <c r="J94" i="13"/>
  <c r="I94" i="13"/>
  <c r="H94" i="13"/>
  <c r="G94" i="13"/>
  <c r="BK94" i="13" s="1"/>
  <c r="F94" i="13"/>
  <c r="BJ94" i="13" s="1"/>
  <c r="E94" i="13"/>
  <c r="D94" i="13"/>
  <c r="C94" i="13"/>
  <c r="B94" i="13"/>
  <c r="M93" i="13"/>
  <c r="L93" i="13"/>
  <c r="K93" i="13"/>
  <c r="BO93" i="13" s="1"/>
  <c r="J93" i="13"/>
  <c r="BN93" i="13" s="1"/>
  <c r="I93" i="13"/>
  <c r="H93" i="13"/>
  <c r="G93" i="13"/>
  <c r="F93" i="13"/>
  <c r="E93" i="13"/>
  <c r="D93" i="13"/>
  <c r="C93" i="13"/>
  <c r="BG93" i="13" s="1"/>
  <c r="B93" i="13"/>
  <c r="M92" i="13"/>
  <c r="L92" i="13"/>
  <c r="K92" i="13"/>
  <c r="J92" i="13"/>
  <c r="I92" i="13"/>
  <c r="H92" i="13"/>
  <c r="G92" i="13"/>
  <c r="F92" i="13"/>
  <c r="E92" i="13"/>
  <c r="D92" i="13"/>
  <c r="C92" i="13"/>
  <c r="B92" i="13"/>
  <c r="M91" i="13"/>
  <c r="L91" i="13"/>
  <c r="K91" i="13"/>
  <c r="BO91" i="13" s="1"/>
  <c r="J91" i="13"/>
  <c r="BN91" i="13" s="1"/>
  <c r="I91" i="13"/>
  <c r="H91" i="13"/>
  <c r="G91" i="13"/>
  <c r="F91" i="13"/>
  <c r="E91" i="13"/>
  <c r="D91" i="13"/>
  <c r="C91" i="13"/>
  <c r="B91" i="13"/>
  <c r="M90" i="13"/>
  <c r="L90" i="13"/>
  <c r="K90" i="13"/>
  <c r="J90" i="13"/>
  <c r="I90" i="13"/>
  <c r="H90" i="13"/>
  <c r="G90" i="13"/>
  <c r="BK90" i="13" s="1"/>
  <c r="F90" i="13"/>
  <c r="BJ90" i="13" s="1"/>
  <c r="E90" i="13"/>
  <c r="D90" i="13"/>
  <c r="C90" i="13"/>
  <c r="B90" i="13"/>
  <c r="M80" i="13"/>
  <c r="L80" i="13"/>
  <c r="K80" i="13"/>
  <c r="J80" i="13"/>
  <c r="BN80" i="13" s="1"/>
  <c r="I80" i="13"/>
  <c r="BM80" i="13" s="1"/>
  <c r="H80" i="13"/>
  <c r="G80" i="13"/>
  <c r="F80" i="13"/>
  <c r="E80" i="13"/>
  <c r="D80" i="13"/>
  <c r="C80" i="13"/>
  <c r="B80" i="13"/>
  <c r="M79" i="13"/>
  <c r="L79" i="13"/>
  <c r="K79" i="13"/>
  <c r="J79" i="13"/>
  <c r="I79" i="13"/>
  <c r="H79" i="13"/>
  <c r="G79" i="13"/>
  <c r="F79" i="13"/>
  <c r="E79" i="13"/>
  <c r="BI79" i="13" s="1"/>
  <c r="D79" i="13"/>
  <c r="C79" i="13"/>
  <c r="B79" i="13"/>
  <c r="M78" i="13"/>
  <c r="L78" i="13"/>
  <c r="K78" i="13"/>
  <c r="J78" i="13"/>
  <c r="BN78" i="13" s="1"/>
  <c r="I78" i="13"/>
  <c r="H78" i="13"/>
  <c r="G78" i="13"/>
  <c r="F78" i="13"/>
  <c r="E78" i="13"/>
  <c r="D78" i="13"/>
  <c r="C78" i="13"/>
  <c r="B78" i="13"/>
  <c r="BF78" i="13" s="1"/>
  <c r="M77" i="13"/>
  <c r="BQ77" i="13" s="1"/>
  <c r="L77" i="13"/>
  <c r="K77" i="13"/>
  <c r="J77" i="13"/>
  <c r="I77" i="13"/>
  <c r="H77" i="13"/>
  <c r="G77" i="13"/>
  <c r="F77" i="13"/>
  <c r="E77" i="13"/>
  <c r="D77" i="13"/>
  <c r="C77" i="13"/>
  <c r="B77" i="13"/>
  <c r="M76" i="13"/>
  <c r="L76" i="13"/>
  <c r="K76" i="13"/>
  <c r="J76" i="13"/>
  <c r="I76" i="13"/>
  <c r="BM76" i="13" s="1"/>
  <c r="H76" i="13"/>
  <c r="G76" i="13"/>
  <c r="F76" i="13"/>
  <c r="E76" i="13"/>
  <c r="D76" i="13"/>
  <c r="C76" i="13"/>
  <c r="B76" i="13"/>
  <c r="M75" i="13"/>
  <c r="L75" i="13"/>
  <c r="K75" i="13"/>
  <c r="J75" i="13"/>
  <c r="BN75" i="13" s="1"/>
  <c r="I75" i="13"/>
  <c r="H75" i="13"/>
  <c r="G75" i="13"/>
  <c r="F75" i="13"/>
  <c r="E75" i="13"/>
  <c r="BI75" i="13" s="1"/>
  <c r="D75" i="13"/>
  <c r="C75" i="13"/>
  <c r="B75" i="13"/>
  <c r="M74" i="13"/>
  <c r="L74" i="13"/>
  <c r="K74" i="13"/>
  <c r="J74" i="13"/>
  <c r="BN74" i="13" s="1"/>
  <c r="I74" i="13"/>
  <c r="BM74" i="13" s="1"/>
  <c r="H74" i="13"/>
  <c r="G74" i="13"/>
  <c r="F74" i="13"/>
  <c r="E74" i="13"/>
  <c r="D74" i="13"/>
  <c r="C74" i="13"/>
  <c r="B74" i="13"/>
  <c r="M73" i="13"/>
  <c r="L73" i="13"/>
  <c r="K73" i="13"/>
  <c r="J73" i="13"/>
  <c r="BN73" i="13" s="1"/>
  <c r="I73" i="13"/>
  <c r="H73" i="13"/>
  <c r="G73" i="13"/>
  <c r="F73" i="13"/>
  <c r="E73" i="13"/>
  <c r="BI73" i="13" s="1"/>
  <c r="D73" i="13"/>
  <c r="C73" i="13"/>
  <c r="B73" i="13"/>
  <c r="M72" i="13"/>
  <c r="L72" i="13"/>
  <c r="K72" i="13"/>
  <c r="J72" i="13"/>
  <c r="I72" i="13"/>
  <c r="H72" i="13"/>
  <c r="G72" i="13"/>
  <c r="BK72" i="13" s="1"/>
  <c r="F72" i="13"/>
  <c r="E72" i="13"/>
  <c r="D72" i="13"/>
  <c r="C72" i="13"/>
  <c r="B72" i="13"/>
  <c r="M71" i="13"/>
  <c r="BQ71" i="13" s="1"/>
  <c r="L71" i="13"/>
  <c r="BP71" i="13" s="1"/>
  <c r="K71" i="13"/>
  <c r="BO71" i="13" s="1"/>
  <c r="J71" i="13"/>
  <c r="BN71" i="13" s="1"/>
  <c r="I71" i="13"/>
  <c r="H71" i="13"/>
  <c r="G71" i="13"/>
  <c r="F71" i="13"/>
  <c r="E71" i="13"/>
  <c r="D71" i="13"/>
  <c r="C71" i="13"/>
  <c r="B71" i="13"/>
  <c r="M70" i="13"/>
  <c r="L70" i="13"/>
  <c r="K70" i="13"/>
  <c r="J70" i="13"/>
  <c r="BN70" i="13" s="1"/>
  <c r="I70" i="13"/>
  <c r="H70" i="13"/>
  <c r="BL70" i="13" s="1"/>
  <c r="G70" i="13"/>
  <c r="F70" i="13"/>
  <c r="E70" i="13"/>
  <c r="D70" i="13"/>
  <c r="C70" i="13"/>
  <c r="B70" i="13"/>
  <c r="M69" i="13"/>
  <c r="BQ69" i="13" s="1"/>
  <c r="L69" i="13"/>
  <c r="BP69" i="13" s="1"/>
  <c r="K69" i="13"/>
  <c r="BO69" i="13" s="1"/>
  <c r="J69" i="13"/>
  <c r="I69" i="13"/>
  <c r="H69" i="13"/>
  <c r="G69" i="13"/>
  <c r="F69" i="13"/>
  <c r="E69" i="13"/>
  <c r="D69" i="13"/>
  <c r="BH69" i="13" s="1"/>
  <c r="C69" i="13"/>
  <c r="BG69" i="13" s="1"/>
  <c r="B69" i="13"/>
  <c r="M68" i="13"/>
  <c r="L68" i="13"/>
  <c r="K68" i="13"/>
  <c r="J68" i="13"/>
  <c r="I68" i="13"/>
  <c r="BM68" i="13" s="1"/>
  <c r="H68" i="13"/>
  <c r="BL68" i="13" s="1"/>
  <c r="G68" i="13"/>
  <c r="F68" i="13"/>
  <c r="E68" i="13"/>
  <c r="D68" i="13"/>
  <c r="C68" i="13"/>
  <c r="B68" i="13"/>
  <c r="M67" i="13"/>
  <c r="L67" i="13"/>
  <c r="K67" i="13"/>
  <c r="BO67" i="13" s="1"/>
  <c r="J67" i="13"/>
  <c r="I67" i="13"/>
  <c r="H67" i="13"/>
  <c r="G67" i="13"/>
  <c r="F67" i="13"/>
  <c r="E67" i="13"/>
  <c r="D67" i="13"/>
  <c r="BH67" i="13" s="1"/>
  <c r="C67" i="13"/>
  <c r="BG67" i="13" s="1"/>
  <c r="B67" i="13"/>
  <c r="M66" i="13"/>
  <c r="L66" i="13"/>
  <c r="K66" i="13"/>
  <c r="J66" i="13"/>
  <c r="I66" i="13"/>
  <c r="H66" i="13"/>
  <c r="G66" i="13"/>
  <c r="F66" i="13"/>
  <c r="E66" i="13"/>
  <c r="D66" i="13"/>
  <c r="C66" i="13"/>
  <c r="B66" i="13"/>
  <c r="M65" i="13"/>
  <c r="BQ65" i="13" s="1"/>
  <c r="L65" i="13"/>
  <c r="K65" i="13"/>
  <c r="BO65" i="13" s="1"/>
  <c r="J65" i="13"/>
  <c r="I65" i="13"/>
  <c r="H65" i="13"/>
  <c r="G65" i="13"/>
  <c r="F65" i="13"/>
  <c r="E65" i="13"/>
  <c r="D65" i="13"/>
  <c r="C65" i="13"/>
  <c r="B65" i="13"/>
  <c r="M64" i="13"/>
  <c r="L64" i="13"/>
  <c r="K64" i="13"/>
  <c r="J64" i="13"/>
  <c r="I64" i="13"/>
  <c r="BM64" i="13" s="1"/>
  <c r="H64" i="13"/>
  <c r="BL64" i="13" s="1"/>
  <c r="G64" i="13"/>
  <c r="F64" i="13"/>
  <c r="E64" i="13"/>
  <c r="D64" i="13"/>
  <c r="C64" i="13"/>
  <c r="B64" i="13"/>
  <c r="M63" i="13"/>
  <c r="L63" i="13"/>
  <c r="K63" i="13"/>
  <c r="BO63" i="13" s="1"/>
  <c r="J63" i="13"/>
  <c r="I63" i="13"/>
  <c r="H63" i="13"/>
  <c r="G63" i="13"/>
  <c r="F63" i="13"/>
  <c r="E63" i="13"/>
  <c r="BI63" i="13" s="1"/>
  <c r="D63" i="13"/>
  <c r="BH63" i="13" s="1"/>
  <c r="C63" i="13"/>
  <c r="B63" i="13"/>
  <c r="M62" i="13"/>
  <c r="L62" i="13"/>
  <c r="K62" i="13"/>
  <c r="J62" i="13"/>
  <c r="I62" i="13"/>
  <c r="H62" i="13"/>
  <c r="BL62" i="13" s="1"/>
  <c r="G62" i="13"/>
  <c r="BK62" i="13" s="1"/>
  <c r="F62" i="13"/>
  <c r="E62" i="13"/>
  <c r="D62" i="13"/>
  <c r="C62" i="13"/>
  <c r="B62" i="13"/>
  <c r="M61" i="13"/>
  <c r="BQ61" i="13" s="1"/>
  <c r="L61" i="13"/>
  <c r="BP61" i="13" s="1"/>
  <c r="K61" i="13"/>
  <c r="BO61" i="13" s="1"/>
  <c r="J61" i="13"/>
  <c r="I61" i="13"/>
  <c r="H61" i="13"/>
  <c r="G61" i="13"/>
  <c r="F61" i="13"/>
  <c r="E61" i="13"/>
  <c r="D61" i="13"/>
  <c r="C61" i="13"/>
  <c r="BG61" i="13" s="1"/>
  <c r="B61" i="13"/>
  <c r="M60" i="13"/>
  <c r="L60" i="13"/>
  <c r="K60" i="13"/>
  <c r="J60" i="13"/>
  <c r="I60" i="13"/>
  <c r="H60" i="13"/>
  <c r="G60" i="13"/>
  <c r="F60" i="13"/>
  <c r="E60" i="13"/>
  <c r="D60" i="13"/>
  <c r="C60" i="13"/>
  <c r="B60" i="13"/>
  <c r="M59" i="13"/>
  <c r="BQ59" i="13" s="1"/>
  <c r="L59" i="13"/>
  <c r="BP59" i="13" s="1"/>
  <c r="K59" i="13"/>
  <c r="J59" i="13"/>
  <c r="I59" i="13"/>
  <c r="H59" i="13"/>
  <c r="G59" i="13"/>
  <c r="F59" i="13"/>
  <c r="E59" i="13"/>
  <c r="D59" i="13"/>
  <c r="BH59" i="13" s="1"/>
  <c r="C59" i="13"/>
  <c r="B59" i="13"/>
  <c r="M58" i="13"/>
  <c r="L58" i="13"/>
  <c r="K58" i="13"/>
  <c r="J58" i="13"/>
  <c r="I58" i="13"/>
  <c r="H58" i="13"/>
  <c r="BL58" i="13" s="1"/>
  <c r="G58" i="13"/>
  <c r="BK58" i="13" s="1"/>
  <c r="F58" i="13"/>
  <c r="E58" i="13"/>
  <c r="D58" i="13"/>
  <c r="C58" i="13"/>
  <c r="B58" i="13"/>
  <c r="BF58" i="13" s="1"/>
  <c r="M57" i="13"/>
  <c r="BQ57" i="13" s="1"/>
  <c r="L57" i="13"/>
  <c r="K57" i="13"/>
  <c r="J57" i="13"/>
  <c r="I57" i="13"/>
  <c r="H57" i="13"/>
  <c r="G57" i="13"/>
  <c r="F57" i="13"/>
  <c r="E57" i="13"/>
  <c r="D57" i="13"/>
  <c r="C57" i="13"/>
  <c r="B57" i="13"/>
  <c r="M56" i="13"/>
  <c r="L56" i="13"/>
  <c r="K56" i="13"/>
  <c r="J56" i="13"/>
  <c r="BN56" i="13" s="1"/>
  <c r="I56" i="13"/>
  <c r="H56" i="13"/>
  <c r="G56" i="13"/>
  <c r="F56" i="13"/>
  <c r="E56" i="13"/>
  <c r="D56" i="13"/>
  <c r="C56" i="13"/>
  <c r="B56" i="13"/>
  <c r="BF56" i="13" s="1"/>
  <c r="M55" i="13"/>
  <c r="BQ55" i="13" s="1"/>
  <c r="L55" i="13"/>
  <c r="BP55" i="13" s="1"/>
  <c r="K55" i="13"/>
  <c r="J55" i="13"/>
  <c r="I55" i="13"/>
  <c r="H55" i="13"/>
  <c r="G55" i="13"/>
  <c r="F55" i="13"/>
  <c r="E55" i="13"/>
  <c r="D55" i="13"/>
  <c r="C55" i="13"/>
  <c r="B55" i="13"/>
  <c r="M54" i="13"/>
  <c r="L54" i="13"/>
  <c r="K54" i="13"/>
  <c r="J54" i="13"/>
  <c r="I54" i="13"/>
  <c r="H54" i="13"/>
  <c r="BL54" i="13" s="1"/>
  <c r="G54" i="13"/>
  <c r="BK54" i="13" s="1"/>
  <c r="F54" i="13"/>
  <c r="E54" i="13"/>
  <c r="D54" i="13"/>
  <c r="C54" i="13"/>
  <c r="B54" i="13"/>
  <c r="BF54" i="13" s="1"/>
  <c r="M53" i="13"/>
  <c r="L53" i="13"/>
  <c r="BP53" i="13" s="1"/>
  <c r="K53" i="13"/>
  <c r="BO53" i="13" s="1"/>
  <c r="J53" i="13"/>
  <c r="I53" i="13"/>
  <c r="H53" i="13"/>
  <c r="G53" i="13"/>
  <c r="F53" i="13"/>
  <c r="BJ53" i="13" s="1"/>
  <c r="E53" i="13"/>
  <c r="BI53" i="13" s="1"/>
  <c r="D53" i="13"/>
  <c r="BH53" i="13" s="1"/>
  <c r="C53" i="13"/>
  <c r="BG53" i="13" s="1"/>
  <c r="B53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M51" i="13"/>
  <c r="BQ51" i="13" s="1"/>
  <c r="L51" i="13"/>
  <c r="BP51" i="13" s="1"/>
  <c r="K51" i="13"/>
  <c r="BO51" i="13" s="1"/>
  <c r="J51" i="13"/>
  <c r="I51" i="13"/>
  <c r="H51" i="13"/>
  <c r="G51" i="13"/>
  <c r="F51" i="13"/>
  <c r="E51" i="13"/>
  <c r="D51" i="13"/>
  <c r="C51" i="13"/>
  <c r="BG51" i="13" s="1"/>
  <c r="B51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B11" i="13"/>
  <c r="C11" i="13"/>
  <c r="D11" i="13"/>
  <c r="E11" i="13"/>
  <c r="F11" i="13"/>
  <c r="G11" i="13"/>
  <c r="BK11" i="13" s="1"/>
  <c r="H11" i="13"/>
  <c r="BL11" i="13" s="1"/>
  <c r="I11" i="13"/>
  <c r="J11" i="13"/>
  <c r="K11" i="13"/>
  <c r="L11" i="13"/>
  <c r="M11" i="13"/>
  <c r="B12" i="13"/>
  <c r="C12" i="13"/>
  <c r="D12" i="13"/>
  <c r="E12" i="13"/>
  <c r="F12" i="13"/>
  <c r="G12" i="13"/>
  <c r="H12" i="13"/>
  <c r="I12" i="13"/>
  <c r="J12" i="13"/>
  <c r="K12" i="13"/>
  <c r="L12" i="13"/>
  <c r="M12" i="13"/>
  <c r="B13" i="13"/>
  <c r="C13" i="13"/>
  <c r="D13" i="13"/>
  <c r="E13" i="13"/>
  <c r="BI13" i="13" s="1"/>
  <c r="F13" i="13"/>
  <c r="G13" i="13"/>
  <c r="H13" i="13"/>
  <c r="BL13" i="13" s="1"/>
  <c r="I13" i="13"/>
  <c r="J13" i="13"/>
  <c r="K13" i="13"/>
  <c r="L13" i="13"/>
  <c r="M13" i="13"/>
  <c r="BQ13" i="13" s="1"/>
  <c r="B14" i="13"/>
  <c r="C14" i="13"/>
  <c r="D14" i="13"/>
  <c r="E14" i="13"/>
  <c r="F14" i="13"/>
  <c r="G14" i="13"/>
  <c r="H14" i="13"/>
  <c r="I14" i="13"/>
  <c r="J14" i="13"/>
  <c r="K14" i="13"/>
  <c r="BO14" i="13" s="1"/>
  <c r="L14" i="13"/>
  <c r="BP14" i="13" s="1"/>
  <c r="M14" i="13"/>
  <c r="B15" i="13"/>
  <c r="C15" i="13"/>
  <c r="D15" i="13"/>
  <c r="E15" i="13"/>
  <c r="BI15" i="13" s="1"/>
  <c r="F15" i="13"/>
  <c r="G15" i="13"/>
  <c r="H15" i="13"/>
  <c r="I15" i="13"/>
  <c r="J15" i="13"/>
  <c r="K15" i="13"/>
  <c r="L15" i="13"/>
  <c r="M15" i="13"/>
  <c r="BQ15" i="13" s="1"/>
  <c r="B16" i="13"/>
  <c r="C16" i="13"/>
  <c r="D16" i="13"/>
  <c r="BH16" i="13" s="1"/>
  <c r="E16" i="13"/>
  <c r="F16" i="13"/>
  <c r="G16" i="13"/>
  <c r="H16" i="13"/>
  <c r="I16" i="13"/>
  <c r="BM16" i="13" s="1"/>
  <c r="J16" i="13"/>
  <c r="K16" i="13"/>
  <c r="L16" i="13"/>
  <c r="BP16" i="13" s="1"/>
  <c r="M16" i="13"/>
  <c r="B17" i="13"/>
  <c r="C17" i="13"/>
  <c r="D17" i="13"/>
  <c r="E17" i="13"/>
  <c r="F17" i="13"/>
  <c r="G17" i="13"/>
  <c r="H17" i="13"/>
  <c r="I17" i="13"/>
  <c r="J17" i="13"/>
  <c r="K17" i="13"/>
  <c r="L17" i="13"/>
  <c r="M17" i="13"/>
  <c r="BQ17" i="13" s="1"/>
  <c r="B18" i="13"/>
  <c r="C18" i="13"/>
  <c r="D18" i="13"/>
  <c r="E18" i="13"/>
  <c r="F18" i="13"/>
  <c r="G18" i="13"/>
  <c r="H18" i="13"/>
  <c r="I18" i="13"/>
  <c r="BM18" i="13" s="1"/>
  <c r="J18" i="13"/>
  <c r="K18" i="13"/>
  <c r="BO18" i="13" s="1"/>
  <c r="L18" i="13"/>
  <c r="BP18" i="13" s="1"/>
  <c r="M18" i="13"/>
  <c r="B19" i="13"/>
  <c r="C19" i="13"/>
  <c r="D19" i="13"/>
  <c r="E19" i="13"/>
  <c r="F19" i="13"/>
  <c r="G19" i="13"/>
  <c r="H19" i="13"/>
  <c r="BL19" i="13" s="1"/>
  <c r="I19" i="13"/>
  <c r="J19" i="13"/>
  <c r="K19" i="13"/>
  <c r="L19" i="13"/>
  <c r="M19" i="13"/>
  <c r="BQ19" i="13" s="1"/>
  <c r="B20" i="13"/>
  <c r="C20" i="13"/>
  <c r="BG20" i="13" s="1"/>
  <c r="D20" i="13"/>
  <c r="BH20" i="13" s="1"/>
  <c r="E20" i="13"/>
  <c r="F20" i="13"/>
  <c r="G20" i="13"/>
  <c r="H20" i="13"/>
  <c r="I20" i="13"/>
  <c r="J20" i="13"/>
  <c r="K20" i="13"/>
  <c r="L20" i="13"/>
  <c r="BP20" i="13" s="1"/>
  <c r="M20" i="13"/>
  <c r="B21" i="13"/>
  <c r="C21" i="13"/>
  <c r="D21" i="13"/>
  <c r="E21" i="13"/>
  <c r="F21" i="13"/>
  <c r="G21" i="13"/>
  <c r="H21" i="13"/>
  <c r="I21" i="13"/>
  <c r="J21" i="13"/>
  <c r="K21" i="13"/>
  <c r="L21" i="13"/>
  <c r="M21" i="13"/>
  <c r="B22" i="13"/>
  <c r="C22" i="13"/>
  <c r="D22" i="13"/>
  <c r="E22" i="13"/>
  <c r="F22" i="13"/>
  <c r="G22" i="13"/>
  <c r="H22" i="13"/>
  <c r="I22" i="13"/>
  <c r="J22" i="13"/>
  <c r="K22" i="13"/>
  <c r="L22" i="13"/>
  <c r="BP22" i="13" s="1"/>
  <c r="M22" i="13"/>
  <c r="BQ22" i="13" s="1"/>
  <c r="B23" i="13"/>
  <c r="C23" i="13"/>
  <c r="D23" i="13"/>
  <c r="E23" i="13"/>
  <c r="F23" i="13"/>
  <c r="G23" i="13"/>
  <c r="H23" i="13"/>
  <c r="BL23" i="13" s="1"/>
  <c r="I23" i="13"/>
  <c r="BM23" i="13" s="1"/>
  <c r="J23" i="13"/>
  <c r="K23" i="13"/>
  <c r="L23" i="13"/>
  <c r="M23" i="13"/>
  <c r="B24" i="13"/>
  <c r="C24" i="13"/>
  <c r="D24" i="13"/>
  <c r="BH24" i="13" s="1"/>
  <c r="E24" i="13"/>
  <c r="BI24" i="13" s="1"/>
  <c r="F24" i="13"/>
  <c r="G24" i="13"/>
  <c r="H24" i="13"/>
  <c r="I24" i="13"/>
  <c r="J24" i="13"/>
  <c r="K24" i="13"/>
  <c r="L24" i="13"/>
  <c r="M24" i="13"/>
  <c r="BQ24" i="13" s="1"/>
  <c r="B25" i="13"/>
  <c r="C25" i="13"/>
  <c r="D25" i="13"/>
  <c r="E25" i="13"/>
  <c r="F25" i="13"/>
  <c r="G25" i="13"/>
  <c r="H25" i="13"/>
  <c r="BL25" i="13" s="1"/>
  <c r="I25" i="13"/>
  <c r="J25" i="13"/>
  <c r="K25" i="13"/>
  <c r="L25" i="13"/>
  <c r="M25" i="13"/>
  <c r="B26" i="13"/>
  <c r="C26" i="13"/>
  <c r="D26" i="13"/>
  <c r="E26" i="13"/>
  <c r="F26" i="13"/>
  <c r="G26" i="13"/>
  <c r="H26" i="13"/>
  <c r="I26" i="13"/>
  <c r="J26" i="13"/>
  <c r="K26" i="13"/>
  <c r="L26" i="13"/>
  <c r="M26" i="13"/>
  <c r="BQ26" i="13" s="1"/>
  <c r="B27" i="13"/>
  <c r="C27" i="13"/>
  <c r="D27" i="13"/>
  <c r="E27" i="13"/>
  <c r="F27" i="13"/>
  <c r="G27" i="13"/>
  <c r="H27" i="13"/>
  <c r="BL27" i="13" s="1"/>
  <c r="I27" i="13"/>
  <c r="BM27" i="13" s="1"/>
  <c r="J27" i="13"/>
  <c r="K27" i="13"/>
  <c r="L27" i="13"/>
  <c r="M27" i="13"/>
  <c r="B28" i="13"/>
  <c r="C28" i="13"/>
  <c r="D28" i="13"/>
  <c r="BH28" i="13" s="1"/>
  <c r="E28" i="13"/>
  <c r="BI28" i="13" s="1"/>
  <c r="F28" i="13"/>
  <c r="G28" i="13"/>
  <c r="H28" i="13"/>
  <c r="I28" i="13"/>
  <c r="J28" i="13"/>
  <c r="K28" i="13"/>
  <c r="L28" i="13"/>
  <c r="M28" i="13"/>
  <c r="BQ28" i="13" s="1"/>
  <c r="B29" i="13"/>
  <c r="C29" i="13"/>
  <c r="D29" i="13"/>
  <c r="E29" i="13"/>
  <c r="F29" i="13"/>
  <c r="G29" i="13"/>
  <c r="H29" i="13"/>
  <c r="BL29" i="13" s="1"/>
  <c r="I29" i="13"/>
  <c r="J29" i="13"/>
  <c r="K29" i="13"/>
  <c r="L29" i="13"/>
  <c r="M29" i="13"/>
  <c r="B30" i="13"/>
  <c r="C30" i="13"/>
  <c r="D30" i="13"/>
  <c r="E30" i="13"/>
  <c r="F30" i="13"/>
  <c r="G30" i="13"/>
  <c r="H30" i="13"/>
  <c r="I30" i="13"/>
  <c r="J30" i="13"/>
  <c r="K30" i="13"/>
  <c r="L30" i="13"/>
  <c r="M30" i="13"/>
  <c r="BQ30" i="13" s="1"/>
  <c r="B31" i="13"/>
  <c r="C31" i="13"/>
  <c r="D31" i="13"/>
  <c r="E31" i="13"/>
  <c r="F31" i="13"/>
  <c r="G31" i="13"/>
  <c r="H31" i="13"/>
  <c r="BL31" i="13" s="1"/>
  <c r="I31" i="13"/>
  <c r="BM31" i="13" s="1"/>
  <c r="J31" i="13"/>
  <c r="K31" i="13"/>
  <c r="L31" i="13"/>
  <c r="M31" i="13"/>
  <c r="B32" i="13"/>
  <c r="C32" i="13"/>
  <c r="D32" i="13"/>
  <c r="BH32" i="13" s="1"/>
  <c r="E32" i="13"/>
  <c r="BI32" i="13" s="1"/>
  <c r="F32" i="13"/>
  <c r="G32" i="13"/>
  <c r="H32" i="13"/>
  <c r="I32" i="13"/>
  <c r="J32" i="13"/>
  <c r="K32" i="13"/>
  <c r="L32" i="13"/>
  <c r="M32" i="13"/>
  <c r="BQ32" i="13" s="1"/>
  <c r="B33" i="13"/>
  <c r="C33" i="13"/>
  <c r="D33" i="13"/>
  <c r="E33" i="13"/>
  <c r="F33" i="13"/>
  <c r="G33" i="13"/>
  <c r="H33" i="13"/>
  <c r="I33" i="13"/>
  <c r="BM33" i="13" s="1"/>
  <c r="J33" i="13"/>
  <c r="K33" i="13"/>
  <c r="L33" i="13"/>
  <c r="M33" i="13"/>
  <c r="B34" i="13"/>
  <c r="C34" i="13"/>
  <c r="D34" i="13"/>
  <c r="BH34" i="13" s="1"/>
  <c r="E34" i="13"/>
  <c r="BI34" i="13" s="1"/>
  <c r="F34" i="13"/>
  <c r="G34" i="13"/>
  <c r="H34" i="13"/>
  <c r="I34" i="13"/>
  <c r="J34" i="13"/>
  <c r="K34" i="13"/>
  <c r="L34" i="13"/>
  <c r="M34" i="13"/>
  <c r="BQ34" i="13" s="1"/>
  <c r="B35" i="13"/>
  <c r="C35" i="13"/>
  <c r="D35" i="13"/>
  <c r="E35" i="13"/>
  <c r="F35" i="13"/>
  <c r="G35" i="13"/>
  <c r="H35" i="13"/>
  <c r="BL35" i="13" s="1"/>
  <c r="I35" i="13"/>
  <c r="J35" i="13"/>
  <c r="K35" i="13"/>
  <c r="L35" i="13"/>
  <c r="M35" i="13"/>
  <c r="B36" i="13"/>
  <c r="C36" i="13"/>
  <c r="D36" i="13"/>
  <c r="E36" i="13"/>
  <c r="BI36" i="13" s="1"/>
  <c r="F36" i="13"/>
  <c r="G36" i="13"/>
  <c r="H36" i="13"/>
  <c r="I36" i="13"/>
  <c r="J36" i="13"/>
  <c r="K36" i="13"/>
  <c r="L36" i="13"/>
  <c r="BP36" i="13" s="1"/>
  <c r="M36" i="13"/>
  <c r="BQ36" i="13" s="1"/>
  <c r="B37" i="13"/>
  <c r="C37" i="13"/>
  <c r="D37" i="13"/>
  <c r="E37" i="13"/>
  <c r="F37" i="13"/>
  <c r="G37" i="13"/>
  <c r="H37" i="13"/>
  <c r="I37" i="13"/>
  <c r="BM37" i="13" s="1"/>
  <c r="J37" i="13"/>
  <c r="K37" i="13"/>
  <c r="L37" i="13"/>
  <c r="M37" i="13"/>
  <c r="B38" i="13"/>
  <c r="C38" i="13"/>
  <c r="D38" i="13"/>
  <c r="E38" i="13"/>
  <c r="F38" i="13"/>
  <c r="G38" i="13"/>
  <c r="H38" i="13"/>
  <c r="I38" i="13"/>
  <c r="J38" i="13"/>
  <c r="K38" i="13"/>
  <c r="L38" i="13"/>
  <c r="M38" i="13"/>
  <c r="BQ38" i="13" s="1"/>
  <c r="B39" i="13"/>
  <c r="C39" i="13"/>
  <c r="D39" i="13"/>
  <c r="E39" i="13"/>
  <c r="F39" i="13"/>
  <c r="G39" i="13"/>
  <c r="H39" i="13"/>
  <c r="I39" i="13"/>
  <c r="BM39" i="13" s="1"/>
  <c r="J39" i="13"/>
  <c r="K39" i="13"/>
  <c r="L39" i="13"/>
  <c r="M39" i="13"/>
  <c r="B40" i="13"/>
  <c r="C40" i="13"/>
  <c r="D40" i="13"/>
  <c r="BH40" i="13" s="1"/>
  <c r="E40" i="13"/>
  <c r="BI40" i="13" s="1"/>
  <c r="F40" i="13"/>
  <c r="G40" i="13"/>
  <c r="H40" i="13"/>
  <c r="I40" i="13"/>
  <c r="J40" i="13"/>
  <c r="K40" i="13"/>
  <c r="L40" i="13"/>
  <c r="BP40" i="13" s="1"/>
  <c r="M40" i="13"/>
  <c r="BQ40" i="13" s="1"/>
  <c r="C10" i="13"/>
  <c r="D10" i="13"/>
  <c r="E10" i="13"/>
  <c r="F10" i="13"/>
  <c r="G10" i="13"/>
  <c r="H10" i="13"/>
  <c r="I10" i="13"/>
  <c r="J10" i="13"/>
  <c r="K10" i="13"/>
  <c r="L10" i="13"/>
  <c r="M10" i="13"/>
  <c r="B10" i="13"/>
  <c r="AN365" i="13"/>
  <c r="AE365" i="13"/>
  <c r="M365" i="13"/>
  <c r="L365" i="13"/>
  <c r="BC364" i="13"/>
  <c r="BB364" i="13"/>
  <c r="BA364" i="13"/>
  <c r="AZ364" i="13"/>
  <c r="AY364" i="13"/>
  <c r="AX364" i="13"/>
  <c r="AW364" i="13"/>
  <c r="AV364" i="13"/>
  <c r="AO364" i="13"/>
  <c r="AN364" i="13"/>
  <c r="AM364" i="13"/>
  <c r="AL364" i="13"/>
  <c r="AK364" i="13"/>
  <c r="AJ364" i="13"/>
  <c r="AG364" i="13"/>
  <c r="AF364" i="13"/>
  <c r="AE364" i="13"/>
  <c r="AA364" i="13"/>
  <c r="Z364" i="13"/>
  <c r="Y364" i="13"/>
  <c r="X364" i="13"/>
  <c r="W364" i="13"/>
  <c r="V364" i="13"/>
  <c r="M364" i="13"/>
  <c r="L364" i="13"/>
  <c r="K364" i="13"/>
  <c r="J364" i="13"/>
  <c r="I364" i="13"/>
  <c r="H364" i="13"/>
  <c r="BC363" i="13"/>
  <c r="BB363" i="13"/>
  <c r="BA363" i="13"/>
  <c r="AZ363" i="13"/>
  <c r="AY363" i="13"/>
  <c r="AX363" i="13"/>
  <c r="AW363" i="13"/>
  <c r="AV363" i="13"/>
  <c r="AO363" i="13"/>
  <c r="AN363" i="13"/>
  <c r="AM363" i="13"/>
  <c r="AL363" i="13"/>
  <c r="AK363" i="13"/>
  <c r="AJ363" i="13"/>
  <c r="AG363" i="13"/>
  <c r="AF363" i="13"/>
  <c r="AE363" i="13"/>
  <c r="AA363" i="13"/>
  <c r="Z363" i="13"/>
  <c r="Y363" i="13"/>
  <c r="X363" i="13"/>
  <c r="W363" i="13"/>
  <c r="V363" i="13"/>
  <c r="M363" i="13"/>
  <c r="L363" i="13"/>
  <c r="K363" i="13"/>
  <c r="J363" i="13"/>
  <c r="I363" i="13"/>
  <c r="H363" i="13"/>
  <c r="BC362" i="13"/>
  <c r="BB362" i="13"/>
  <c r="BA362" i="13"/>
  <c r="AZ362" i="13"/>
  <c r="AY362" i="13"/>
  <c r="AX362" i="13"/>
  <c r="AW362" i="13"/>
  <c r="AV362" i="13"/>
  <c r="AO362" i="13"/>
  <c r="AO365" i="13" s="1"/>
  <c r="AN362" i="13"/>
  <c r="AM362" i="13"/>
  <c r="AL362" i="13"/>
  <c r="AK362" i="13"/>
  <c r="AJ362" i="13"/>
  <c r="AG362" i="13"/>
  <c r="AG365" i="13" s="1"/>
  <c r="AF362" i="13"/>
  <c r="AF365" i="13" s="1"/>
  <c r="AE362" i="13"/>
  <c r="AA362" i="13"/>
  <c r="Z362" i="13"/>
  <c r="Y362" i="13"/>
  <c r="X362" i="13"/>
  <c r="W362" i="13"/>
  <c r="V362" i="13"/>
  <c r="M362" i="13"/>
  <c r="L362" i="13"/>
  <c r="K362" i="13"/>
  <c r="J362" i="13"/>
  <c r="I362" i="13"/>
  <c r="H362" i="13"/>
  <c r="BC361" i="13"/>
  <c r="BC365" i="13" s="1"/>
  <c r="BB361" i="13"/>
  <c r="BB365" i="13" s="1"/>
  <c r="BA361" i="13"/>
  <c r="BA365" i="13" s="1"/>
  <c r="AZ361" i="13"/>
  <c r="AZ365" i="13" s="1"/>
  <c r="AY361" i="13"/>
  <c r="AY365" i="13" s="1"/>
  <c r="AX361" i="13"/>
  <c r="AW361" i="13"/>
  <c r="AW365" i="13" s="1"/>
  <c r="AV361" i="13"/>
  <c r="AV365" i="13" s="1"/>
  <c r="AO361" i="13"/>
  <c r="AN361" i="13"/>
  <c r="AM361" i="13"/>
  <c r="AM365" i="13" s="1"/>
  <c r="AL361" i="13"/>
  <c r="AL365" i="13" s="1"/>
  <c r="AK361" i="13"/>
  <c r="AK365" i="13" s="1"/>
  <c r="AJ361" i="13"/>
  <c r="AJ365" i="13" s="1"/>
  <c r="AG361" i="13"/>
  <c r="AF361" i="13"/>
  <c r="AE361" i="13"/>
  <c r="AA361" i="13"/>
  <c r="AA365" i="13" s="1"/>
  <c r="Z361" i="13"/>
  <c r="Z365" i="13" s="1"/>
  <c r="Y361" i="13"/>
  <c r="Y365" i="13" s="1"/>
  <c r="X361" i="13"/>
  <c r="X365" i="13" s="1"/>
  <c r="W361" i="13"/>
  <c r="W365" i="13" s="1"/>
  <c r="V361" i="13"/>
  <c r="M361" i="13"/>
  <c r="L361" i="13"/>
  <c r="K361" i="13"/>
  <c r="K365" i="13" s="1"/>
  <c r="J361" i="13"/>
  <c r="J365" i="13" s="1"/>
  <c r="I361" i="13"/>
  <c r="I365" i="13" s="1"/>
  <c r="H361" i="13"/>
  <c r="H365" i="13" s="1"/>
  <c r="AW360" i="13"/>
  <c r="AV360" i="13"/>
  <c r="AU360" i="13"/>
  <c r="AT360" i="13"/>
  <c r="AS360" i="13"/>
  <c r="AR360" i="13"/>
  <c r="AI360" i="13"/>
  <c r="U360" i="13" s="1"/>
  <c r="AH360" i="13"/>
  <c r="AG360" i="13"/>
  <c r="AF360" i="13"/>
  <c r="AE360" i="13"/>
  <c r="AD360" i="13"/>
  <c r="T360" i="13"/>
  <c r="S360" i="13"/>
  <c r="R360" i="13"/>
  <c r="G360" i="13"/>
  <c r="F360" i="13"/>
  <c r="E360" i="13"/>
  <c r="D360" i="13"/>
  <c r="C360" i="13"/>
  <c r="Q360" i="13" s="1"/>
  <c r="B360" i="13"/>
  <c r="P360" i="13" s="1"/>
  <c r="AW359" i="13"/>
  <c r="AV359" i="13"/>
  <c r="AU359" i="13"/>
  <c r="AT359" i="13"/>
  <c r="AS359" i="13"/>
  <c r="AR359" i="13"/>
  <c r="AI359" i="13"/>
  <c r="U359" i="13" s="1"/>
  <c r="AH359" i="13"/>
  <c r="AG359" i="13"/>
  <c r="AF359" i="13"/>
  <c r="AE359" i="13"/>
  <c r="AD359" i="13"/>
  <c r="R359" i="13"/>
  <c r="G359" i="13"/>
  <c r="F359" i="13"/>
  <c r="T359" i="13" s="1"/>
  <c r="E359" i="13"/>
  <c r="S359" i="13" s="1"/>
  <c r="D359" i="13"/>
  <c r="C359" i="13"/>
  <c r="Q359" i="13" s="1"/>
  <c r="B359" i="13"/>
  <c r="AW358" i="13"/>
  <c r="AV358" i="13"/>
  <c r="AU358" i="13"/>
  <c r="AT358" i="13"/>
  <c r="AS358" i="13"/>
  <c r="AR358" i="13"/>
  <c r="AI358" i="13"/>
  <c r="AH358" i="13"/>
  <c r="AG358" i="13"/>
  <c r="AF358" i="13"/>
  <c r="AE358" i="13"/>
  <c r="AD358" i="13"/>
  <c r="U358" i="13"/>
  <c r="T358" i="13"/>
  <c r="G358" i="13"/>
  <c r="F358" i="13"/>
  <c r="E358" i="13"/>
  <c r="S358" i="13" s="1"/>
  <c r="D358" i="13"/>
  <c r="C358" i="13"/>
  <c r="Q358" i="13" s="1"/>
  <c r="B358" i="13"/>
  <c r="P358" i="13" s="1"/>
  <c r="AW357" i="13"/>
  <c r="AV357" i="13"/>
  <c r="AU357" i="13"/>
  <c r="AT357" i="13"/>
  <c r="AS357" i="13"/>
  <c r="AR357" i="13"/>
  <c r="AI357" i="13"/>
  <c r="U357" i="13" s="1"/>
  <c r="AH357" i="13"/>
  <c r="T357" i="13" s="1"/>
  <c r="AG357" i="13"/>
  <c r="AF357" i="13"/>
  <c r="AE357" i="13"/>
  <c r="AD357" i="13"/>
  <c r="S357" i="13"/>
  <c r="R357" i="13"/>
  <c r="G357" i="13"/>
  <c r="F357" i="13"/>
  <c r="E357" i="13"/>
  <c r="D357" i="13"/>
  <c r="C357" i="13"/>
  <c r="Q357" i="13" s="1"/>
  <c r="B357" i="13"/>
  <c r="AW356" i="13"/>
  <c r="AV356" i="13"/>
  <c r="AU356" i="13"/>
  <c r="AT356" i="13"/>
  <c r="AS356" i="13"/>
  <c r="AR356" i="13"/>
  <c r="AI356" i="13"/>
  <c r="U356" i="13" s="1"/>
  <c r="AH356" i="13"/>
  <c r="AG356" i="13"/>
  <c r="AF356" i="13"/>
  <c r="AE356" i="13"/>
  <c r="AD356" i="13"/>
  <c r="S356" i="13"/>
  <c r="R356" i="13"/>
  <c r="G356" i="13"/>
  <c r="F356" i="13"/>
  <c r="T356" i="13" s="1"/>
  <c r="E356" i="13"/>
  <c r="D356" i="13"/>
  <c r="C356" i="13"/>
  <c r="Q356" i="13" s="1"/>
  <c r="B356" i="13"/>
  <c r="P356" i="13" s="1"/>
  <c r="AW355" i="13"/>
  <c r="AV355" i="13"/>
  <c r="AU355" i="13"/>
  <c r="AT355" i="13"/>
  <c r="AS355" i="13"/>
  <c r="AR355" i="13"/>
  <c r="AI355" i="13"/>
  <c r="U355" i="13" s="1"/>
  <c r="AH355" i="13"/>
  <c r="AG355" i="13"/>
  <c r="AF355" i="13"/>
  <c r="AE355" i="13"/>
  <c r="AD355" i="13"/>
  <c r="R355" i="13"/>
  <c r="G355" i="13"/>
  <c r="F355" i="13"/>
  <c r="T355" i="13" s="1"/>
  <c r="E355" i="13"/>
  <c r="S355" i="13" s="1"/>
  <c r="D355" i="13"/>
  <c r="C355" i="13"/>
  <c r="Q355" i="13" s="1"/>
  <c r="B355" i="13"/>
  <c r="AW354" i="13"/>
  <c r="AV354" i="13"/>
  <c r="AU354" i="13"/>
  <c r="AT354" i="13"/>
  <c r="AS354" i="13"/>
  <c r="AR354" i="13"/>
  <c r="AI354" i="13"/>
  <c r="AH354" i="13"/>
  <c r="AG354" i="13"/>
  <c r="AF354" i="13"/>
  <c r="AE354" i="13"/>
  <c r="AD354" i="13"/>
  <c r="U354" i="13"/>
  <c r="G354" i="13"/>
  <c r="F354" i="13"/>
  <c r="T354" i="13" s="1"/>
  <c r="E354" i="13"/>
  <c r="S354" i="13" s="1"/>
  <c r="D354" i="13"/>
  <c r="C354" i="13"/>
  <c r="Q354" i="13" s="1"/>
  <c r="B354" i="13"/>
  <c r="P354" i="13" s="1"/>
  <c r="AW353" i="13"/>
  <c r="AV353" i="13"/>
  <c r="AU353" i="13"/>
  <c r="AT353" i="13"/>
  <c r="AS353" i="13"/>
  <c r="AR353" i="13"/>
  <c r="AI353" i="13"/>
  <c r="U353" i="13" s="1"/>
  <c r="AH353" i="13"/>
  <c r="T353" i="13" s="1"/>
  <c r="AG353" i="13"/>
  <c r="AF353" i="13"/>
  <c r="AE353" i="13"/>
  <c r="AD353" i="13"/>
  <c r="S353" i="13"/>
  <c r="R353" i="13"/>
  <c r="G353" i="13"/>
  <c r="F353" i="13"/>
  <c r="E353" i="13"/>
  <c r="D353" i="13"/>
  <c r="C353" i="13"/>
  <c r="Q353" i="13" s="1"/>
  <c r="B353" i="13"/>
  <c r="P353" i="13" s="1"/>
  <c r="AW352" i="13"/>
  <c r="AV352" i="13"/>
  <c r="AU352" i="13"/>
  <c r="AT352" i="13"/>
  <c r="AS352" i="13"/>
  <c r="AR352" i="13"/>
  <c r="AI352" i="13"/>
  <c r="U352" i="13" s="1"/>
  <c r="AH352" i="13"/>
  <c r="AG352" i="13"/>
  <c r="AF352" i="13"/>
  <c r="AE352" i="13"/>
  <c r="AD352" i="13"/>
  <c r="S352" i="13"/>
  <c r="R352" i="13"/>
  <c r="G352" i="13"/>
  <c r="F352" i="13"/>
  <c r="T352" i="13" s="1"/>
  <c r="E352" i="13"/>
  <c r="D352" i="13"/>
  <c r="C352" i="13"/>
  <c r="Q352" i="13" s="1"/>
  <c r="B352" i="13"/>
  <c r="AW351" i="13"/>
  <c r="AV351" i="13"/>
  <c r="AU351" i="13"/>
  <c r="AT351" i="13"/>
  <c r="AS351" i="13"/>
  <c r="AR351" i="13"/>
  <c r="AI351" i="13"/>
  <c r="U351" i="13" s="1"/>
  <c r="AH351" i="13"/>
  <c r="AG351" i="13"/>
  <c r="AF351" i="13"/>
  <c r="AE351" i="13"/>
  <c r="AD351" i="13"/>
  <c r="R351" i="13"/>
  <c r="G351" i="13"/>
  <c r="F351" i="13"/>
  <c r="E351" i="13"/>
  <c r="S351" i="13" s="1"/>
  <c r="D351" i="13"/>
  <c r="C351" i="13"/>
  <c r="Q351" i="13" s="1"/>
  <c r="B351" i="13"/>
  <c r="AW350" i="13"/>
  <c r="AV350" i="13"/>
  <c r="AU350" i="13"/>
  <c r="AT350" i="13"/>
  <c r="AS350" i="13"/>
  <c r="AR350" i="13"/>
  <c r="AI350" i="13"/>
  <c r="AH350" i="13"/>
  <c r="AG350" i="13"/>
  <c r="AF350" i="13"/>
  <c r="AE350" i="13"/>
  <c r="AD350" i="13"/>
  <c r="U350" i="13"/>
  <c r="G350" i="13"/>
  <c r="F350" i="13"/>
  <c r="T350" i="13" s="1"/>
  <c r="E350" i="13"/>
  <c r="S350" i="13" s="1"/>
  <c r="D350" i="13"/>
  <c r="R350" i="13" s="1"/>
  <c r="C350" i="13"/>
  <c r="B350" i="13"/>
  <c r="AW349" i="13"/>
  <c r="AV349" i="13"/>
  <c r="AU349" i="13"/>
  <c r="AT349" i="13"/>
  <c r="AS349" i="13"/>
  <c r="AR349" i="13"/>
  <c r="AI349" i="13"/>
  <c r="AH349" i="13"/>
  <c r="AG349" i="13"/>
  <c r="AF349" i="13"/>
  <c r="AE349" i="13"/>
  <c r="AD349" i="13"/>
  <c r="U349" i="13"/>
  <c r="T349" i="13"/>
  <c r="S349" i="13"/>
  <c r="G349" i="13"/>
  <c r="F349" i="13"/>
  <c r="E349" i="13"/>
  <c r="D349" i="13"/>
  <c r="C349" i="13"/>
  <c r="B349" i="13"/>
  <c r="AW348" i="13"/>
  <c r="AV348" i="13"/>
  <c r="AU348" i="13"/>
  <c r="AT348" i="13"/>
  <c r="AS348" i="13"/>
  <c r="AR348" i="13"/>
  <c r="AI348" i="13"/>
  <c r="U348" i="13" s="1"/>
  <c r="AH348" i="13"/>
  <c r="T348" i="13" s="1"/>
  <c r="AG348" i="13"/>
  <c r="AF348" i="13"/>
  <c r="AE348" i="13"/>
  <c r="AD348" i="13"/>
  <c r="S348" i="13"/>
  <c r="R348" i="13"/>
  <c r="G348" i="13"/>
  <c r="F348" i="13"/>
  <c r="E348" i="13"/>
  <c r="D348" i="13"/>
  <c r="C348" i="13"/>
  <c r="Q348" i="13" s="1"/>
  <c r="B348" i="13"/>
  <c r="AW347" i="13"/>
  <c r="AV347" i="13"/>
  <c r="AU347" i="13"/>
  <c r="AT347" i="13"/>
  <c r="AS347" i="13"/>
  <c r="AR347" i="13"/>
  <c r="AI347" i="13"/>
  <c r="U347" i="13" s="1"/>
  <c r="AH347" i="13"/>
  <c r="AG347" i="13"/>
  <c r="AF347" i="13"/>
  <c r="AE347" i="13"/>
  <c r="AD347" i="13"/>
  <c r="G347" i="13"/>
  <c r="F347" i="13"/>
  <c r="T347" i="13" s="1"/>
  <c r="E347" i="13"/>
  <c r="S347" i="13" s="1"/>
  <c r="D347" i="13"/>
  <c r="R347" i="13" s="1"/>
  <c r="C347" i="13"/>
  <c r="Q347" i="13" s="1"/>
  <c r="B347" i="13"/>
  <c r="AW346" i="13"/>
  <c r="AV346" i="13"/>
  <c r="AU346" i="13"/>
  <c r="AT346" i="13"/>
  <c r="AS346" i="13"/>
  <c r="AR346" i="13"/>
  <c r="AI346" i="13"/>
  <c r="AH346" i="13"/>
  <c r="AG346" i="13"/>
  <c r="AF346" i="13"/>
  <c r="AE346" i="13"/>
  <c r="AD346" i="13"/>
  <c r="U346" i="13"/>
  <c r="G346" i="13"/>
  <c r="F346" i="13"/>
  <c r="T346" i="13" s="1"/>
  <c r="E346" i="13"/>
  <c r="S346" i="13" s="1"/>
  <c r="D346" i="13"/>
  <c r="C346" i="13"/>
  <c r="B346" i="13"/>
  <c r="B364" i="13" s="1"/>
  <c r="AW345" i="13"/>
  <c r="AV345" i="13"/>
  <c r="AU345" i="13"/>
  <c r="AU364" i="13" s="1"/>
  <c r="AT345" i="13"/>
  <c r="AS345" i="13"/>
  <c r="AR345" i="13"/>
  <c r="AR364" i="13" s="1"/>
  <c r="AI345" i="13"/>
  <c r="AH345" i="13"/>
  <c r="AG345" i="13"/>
  <c r="AF345" i="13"/>
  <c r="AE345" i="13"/>
  <c r="AD345" i="13"/>
  <c r="U345" i="13"/>
  <c r="S345" i="13"/>
  <c r="R345" i="13"/>
  <c r="G345" i="13"/>
  <c r="G364" i="13" s="1"/>
  <c r="F345" i="13"/>
  <c r="E345" i="13"/>
  <c r="D345" i="13"/>
  <c r="C345" i="13"/>
  <c r="Q345" i="13" s="1"/>
  <c r="B345" i="13"/>
  <c r="AW344" i="13"/>
  <c r="AV344" i="13"/>
  <c r="AU344" i="13"/>
  <c r="AT344" i="13"/>
  <c r="AS344" i="13"/>
  <c r="AR344" i="13"/>
  <c r="AI344" i="13"/>
  <c r="U344" i="13" s="1"/>
  <c r="AH344" i="13"/>
  <c r="AG344" i="13"/>
  <c r="AF344" i="13"/>
  <c r="AE344" i="13"/>
  <c r="AD344" i="13"/>
  <c r="T344" i="13"/>
  <c r="S344" i="13"/>
  <c r="R344" i="13"/>
  <c r="G344" i="13"/>
  <c r="F344" i="13"/>
  <c r="E344" i="13"/>
  <c r="D344" i="13"/>
  <c r="C344" i="13"/>
  <c r="Q344" i="13" s="1"/>
  <c r="B344" i="13"/>
  <c r="P344" i="13" s="1"/>
  <c r="AW343" i="13"/>
  <c r="AV343" i="13"/>
  <c r="AU343" i="13"/>
  <c r="AT343" i="13"/>
  <c r="AS343" i="13"/>
  <c r="AR343" i="13"/>
  <c r="AI343" i="13"/>
  <c r="U343" i="13" s="1"/>
  <c r="AH343" i="13"/>
  <c r="AG343" i="13"/>
  <c r="AF343" i="13"/>
  <c r="AE343" i="13"/>
  <c r="AD343" i="13"/>
  <c r="R343" i="13"/>
  <c r="G343" i="13"/>
  <c r="F343" i="13"/>
  <c r="T343" i="13" s="1"/>
  <c r="E343" i="13"/>
  <c r="S343" i="13" s="1"/>
  <c r="D343" i="13"/>
  <c r="C343" i="13"/>
  <c r="Q343" i="13" s="1"/>
  <c r="B343" i="13"/>
  <c r="AW342" i="13"/>
  <c r="AV342" i="13"/>
  <c r="AU342" i="13"/>
  <c r="AT342" i="13"/>
  <c r="AS342" i="13"/>
  <c r="AR342" i="13"/>
  <c r="AI342" i="13"/>
  <c r="AH342" i="13"/>
  <c r="AG342" i="13"/>
  <c r="AF342" i="13"/>
  <c r="AE342" i="13"/>
  <c r="AD342" i="13"/>
  <c r="U342" i="13"/>
  <c r="T342" i="13"/>
  <c r="G342" i="13"/>
  <c r="F342" i="13"/>
  <c r="E342" i="13"/>
  <c r="S342" i="13" s="1"/>
  <c r="D342" i="13"/>
  <c r="C342" i="13"/>
  <c r="Q342" i="13" s="1"/>
  <c r="B342" i="13"/>
  <c r="P342" i="13" s="1"/>
  <c r="AW341" i="13"/>
  <c r="AV341" i="13"/>
  <c r="AU341" i="13"/>
  <c r="AT341" i="13"/>
  <c r="AS341" i="13"/>
  <c r="AR341" i="13"/>
  <c r="AI341" i="13"/>
  <c r="U341" i="13" s="1"/>
  <c r="AH341" i="13"/>
  <c r="AG341" i="13"/>
  <c r="AF341" i="13"/>
  <c r="AE341" i="13"/>
  <c r="AD341" i="13"/>
  <c r="T341" i="13"/>
  <c r="S341" i="13"/>
  <c r="R341" i="13"/>
  <c r="G341" i="13"/>
  <c r="F341" i="13"/>
  <c r="E341" i="13"/>
  <c r="D341" i="13"/>
  <c r="C341" i="13"/>
  <c r="Q341" i="13" s="1"/>
  <c r="B341" i="13"/>
  <c r="P341" i="13" s="1"/>
  <c r="AW340" i="13"/>
  <c r="AV340" i="13"/>
  <c r="AU340" i="13"/>
  <c r="AT340" i="13"/>
  <c r="AS340" i="13"/>
  <c r="AR340" i="13"/>
  <c r="AI340" i="13"/>
  <c r="U340" i="13" s="1"/>
  <c r="AH340" i="13"/>
  <c r="AG340" i="13"/>
  <c r="AF340" i="13"/>
  <c r="AE340" i="13"/>
  <c r="AD340" i="13"/>
  <c r="S340" i="13"/>
  <c r="R340" i="13"/>
  <c r="G340" i="13"/>
  <c r="F340" i="13"/>
  <c r="T340" i="13" s="1"/>
  <c r="E340" i="13"/>
  <c r="D340" i="13"/>
  <c r="C340" i="13"/>
  <c r="Q340" i="13" s="1"/>
  <c r="B340" i="13"/>
  <c r="P340" i="13" s="1"/>
  <c r="AW339" i="13"/>
  <c r="AV339" i="13"/>
  <c r="AU339" i="13"/>
  <c r="AT339" i="13"/>
  <c r="R339" i="13" s="1"/>
  <c r="AS339" i="13"/>
  <c r="AR339" i="13"/>
  <c r="AI339" i="13"/>
  <c r="U339" i="13" s="1"/>
  <c r="AH339" i="13"/>
  <c r="AG339" i="13"/>
  <c r="AF339" i="13"/>
  <c r="AE339" i="13"/>
  <c r="AD339" i="13"/>
  <c r="G339" i="13"/>
  <c r="F339" i="13"/>
  <c r="T339" i="13" s="1"/>
  <c r="E339" i="13"/>
  <c r="S339" i="13" s="1"/>
  <c r="D339" i="13"/>
  <c r="C339" i="13"/>
  <c r="Q339" i="13" s="1"/>
  <c r="B339" i="13"/>
  <c r="AW338" i="13"/>
  <c r="AV338" i="13"/>
  <c r="AU338" i="13"/>
  <c r="AT338" i="13"/>
  <c r="AS338" i="13"/>
  <c r="AR338" i="13"/>
  <c r="AI338" i="13"/>
  <c r="AH338" i="13"/>
  <c r="AG338" i="13"/>
  <c r="AF338" i="13"/>
  <c r="AE338" i="13"/>
  <c r="AD338" i="13"/>
  <c r="U338" i="13"/>
  <c r="G338" i="13"/>
  <c r="F338" i="13"/>
  <c r="T338" i="13" s="1"/>
  <c r="E338" i="13"/>
  <c r="S338" i="13" s="1"/>
  <c r="D338" i="13"/>
  <c r="R338" i="13" s="1"/>
  <c r="C338" i="13"/>
  <c r="Q338" i="13" s="1"/>
  <c r="B338" i="13"/>
  <c r="AW337" i="13"/>
  <c r="AV337" i="13"/>
  <c r="AU337" i="13"/>
  <c r="AT337" i="13"/>
  <c r="AS337" i="13"/>
  <c r="AR337" i="13"/>
  <c r="AI337" i="13"/>
  <c r="U337" i="13" s="1"/>
  <c r="AH337" i="13"/>
  <c r="AG337" i="13"/>
  <c r="AF337" i="13"/>
  <c r="AE337" i="13"/>
  <c r="AD337" i="13"/>
  <c r="T337" i="13"/>
  <c r="S337" i="13"/>
  <c r="R337" i="13"/>
  <c r="G337" i="13"/>
  <c r="F337" i="13"/>
  <c r="E337" i="13"/>
  <c r="D337" i="13"/>
  <c r="C337" i="13"/>
  <c r="Q337" i="13" s="1"/>
  <c r="B337" i="13"/>
  <c r="P337" i="13" s="1"/>
  <c r="AW336" i="13"/>
  <c r="AV336" i="13"/>
  <c r="AU336" i="13"/>
  <c r="AT336" i="13"/>
  <c r="AS336" i="13"/>
  <c r="AR336" i="13"/>
  <c r="AI336" i="13"/>
  <c r="U336" i="13" s="1"/>
  <c r="AH336" i="13"/>
  <c r="AG336" i="13"/>
  <c r="AF336" i="13"/>
  <c r="AE336" i="13"/>
  <c r="AD336" i="13"/>
  <c r="S336" i="13"/>
  <c r="R336" i="13"/>
  <c r="G336" i="13"/>
  <c r="F336" i="13"/>
  <c r="T336" i="13" s="1"/>
  <c r="E336" i="13"/>
  <c r="D336" i="13"/>
  <c r="C336" i="13"/>
  <c r="Q336" i="13" s="1"/>
  <c r="B336" i="13"/>
  <c r="AW335" i="13"/>
  <c r="AV335" i="13"/>
  <c r="AU335" i="13"/>
  <c r="AT335" i="13"/>
  <c r="R335" i="13" s="1"/>
  <c r="AS335" i="13"/>
  <c r="AR335" i="13"/>
  <c r="AI335" i="13"/>
  <c r="U335" i="13" s="1"/>
  <c r="AH335" i="13"/>
  <c r="AG335" i="13"/>
  <c r="AF335" i="13"/>
  <c r="AE335" i="13"/>
  <c r="AD335" i="13"/>
  <c r="G335" i="13"/>
  <c r="F335" i="13"/>
  <c r="E335" i="13"/>
  <c r="S335" i="13" s="1"/>
  <c r="D335" i="13"/>
  <c r="C335" i="13"/>
  <c r="Q335" i="13" s="1"/>
  <c r="B335" i="13"/>
  <c r="AW334" i="13"/>
  <c r="AV334" i="13"/>
  <c r="AU334" i="13"/>
  <c r="AT334" i="13"/>
  <c r="AS334" i="13"/>
  <c r="AR334" i="13"/>
  <c r="AI334" i="13"/>
  <c r="AH334" i="13"/>
  <c r="AG334" i="13"/>
  <c r="AF334" i="13"/>
  <c r="AE334" i="13"/>
  <c r="AD334" i="13"/>
  <c r="U334" i="13"/>
  <c r="G334" i="13"/>
  <c r="F334" i="13"/>
  <c r="T334" i="13" s="1"/>
  <c r="E334" i="13"/>
  <c r="S334" i="13" s="1"/>
  <c r="D334" i="13"/>
  <c r="C334" i="13"/>
  <c r="Q334" i="13" s="1"/>
  <c r="B334" i="13"/>
  <c r="AW333" i="13"/>
  <c r="AV333" i="13"/>
  <c r="AU333" i="13"/>
  <c r="AT333" i="13"/>
  <c r="AS333" i="13"/>
  <c r="AR333" i="13"/>
  <c r="AI333" i="13"/>
  <c r="AH333" i="13"/>
  <c r="AG333" i="13"/>
  <c r="AF333" i="13"/>
  <c r="AE333" i="13"/>
  <c r="AD333" i="13"/>
  <c r="U333" i="13"/>
  <c r="T333" i="13"/>
  <c r="S333" i="13"/>
  <c r="G333" i="13"/>
  <c r="F333" i="13"/>
  <c r="E333" i="13"/>
  <c r="D333" i="13"/>
  <c r="C333" i="13"/>
  <c r="B333" i="13"/>
  <c r="AW332" i="13"/>
  <c r="AV332" i="13"/>
  <c r="AU332" i="13"/>
  <c r="AT332" i="13"/>
  <c r="AS332" i="13"/>
  <c r="AR332" i="13"/>
  <c r="AI332" i="13"/>
  <c r="AH332" i="13"/>
  <c r="AG332" i="13"/>
  <c r="AF332" i="13"/>
  <c r="AE332" i="13"/>
  <c r="AD332" i="13"/>
  <c r="S332" i="13"/>
  <c r="R332" i="13"/>
  <c r="G332" i="13"/>
  <c r="F332" i="13"/>
  <c r="E332" i="13"/>
  <c r="D332" i="13"/>
  <c r="C332" i="13"/>
  <c r="Q332" i="13" s="1"/>
  <c r="B332" i="13"/>
  <c r="AW331" i="13"/>
  <c r="AV331" i="13"/>
  <c r="AU331" i="13"/>
  <c r="AT331" i="13"/>
  <c r="AS331" i="13"/>
  <c r="AR331" i="13"/>
  <c r="AI331" i="13"/>
  <c r="U331" i="13" s="1"/>
  <c r="AH331" i="13"/>
  <c r="AG331" i="13"/>
  <c r="AF331" i="13"/>
  <c r="AE331" i="13"/>
  <c r="AD331" i="13"/>
  <c r="G331" i="13"/>
  <c r="F331" i="13"/>
  <c r="T331" i="13" s="1"/>
  <c r="E331" i="13"/>
  <c r="S331" i="13" s="1"/>
  <c r="D331" i="13"/>
  <c r="R331" i="13" s="1"/>
  <c r="C331" i="13"/>
  <c r="Q331" i="13" s="1"/>
  <c r="B331" i="13"/>
  <c r="AW330" i="13"/>
  <c r="AV330" i="13"/>
  <c r="AU330" i="13"/>
  <c r="AU363" i="13" s="1"/>
  <c r="AT330" i="13"/>
  <c r="AS330" i="13"/>
  <c r="AR330" i="13"/>
  <c r="AI330" i="13"/>
  <c r="AH330" i="13"/>
  <c r="AG330" i="13"/>
  <c r="AF330" i="13"/>
  <c r="AE330" i="13"/>
  <c r="AD330" i="13"/>
  <c r="U330" i="13"/>
  <c r="G330" i="13"/>
  <c r="G363" i="13" s="1"/>
  <c r="F330" i="13"/>
  <c r="E330" i="13"/>
  <c r="D330" i="13"/>
  <c r="C330" i="13"/>
  <c r="B330" i="13"/>
  <c r="AR324" i="13"/>
  <c r="AO324" i="13"/>
  <c r="AN323" i="13"/>
  <c r="AH322" i="13"/>
  <c r="AF322" i="13"/>
  <c r="J322" i="13"/>
  <c r="BC320" i="13"/>
  <c r="BB320" i="13"/>
  <c r="BA320" i="13"/>
  <c r="AZ320" i="13"/>
  <c r="AY320" i="13"/>
  <c r="AX320" i="13"/>
  <c r="V320" i="13" s="1"/>
  <c r="AW320" i="13"/>
  <c r="U320" i="13" s="1"/>
  <c r="AV320" i="13"/>
  <c r="AU320" i="13"/>
  <c r="AT320" i="13"/>
  <c r="AS320" i="13"/>
  <c r="AR320" i="13"/>
  <c r="AO320" i="13"/>
  <c r="AN320" i="13"/>
  <c r="AM320" i="13"/>
  <c r="AL320" i="13"/>
  <c r="AK320" i="13"/>
  <c r="AJ320" i="13"/>
  <c r="AI320" i="13"/>
  <c r="AH320" i="13"/>
  <c r="AG320" i="13"/>
  <c r="AF320" i="13"/>
  <c r="AE320" i="13"/>
  <c r="AD320" i="13"/>
  <c r="X320" i="13"/>
  <c r="W320" i="13"/>
  <c r="T320" i="13"/>
  <c r="P320" i="13"/>
  <c r="M320" i="13"/>
  <c r="AA320" i="13" s="1"/>
  <c r="L320" i="13"/>
  <c r="Z320" i="13" s="1"/>
  <c r="K320" i="13"/>
  <c r="Y320" i="13" s="1"/>
  <c r="J320" i="13"/>
  <c r="I320" i="13"/>
  <c r="H320" i="13"/>
  <c r="G320" i="13"/>
  <c r="F320" i="13"/>
  <c r="E320" i="13"/>
  <c r="S320" i="13" s="1"/>
  <c r="D320" i="13"/>
  <c r="R320" i="13" s="1"/>
  <c r="C320" i="13"/>
  <c r="Q320" i="13" s="1"/>
  <c r="B320" i="13"/>
  <c r="BC319" i="13"/>
  <c r="BB319" i="13"/>
  <c r="BA319" i="13"/>
  <c r="AZ319" i="13"/>
  <c r="AY319" i="13"/>
  <c r="W319" i="13" s="1"/>
  <c r="AX319" i="13"/>
  <c r="V319" i="13" s="1"/>
  <c r="AW319" i="13"/>
  <c r="AV319" i="13"/>
  <c r="AU319" i="13"/>
  <c r="AT319" i="13"/>
  <c r="AS319" i="13"/>
  <c r="AR319" i="13"/>
  <c r="AO319" i="13"/>
  <c r="AN319" i="13"/>
  <c r="AM319" i="13"/>
  <c r="AL319" i="13"/>
  <c r="AK319" i="13"/>
  <c r="AJ319" i="13"/>
  <c r="AI319" i="13"/>
  <c r="AH319" i="13"/>
  <c r="AG319" i="13"/>
  <c r="AF319" i="13"/>
  <c r="AE319" i="13"/>
  <c r="AD319" i="13"/>
  <c r="U319" i="13"/>
  <c r="P319" i="13"/>
  <c r="M319" i="13"/>
  <c r="AA319" i="13" s="1"/>
  <c r="L319" i="13"/>
  <c r="K319" i="13"/>
  <c r="J319" i="13"/>
  <c r="I319" i="13"/>
  <c r="H319" i="13"/>
  <c r="G319" i="13"/>
  <c r="F319" i="13"/>
  <c r="T319" i="13" s="1"/>
  <c r="E319" i="13"/>
  <c r="S319" i="13" s="1"/>
  <c r="D319" i="13"/>
  <c r="C319" i="13"/>
  <c r="B319" i="13"/>
  <c r="BC318" i="13"/>
  <c r="BB318" i="13"/>
  <c r="BA318" i="13"/>
  <c r="AZ318" i="13"/>
  <c r="AY318" i="13"/>
  <c r="AX318" i="13"/>
  <c r="AW318" i="13"/>
  <c r="AV318" i="13"/>
  <c r="AU318" i="13"/>
  <c r="AT318" i="13"/>
  <c r="AS318" i="13"/>
  <c r="AR318" i="13"/>
  <c r="AO318" i="13"/>
  <c r="AN318" i="13"/>
  <c r="AM318" i="13"/>
  <c r="AL318" i="13"/>
  <c r="AK318" i="13"/>
  <c r="AJ318" i="13"/>
  <c r="AI318" i="13"/>
  <c r="AH318" i="13"/>
  <c r="AG318" i="13"/>
  <c r="AF318" i="13"/>
  <c r="AE318" i="13"/>
  <c r="AD318" i="13"/>
  <c r="W318" i="13"/>
  <c r="V318" i="13"/>
  <c r="U318" i="13"/>
  <c r="T318" i="13"/>
  <c r="M318" i="13"/>
  <c r="L318" i="13"/>
  <c r="K318" i="13"/>
  <c r="Y318" i="13" s="1"/>
  <c r="J318" i="13"/>
  <c r="X318" i="13" s="1"/>
  <c r="I318" i="13"/>
  <c r="H318" i="13"/>
  <c r="G318" i="13"/>
  <c r="F318" i="13"/>
  <c r="E318" i="13"/>
  <c r="D318" i="13"/>
  <c r="C318" i="13"/>
  <c r="Q318" i="13" s="1"/>
  <c r="B318" i="13"/>
  <c r="P318" i="13" s="1"/>
  <c r="BC317" i="13"/>
  <c r="BB317" i="13"/>
  <c r="BA317" i="13"/>
  <c r="AZ317" i="13"/>
  <c r="AY317" i="13"/>
  <c r="AX317" i="13"/>
  <c r="AW317" i="13"/>
  <c r="AV317" i="13"/>
  <c r="AU317" i="13"/>
  <c r="AT317" i="13"/>
  <c r="AS317" i="13"/>
  <c r="AR317" i="13"/>
  <c r="AO317" i="13"/>
  <c r="AN317" i="13"/>
  <c r="AM317" i="13"/>
  <c r="AL317" i="13"/>
  <c r="AK317" i="13"/>
  <c r="AJ317" i="13"/>
  <c r="AI317" i="13"/>
  <c r="AH317" i="13"/>
  <c r="AG317" i="13"/>
  <c r="AF317" i="13"/>
  <c r="AE317" i="13"/>
  <c r="AD317" i="13"/>
  <c r="X317" i="13"/>
  <c r="W317" i="13"/>
  <c r="V317" i="13"/>
  <c r="U317" i="13"/>
  <c r="M317" i="13"/>
  <c r="AA317" i="13" s="1"/>
  <c r="L317" i="13"/>
  <c r="Z317" i="13" s="1"/>
  <c r="K317" i="13"/>
  <c r="Y317" i="13" s="1"/>
  <c r="J317" i="13"/>
  <c r="I317" i="13"/>
  <c r="H317" i="13"/>
  <c r="G317" i="13"/>
  <c r="F317" i="13"/>
  <c r="E317" i="13"/>
  <c r="S317" i="13" s="1"/>
  <c r="D317" i="13"/>
  <c r="R317" i="13" s="1"/>
  <c r="C317" i="13"/>
  <c r="Q317" i="13" s="1"/>
  <c r="B317" i="13"/>
  <c r="P317" i="13" s="1"/>
  <c r="BC316" i="13"/>
  <c r="BB316" i="13"/>
  <c r="BA316" i="13"/>
  <c r="AZ316" i="13"/>
  <c r="AY316" i="13"/>
  <c r="AX316" i="13"/>
  <c r="V316" i="13" s="1"/>
  <c r="AW316" i="13"/>
  <c r="U316" i="13" s="1"/>
  <c r="AV316" i="13"/>
  <c r="T316" i="13" s="1"/>
  <c r="AU316" i="13"/>
  <c r="AT316" i="13"/>
  <c r="AS316" i="13"/>
  <c r="AR316" i="13"/>
  <c r="AO316" i="13"/>
  <c r="AN316" i="13"/>
  <c r="AM316" i="13"/>
  <c r="AL316" i="13"/>
  <c r="AK316" i="13"/>
  <c r="AJ316" i="13"/>
  <c r="AI316" i="13"/>
  <c r="AH316" i="13"/>
  <c r="AG316" i="13"/>
  <c r="AF316" i="13"/>
  <c r="AE316" i="13"/>
  <c r="AD316" i="13"/>
  <c r="W316" i="13"/>
  <c r="M316" i="13"/>
  <c r="AA316" i="13" s="1"/>
  <c r="L316" i="13"/>
  <c r="Z316" i="13" s="1"/>
  <c r="K316" i="13"/>
  <c r="Y316" i="13" s="1"/>
  <c r="J316" i="13"/>
  <c r="X316" i="13" s="1"/>
  <c r="I316" i="13"/>
  <c r="H316" i="13"/>
  <c r="G316" i="13"/>
  <c r="F316" i="13"/>
  <c r="E316" i="13"/>
  <c r="S316" i="13" s="1"/>
  <c r="D316" i="13"/>
  <c r="R316" i="13" s="1"/>
  <c r="C316" i="13"/>
  <c r="Q316" i="13" s="1"/>
  <c r="B316" i="13"/>
  <c r="P316" i="13" s="1"/>
  <c r="BC315" i="13"/>
  <c r="BB315" i="13"/>
  <c r="BA315" i="13"/>
  <c r="AZ315" i="13"/>
  <c r="AY315" i="13"/>
  <c r="AX315" i="13"/>
  <c r="AW315" i="13"/>
  <c r="AV315" i="13"/>
  <c r="AU315" i="13"/>
  <c r="AT315" i="13"/>
  <c r="AS315" i="13"/>
  <c r="AR315" i="13"/>
  <c r="AO315" i="13"/>
  <c r="AN315" i="13"/>
  <c r="AM315" i="13"/>
  <c r="AL315" i="13"/>
  <c r="AK315" i="13"/>
  <c r="AJ315" i="13"/>
  <c r="AI315" i="13"/>
  <c r="AH315" i="13"/>
  <c r="AG315" i="13"/>
  <c r="AF315" i="13"/>
  <c r="AE315" i="13"/>
  <c r="AD315" i="13"/>
  <c r="Y315" i="13"/>
  <c r="W315" i="13"/>
  <c r="V315" i="13"/>
  <c r="M315" i="13"/>
  <c r="AA315" i="13" s="1"/>
  <c r="L315" i="13"/>
  <c r="Z315" i="13" s="1"/>
  <c r="K315" i="13"/>
  <c r="J315" i="13"/>
  <c r="I315" i="13"/>
  <c r="H315" i="13"/>
  <c r="G315" i="13"/>
  <c r="F315" i="13"/>
  <c r="E315" i="13"/>
  <c r="S315" i="13" s="1"/>
  <c r="D315" i="13"/>
  <c r="R315" i="13" s="1"/>
  <c r="C315" i="13"/>
  <c r="Q315" i="13" s="1"/>
  <c r="B315" i="13"/>
  <c r="BC314" i="13"/>
  <c r="BB314" i="13"/>
  <c r="BA314" i="13"/>
  <c r="AZ314" i="13"/>
  <c r="AY314" i="13"/>
  <c r="W314" i="13" s="1"/>
  <c r="AX314" i="13"/>
  <c r="AW314" i="13"/>
  <c r="U314" i="13" s="1"/>
  <c r="AV314" i="13"/>
  <c r="AU314" i="13"/>
  <c r="AT314" i="13"/>
  <c r="AS314" i="13"/>
  <c r="AR314" i="13"/>
  <c r="AO314" i="13"/>
  <c r="AN314" i="13"/>
  <c r="AM314" i="13"/>
  <c r="AL314" i="13"/>
  <c r="AK314" i="13"/>
  <c r="AJ314" i="13"/>
  <c r="AI314" i="13"/>
  <c r="AH314" i="13"/>
  <c r="AG314" i="13"/>
  <c r="AF314" i="13"/>
  <c r="AE314" i="13"/>
  <c r="Q314" i="13" s="1"/>
  <c r="AD314" i="13"/>
  <c r="V314" i="13"/>
  <c r="M314" i="13"/>
  <c r="L314" i="13"/>
  <c r="K314" i="13"/>
  <c r="J314" i="13"/>
  <c r="I314" i="13"/>
  <c r="H314" i="13"/>
  <c r="G314" i="13"/>
  <c r="F314" i="13"/>
  <c r="E314" i="13"/>
  <c r="D314" i="13"/>
  <c r="C314" i="13"/>
  <c r="B314" i="13"/>
  <c r="BC313" i="13"/>
  <c r="BB313" i="13"/>
  <c r="BA313" i="13"/>
  <c r="AZ313" i="13"/>
  <c r="AY313" i="13"/>
  <c r="AX313" i="13"/>
  <c r="AW313" i="13"/>
  <c r="AV313" i="13"/>
  <c r="AU313" i="13"/>
  <c r="AT313" i="13"/>
  <c r="AS313" i="13"/>
  <c r="AR313" i="13"/>
  <c r="AO313" i="13"/>
  <c r="AN313" i="13"/>
  <c r="AM313" i="13"/>
  <c r="AL313" i="13"/>
  <c r="AK313" i="13"/>
  <c r="AJ313" i="13"/>
  <c r="AI313" i="13"/>
  <c r="AH313" i="13"/>
  <c r="AG313" i="13"/>
  <c r="AF313" i="13"/>
  <c r="AE313" i="13"/>
  <c r="AD313" i="13"/>
  <c r="Y313" i="13"/>
  <c r="W313" i="13"/>
  <c r="V313" i="13"/>
  <c r="M313" i="13"/>
  <c r="AA313" i="13" s="1"/>
  <c r="L313" i="13"/>
  <c r="Z313" i="13" s="1"/>
  <c r="K313" i="13"/>
  <c r="J313" i="13"/>
  <c r="I313" i="13"/>
  <c r="H313" i="13"/>
  <c r="G313" i="13"/>
  <c r="U313" i="13" s="1"/>
  <c r="F313" i="13"/>
  <c r="E313" i="13"/>
  <c r="S313" i="13" s="1"/>
  <c r="D313" i="13"/>
  <c r="R313" i="13" s="1"/>
  <c r="C313" i="13"/>
  <c r="Q313" i="13" s="1"/>
  <c r="B313" i="13"/>
  <c r="BC312" i="13"/>
  <c r="BB312" i="13"/>
  <c r="BA312" i="13"/>
  <c r="AZ312" i="13"/>
  <c r="AY312" i="13"/>
  <c r="W312" i="13" s="1"/>
  <c r="AX312" i="13"/>
  <c r="V312" i="13" s="1"/>
  <c r="AW312" i="13"/>
  <c r="AV312" i="13"/>
  <c r="AU312" i="13"/>
  <c r="AT312" i="13"/>
  <c r="AS312" i="13"/>
  <c r="AR312" i="13"/>
  <c r="AO312" i="13"/>
  <c r="AN312" i="13"/>
  <c r="AM312" i="13"/>
  <c r="AL312" i="13"/>
  <c r="AK312" i="13"/>
  <c r="AJ312" i="13"/>
  <c r="AI312" i="13"/>
  <c r="AH312" i="13"/>
  <c r="AG312" i="13"/>
  <c r="AF312" i="13"/>
  <c r="AE312" i="13"/>
  <c r="Q312" i="13" s="1"/>
  <c r="AD312" i="13"/>
  <c r="P312" i="13"/>
  <c r="M312" i="13"/>
  <c r="L312" i="13"/>
  <c r="K312" i="13"/>
  <c r="Y312" i="13" s="1"/>
  <c r="J312" i="13"/>
  <c r="I312" i="13"/>
  <c r="H312" i="13"/>
  <c r="G312" i="13"/>
  <c r="U312" i="13" s="1"/>
  <c r="F312" i="13"/>
  <c r="T312" i="13" s="1"/>
  <c r="E312" i="13"/>
  <c r="D312" i="13"/>
  <c r="C312" i="13"/>
  <c r="B312" i="13"/>
  <c r="BC311" i="13"/>
  <c r="BB311" i="13"/>
  <c r="BA311" i="13"/>
  <c r="AZ311" i="13"/>
  <c r="X311" i="13" s="1"/>
  <c r="AY311" i="13"/>
  <c r="AX311" i="13"/>
  <c r="AW311" i="13"/>
  <c r="AV311" i="13"/>
  <c r="AU311" i="13"/>
  <c r="AT311" i="13"/>
  <c r="AS311" i="13"/>
  <c r="AR311" i="13"/>
  <c r="P311" i="13" s="1"/>
  <c r="AO311" i="13"/>
  <c r="AN311" i="13"/>
  <c r="AM311" i="13"/>
  <c r="AL311" i="13"/>
  <c r="AK311" i="13"/>
  <c r="AJ311" i="13"/>
  <c r="AI311" i="13"/>
  <c r="AH311" i="13"/>
  <c r="AG311" i="13"/>
  <c r="AF311" i="13"/>
  <c r="AE311" i="13"/>
  <c r="AD311" i="13"/>
  <c r="W311" i="13"/>
  <c r="V311" i="13"/>
  <c r="M311" i="13"/>
  <c r="AA311" i="13" s="1"/>
  <c r="L311" i="13"/>
  <c r="Z311" i="13" s="1"/>
  <c r="K311" i="13"/>
  <c r="Y311" i="13" s="1"/>
  <c r="J311" i="13"/>
  <c r="I311" i="13"/>
  <c r="H311" i="13"/>
  <c r="G311" i="13"/>
  <c r="U311" i="13" s="1"/>
  <c r="F311" i="13"/>
  <c r="E311" i="13"/>
  <c r="S311" i="13" s="1"/>
  <c r="D311" i="13"/>
  <c r="R311" i="13" s="1"/>
  <c r="C311" i="13"/>
  <c r="B311" i="13"/>
  <c r="BC310" i="13"/>
  <c r="BB310" i="13"/>
  <c r="BA310" i="13"/>
  <c r="AZ310" i="13"/>
  <c r="AY310" i="13"/>
  <c r="W310" i="13" s="1"/>
  <c r="AX310" i="13"/>
  <c r="V310" i="13" s="1"/>
  <c r="AW310" i="13"/>
  <c r="AV310" i="13"/>
  <c r="AU310" i="13"/>
  <c r="AT310" i="13"/>
  <c r="AS310" i="13"/>
  <c r="AR310" i="13"/>
  <c r="P310" i="13" s="1"/>
  <c r="AO310" i="13"/>
  <c r="AN310" i="13"/>
  <c r="AM310" i="13"/>
  <c r="AL310" i="13"/>
  <c r="AK310" i="13"/>
  <c r="AJ310" i="13"/>
  <c r="AI310" i="13"/>
  <c r="AH310" i="13"/>
  <c r="AG310" i="13"/>
  <c r="AF310" i="13"/>
  <c r="AE310" i="13"/>
  <c r="AD310" i="13"/>
  <c r="T310" i="13"/>
  <c r="Q310" i="13"/>
  <c r="M310" i="13"/>
  <c r="L310" i="13"/>
  <c r="K310" i="13"/>
  <c r="J310" i="13"/>
  <c r="I310" i="13"/>
  <c r="H310" i="13"/>
  <c r="G310" i="13"/>
  <c r="U310" i="13" s="1"/>
  <c r="F310" i="13"/>
  <c r="E310" i="13"/>
  <c r="D310" i="13"/>
  <c r="C310" i="13"/>
  <c r="B310" i="13"/>
  <c r="BC309" i="13"/>
  <c r="BB309" i="13"/>
  <c r="BA309" i="13"/>
  <c r="Y309" i="13" s="1"/>
  <c r="AZ309" i="13"/>
  <c r="AY309" i="13"/>
  <c r="AX309" i="13"/>
  <c r="AW309" i="13"/>
  <c r="AV309" i="13"/>
  <c r="AU309" i="13"/>
  <c r="AT309" i="13"/>
  <c r="AS309" i="13"/>
  <c r="AR309" i="13"/>
  <c r="AO309" i="13"/>
  <c r="AN309" i="13"/>
  <c r="AM309" i="13"/>
  <c r="AL309" i="13"/>
  <c r="AK309" i="13"/>
  <c r="AJ309" i="13"/>
  <c r="AI309" i="13"/>
  <c r="AH309" i="13"/>
  <c r="AG309" i="13"/>
  <c r="AF309" i="13"/>
  <c r="AE309" i="13"/>
  <c r="AD309" i="13"/>
  <c r="X309" i="13"/>
  <c r="W309" i="13"/>
  <c r="W324" i="13" s="1"/>
  <c r="V309" i="13"/>
  <c r="P309" i="13"/>
  <c r="M309" i="13"/>
  <c r="AA309" i="13" s="1"/>
  <c r="L309" i="13"/>
  <c r="Z309" i="13" s="1"/>
  <c r="K309" i="13"/>
  <c r="J309" i="13"/>
  <c r="I309" i="13"/>
  <c r="H309" i="13"/>
  <c r="G309" i="13"/>
  <c r="U309" i="13" s="1"/>
  <c r="F309" i="13"/>
  <c r="T309" i="13" s="1"/>
  <c r="E309" i="13"/>
  <c r="S309" i="13" s="1"/>
  <c r="D309" i="13"/>
  <c r="R309" i="13" s="1"/>
  <c r="C309" i="13"/>
  <c r="B309" i="13"/>
  <c r="BC308" i="13"/>
  <c r="BB308" i="13"/>
  <c r="BA308" i="13"/>
  <c r="AZ308" i="13"/>
  <c r="AY308" i="13"/>
  <c r="W308" i="13" s="1"/>
  <c r="AX308" i="13"/>
  <c r="AW308" i="13"/>
  <c r="AV308" i="13"/>
  <c r="AU308" i="13"/>
  <c r="AT308" i="13"/>
  <c r="AS308" i="13"/>
  <c r="AR308" i="13"/>
  <c r="AO308" i="13"/>
  <c r="AN308" i="13"/>
  <c r="AM308" i="13"/>
  <c r="AL308" i="13"/>
  <c r="AK308" i="13"/>
  <c r="AJ308" i="13"/>
  <c r="AI308" i="13"/>
  <c r="AH308" i="13"/>
  <c r="AG308" i="13"/>
  <c r="AF308" i="13"/>
  <c r="AE308" i="13"/>
  <c r="AD308" i="13"/>
  <c r="V308" i="13"/>
  <c r="U308" i="13"/>
  <c r="T308" i="13"/>
  <c r="Q308" i="13"/>
  <c r="M308" i="13"/>
  <c r="L308" i="13"/>
  <c r="K308" i="13"/>
  <c r="Y308" i="13" s="1"/>
  <c r="J308" i="13"/>
  <c r="X308" i="13" s="1"/>
  <c r="I308" i="13"/>
  <c r="H308" i="13"/>
  <c r="G308" i="13"/>
  <c r="F308" i="13"/>
  <c r="E308" i="13"/>
  <c r="D308" i="13"/>
  <c r="C308" i="13"/>
  <c r="B308" i="13"/>
  <c r="P308" i="13" s="1"/>
  <c r="BC307" i="13"/>
  <c r="BB307" i="13"/>
  <c r="BA307" i="13"/>
  <c r="AZ307" i="13"/>
  <c r="AY307" i="13"/>
  <c r="AX307" i="13"/>
  <c r="AW307" i="13"/>
  <c r="AV307" i="13"/>
  <c r="AU307" i="13"/>
  <c r="AT307" i="13"/>
  <c r="AS307" i="13"/>
  <c r="AR307" i="13"/>
  <c r="AO307" i="13"/>
  <c r="AN307" i="13"/>
  <c r="AM307" i="13"/>
  <c r="AL307" i="13"/>
  <c r="AK307" i="13"/>
  <c r="AJ307" i="13"/>
  <c r="AI307" i="13"/>
  <c r="AH307" i="13"/>
  <c r="AG307" i="13"/>
  <c r="AF307" i="13"/>
  <c r="AE307" i="13"/>
  <c r="AD307" i="13"/>
  <c r="Y307" i="13"/>
  <c r="X307" i="13"/>
  <c r="W307" i="13"/>
  <c r="V307" i="13"/>
  <c r="M307" i="13"/>
  <c r="AA307" i="13" s="1"/>
  <c r="L307" i="13"/>
  <c r="Z307" i="13" s="1"/>
  <c r="K307" i="13"/>
  <c r="J307" i="13"/>
  <c r="I307" i="13"/>
  <c r="H307" i="13"/>
  <c r="G307" i="13"/>
  <c r="F307" i="13"/>
  <c r="E307" i="13"/>
  <c r="S307" i="13" s="1"/>
  <c r="D307" i="13"/>
  <c r="R307" i="13" s="1"/>
  <c r="C307" i="13"/>
  <c r="Q307" i="13" s="1"/>
  <c r="B307" i="13"/>
  <c r="P307" i="13" s="1"/>
  <c r="BC306" i="13"/>
  <c r="BB306" i="13"/>
  <c r="BA306" i="13"/>
  <c r="AZ306" i="13"/>
  <c r="AY306" i="13"/>
  <c r="W306" i="13" s="1"/>
  <c r="AX306" i="13"/>
  <c r="AW306" i="13"/>
  <c r="AV306" i="13"/>
  <c r="AU306" i="13"/>
  <c r="AT306" i="13"/>
  <c r="AS306" i="13"/>
  <c r="AR306" i="13"/>
  <c r="AO306" i="13"/>
  <c r="AN306" i="13"/>
  <c r="AM306" i="13"/>
  <c r="AL306" i="13"/>
  <c r="AK306" i="13"/>
  <c r="AJ306" i="13"/>
  <c r="AI306" i="13"/>
  <c r="AH306" i="13"/>
  <c r="AG306" i="13"/>
  <c r="AF306" i="13"/>
  <c r="AE306" i="13"/>
  <c r="Q306" i="13" s="1"/>
  <c r="AD306" i="13"/>
  <c r="V306" i="13"/>
  <c r="V324" i="13" s="1"/>
  <c r="U306" i="13"/>
  <c r="M306" i="13"/>
  <c r="L306" i="13"/>
  <c r="K306" i="13"/>
  <c r="J306" i="13"/>
  <c r="I306" i="13"/>
  <c r="H306" i="13"/>
  <c r="G306" i="13"/>
  <c r="F306" i="13"/>
  <c r="T306" i="13" s="1"/>
  <c r="E306" i="13"/>
  <c r="D306" i="13"/>
  <c r="C306" i="13"/>
  <c r="B306" i="13"/>
  <c r="BC305" i="13"/>
  <c r="BC324" i="13" s="1"/>
  <c r="BB305" i="13"/>
  <c r="BB324" i="13" s="1"/>
  <c r="BA305" i="13"/>
  <c r="AZ305" i="13"/>
  <c r="AY305" i="13"/>
  <c r="AX305" i="13"/>
  <c r="AW305" i="13"/>
  <c r="AV305" i="13"/>
  <c r="AU305" i="13"/>
  <c r="AU324" i="13" s="1"/>
  <c r="AT305" i="13"/>
  <c r="AT324" i="13" s="1"/>
  <c r="AS305" i="13"/>
  <c r="AR305" i="13"/>
  <c r="AO305" i="13"/>
  <c r="AN305" i="13"/>
  <c r="AM305" i="13"/>
  <c r="AL305" i="13"/>
  <c r="AK305" i="13"/>
  <c r="AK324" i="13" s="1"/>
  <c r="AJ305" i="13"/>
  <c r="AJ324" i="13" s="1"/>
  <c r="AI305" i="13"/>
  <c r="AH305" i="13"/>
  <c r="AG305" i="13"/>
  <c r="AF305" i="13"/>
  <c r="AE305" i="13"/>
  <c r="AD305" i="13"/>
  <c r="Y305" i="13"/>
  <c r="W305" i="13"/>
  <c r="V305" i="13"/>
  <c r="M305" i="13"/>
  <c r="L305" i="13"/>
  <c r="K305" i="13"/>
  <c r="J305" i="13"/>
  <c r="I305" i="13"/>
  <c r="I324" i="13" s="1"/>
  <c r="H305" i="13"/>
  <c r="H324" i="13" s="1"/>
  <c r="G305" i="13"/>
  <c r="F305" i="13"/>
  <c r="E305" i="13"/>
  <c r="D305" i="13"/>
  <c r="C305" i="13"/>
  <c r="B305" i="13"/>
  <c r="BC304" i="13"/>
  <c r="BB304" i="13"/>
  <c r="BA304" i="13"/>
  <c r="AZ304" i="13"/>
  <c r="AY304" i="13"/>
  <c r="W304" i="13" s="1"/>
  <c r="AX304" i="13"/>
  <c r="V304" i="13" s="1"/>
  <c r="AW304" i="13"/>
  <c r="AV304" i="13"/>
  <c r="AU304" i="13"/>
  <c r="AT304" i="13"/>
  <c r="AS304" i="13"/>
  <c r="AR304" i="13"/>
  <c r="AO304" i="13"/>
  <c r="AN304" i="13"/>
  <c r="AM304" i="13"/>
  <c r="AL304" i="13"/>
  <c r="AK304" i="13"/>
  <c r="AJ304" i="13"/>
  <c r="AI304" i="13"/>
  <c r="AH304" i="13"/>
  <c r="AG304" i="13"/>
  <c r="AF304" i="13"/>
  <c r="AE304" i="13"/>
  <c r="Q304" i="13" s="1"/>
  <c r="AD304" i="13"/>
  <c r="P304" i="13"/>
  <c r="M304" i="13"/>
  <c r="L304" i="13"/>
  <c r="K304" i="13"/>
  <c r="Y304" i="13" s="1"/>
  <c r="J304" i="13"/>
  <c r="I304" i="13"/>
  <c r="H304" i="13"/>
  <c r="G304" i="13"/>
  <c r="U304" i="13" s="1"/>
  <c r="F304" i="13"/>
  <c r="T304" i="13" s="1"/>
  <c r="E304" i="13"/>
  <c r="D304" i="13"/>
  <c r="C304" i="13"/>
  <c r="B304" i="13"/>
  <c r="BC303" i="13"/>
  <c r="BB303" i="13"/>
  <c r="BA303" i="13"/>
  <c r="AZ303" i="13"/>
  <c r="X303" i="13" s="1"/>
  <c r="AY303" i="13"/>
  <c r="AX303" i="13"/>
  <c r="AW303" i="13"/>
  <c r="AV303" i="13"/>
  <c r="AU303" i="13"/>
  <c r="AT303" i="13"/>
  <c r="AS303" i="13"/>
  <c r="AR303" i="13"/>
  <c r="P303" i="13" s="1"/>
  <c r="AO303" i="13"/>
  <c r="AN303" i="13"/>
  <c r="AM303" i="13"/>
  <c r="AL303" i="13"/>
  <c r="AK303" i="13"/>
  <c r="AJ303" i="13"/>
  <c r="AI303" i="13"/>
  <c r="AH303" i="13"/>
  <c r="AG303" i="13"/>
  <c r="AF303" i="13"/>
  <c r="AE303" i="13"/>
  <c r="AD303" i="13"/>
  <c r="W303" i="13"/>
  <c r="V303" i="13"/>
  <c r="M303" i="13"/>
  <c r="AA303" i="13" s="1"/>
  <c r="L303" i="13"/>
  <c r="Z303" i="13" s="1"/>
  <c r="K303" i="13"/>
  <c r="Y303" i="13" s="1"/>
  <c r="J303" i="13"/>
  <c r="I303" i="13"/>
  <c r="H303" i="13"/>
  <c r="G303" i="13"/>
  <c r="U303" i="13" s="1"/>
  <c r="F303" i="13"/>
  <c r="E303" i="13"/>
  <c r="S303" i="13" s="1"/>
  <c r="D303" i="13"/>
  <c r="R303" i="13" s="1"/>
  <c r="C303" i="13"/>
  <c r="B303" i="13"/>
  <c r="BC302" i="13"/>
  <c r="BB302" i="13"/>
  <c r="BA302" i="13"/>
  <c r="AZ302" i="13"/>
  <c r="AY302" i="13"/>
  <c r="W302" i="13" s="1"/>
  <c r="AX302" i="13"/>
  <c r="V302" i="13" s="1"/>
  <c r="AW302" i="13"/>
  <c r="AV302" i="13"/>
  <c r="AU302" i="13"/>
  <c r="AT302" i="13"/>
  <c r="AS302" i="13"/>
  <c r="AR302" i="13"/>
  <c r="P302" i="13" s="1"/>
  <c r="AO302" i="13"/>
  <c r="AN302" i="13"/>
  <c r="AM302" i="13"/>
  <c r="AL302" i="13"/>
  <c r="AK302" i="13"/>
  <c r="AJ302" i="13"/>
  <c r="AI302" i="13"/>
  <c r="AH302" i="13"/>
  <c r="AG302" i="13"/>
  <c r="AF302" i="13"/>
  <c r="AE302" i="13"/>
  <c r="AD302" i="13"/>
  <c r="T302" i="13"/>
  <c r="Q302" i="13"/>
  <c r="M302" i="13"/>
  <c r="L302" i="13"/>
  <c r="K302" i="13"/>
  <c r="J302" i="13"/>
  <c r="I302" i="13"/>
  <c r="H302" i="13"/>
  <c r="G302" i="13"/>
  <c r="U302" i="13" s="1"/>
  <c r="F302" i="13"/>
  <c r="E302" i="13"/>
  <c r="D302" i="13"/>
  <c r="C302" i="13"/>
  <c r="B302" i="13"/>
  <c r="BC301" i="13"/>
  <c r="BB301" i="13"/>
  <c r="BA301" i="13"/>
  <c r="Y301" i="13" s="1"/>
  <c r="AZ301" i="13"/>
  <c r="AY301" i="13"/>
  <c r="AX301" i="13"/>
  <c r="AW301" i="13"/>
  <c r="AV301" i="13"/>
  <c r="AU301" i="13"/>
  <c r="AT301" i="13"/>
  <c r="AS301" i="13"/>
  <c r="AR301" i="13"/>
  <c r="AO301" i="13"/>
  <c r="AN301" i="13"/>
  <c r="AM301" i="13"/>
  <c r="AL301" i="13"/>
  <c r="AK301" i="13"/>
  <c r="AJ301" i="13"/>
  <c r="AI301" i="13"/>
  <c r="AH301" i="13"/>
  <c r="AG301" i="13"/>
  <c r="AF301" i="13"/>
  <c r="AE301" i="13"/>
  <c r="AD301" i="13"/>
  <c r="X301" i="13"/>
  <c r="W301" i="13"/>
  <c r="V301" i="13"/>
  <c r="P301" i="13"/>
  <c r="M301" i="13"/>
  <c r="AA301" i="13" s="1"/>
  <c r="L301" i="13"/>
  <c r="Z301" i="13" s="1"/>
  <c r="K301" i="13"/>
  <c r="J301" i="13"/>
  <c r="I301" i="13"/>
  <c r="H301" i="13"/>
  <c r="G301" i="13"/>
  <c r="U301" i="13" s="1"/>
  <c r="F301" i="13"/>
  <c r="T301" i="13" s="1"/>
  <c r="E301" i="13"/>
  <c r="S301" i="13" s="1"/>
  <c r="D301" i="13"/>
  <c r="R301" i="13" s="1"/>
  <c r="C301" i="13"/>
  <c r="B301" i="13"/>
  <c r="BC300" i="13"/>
  <c r="BB300" i="13"/>
  <c r="BA300" i="13"/>
  <c r="AZ300" i="13"/>
  <c r="AY300" i="13"/>
  <c r="W300" i="13" s="1"/>
  <c r="AX300" i="13"/>
  <c r="AW300" i="13"/>
  <c r="AV300" i="13"/>
  <c r="AU300" i="13"/>
  <c r="AT300" i="13"/>
  <c r="AS300" i="13"/>
  <c r="AR300" i="13"/>
  <c r="AO300" i="13"/>
  <c r="AN300" i="13"/>
  <c r="AM300" i="13"/>
  <c r="AL300" i="13"/>
  <c r="AK300" i="13"/>
  <c r="AJ300" i="13"/>
  <c r="AI300" i="13"/>
  <c r="AH300" i="13"/>
  <c r="AG300" i="13"/>
  <c r="AF300" i="13"/>
  <c r="AE300" i="13"/>
  <c r="AD300" i="13"/>
  <c r="V300" i="13"/>
  <c r="U300" i="13"/>
  <c r="T300" i="13"/>
  <c r="Q300" i="13"/>
  <c r="M300" i="13"/>
  <c r="L300" i="13"/>
  <c r="K300" i="13"/>
  <c r="Y300" i="13" s="1"/>
  <c r="J300" i="13"/>
  <c r="X300" i="13" s="1"/>
  <c r="I300" i="13"/>
  <c r="H300" i="13"/>
  <c r="G300" i="13"/>
  <c r="F300" i="13"/>
  <c r="E300" i="13"/>
  <c r="D300" i="13"/>
  <c r="C300" i="13"/>
  <c r="B300" i="13"/>
  <c r="P300" i="13" s="1"/>
  <c r="BC299" i="13"/>
  <c r="BB299" i="13"/>
  <c r="BA299" i="13"/>
  <c r="AZ299" i="13"/>
  <c r="AY299" i="13"/>
  <c r="AX299" i="13"/>
  <c r="AW299" i="13"/>
  <c r="AV299" i="13"/>
  <c r="AU299" i="13"/>
  <c r="AT299" i="13"/>
  <c r="AS299" i="13"/>
  <c r="AR299" i="13"/>
  <c r="AO299" i="13"/>
  <c r="AN299" i="13"/>
  <c r="AM299" i="13"/>
  <c r="AL299" i="13"/>
  <c r="AK299" i="13"/>
  <c r="AJ299" i="13"/>
  <c r="AI299" i="13"/>
  <c r="AH299" i="13"/>
  <c r="AG299" i="13"/>
  <c r="AF299" i="13"/>
  <c r="AE299" i="13"/>
  <c r="AD299" i="13"/>
  <c r="Y299" i="13"/>
  <c r="X299" i="13"/>
  <c r="W299" i="13"/>
  <c r="V299" i="13"/>
  <c r="M299" i="13"/>
  <c r="AA299" i="13" s="1"/>
  <c r="L299" i="13"/>
  <c r="Z299" i="13" s="1"/>
  <c r="K299" i="13"/>
  <c r="J299" i="13"/>
  <c r="I299" i="13"/>
  <c r="H299" i="13"/>
  <c r="G299" i="13"/>
  <c r="F299" i="13"/>
  <c r="E299" i="13"/>
  <c r="S299" i="13" s="1"/>
  <c r="D299" i="13"/>
  <c r="R299" i="13" s="1"/>
  <c r="C299" i="13"/>
  <c r="B299" i="13"/>
  <c r="P299" i="13" s="1"/>
  <c r="BC298" i="13"/>
  <c r="BB298" i="13"/>
  <c r="BA298" i="13"/>
  <c r="AZ298" i="13"/>
  <c r="AY298" i="13"/>
  <c r="W298" i="13" s="1"/>
  <c r="AX298" i="13"/>
  <c r="AW298" i="13"/>
  <c r="AV298" i="13"/>
  <c r="AU298" i="13"/>
  <c r="AT298" i="13"/>
  <c r="AS298" i="13"/>
  <c r="AR298" i="13"/>
  <c r="AO298" i="13"/>
  <c r="AN298" i="13"/>
  <c r="AM298" i="13"/>
  <c r="AL298" i="13"/>
  <c r="AK298" i="13"/>
  <c r="AJ298" i="13"/>
  <c r="AI298" i="13"/>
  <c r="AH298" i="13"/>
  <c r="AG298" i="13"/>
  <c r="AF298" i="13"/>
  <c r="AE298" i="13"/>
  <c r="Q298" i="13" s="1"/>
  <c r="AD298" i="13"/>
  <c r="V298" i="13"/>
  <c r="U298" i="13"/>
  <c r="M298" i="13"/>
  <c r="L298" i="13"/>
  <c r="K298" i="13"/>
  <c r="J298" i="13"/>
  <c r="I298" i="13"/>
  <c r="H298" i="13"/>
  <c r="G298" i="13"/>
  <c r="F298" i="13"/>
  <c r="T298" i="13" s="1"/>
  <c r="E298" i="13"/>
  <c r="D298" i="13"/>
  <c r="C298" i="13"/>
  <c r="B298" i="13"/>
  <c r="BC297" i="13"/>
  <c r="BB297" i="13"/>
  <c r="BA297" i="13"/>
  <c r="AZ297" i="13"/>
  <c r="AY297" i="13"/>
  <c r="AX297" i="13"/>
  <c r="AW297" i="13"/>
  <c r="AV297" i="13"/>
  <c r="AU297" i="13"/>
  <c r="AT297" i="13"/>
  <c r="AS297" i="13"/>
  <c r="AR297" i="13"/>
  <c r="AO297" i="13"/>
  <c r="AN297" i="13"/>
  <c r="AM297" i="13"/>
  <c r="AL297" i="13"/>
  <c r="AK297" i="13"/>
  <c r="AJ297" i="13"/>
  <c r="AI297" i="13"/>
  <c r="AH297" i="13"/>
  <c r="AG297" i="13"/>
  <c r="AF297" i="13"/>
  <c r="AE297" i="13"/>
  <c r="AD297" i="13"/>
  <c r="Y297" i="13"/>
  <c r="W297" i="13"/>
  <c r="V297" i="13"/>
  <c r="M297" i="13"/>
  <c r="AA297" i="13" s="1"/>
  <c r="L297" i="13"/>
  <c r="Z297" i="13" s="1"/>
  <c r="K297" i="13"/>
  <c r="J297" i="13"/>
  <c r="I297" i="13"/>
  <c r="H297" i="13"/>
  <c r="G297" i="13"/>
  <c r="U297" i="13" s="1"/>
  <c r="F297" i="13"/>
  <c r="E297" i="13"/>
  <c r="S297" i="13" s="1"/>
  <c r="D297" i="13"/>
  <c r="R297" i="13" s="1"/>
  <c r="C297" i="13"/>
  <c r="Q297" i="13" s="1"/>
  <c r="B297" i="13"/>
  <c r="BC296" i="13"/>
  <c r="BB296" i="13"/>
  <c r="BA296" i="13"/>
  <c r="AZ296" i="13"/>
  <c r="AY296" i="13"/>
  <c r="W296" i="13" s="1"/>
  <c r="AX296" i="13"/>
  <c r="V296" i="13" s="1"/>
  <c r="AW296" i="13"/>
  <c r="AV296" i="13"/>
  <c r="AU296" i="13"/>
  <c r="AT296" i="13"/>
  <c r="AS296" i="13"/>
  <c r="AR296" i="13"/>
  <c r="AO296" i="13"/>
  <c r="AN296" i="13"/>
  <c r="AM296" i="13"/>
  <c r="AL296" i="13"/>
  <c r="AK296" i="13"/>
  <c r="AJ296" i="13"/>
  <c r="AI296" i="13"/>
  <c r="AH296" i="13"/>
  <c r="AG296" i="13"/>
  <c r="AG322" i="13" s="1"/>
  <c r="AF296" i="13"/>
  <c r="AE296" i="13"/>
  <c r="Q296" i="13" s="1"/>
  <c r="AD296" i="13"/>
  <c r="P296" i="13"/>
  <c r="M296" i="13"/>
  <c r="L296" i="13"/>
  <c r="K296" i="13"/>
  <c r="Y296" i="13" s="1"/>
  <c r="J296" i="13"/>
  <c r="I296" i="13"/>
  <c r="H296" i="13"/>
  <c r="G296" i="13"/>
  <c r="U296" i="13" s="1"/>
  <c r="F296" i="13"/>
  <c r="T296" i="13" s="1"/>
  <c r="E296" i="13"/>
  <c r="D296" i="13"/>
  <c r="C296" i="13"/>
  <c r="B296" i="13"/>
  <c r="BC295" i="13"/>
  <c r="BB295" i="13"/>
  <c r="BA295" i="13"/>
  <c r="AZ295" i="13"/>
  <c r="X295" i="13" s="1"/>
  <c r="AY295" i="13"/>
  <c r="AX295" i="13"/>
  <c r="AW295" i="13"/>
  <c r="AV295" i="13"/>
  <c r="AU295" i="13"/>
  <c r="AT295" i="13"/>
  <c r="AS295" i="13"/>
  <c r="AR295" i="13"/>
  <c r="P295" i="13" s="1"/>
  <c r="AO295" i="13"/>
  <c r="AN295" i="13"/>
  <c r="AM295" i="13"/>
  <c r="AL295" i="13"/>
  <c r="AK295" i="13"/>
  <c r="AJ295" i="13"/>
  <c r="AI295" i="13"/>
  <c r="AH295" i="13"/>
  <c r="AG295" i="13"/>
  <c r="AF295" i="13"/>
  <c r="AE295" i="13"/>
  <c r="AD295" i="13"/>
  <c r="W295" i="13"/>
  <c r="V295" i="13"/>
  <c r="M295" i="13"/>
  <c r="AA295" i="13" s="1"/>
  <c r="L295" i="13"/>
  <c r="K295" i="13"/>
  <c r="Y295" i="13" s="1"/>
  <c r="J295" i="13"/>
  <c r="I295" i="13"/>
  <c r="H295" i="13"/>
  <c r="G295" i="13"/>
  <c r="U295" i="13" s="1"/>
  <c r="F295" i="13"/>
  <c r="E295" i="13"/>
  <c r="S295" i="13" s="1"/>
  <c r="D295" i="13"/>
  <c r="D321" i="13" s="1"/>
  <c r="C295" i="13"/>
  <c r="B295" i="13"/>
  <c r="BC294" i="13"/>
  <c r="BB294" i="13"/>
  <c r="BA294" i="13"/>
  <c r="AZ294" i="13"/>
  <c r="AY294" i="13"/>
  <c r="W294" i="13" s="1"/>
  <c r="AX294" i="13"/>
  <c r="AW294" i="13"/>
  <c r="AV294" i="13"/>
  <c r="AU294" i="13"/>
  <c r="AT294" i="13"/>
  <c r="AS294" i="13"/>
  <c r="AR294" i="13"/>
  <c r="P294" i="13" s="1"/>
  <c r="AO294" i="13"/>
  <c r="AN294" i="13"/>
  <c r="AM294" i="13"/>
  <c r="AL294" i="13"/>
  <c r="AK294" i="13"/>
  <c r="AJ294" i="13"/>
  <c r="AI294" i="13"/>
  <c r="AH294" i="13"/>
  <c r="AG294" i="13"/>
  <c r="AF294" i="13"/>
  <c r="AE294" i="13"/>
  <c r="AD294" i="13"/>
  <c r="T294" i="13"/>
  <c r="Q294" i="13"/>
  <c r="M294" i="13"/>
  <c r="L294" i="13"/>
  <c r="K294" i="13"/>
  <c r="J294" i="13"/>
  <c r="I294" i="13"/>
  <c r="H294" i="13"/>
  <c r="G294" i="13"/>
  <c r="U294" i="13" s="1"/>
  <c r="F294" i="13"/>
  <c r="E294" i="13"/>
  <c r="D294" i="13"/>
  <c r="C294" i="13"/>
  <c r="B294" i="13"/>
  <c r="BC293" i="13"/>
  <c r="BB293" i="13"/>
  <c r="BA293" i="13"/>
  <c r="Y293" i="13" s="1"/>
  <c r="AZ293" i="13"/>
  <c r="AY293" i="13"/>
  <c r="AX293" i="13"/>
  <c r="AW293" i="13"/>
  <c r="AV293" i="13"/>
  <c r="AU293" i="13"/>
  <c r="AT293" i="13"/>
  <c r="AS293" i="13"/>
  <c r="AR293" i="13"/>
  <c r="AO293" i="13"/>
  <c r="AN293" i="13"/>
  <c r="AM293" i="13"/>
  <c r="AL293" i="13"/>
  <c r="AK293" i="13"/>
  <c r="AJ293" i="13"/>
  <c r="AI293" i="13"/>
  <c r="AH293" i="13"/>
  <c r="AG293" i="13"/>
  <c r="AF293" i="13"/>
  <c r="AE293" i="13"/>
  <c r="AD293" i="13"/>
  <c r="X293" i="13"/>
  <c r="W293" i="13"/>
  <c r="V293" i="13"/>
  <c r="P293" i="13"/>
  <c r="M293" i="13"/>
  <c r="AA293" i="13" s="1"/>
  <c r="L293" i="13"/>
  <c r="Z293" i="13" s="1"/>
  <c r="K293" i="13"/>
  <c r="J293" i="13"/>
  <c r="I293" i="13"/>
  <c r="H293" i="13"/>
  <c r="G293" i="13"/>
  <c r="U293" i="13" s="1"/>
  <c r="F293" i="13"/>
  <c r="T293" i="13" s="1"/>
  <c r="E293" i="13"/>
  <c r="S293" i="13" s="1"/>
  <c r="D293" i="13"/>
  <c r="R293" i="13" s="1"/>
  <c r="C293" i="13"/>
  <c r="B293" i="13"/>
  <c r="BC292" i="13"/>
  <c r="BB292" i="13"/>
  <c r="BA292" i="13"/>
  <c r="AZ292" i="13"/>
  <c r="AY292" i="13"/>
  <c r="AX292" i="13"/>
  <c r="AW292" i="13"/>
  <c r="AV292" i="13"/>
  <c r="AU292" i="13"/>
  <c r="AT292" i="13"/>
  <c r="AS292" i="13"/>
  <c r="AR292" i="13"/>
  <c r="AO292" i="13"/>
  <c r="AN292" i="13"/>
  <c r="AM292" i="13"/>
  <c r="AL292" i="13"/>
  <c r="AK292" i="13"/>
  <c r="AJ292" i="13"/>
  <c r="AI292" i="13"/>
  <c r="AH292" i="13"/>
  <c r="AG292" i="13"/>
  <c r="AF292" i="13"/>
  <c r="AE292" i="13"/>
  <c r="AD292" i="13"/>
  <c r="V292" i="13"/>
  <c r="U292" i="13"/>
  <c r="T292" i="13"/>
  <c r="Q292" i="13"/>
  <c r="M292" i="13"/>
  <c r="L292" i="13"/>
  <c r="K292" i="13"/>
  <c r="Y292" i="13" s="1"/>
  <c r="J292" i="13"/>
  <c r="I292" i="13"/>
  <c r="H292" i="13"/>
  <c r="G292" i="13"/>
  <c r="F292" i="13"/>
  <c r="E292" i="13"/>
  <c r="D292" i="13"/>
  <c r="C292" i="13"/>
  <c r="B292" i="13"/>
  <c r="P292" i="13" s="1"/>
  <c r="BC291" i="13"/>
  <c r="BB291" i="13"/>
  <c r="BA291" i="13"/>
  <c r="AZ291" i="13"/>
  <c r="AY291" i="13"/>
  <c r="AX291" i="13"/>
  <c r="AW291" i="13"/>
  <c r="AV291" i="13"/>
  <c r="AU291" i="13"/>
  <c r="AT291" i="13"/>
  <c r="AS291" i="13"/>
  <c r="AR291" i="13"/>
  <c r="AO291" i="13"/>
  <c r="AN291" i="13"/>
  <c r="AM291" i="13"/>
  <c r="AL291" i="13"/>
  <c r="AK291" i="13"/>
  <c r="AJ291" i="13"/>
  <c r="AI291" i="13"/>
  <c r="AH291" i="13"/>
  <c r="AG291" i="13"/>
  <c r="AF291" i="13"/>
  <c r="AE291" i="13"/>
  <c r="AD291" i="13"/>
  <c r="X291" i="13"/>
  <c r="W291" i="13"/>
  <c r="V291" i="13"/>
  <c r="M291" i="13"/>
  <c r="AA291" i="13" s="1"/>
  <c r="L291" i="13"/>
  <c r="Z291" i="13" s="1"/>
  <c r="K291" i="13"/>
  <c r="J291" i="13"/>
  <c r="I291" i="13"/>
  <c r="H291" i="13"/>
  <c r="G291" i="13"/>
  <c r="F291" i="13"/>
  <c r="E291" i="13"/>
  <c r="S291" i="13" s="1"/>
  <c r="D291" i="13"/>
  <c r="R291" i="13" s="1"/>
  <c r="C291" i="13"/>
  <c r="Q291" i="13" s="1"/>
  <c r="B291" i="13"/>
  <c r="P291" i="13" s="1"/>
  <c r="BC290" i="13"/>
  <c r="BB290" i="13"/>
  <c r="BA290" i="13"/>
  <c r="AZ290" i="13"/>
  <c r="AY290" i="13"/>
  <c r="AX290" i="13"/>
  <c r="AW290" i="13"/>
  <c r="AV290" i="13"/>
  <c r="AU290" i="13"/>
  <c r="AT290" i="13"/>
  <c r="AS290" i="13"/>
  <c r="AR290" i="13"/>
  <c r="AO290" i="13"/>
  <c r="AN290" i="13"/>
  <c r="AM290" i="13"/>
  <c r="AL290" i="13"/>
  <c r="AL323" i="13" s="1"/>
  <c r="AK290" i="13"/>
  <c r="AJ290" i="13"/>
  <c r="AI290" i="13"/>
  <c r="AH290" i="13"/>
  <c r="AG290" i="13"/>
  <c r="AF290" i="13"/>
  <c r="AE290" i="13"/>
  <c r="AD290" i="13"/>
  <c r="V290" i="13"/>
  <c r="M290" i="13"/>
  <c r="L290" i="13"/>
  <c r="K290" i="13"/>
  <c r="J290" i="13"/>
  <c r="I290" i="13"/>
  <c r="H290" i="13"/>
  <c r="G290" i="13"/>
  <c r="F290" i="13"/>
  <c r="E290" i="13"/>
  <c r="D290" i="13"/>
  <c r="C290" i="13"/>
  <c r="B290" i="13"/>
  <c r="AF283" i="13"/>
  <c r="BC280" i="13"/>
  <c r="BB280" i="13"/>
  <c r="BA280" i="13"/>
  <c r="AZ280" i="13"/>
  <c r="AY280" i="13"/>
  <c r="W280" i="13" s="1"/>
  <c r="AX280" i="13"/>
  <c r="V280" i="13" s="1"/>
  <c r="AW280" i="13"/>
  <c r="AV280" i="13"/>
  <c r="AU280" i="13"/>
  <c r="AT280" i="13"/>
  <c r="AS280" i="13"/>
  <c r="AR280" i="13"/>
  <c r="AO280" i="13"/>
  <c r="AN280" i="13"/>
  <c r="AM280" i="13"/>
  <c r="AL280" i="13"/>
  <c r="AK280" i="13"/>
  <c r="AJ280" i="13"/>
  <c r="AI280" i="13"/>
  <c r="AH280" i="13"/>
  <c r="AG280" i="13"/>
  <c r="AF280" i="13"/>
  <c r="AE280" i="13"/>
  <c r="AD280" i="13"/>
  <c r="T280" i="13"/>
  <c r="Q280" i="13"/>
  <c r="P280" i="13"/>
  <c r="M280" i="13"/>
  <c r="L280" i="13"/>
  <c r="K280" i="13"/>
  <c r="J280" i="13"/>
  <c r="I280" i="13"/>
  <c r="H280" i="13"/>
  <c r="G280" i="13"/>
  <c r="U280" i="13" s="1"/>
  <c r="F280" i="13"/>
  <c r="E280" i="13"/>
  <c r="D280" i="13"/>
  <c r="C280" i="13"/>
  <c r="B280" i="13"/>
  <c r="BC279" i="13"/>
  <c r="BB279" i="13"/>
  <c r="BA279" i="13"/>
  <c r="AZ279" i="13"/>
  <c r="X279" i="13" s="1"/>
  <c r="AY279" i="13"/>
  <c r="AX279" i="13"/>
  <c r="AW279" i="13"/>
  <c r="AV279" i="13"/>
  <c r="AU279" i="13"/>
  <c r="AT279" i="13"/>
  <c r="AS279" i="13"/>
  <c r="AR279" i="13"/>
  <c r="AO279" i="13"/>
  <c r="AN279" i="13"/>
  <c r="AM279" i="13"/>
  <c r="AL279" i="13"/>
  <c r="AK279" i="13"/>
  <c r="AJ279" i="13"/>
  <c r="AI279" i="13"/>
  <c r="AH279" i="13"/>
  <c r="AG279" i="13"/>
  <c r="AF279" i="13"/>
  <c r="AE279" i="13"/>
  <c r="AD279" i="13"/>
  <c r="W279" i="13"/>
  <c r="V279" i="13"/>
  <c r="Q279" i="13"/>
  <c r="M279" i="13"/>
  <c r="AA279" i="13" s="1"/>
  <c r="L279" i="13"/>
  <c r="Z279" i="13" s="1"/>
  <c r="K279" i="13"/>
  <c r="J279" i="13"/>
  <c r="I279" i="13"/>
  <c r="H279" i="13"/>
  <c r="G279" i="13"/>
  <c r="U279" i="13" s="1"/>
  <c r="F279" i="13"/>
  <c r="E279" i="13"/>
  <c r="S279" i="13" s="1"/>
  <c r="D279" i="13"/>
  <c r="R279" i="13" s="1"/>
  <c r="C279" i="13"/>
  <c r="B279" i="13"/>
  <c r="BC278" i="13"/>
  <c r="BB278" i="13"/>
  <c r="BA278" i="13"/>
  <c r="AZ278" i="13"/>
  <c r="AY278" i="13"/>
  <c r="AX278" i="13"/>
  <c r="AW278" i="13"/>
  <c r="AV278" i="13"/>
  <c r="AU278" i="13"/>
  <c r="AT278" i="13"/>
  <c r="AS278" i="13"/>
  <c r="AR278" i="13"/>
  <c r="AO278" i="13"/>
  <c r="AN278" i="13"/>
  <c r="AM278" i="13"/>
  <c r="AL278" i="13"/>
  <c r="AK278" i="13"/>
  <c r="AJ278" i="13"/>
  <c r="AI278" i="13"/>
  <c r="U278" i="13" s="1"/>
  <c r="AH278" i="13"/>
  <c r="T278" i="13" s="1"/>
  <c r="AG278" i="13"/>
  <c r="AF278" i="13"/>
  <c r="AE278" i="13"/>
  <c r="AD278" i="13"/>
  <c r="X278" i="13"/>
  <c r="W278" i="13"/>
  <c r="V278" i="13"/>
  <c r="M278" i="13"/>
  <c r="AA278" i="13" s="1"/>
  <c r="L278" i="13"/>
  <c r="Z278" i="13" s="1"/>
  <c r="K278" i="13"/>
  <c r="J278" i="13"/>
  <c r="I278" i="13"/>
  <c r="H278" i="13"/>
  <c r="G278" i="13"/>
  <c r="F278" i="13"/>
  <c r="E278" i="13"/>
  <c r="S278" i="13" s="1"/>
  <c r="D278" i="13"/>
  <c r="R278" i="13" s="1"/>
  <c r="C278" i="13"/>
  <c r="B278" i="13"/>
  <c r="BC277" i="13"/>
  <c r="BB277" i="13"/>
  <c r="BA277" i="13"/>
  <c r="AZ277" i="13"/>
  <c r="AY277" i="13"/>
  <c r="W277" i="13" s="1"/>
  <c r="AX277" i="13"/>
  <c r="AW277" i="13"/>
  <c r="AV277" i="13"/>
  <c r="AU277" i="13"/>
  <c r="AT277" i="13"/>
  <c r="AS277" i="13"/>
  <c r="AR277" i="13"/>
  <c r="AO277" i="13"/>
  <c r="AN277" i="13"/>
  <c r="AM277" i="13"/>
  <c r="Y277" i="13" s="1"/>
  <c r="AL277" i="13"/>
  <c r="AK277" i="13"/>
  <c r="AJ277" i="13"/>
  <c r="AI277" i="13"/>
  <c r="AH277" i="13"/>
  <c r="AG277" i="13"/>
  <c r="AF277" i="13"/>
  <c r="AE277" i="13"/>
  <c r="AD277" i="13"/>
  <c r="Z277" i="13"/>
  <c r="R277" i="13"/>
  <c r="Q277" i="13"/>
  <c r="P277" i="13"/>
  <c r="M277" i="13"/>
  <c r="L277" i="13"/>
  <c r="K277" i="13"/>
  <c r="J277" i="13"/>
  <c r="I277" i="13"/>
  <c r="H277" i="13"/>
  <c r="V277" i="13" s="1"/>
  <c r="G277" i="13"/>
  <c r="U277" i="13" s="1"/>
  <c r="F277" i="13"/>
  <c r="T277" i="13" s="1"/>
  <c r="E277" i="13"/>
  <c r="D277" i="13"/>
  <c r="C277" i="13"/>
  <c r="B277" i="13"/>
  <c r="BC276" i="13"/>
  <c r="BB276" i="13"/>
  <c r="BA276" i="13"/>
  <c r="Y276" i="13" s="1"/>
  <c r="AZ276" i="13"/>
  <c r="X276" i="13" s="1"/>
  <c r="AY276" i="13"/>
  <c r="AX276" i="13"/>
  <c r="AW276" i="13"/>
  <c r="AV276" i="13"/>
  <c r="AU276" i="13"/>
  <c r="AT276" i="13"/>
  <c r="AS276" i="13"/>
  <c r="Q276" i="13" s="1"/>
  <c r="AR276" i="13"/>
  <c r="P276" i="13" s="1"/>
  <c r="AO276" i="13"/>
  <c r="AN276" i="13"/>
  <c r="AM276" i="13"/>
  <c r="AL276" i="13"/>
  <c r="AK276" i="13"/>
  <c r="AJ276" i="13"/>
  <c r="AI276" i="13"/>
  <c r="AH276" i="13"/>
  <c r="T276" i="13" s="1"/>
  <c r="AG276" i="13"/>
  <c r="AF276" i="13"/>
  <c r="AE276" i="13"/>
  <c r="AD276" i="13"/>
  <c r="W276" i="13"/>
  <c r="M276" i="13"/>
  <c r="AA276" i="13" s="1"/>
  <c r="L276" i="13"/>
  <c r="K276" i="13"/>
  <c r="J276" i="13"/>
  <c r="I276" i="13"/>
  <c r="H276" i="13"/>
  <c r="G276" i="13"/>
  <c r="F276" i="13"/>
  <c r="E276" i="13"/>
  <c r="S276" i="13" s="1"/>
  <c r="D276" i="13"/>
  <c r="C276" i="13"/>
  <c r="B276" i="13"/>
  <c r="BC275" i="13"/>
  <c r="BB275" i="13"/>
  <c r="BA275" i="13"/>
  <c r="AZ275" i="13"/>
  <c r="AY275" i="13"/>
  <c r="AX275" i="13"/>
  <c r="V275" i="13" s="1"/>
  <c r="AW275" i="13"/>
  <c r="AV275" i="13"/>
  <c r="AU275" i="13"/>
  <c r="AT275" i="13"/>
  <c r="AS275" i="13"/>
  <c r="AR275" i="13"/>
  <c r="AO275" i="13"/>
  <c r="AN275" i="13"/>
  <c r="AM275" i="13"/>
  <c r="AL275" i="13"/>
  <c r="AK275" i="13"/>
  <c r="AJ275" i="13"/>
  <c r="AI275" i="13"/>
  <c r="AH275" i="13"/>
  <c r="AG275" i="13"/>
  <c r="AF275" i="13"/>
  <c r="AE275" i="13"/>
  <c r="AD275" i="13"/>
  <c r="Z275" i="13"/>
  <c r="Y275" i="13"/>
  <c r="W275" i="13"/>
  <c r="Q275" i="13"/>
  <c r="P275" i="13"/>
  <c r="M275" i="13"/>
  <c r="AA275" i="13" s="1"/>
  <c r="L275" i="13"/>
  <c r="K275" i="13"/>
  <c r="J275" i="13"/>
  <c r="X275" i="13" s="1"/>
  <c r="I275" i="13"/>
  <c r="H275" i="13"/>
  <c r="G275" i="13"/>
  <c r="U275" i="13" s="1"/>
  <c r="F275" i="13"/>
  <c r="T275" i="13" s="1"/>
  <c r="E275" i="13"/>
  <c r="S275" i="13" s="1"/>
  <c r="D275" i="13"/>
  <c r="C275" i="13"/>
  <c r="B275" i="13"/>
  <c r="BC274" i="13"/>
  <c r="BB274" i="13"/>
  <c r="BA274" i="13"/>
  <c r="AZ274" i="13"/>
  <c r="AY274" i="13"/>
  <c r="AX274" i="13"/>
  <c r="AW274" i="13"/>
  <c r="AV274" i="13"/>
  <c r="AU274" i="13"/>
  <c r="AT274" i="13"/>
  <c r="AS274" i="13"/>
  <c r="AR274" i="13"/>
  <c r="AO274" i="13"/>
  <c r="AN274" i="13"/>
  <c r="AM274" i="13"/>
  <c r="AL274" i="13"/>
  <c r="AK274" i="13"/>
  <c r="AJ274" i="13"/>
  <c r="AI274" i="13"/>
  <c r="AH274" i="13"/>
  <c r="AG274" i="13"/>
  <c r="AF274" i="13"/>
  <c r="AE274" i="13"/>
  <c r="AD274" i="13"/>
  <c r="W274" i="13"/>
  <c r="T274" i="13"/>
  <c r="M274" i="13"/>
  <c r="L274" i="13"/>
  <c r="Z274" i="13" s="1"/>
  <c r="K274" i="13"/>
  <c r="J274" i="13"/>
  <c r="X274" i="13" s="1"/>
  <c r="I274" i="13"/>
  <c r="H274" i="13"/>
  <c r="V274" i="13" s="1"/>
  <c r="G274" i="13"/>
  <c r="U274" i="13" s="1"/>
  <c r="F274" i="13"/>
  <c r="E274" i="13"/>
  <c r="D274" i="13"/>
  <c r="R274" i="13" s="1"/>
  <c r="C274" i="13"/>
  <c r="B274" i="13"/>
  <c r="P274" i="13" s="1"/>
  <c r="BC273" i="13"/>
  <c r="BB273" i="13"/>
  <c r="Z273" i="13" s="1"/>
  <c r="BA273" i="13"/>
  <c r="Y273" i="13" s="1"/>
  <c r="AZ273" i="13"/>
  <c r="AY273" i="13"/>
  <c r="W273" i="13" s="1"/>
  <c r="AX273" i="13"/>
  <c r="AW273" i="13"/>
  <c r="AV273" i="13"/>
  <c r="AU273" i="13"/>
  <c r="AT273" i="13"/>
  <c r="AS273" i="13"/>
  <c r="Q273" i="13" s="1"/>
  <c r="AR273" i="13"/>
  <c r="AO273" i="13"/>
  <c r="AN273" i="13"/>
  <c r="AM273" i="13"/>
  <c r="AL273" i="13"/>
  <c r="AK273" i="13"/>
  <c r="AJ273" i="13"/>
  <c r="AI273" i="13"/>
  <c r="AH273" i="13"/>
  <c r="AG273" i="13"/>
  <c r="AF273" i="13"/>
  <c r="AE273" i="13"/>
  <c r="AD273" i="13"/>
  <c r="P273" i="13" s="1"/>
  <c r="X273" i="13"/>
  <c r="M273" i="13"/>
  <c r="AA273" i="13" s="1"/>
  <c r="L273" i="13"/>
  <c r="K273" i="13"/>
  <c r="J273" i="13"/>
  <c r="I273" i="13"/>
  <c r="H273" i="13"/>
  <c r="G273" i="13"/>
  <c r="F273" i="13"/>
  <c r="E273" i="13"/>
  <c r="S273" i="13" s="1"/>
  <c r="D273" i="13"/>
  <c r="C273" i="13"/>
  <c r="B273" i="13"/>
  <c r="BC272" i="13"/>
  <c r="BB272" i="13"/>
  <c r="BA272" i="13"/>
  <c r="AZ272" i="13"/>
  <c r="AY272" i="13"/>
  <c r="AX272" i="13"/>
  <c r="AW272" i="13"/>
  <c r="AV272" i="13"/>
  <c r="AU272" i="13"/>
  <c r="AT272" i="13"/>
  <c r="AS272" i="13"/>
  <c r="AR272" i="13"/>
  <c r="P272" i="13" s="1"/>
  <c r="AO272" i="13"/>
  <c r="AN272" i="13"/>
  <c r="AM272" i="13"/>
  <c r="AL272" i="13"/>
  <c r="AK272" i="13"/>
  <c r="AJ272" i="13"/>
  <c r="AI272" i="13"/>
  <c r="AH272" i="13"/>
  <c r="AG272" i="13"/>
  <c r="AF272" i="13"/>
  <c r="AE272" i="13"/>
  <c r="AD272" i="13"/>
  <c r="X272" i="13"/>
  <c r="W272" i="13"/>
  <c r="V272" i="13"/>
  <c r="T272" i="13"/>
  <c r="M272" i="13"/>
  <c r="L272" i="13"/>
  <c r="Z272" i="13" s="1"/>
  <c r="K272" i="13"/>
  <c r="Y272" i="13" s="1"/>
  <c r="J272" i="13"/>
  <c r="I272" i="13"/>
  <c r="H272" i="13"/>
  <c r="G272" i="13"/>
  <c r="F272" i="13"/>
  <c r="E272" i="13"/>
  <c r="D272" i="13"/>
  <c r="R272" i="13" s="1"/>
  <c r="C272" i="13"/>
  <c r="Q272" i="13" s="1"/>
  <c r="B272" i="13"/>
  <c r="BC271" i="13"/>
  <c r="BB271" i="13"/>
  <c r="BA271" i="13"/>
  <c r="AZ271" i="13"/>
  <c r="AY271" i="13"/>
  <c r="AX271" i="13"/>
  <c r="V271" i="13" s="1"/>
  <c r="AW271" i="13"/>
  <c r="U271" i="13" s="1"/>
  <c r="AV271" i="13"/>
  <c r="AU271" i="13"/>
  <c r="AT271" i="13"/>
  <c r="AS271" i="13"/>
  <c r="AR271" i="13"/>
  <c r="AO271" i="13"/>
  <c r="AN271" i="13"/>
  <c r="AM271" i="13"/>
  <c r="AL271" i="13"/>
  <c r="AK271" i="13"/>
  <c r="AJ271" i="13"/>
  <c r="AI271" i="13"/>
  <c r="AH271" i="13"/>
  <c r="AG271" i="13"/>
  <c r="AF271" i="13"/>
  <c r="AE271" i="13"/>
  <c r="Q271" i="13" s="1"/>
  <c r="AD271" i="13"/>
  <c r="Z271" i="13"/>
  <c r="W271" i="13"/>
  <c r="P271" i="13"/>
  <c r="M271" i="13"/>
  <c r="L271" i="13"/>
  <c r="K271" i="13"/>
  <c r="Y271" i="13" s="1"/>
  <c r="J271" i="13"/>
  <c r="X271" i="13" s="1"/>
  <c r="I271" i="13"/>
  <c r="H271" i="13"/>
  <c r="G271" i="13"/>
  <c r="F271" i="13"/>
  <c r="T271" i="13" s="1"/>
  <c r="E271" i="13"/>
  <c r="D271" i="13"/>
  <c r="C271" i="13"/>
  <c r="B271" i="13"/>
  <c r="BC270" i="13"/>
  <c r="BB270" i="13"/>
  <c r="BA270" i="13"/>
  <c r="AZ270" i="13"/>
  <c r="AY270" i="13"/>
  <c r="AX270" i="13"/>
  <c r="AW270" i="13"/>
  <c r="AV270" i="13"/>
  <c r="AU270" i="13"/>
  <c r="AT270" i="13"/>
  <c r="AS270" i="13"/>
  <c r="AR270" i="13"/>
  <c r="AO270" i="13"/>
  <c r="AN270" i="13"/>
  <c r="AM270" i="13"/>
  <c r="AL270" i="13"/>
  <c r="AK270" i="13"/>
  <c r="AJ270" i="13"/>
  <c r="AI270" i="13"/>
  <c r="AH270" i="13"/>
  <c r="T270" i="13" s="1"/>
  <c r="AG270" i="13"/>
  <c r="AF270" i="13"/>
  <c r="AE270" i="13"/>
  <c r="AD270" i="13"/>
  <c r="W270" i="13"/>
  <c r="V270" i="13"/>
  <c r="M270" i="13"/>
  <c r="AA270" i="13" s="1"/>
  <c r="L270" i="13"/>
  <c r="Z270" i="13" s="1"/>
  <c r="K270" i="13"/>
  <c r="Y270" i="13" s="1"/>
  <c r="J270" i="13"/>
  <c r="X270" i="13" s="1"/>
  <c r="I270" i="13"/>
  <c r="H270" i="13"/>
  <c r="G270" i="13"/>
  <c r="U270" i="13" s="1"/>
  <c r="F270" i="13"/>
  <c r="E270" i="13"/>
  <c r="S270" i="13" s="1"/>
  <c r="D270" i="13"/>
  <c r="R270" i="13" s="1"/>
  <c r="C270" i="13"/>
  <c r="Q270" i="13" s="1"/>
  <c r="B270" i="13"/>
  <c r="P270" i="13" s="1"/>
  <c r="BC269" i="13"/>
  <c r="BB269" i="13"/>
  <c r="BA269" i="13"/>
  <c r="AZ269" i="13"/>
  <c r="AY269" i="13"/>
  <c r="W269" i="13" s="1"/>
  <c r="AX269" i="13"/>
  <c r="AW269" i="13"/>
  <c r="U269" i="13" s="1"/>
  <c r="AV269" i="13"/>
  <c r="T269" i="13" s="1"/>
  <c r="AU269" i="13"/>
  <c r="AT269" i="13"/>
  <c r="AS269" i="13"/>
  <c r="AR269" i="13"/>
  <c r="AO269" i="13"/>
  <c r="AN269" i="13"/>
  <c r="Z269" i="13" s="1"/>
  <c r="AM269" i="13"/>
  <c r="AL269" i="13"/>
  <c r="AK269" i="13"/>
  <c r="AJ269" i="13"/>
  <c r="AI269" i="13"/>
  <c r="AH269" i="13"/>
  <c r="AG269" i="13"/>
  <c r="AF269" i="13"/>
  <c r="R269" i="13" s="1"/>
  <c r="AE269" i="13"/>
  <c r="Q269" i="13" s="1"/>
  <c r="AD269" i="13"/>
  <c r="M269" i="13"/>
  <c r="L269" i="13"/>
  <c r="K269" i="13"/>
  <c r="J269" i="13"/>
  <c r="I269" i="13"/>
  <c r="H269" i="13"/>
  <c r="G269" i="13"/>
  <c r="F269" i="13"/>
  <c r="E269" i="13"/>
  <c r="D269" i="13"/>
  <c r="C269" i="13"/>
  <c r="B269" i="13"/>
  <c r="BC268" i="13"/>
  <c r="BB268" i="13"/>
  <c r="BA268" i="13"/>
  <c r="Y268" i="13" s="1"/>
  <c r="AZ268" i="13"/>
  <c r="AY268" i="13"/>
  <c r="AX268" i="13"/>
  <c r="AW268" i="13"/>
  <c r="AV268" i="13"/>
  <c r="AU268" i="13"/>
  <c r="AT268" i="13"/>
  <c r="AS268" i="13"/>
  <c r="AR268" i="13"/>
  <c r="AO268" i="13"/>
  <c r="AN268" i="13"/>
  <c r="AM268" i="13"/>
  <c r="AL268" i="13"/>
  <c r="X268" i="13" s="1"/>
  <c r="AK268" i="13"/>
  <c r="AJ268" i="13"/>
  <c r="AI268" i="13"/>
  <c r="AH268" i="13"/>
  <c r="AG268" i="13"/>
  <c r="AF268" i="13"/>
  <c r="AE268" i="13"/>
  <c r="AD268" i="13"/>
  <c r="W268" i="13"/>
  <c r="Q268" i="13"/>
  <c r="P268" i="13"/>
  <c r="M268" i="13"/>
  <c r="AA268" i="13" s="1"/>
  <c r="L268" i="13"/>
  <c r="Z268" i="13" s="1"/>
  <c r="K268" i="13"/>
  <c r="J268" i="13"/>
  <c r="I268" i="13"/>
  <c r="H268" i="13"/>
  <c r="V268" i="13" s="1"/>
  <c r="G268" i="13"/>
  <c r="U268" i="13" s="1"/>
  <c r="F268" i="13"/>
  <c r="T268" i="13" s="1"/>
  <c r="E268" i="13"/>
  <c r="S268" i="13" s="1"/>
  <c r="D268" i="13"/>
  <c r="R268" i="13" s="1"/>
  <c r="C268" i="13"/>
  <c r="B268" i="13"/>
  <c r="BC267" i="13"/>
  <c r="BB267" i="13"/>
  <c r="BA267" i="13"/>
  <c r="AZ267" i="13"/>
  <c r="X267" i="13" s="1"/>
  <c r="AY267" i="13"/>
  <c r="W267" i="13" s="1"/>
  <c r="AX267" i="13"/>
  <c r="V267" i="13" s="1"/>
  <c r="AW267" i="13"/>
  <c r="AV267" i="13"/>
  <c r="AU267" i="13"/>
  <c r="AT267" i="13"/>
  <c r="AS267" i="13"/>
  <c r="AR267" i="13"/>
  <c r="AO267" i="13"/>
  <c r="AN267" i="13"/>
  <c r="AM267" i="13"/>
  <c r="AL267" i="13"/>
  <c r="AK267" i="13"/>
  <c r="AJ267" i="13"/>
  <c r="AI267" i="13"/>
  <c r="U267" i="13" s="1"/>
  <c r="AH267" i="13"/>
  <c r="AG267" i="13"/>
  <c r="AG284" i="13" s="1"/>
  <c r="AF267" i="13"/>
  <c r="AE267" i="13"/>
  <c r="AD267" i="13"/>
  <c r="M267" i="13"/>
  <c r="L267" i="13"/>
  <c r="K267" i="13"/>
  <c r="J267" i="13"/>
  <c r="I267" i="13"/>
  <c r="H267" i="13"/>
  <c r="G267" i="13"/>
  <c r="F267" i="13"/>
  <c r="E267" i="13"/>
  <c r="D267" i="13"/>
  <c r="C267" i="13"/>
  <c r="B267" i="13"/>
  <c r="BC266" i="13"/>
  <c r="BB266" i="13"/>
  <c r="BA266" i="13"/>
  <c r="AZ266" i="13"/>
  <c r="AY266" i="13"/>
  <c r="W266" i="13" s="1"/>
  <c r="AX266" i="13"/>
  <c r="AW266" i="13"/>
  <c r="AV266" i="13"/>
  <c r="AU266" i="13"/>
  <c r="AT266" i="13"/>
  <c r="AS266" i="13"/>
  <c r="AR266" i="13"/>
  <c r="AO266" i="13"/>
  <c r="AN266" i="13"/>
  <c r="Z266" i="13" s="1"/>
  <c r="AM266" i="13"/>
  <c r="AL266" i="13"/>
  <c r="AK266" i="13"/>
  <c r="AJ266" i="13"/>
  <c r="AI266" i="13"/>
  <c r="AH266" i="13"/>
  <c r="AG266" i="13"/>
  <c r="AF266" i="13"/>
  <c r="R266" i="13" s="1"/>
  <c r="AE266" i="13"/>
  <c r="AD266" i="13"/>
  <c r="T266" i="13"/>
  <c r="Q266" i="13"/>
  <c r="M266" i="13"/>
  <c r="L266" i="13"/>
  <c r="K266" i="13"/>
  <c r="J266" i="13"/>
  <c r="X266" i="13" s="1"/>
  <c r="I266" i="13"/>
  <c r="H266" i="13"/>
  <c r="G266" i="13"/>
  <c r="U266" i="13" s="1"/>
  <c r="F266" i="13"/>
  <c r="E266" i="13"/>
  <c r="S266" i="13" s="1"/>
  <c r="D266" i="13"/>
  <c r="C266" i="13"/>
  <c r="B266" i="13"/>
  <c r="BC265" i="13"/>
  <c r="BC284" i="13" s="1"/>
  <c r="BB265" i="13"/>
  <c r="BA265" i="13"/>
  <c r="AZ265" i="13"/>
  <c r="AY265" i="13"/>
  <c r="AX265" i="13"/>
  <c r="AW265" i="13"/>
  <c r="AV265" i="13"/>
  <c r="AU265" i="13"/>
  <c r="AU284" i="13" s="1"/>
  <c r="AT265" i="13"/>
  <c r="AS265" i="13"/>
  <c r="AR265" i="13"/>
  <c r="AO265" i="13"/>
  <c r="AN265" i="13"/>
  <c r="AM265" i="13"/>
  <c r="AL265" i="13"/>
  <c r="AK265" i="13"/>
  <c r="AK284" i="13" s="1"/>
  <c r="AJ265" i="13"/>
  <c r="AI265" i="13"/>
  <c r="AH265" i="13"/>
  <c r="AG265" i="13"/>
  <c r="S265" i="13" s="1"/>
  <c r="AF265" i="13"/>
  <c r="AE265" i="13"/>
  <c r="AD265" i="13"/>
  <c r="X265" i="13"/>
  <c r="V265" i="13"/>
  <c r="U265" i="13"/>
  <c r="P265" i="13"/>
  <c r="M265" i="13"/>
  <c r="L265" i="13"/>
  <c r="K265" i="13"/>
  <c r="J265" i="13"/>
  <c r="I265" i="13"/>
  <c r="H265" i="13"/>
  <c r="G265" i="13"/>
  <c r="F265" i="13"/>
  <c r="E265" i="13"/>
  <c r="D265" i="13"/>
  <c r="C265" i="13"/>
  <c r="B265" i="13"/>
  <c r="BC264" i="13"/>
  <c r="BB264" i="13"/>
  <c r="BA264" i="13"/>
  <c r="AZ264" i="13"/>
  <c r="AY264" i="13"/>
  <c r="AX264" i="13"/>
  <c r="AW264" i="13"/>
  <c r="AV264" i="13"/>
  <c r="AU264" i="13"/>
  <c r="AT264" i="13"/>
  <c r="AS264" i="13"/>
  <c r="AR264" i="13"/>
  <c r="AO264" i="13"/>
  <c r="AN264" i="13"/>
  <c r="AM264" i="13"/>
  <c r="AL264" i="13"/>
  <c r="AK264" i="13"/>
  <c r="AJ264" i="13"/>
  <c r="AI264" i="13"/>
  <c r="AH264" i="13"/>
  <c r="AG264" i="13"/>
  <c r="AF264" i="13"/>
  <c r="AE264" i="13"/>
  <c r="AD264" i="13"/>
  <c r="AA264" i="13"/>
  <c r="V264" i="13"/>
  <c r="U264" i="13"/>
  <c r="T264" i="13"/>
  <c r="S264" i="13"/>
  <c r="M264" i="13"/>
  <c r="L264" i="13"/>
  <c r="K264" i="13"/>
  <c r="Y264" i="13" s="1"/>
  <c r="J264" i="13"/>
  <c r="X264" i="13" s="1"/>
  <c r="I264" i="13"/>
  <c r="W264" i="13" s="1"/>
  <c r="H264" i="13"/>
  <c r="G264" i="13"/>
  <c r="F264" i="13"/>
  <c r="E264" i="13"/>
  <c r="D264" i="13"/>
  <c r="C264" i="13"/>
  <c r="Q264" i="13" s="1"/>
  <c r="B264" i="13"/>
  <c r="BC263" i="13"/>
  <c r="BB263" i="13"/>
  <c r="BA263" i="13"/>
  <c r="AZ263" i="13"/>
  <c r="AY263" i="13"/>
  <c r="AX263" i="13"/>
  <c r="AW263" i="13"/>
  <c r="AV263" i="13"/>
  <c r="T263" i="13" s="1"/>
  <c r="AU263" i="13"/>
  <c r="AT263" i="13"/>
  <c r="AS263" i="13"/>
  <c r="AR263" i="13"/>
  <c r="AO263" i="13"/>
  <c r="AN263" i="13"/>
  <c r="AM263" i="13"/>
  <c r="AL263" i="13"/>
  <c r="AK263" i="13"/>
  <c r="AJ263" i="13"/>
  <c r="AI263" i="13"/>
  <c r="AH263" i="13"/>
  <c r="AG263" i="13"/>
  <c r="AF263" i="13"/>
  <c r="AE263" i="13"/>
  <c r="AD263" i="13"/>
  <c r="AA263" i="13"/>
  <c r="V263" i="13"/>
  <c r="U263" i="13"/>
  <c r="S263" i="13"/>
  <c r="M263" i="13"/>
  <c r="L263" i="13"/>
  <c r="Z263" i="13" s="1"/>
  <c r="K263" i="13"/>
  <c r="Y263" i="13" s="1"/>
  <c r="J263" i="13"/>
  <c r="X263" i="13" s="1"/>
  <c r="I263" i="13"/>
  <c r="W263" i="13" s="1"/>
  <c r="H263" i="13"/>
  <c r="G263" i="13"/>
  <c r="F263" i="13"/>
  <c r="E263" i="13"/>
  <c r="D263" i="13"/>
  <c r="R263" i="13" s="1"/>
  <c r="C263" i="13"/>
  <c r="Q263" i="13" s="1"/>
  <c r="B263" i="13"/>
  <c r="P263" i="13" s="1"/>
  <c r="BC262" i="13"/>
  <c r="BB262" i="13"/>
  <c r="BA262" i="13"/>
  <c r="AZ262" i="13"/>
  <c r="AY262" i="13"/>
  <c r="AX262" i="13"/>
  <c r="AW262" i="13"/>
  <c r="U262" i="13" s="1"/>
  <c r="AV262" i="13"/>
  <c r="T262" i="13" s="1"/>
  <c r="AU262" i="13"/>
  <c r="S262" i="13" s="1"/>
  <c r="AT262" i="13"/>
  <c r="AS262" i="13"/>
  <c r="AR262" i="13"/>
  <c r="AO262" i="13"/>
  <c r="AN262" i="13"/>
  <c r="AM262" i="13"/>
  <c r="AL262" i="13"/>
  <c r="AK262" i="13"/>
  <c r="AJ262" i="13"/>
  <c r="AI262" i="13"/>
  <c r="AH262" i="13"/>
  <c r="AG262" i="13"/>
  <c r="AF262" i="13"/>
  <c r="R262" i="13" s="1"/>
  <c r="AE262" i="13"/>
  <c r="AD262" i="13"/>
  <c r="AA262" i="13"/>
  <c r="M262" i="13"/>
  <c r="L262" i="13"/>
  <c r="Z262" i="13" s="1"/>
  <c r="K262" i="13"/>
  <c r="J262" i="13"/>
  <c r="I262" i="13"/>
  <c r="W262" i="13" s="1"/>
  <c r="H262" i="13"/>
  <c r="G262" i="13"/>
  <c r="F262" i="13"/>
  <c r="E262" i="13"/>
  <c r="D262" i="13"/>
  <c r="C262" i="13"/>
  <c r="B262" i="13"/>
  <c r="BC261" i="13"/>
  <c r="BB261" i="13"/>
  <c r="BA261" i="13"/>
  <c r="AZ261" i="13"/>
  <c r="AY261" i="13"/>
  <c r="AX261" i="13"/>
  <c r="AW261" i="13"/>
  <c r="AW282" i="13" s="1"/>
  <c r="AV261" i="13"/>
  <c r="AU261" i="13"/>
  <c r="S261" i="13" s="1"/>
  <c r="AT261" i="13"/>
  <c r="AS261" i="13"/>
  <c r="AR261" i="13"/>
  <c r="AO261" i="13"/>
  <c r="AN261" i="13"/>
  <c r="AM261" i="13"/>
  <c r="AL261" i="13"/>
  <c r="AL283" i="13" s="1"/>
  <c r="AK261" i="13"/>
  <c r="AJ261" i="13"/>
  <c r="AI261" i="13"/>
  <c r="AH261" i="13"/>
  <c r="AG261" i="13"/>
  <c r="AF261" i="13"/>
  <c r="AE261" i="13"/>
  <c r="AD261" i="13"/>
  <c r="AD281" i="13" s="1"/>
  <c r="AA261" i="13"/>
  <c r="Z261" i="13"/>
  <c r="M261" i="13"/>
  <c r="L261" i="13"/>
  <c r="K261" i="13"/>
  <c r="J261" i="13"/>
  <c r="I261" i="13"/>
  <c r="H261" i="13"/>
  <c r="G261" i="13"/>
  <c r="F261" i="13"/>
  <c r="E261" i="13"/>
  <c r="D261" i="13"/>
  <c r="R261" i="13" s="1"/>
  <c r="C261" i="13"/>
  <c r="B261" i="13"/>
  <c r="BC260" i="13"/>
  <c r="BB260" i="13"/>
  <c r="BA260" i="13"/>
  <c r="AZ260" i="13"/>
  <c r="AY260" i="13"/>
  <c r="AX260" i="13"/>
  <c r="AW260" i="13"/>
  <c r="AV260" i="13"/>
  <c r="AU260" i="13"/>
  <c r="AT260" i="13"/>
  <c r="AS260" i="13"/>
  <c r="AR260" i="13"/>
  <c r="AO260" i="13"/>
  <c r="AN260" i="13"/>
  <c r="Z260" i="13" s="1"/>
  <c r="AM260" i="13"/>
  <c r="AL260" i="13"/>
  <c r="AK260" i="13"/>
  <c r="AJ260" i="13"/>
  <c r="AI260" i="13"/>
  <c r="AH260" i="13"/>
  <c r="AG260" i="13"/>
  <c r="AF260" i="13"/>
  <c r="R260" i="13" s="1"/>
  <c r="AE260" i="13"/>
  <c r="AD260" i="13"/>
  <c r="AA260" i="13"/>
  <c r="U260" i="13"/>
  <c r="S260" i="13"/>
  <c r="Q260" i="13"/>
  <c r="P260" i="13"/>
  <c r="M260" i="13"/>
  <c r="L260" i="13"/>
  <c r="K260" i="13"/>
  <c r="Y260" i="13" s="1"/>
  <c r="J260" i="13"/>
  <c r="X260" i="13" s="1"/>
  <c r="I260" i="13"/>
  <c r="W260" i="13" s="1"/>
  <c r="H260" i="13"/>
  <c r="G260" i="13"/>
  <c r="F260" i="13"/>
  <c r="T260" i="13" s="1"/>
  <c r="E260" i="13"/>
  <c r="D260" i="13"/>
  <c r="C260" i="13"/>
  <c r="B260" i="13"/>
  <c r="BC259" i="13"/>
  <c r="BB259" i="13"/>
  <c r="BA259" i="13"/>
  <c r="AZ259" i="13"/>
  <c r="AY259" i="13"/>
  <c r="AX259" i="13"/>
  <c r="AW259" i="13"/>
  <c r="AV259" i="13"/>
  <c r="AU259" i="13"/>
  <c r="S259" i="13" s="1"/>
  <c r="AT259" i="13"/>
  <c r="R259" i="13" s="1"/>
  <c r="AS259" i="13"/>
  <c r="Q259" i="13" s="1"/>
  <c r="AR259" i="13"/>
  <c r="AO259" i="13"/>
  <c r="AN259" i="13"/>
  <c r="AM259" i="13"/>
  <c r="AL259" i="13"/>
  <c r="AK259" i="13"/>
  <c r="AJ259" i="13"/>
  <c r="AI259" i="13"/>
  <c r="AH259" i="13"/>
  <c r="AG259" i="13"/>
  <c r="AF259" i="13"/>
  <c r="AE259" i="13"/>
  <c r="AD259" i="13"/>
  <c r="AA259" i="13"/>
  <c r="Z259" i="13"/>
  <c r="Y259" i="13"/>
  <c r="P259" i="13"/>
  <c r="M259" i="13"/>
  <c r="L259" i="13"/>
  <c r="K259" i="13"/>
  <c r="J259" i="13"/>
  <c r="X259" i="13" s="1"/>
  <c r="I259" i="13"/>
  <c r="H259" i="13"/>
  <c r="G259" i="13"/>
  <c r="F259" i="13"/>
  <c r="T259" i="13" s="1"/>
  <c r="E259" i="13"/>
  <c r="D259" i="13"/>
  <c r="C259" i="13"/>
  <c r="B259" i="13"/>
  <c r="BC258" i="13"/>
  <c r="BB258" i="13"/>
  <c r="BA258" i="13"/>
  <c r="AZ258" i="13"/>
  <c r="X258" i="13" s="1"/>
  <c r="AY258" i="13"/>
  <c r="AX258" i="13"/>
  <c r="AW258" i="13"/>
  <c r="AV258" i="13"/>
  <c r="AU258" i="13"/>
  <c r="AT258" i="13"/>
  <c r="AS258" i="13"/>
  <c r="Q258" i="13" s="1"/>
  <c r="AR258" i="13"/>
  <c r="AO258" i="13"/>
  <c r="AN258" i="13"/>
  <c r="AM258" i="13"/>
  <c r="AL258" i="13"/>
  <c r="AK258" i="13"/>
  <c r="AJ258" i="13"/>
  <c r="AI258" i="13"/>
  <c r="AH258" i="13"/>
  <c r="AG258" i="13"/>
  <c r="AF258" i="13"/>
  <c r="AE258" i="13"/>
  <c r="AD258" i="13"/>
  <c r="P258" i="13" s="1"/>
  <c r="AA258" i="13"/>
  <c r="Y258" i="13"/>
  <c r="S258" i="13"/>
  <c r="R258" i="13"/>
  <c r="M258" i="13"/>
  <c r="L258" i="13"/>
  <c r="Z258" i="13" s="1"/>
  <c r="K258" i="13"/>
  <c r="J258" i="13"/>
  <c r="I258" i="13"/>
  <c r="W258" i="13" s="1"/>
  <c r="H258" i="13"/>
  <c r="V258" i="13" s="1"/>
  <c r="G258" i="13"/>
  <c r="F258" i="13"/>
  <c r="E258" i="13"/>
  <c r="D258" i="13"/>
  <c r="C258" i="13"/>
  <c r="B258" i="13"/>
  <c r="BC257" i="13"/>
  <c r="BB257" i="13"/>
  <c r="BA257" i="13"/>
  <c r="AZ257" i="13"/>
  <c r="AY257" i="13"/>
  <c r="AX257" i="13"/>
  <c r="AW257" i="13"/>
  <c r="AV257" i="13"/>
  <c r="AU257" i="13"/>
  <c r="AT257" i="13"/>
  <c r="AS257" i="13"/>
  <c r="AR257" i="13"/>
  <c r="AO257" i="13"/>
  <c r="AN257" i="13"/>
  <c r="AM257" i="13"/>
  <c r="AL257" i="13"/>
  <c r="AK257" i="13"/>
  <c r="AJ257" i="13"/>
  <c r="AI257" i="13"/>
  <c r="AH257" i="13"/>
  <c r="AG257" i="13"/>
  <c r="AF257" i="13"/>
  <c r="AE257" i="13"/>
  <c r="AD257" i="13"/>
  <c r="AA257" i="13"/>
  <c r="Z257" i="13"/>
  <c r="X257" i="13"/>
  <c r="U257" i="13"/>
  <c r="S257" i="13"/>
  <c r="R257" i="13"/>
  <c r="Q257" i="13"/>
  <c r="P257" i="13"/>
  <c r="M257" i="13"/>
  <c r="L257" i="13"/>
  <c r="K257" i="13"/>
  <c r="Y257" i="13" s="1"/>
  <c r="J257" i="13"/>
  <c r="I257" i="13"/>
  <c r="W257" i="13" s="1"/>
  <c r="H257" i="13"/>
  <c r="V257" i="13" s="1"/>
  <c r="G257" i="13"/>
  <c r="F257" i="13"/>
  <c r="T257" i="13" s="1"/>
  <c r="E257" i="13"/>
  <c r="D257" i="13"/>
  <c r="C257" i="13"/>
  <c r="B257" i="13"/>
  <c r="BC256" i="13"/>
  <c r="BB256" i="13"/>
  <c r="BA256" i="13"/>
  <c r="AZ256" i="13"/>
  <c r="AY256" i="13"/>
  <c r="AX256" i="13"/>
  <c r="AW256" i="13"/>
  <c r="AV256" i="13"/>
  <c r="AU256" i="13"/>
  <c r="S256" i="13" s="1"/>
  <c r="AT256" i="13"/>
  <c r="R256" i="13" s="1"/>
  <c r="AS256" i="13"/>
  <c r="AR256" i="13"/>
  <c r="AO256" i="13"/>
  <c r="AN256" i="13"/>
  <c r="AM256" i="13"/>
  <c r="AL256" i="13"/>
  <c r="AK256" i="13"/>
  <c r="AJ256" i="13"/>
  <c r="AI256" i="13"/>
  <c r="AH256" i="13"/>
  <c r="AG256" i="13"/>
  <c r="AF256" i="13"/>
  <c r="AE256" i="13"/>
  <c r="AD256" i="13"/>
  <c r="AA256" i="13"/>
  <c r="Z256" i="13"/>
  <c r="Y256" i="13"/>
  <c r="X256" i="13"/>
  <c r="Q256" i="13"/>
  <c r="P256" i="13"/>
  <c r="M256" i="13"/>
  <c r="L256" i="13"/>
  <c r="K256" i="13"/>
  <c r="J256" i="13"/>
  <c r="I256" i="13"/>
  <c r="H256" i="13"/>
  <c r="G256" i="13"/>
  <c r="U256" i="13" s="1"/>
  <c r="F256" i="13"/>
  <c r="T256" i="13" s="1"/>
  <c r="E256" i="13"/>
  <c r="D256" i="13"/>
  <c r="C256" i="13"/>
  <c r="B256" i="13"/>
  <c r="BC255" i="13"/>
  <c r="BB255" i="13"/>
  <c r="BA255" i="13"/>
  <c r="AZ255" i="13"/>
  <c r="AY255" i="13"/>
  <c r="AX255" i="13"/>
  <c r="AW255" i="13"/>
  <c r="AV255" i="13"/>
  <c r="AU255" i="13"/>
  <c r="AT255" i="13"/>
  <c r="AS255" i="13"/>
  <c r="Q255" i="13" s="1"/>
  <c r="AR255" i="13"/>
  <c r="P255" i="13" s="1"/>
  <c r="AO255" i="13"/>
  <c r="AN255" i="13"/>
  <c r="AM255" i="13"/>
  <c r="AL255" i="13"/>
  <c r="AK255" i="13"/>
  <c r="AJ255" i="13"/>
  <c r="AI255" i="13"/>
  <c r="AH255" i="13"/>
  <c r="AG255" i="13"/>
  <c r="AF255" i="13"/>
  <c r="AE255" i="13"/>
  <c r="AD255" i="13"/>
  <c r="AA255" i="13"/>
  <c r="Z255" i="13"/>
  <c r="Y255" i="13"/>
  <c r="X255" i="13"/>
  <c r="R255" i="13"/>
  <c r="M255" i="13"/>
  <c r="L255" i="13"/>
  <c r="K255" i="13"/>
  <c r="J255" i="13"/>
  <c r="I255" i="13"/>
  <c r="W255" i="13" s="1"/>
  <c r="H255" i="13"/>
  <c r="V255" i="13" s="1"/>
  <c r="G255" i="13"/>
  <c r="F255" i="13"/>
  <c r="E255" i="13"/>
  <c r="D255" i="13"/>
  <c r="C255" i="13"/>
  <c r="B255" i="13"/>
  <c r="BC254" i="13"/>
  <c r="BB254" i="13"/>
  <c r="BA254" i="13"/>
  <c r="AZ254" i="13"/>
  <c r="AY254" i="13"/>
  <c r="W254" i="13" s="1"/>
  <c r="AX254" i="13"/>
  <c r="AW254" i="13"/>
  <c r="AV254" i="13"/>
  <c r="AU254" i="13"/>
  <c r="AT254" i="13"/>
  <c r="AS254" i="13"/>
  <c r="Q254" i="13" s="1"/>
  <c r="AR254" i="13"/>
  <c r="AO254" i="13"/>
  <c r="AN254" i="13"/>
  <c r="AM254" i="13"/>
  <c r="AL254" i="13"/>
  <c r="AK254" i="13"/>
  <c r="AJ254" i="13"/>
  <c r="AI254" i="13"/>
  <c r="AH254" i="13"/>
  <c r="AG254" i="13"/>
  <c r="AF254" i="13"/>
  <c r="AE254" i="13"/>
  <c r="AD254" i="13"/>
  <c r="Z254" i="13"/>
  <c r="X254" i="13"/>
  <c r="P254" i="13"/>
  <c r="M254" i="13"/>
  <c r="AA254" i="13" s="1"/>
  <c r="L254" i="13"/>
  <c r="K254" i="13"/>
  <c r="J254" i="13"/>
  <c r="I254" i="13"/>
  <c r="H254" i="13"/>
  <c r="G254" i="13"/>
  <c r="F254" i="13"/>
  <c r="T254" i="13" s="1"/>
  <c r="E254" i="13"/>
  <c r="S254" i="13" s="1"/>
  <c r="D254" i="13"/>
  <c r="R254" i="13" s="1"/>
  <c r="C254" i="13"/>
  <c r="B254" i="13"/>
  <c r="BC253" i="13"/>
  <c r="BB253" i="13"/>
  <c r="BA253" i="13"/>
  <c r="AZ253" i="13"/>
  <c r="X253" i="13" s="1"/>
  <c r="AY253" i="13"/>
  <c r="W253" i="13" s="1"/>
  <c r="AX253" i="13"/>
  <c r="V253" i="13" s="1"/>
  <c r="AW253" i="13"/>
  <c r="AV253" i="13"/>
  <c r="AU253" i="13"/>
  <c r="AT253" i="13"/>
  <c r="AS253" i="13"/>
  <c r="AR253" i="13"/>
  <c r="AO253" i="13"/>
  <c r="AN253" i="13"/>
  <c r="AM253" i="13"/>
  <c r="AL253" i="13"/>
  <c r="AK253" i="13"/>
  <c r="AJ253" i="13"/>
  <c r="AI253" i="13"/>
  <c r="AH253" i="13"/>
  <c r="AG253" i="13"/>
  <c r="AF253" i="13"/>
  <c r="AE253" i="13"/>
  <c r="AD253" i="13"/>
  <c r="Y253" i="13"/>
  <c r="Q253" i="13"/>
  <c r="P253" i="13"/>
  <c r="M253" i="13"/>
  <c r="AA253" i="13" s="1"/>
  <c r="L253" i="13"/>
  <c r="K253" i="13"/>
  <c r="J253" i="13"/>
  <c r="I253" i="13"/>
  <c r="H253" i="13"/>
  <c r="G253" i="13"/>
  <c r="U253" i="13" s="1"/>
  <c r="F253" i="13"/>
  <c r="T253" i="13" s="1"/>
  <c r="E253" i="13"/>
  <c r="S253" i="13" s="1"/>
  <c r="D253" i="13"/>
  <c r="C253" i="13"/>
  <c r="B253" i="13"/>
  <c r="BC252" i="13"/>
  <c r="BB252" i="13"/>
  <c r="BA252" i="13"/>
  <c r="Y252" i="13" s="1"/>
  <c r="AZ252" i="13"/>
  <c r="AY252" i="13"/>
  <c r="AX252" i="13"/>
  <c r="AW252" i="13"/>
  <c r="AV252" i="13"/>
  <c r="AU252" i="13"/>
  <c r="AT252" i="13"/>
  <c r="AS252" i="13"/>
  <c r="AR252" i="13"/>
  <c r="AO252" i="13"/>
  <c r="AN252" i="13"/>
  <c r="AM252" i="13"/>
  <c r="AL252" i="13"/>
  <c r="AK252" i="13"/>
  <c r="AJ252" i="13"/>
  <c r="AI252" i="13"/>
  <c r="AH252" i="13"/>
  <c r="AG252" i="13"/>
  <c r="AF252" i="13"/>
  <c r="AE252" i="13"/>
  <c r="AD252" i="13"/>
  <c r="V252" i="13"/>
  <c r="Q252" i="13"/>
  <c r="M252" i="13"/>
  <c r="L252" i="13"/>
  <c r="K252" i="13"/>
  <c r="J252" i="13"/>
  <c r="I252" i="13"/>
  <c r="H252" i="13"/>
  <c r="G252" i="13"/>
  <c r="F252" i="13"/>
  <c r="E252" i="13"/>
  <c r="D252" i="13"/>
  <c r="C252" i="13"/>
  <c r="B252" i="13"/>
  <c r="BC251" i="13"/>
  <c r="BB251" i="13"/>
  <c r="BA251" i="13"/>
  <c r="Y251" i="13" s="1"/>
  <c r="AZ251" i="13"/>
  <c r="AY251" i="13"/>
  <c r="AX251" i="13"/>
  <c r="AW251" i="13"/>
  <c r="AV251" i="13"/>
  <c r="AU251" i="13"/>
  <c r="AT251" i="13"/>
  <c r="AS251" i="13"/>
  <c r="Q251" i="13" s="1"/>
  <c r="AR251" i="13"/>
  <c r="P251" i="13" s="1"/>
  <c r="AO251" i="13"/>
  <c r="AN251" i="13"/>
  <c r="AM251" i="13"/>
  <c r="AL251" i="13"/>
  <c r="AK251" i="13"/>
  <c r="AJ251" i="13"/>
  <c r="AI251" i="13"/>
  <c r="AH251" i="13"/>
  <c r="AG251" i="13"/>
  <c r="AF251" i="13"/>
  <c r="AE251" i="13"/>
  <c r="AD251" i="13"/>
  <c r="X251" i="13"/>
  <c r="W251" i="13"/>
  <c r="V251" i="13"/>
  <c r="M251" i="13"/>
  <c r="L251" i="13"/>
  <c r="Z251" i="13" s="1"/>
  <c r="K251" i="13"/>
  <c r="J251" i="13"/>
  <c r="I251" i="13"/>
  <c r="H251" i="13"/>
  <c r="G251" i="13"/>
  <c r="F251" i="13"/>
  <c r="E251" i="13"/>
  <c r="D251" i="13"/>
  <c r="R251" i="13" s="1"/>
  <c r="C251" i="13"/>
  <c r="B251" i="13"/>
  <c r="BC250" i="13"/>
  <c r="BB250" i="13"/>
  <c r="BA250" i="13"/>
  <c r="AZ250" i="13"/>
  <c r="AY250" i="13"/>
  <c r="AX250" i="13"/>
  <c r="AW250" i="13"/>
  <c r="AV250" i="13"/>
  <c r="AU250" i="13"/>
  <c r="AT250" i="13"/>
  <c r="AS250" i="13"/>
  <c r="AR250" i="13"/>
  <c r="AO250" i="13"/>
  <c r="AN250" i="13"/>
  <c r="AM250" i="13"/>
  <c r="AL250" i="13"/>
  <c r="AK250" i="13"/>
  <c r="AJ250" i="13"/>
  <c r="AI250" i="13"/>
  <c r="AH250" i="13"/>
  <c r="AG250" i="13"/>
  <c r="AF250" i="13"/>
  <c r="AE250" i="13"/>
  <c r="AD250" i="13"/>
  <c r="X250" i="13"/>
  <c r="W250" i="13"/>
  <c r="P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S245" i="13"/>
  <c r="U243" i="13"/>
  <c r="BG240" i="13"/>
  <c r="BC240" i="13"/>
  <c r="AO240" i="13"/>
  <c r="AN240" i="13"/>
  <c r="BP240" i="13" s="1"/>
  <c r="AM240" i="13"/>
  <c r="AL240" i="13"/>
  <c r="AK240" i="13"/>
  <c r="BM240" i="13" s="1"/>
  <c r="AJ240" i="13"/>
  <c r="AI240" i="13"/>
  <c r="AH240" i="13"/>
  <c r="AG240" i="13"/>
  <c r="AF240" i="13"/>
  <c r="BH240" i="13" s="1"/>
  <c r="AE240" i="13"/>
  <c r="AD240" i="13"/>
  <c r="AA240" i="13"/>
  <c r="BQ240" i="13" s="1"/>
  <c r="Z240" i="13"/>
  <c r="Y240" i="13"/>
  <c r="X240" i="13"/>
  <c r="W240" i="13"/>
  <c r="V240" i="13"/>
  <c r="U240" i="13"/>
  <c r="T240" i="13"/>
  <c r="S240" i="13"/>
  <c r="R240" i="13"/>
  <c r="Q240" i="13"/>
  <c r="P240" i="13"/>
  <c r="BO240" i="13"/>
  <c r="BN240" i="13"/>
  <c r="BI239" i="13"/>
  <c r="BB239" i="13"/>
  <c r="AO239" i="13"/>
  <c r="AN239" i="13"/>
  <c r="AM239" i="13"/>
  <c r="AL239" i="13"/>
  <c r="AK239" i="13"/>
  <c r="AJ239" i="13"/>
  <c r="AI239" i="13"/>
  <c r="BK239" i="13" s="1"/>
  <c r="AH239" i="13"/>
  <c r="BJ239" i="13" s="1"/>
  <c r="AG239" i="13"/>
  <c r="AF239" i="13"/>
  <c r="AE239" i="13"/>
  <c r="AD239" i="13"/>
  <c r="AA239" i="13"/>
  <c r="Z239" i="13"/>
  <c r="Y239" i="13"/>
  <c r="X239" i="13"/>
  <c r="W239" i="13"/>
  <c r="V239" i="13"/>
  <c r="AX239" i="13" s="1"/>
  <c r="U239" i="13"/>
  <c r="T239" i="13"/>
  <c r="S239" i="13"/>
  <c r="R239" i="13"/>
  <c r="Q239" i="13"/>
  <c r="P239" i="13"/>
  <c r="BQ239" i="13"/>
  <c r="BL239" i="13"/>
  <c r="BO238" i="13"/>
  <c r="BH238" i="13"/>
  <c r="AX238" i="13"/>
  <c r="AW238" i="13"/>
  <c r="AV238" i="13"/>
  <c r="AU238" i="13"/>
  <c r="AO238" i="13"/>
  <c r="AN238" i="13"/>
  <c r="AM238" i="13"/>
  <c r="AL238" i="13"/>
  <c r="AK238" i="13"/>
  <c r="AJ238" i="13"/>
  <c r="AI238" i="13"/>
  <c r="AH238" i="13"/>
  <c r="AG238" i="13"/>
  <c r="AF238" i="13"/>
  <c r="AE238" i="13"/>
  <c r="AD238" i="13"/>
  <c r="AA238" i="13"/>
  <c r="BQ238" i="13" s="1"/>
  <c r="Z238" i="13"/>
  <c r="BB238" i="13" s="1"/>
  <c r="Y238" i="13"/>
  <c r="BA238" i="13" s="1"/>
  <c r="X238" i="13"/>
  <c r="AZ238" i="13" s="1"/>
  <c r="W238" i="13"/>
  <c r="AY238" i="13" s="1"/>
  <c r="V238" i="13"/>
  <c r="U238" i="13"/>
  <c r="T238" i="13"/>
  <c r="S238" i="13"/>
  <c r="BI238" i="13" s="1"/>
  <c r="R238" i="13"/>
  <c r="AT238" i="13" s="1"/>
  <c r="Q238" i="13"/>
  <c r="AS238" i="13" s="1"/>
  <c r="P238" i="13"/>
  <c r="AR238" i="13" s="1"/>
  <c r="BP238" i="13"/>
  <c r="BG238" i="13"/>
  <c r="BA237" i="13"/>
  <c r="AZ237" i="13"/>
  <c r="AY237" i="13"/>
  <c r="AT237" i="13"/>
  <c r="AO237" i="13"/>
  <c r="AN237" i="13"/>
  <c r="AM237" i="13"/>
  <c r="AL237" i="13"/>
  <c r="AK237" i="13"/>
  <c r="AJ237" i="13"/>
  <c r="BL237" i="13" s="1"/>
  <c r="AI237" i="13"/>
  <c r="AH237" i="13"/>
  <c r="AG237" i="13"/>
  <c r="AF237" i="13"/>
  <c r="AE237" i="13"/>
  <c r="AD237" i="13"/>
  <c r="AA237" i="13"/>
  <c r="BC237" i="13" s="1"/>
  <c r="Z237" i="13"/>
  <c r="Y237" i="13"/>
  <c r="X237" i="13"/>
  <c r="W237" i="13"/>
  <c r="BM237" i="13" s="1"/>
  <c r="V237" i="13"/>
  <c r="U237" i="13"/>
  <c r="AW237" i="13" s="1"/>
  <c r="T237" i="13"/>
  <c r="AV237" i="13" s="1"/>
  <c r="S237" i="13"/>
  <c r="AU237" i="13" s="1"/>
  <c r="R237" i="13"/>
  <c r="Q237" i="13"/>
  <c r="P237" i="13"/>
  <c r="BK237" i="13"/>
  <c r="BG236" i="13"/>
  <c r="BC236" i="13"/>
  <c r="AO236" i="13"/>
  <c r="AN236" i="13"/>
  <c r="BP236" i="13" s="1"/>
  <c r="AM236" i="13"/>
  <c r="AL236" i="13"/>
  <c r="AK236" i="13"/>
  <c r="AJ236" i="13"/>
  <c r="AI236" i="13"/>
  <c r="AH236" i="13"/>
  <c r="AG236" i="13"/>
  <c r="AF236" i="13"/>
  <c r="BH236" i="13" s="1"/>
  <c r="AE236" i="13"/>
  <c r="AD236" i="13"/>
  <c r="BF236" i="13" s="1"/>
  <c r="AA236" i="13"/>
  <c r="BQ236" i="13" s="1"/>
  <c r="Z236" i="13"/>
  <c r="Y236" i="13"/>
  <c r="X236" i="13"/>
  <c r="W236" i="13"/>
  <c r="V236" i="13"/>
  <c r="BL236" i="13" s="1"/>
  <c r="U236" i="13"/>
  <c r="T236" i="13"/>
  <c r="S236" i="13"/>
  <c r="R236" i="13"/>
  <c r="Q236" i="13"/>
  <c r="P236" i="13"/>
  <c r="BO236" i="13"/>
  <c r="BN236" i="13"/>
  <c r="BI235" i="13"/>
  <c r="BB235" i="13"/>
  <c r="AS235" i="13"/>
  <c r="AO235" i="13"/>
  <c r="AN235" i="13"/>
  <c r="AM235" i="13"/>
  <c r="AL235" i="13"/>
  <c r="AK235" i="13"/>
  <c r="AJ235" i="13"/>
  <c r="AI235" i="13"/>
  <c r="BK235" i="13" s="1"/>
  <c r="AH235" i="13"/>
  <c r="AG235" i="13"/>
  <c r="AF235" i="13"/>
  <c r="AE235" i="13"/>
  <c r="AD235" i="13"/>
  <c r="AA235" i="13"/>
  <c r="Z235" i="13"/>
  <c r="BP235" i="13" s="1"/>
  <c r="Y235" i="13"/>
  <c r="X235" i="13"/>
  <c r="W235" i="13"/>
  <c r="V235" i="13"/>
  <c r="AX235" i="13" s="1"/>
  <c r="U235" i="13"/>
  <c r="T235" i="13"/>
  <c r="S235" i="13"/>
  <c r="R235" i="13"/>
  <c r="BH235" i="13" s="1"/>
  <c r="Q235" i="13"/>
  <c r="BG235" i="13" s="1"/>
  <c r="P235" i="13"/>
  <c r="BL235" i="13"/>
  <c r="BO234" i="13"/>
  <c r="BH234" i="13"/>
  <c r="AX234" i="13"/>
  <c r="AW234" i="13"/>
  <c r="AV234" i="13"/>
  <c r="AU234" i="13"/>
  <c r="AO234" i="13"/>
  <c r="AN234" i="13"/>
  <c r="AM234" i="13"/>
  <c r="AL234" i="13"/>
  <c r="BN234" i="13" s="1"/>
  <c r="AK234" i="13"/>
  <c r="BM234" i="13" s="1"/>
  <c r="AJ234" i="13"/>
  <c r="AI234" i="13"/>
  <c r="AH234" i="13"/>
  <c r="AG234" i="13"/>
  <c r="AF234" i="13"/>
  <c r="AE234" i="13"/>
  <c r="AD234" i="13"/>
  <c r="AA234" i="13"/>
  <c r="BQ234" i="13" s="1"/>
  <c r="Z234" i="13"/>
  <c r="BB234" i="13" s="1"/>
  <c r="Y234" i="13"/>
  <c r="BA234" i="13" s="1"/>
  <c r="X234" i="13"/>
  <c r="AZ234" i="13" s="1"/>
  <c r="W234" i="13"/>
  <c r="AY234" i="13" s="1"/>
  <c r="V234" i="13"/>
  <c r="U234" i="13"/>
  <c r="T234" i="13"/>
  <c r="S234" i="13"/>
  <c r="BI234" i="13" s="1"/>
  <c r="R234" i="13"/>
  <c r="AT234" i="13" s="1"/>
  <c r="Q234" i="13"/>
  <c r="AS234" i="13" s="1"/>
  <c r="P234" i="13"/>
  <c r="AR234" i="13" s="1"/>
  <c r="BP234" i="13"/>
  <c r="BG234" i="13"/>
  <c r="BF234" i="13"/>
  <c r="BQ233" i="13"/>
  <c r="BA233" i="13"/>
  <c r="AZ233" i="13"/>
  <c r="AY233" i="13"/>
  <c r="AT233" i="13"/>
  <c r="AO233" i="13"/>
  <c r="AN233" i="13"/>
  <c r="AM233" i="13"/>
  <c r="AL233" i="13"/>
  <c r="AK233" i="13"/>
  <c r="AJ233" i="13"/>
  <c r="BL233" i="13" s="1"/>
  <c r="AI233" i="13"/>
  <c r="AH233" i="13"/>
  <c r="AG233" i="13"/>
  <c r="AF233" i="13"/>
  <c r="AE233" i="13"/>
  <c r="AD233" i="13"/>
  <c r="AA233" i="13"/>
  <c r="BC233" i="13" s="1"/>
  <c r="Z233" i="13"/>
  <c r="Y233" i="13"/>
  <c r="BO233" i="13" s="1"/>
  <c r="X233" i="13"/>
  <c r="W233" i="13"/>
  <c r="BM233" i="13" s="1"/>
  <c r="V233" i="13"/>
  <c r="U233" i="13"/>
  <c r="AW233" i="13" s="1"/>
  <c r="T233" i="13"/>
  <c r="AV233" i="13" s="1"/>
  <c r="S233" i="13"/>
  <c r="AU233" i="13" s="1"/>
  <c r="R233" i="13"/>
  <c r="BH233" i="13" s="1"/>
  <c r="Q233" i="13"/>
  <c r="BG233" i="13" s="1"/>
  <c r="P233" i="13"/>
  <c r="BK233" i="13"/>
  <c r="BG232" i="13"/>
  <c r="BC232" i="13"/>
  <c r="AX232" i="13"/>
  <c r="AO232" i="13"/>
  <c r="AN232" i="13"/>
  <c r="BP232" i="13" s="1"/>
  <c r="AM232" i="13"/>
  <c r="AL232" i="13"/>
  <c r="AK232" i="13"/>
  <c r="AJ232" i="13"/>
  <c r="AI232" i="13"/>
  <c r="AH232" i="13"/>
  <c r="AG232" i="13"/>
  <c r="AF232" i="13"/>
  <c r="BH232" i="13" s="1"/>
  <c r="AE232" i="13"/>
  <c r="AD232" i="13"/>
  <c r="AA232" i="13"/>
  <c r="BQ232" i="13" s="1"/>
  <c r="Z232" i="13"/>
  <c r="Y232" i="13"/>
  <c r="X232" i="13"/>
  <c r="W232" i="13"/>
  <c r="V232" i="13"/>
  <c r="U232" i="13"/>
  <c r="T232" i="13"/>
  <c r="S232" i="13"/>
  <c r="R232" i="13"/>
  <c r="Q232" i="13"/>
  <c r="P232" i="13"/>
  <c r="BO232" i="13"/>
  <c r="BB231" i="13"/>
  <c r="AO231" i="13"/>
  <c r="AN231" i="13"/>
  <c r="AM231" i="13"/>
  <c r="AL231" i="13"/>
  <c r="AK231" i="13"/>
  <c r="AJ231" i="13"/>
  <c r="AI231" i="13"/>
  <c r="BK231" i="13" s="1"/>
  <c r="AH231" i="13"/>
  <c r="AG231" i="13"/>
  <c r="AF231" i="13"/>
  <c r="AE231" i="13"/>
  <c r="AD231" i="13"/>
  <c r="AA231" i="13"/>
  <c r="Z231" i="13"/>
  <c r="Y231" i="13"/>
  <c r="X231" i="13"/>
  <c r="W231" i="13"/>
  <c r="V231" i="13"/>
  <c r="AX231" i="13" s="1"/>
  <c r="U231" i="13"/>
  <c r="T231" i="13"/>
  <c r="S231" i="13"/>
  <c r="R231" i="13"/>
  <c r="Q231" i="13"/>
  <c r="P231" i="13"/>
  <c r="BL231" i="13"/>
  <c r="BO230" i="13"/>
  <c r="BH230" i="13"/>
  <c r="AX230" i="13"/>
  <c r="AW230" i="13"/>
  <c r="AV230" i="13"/>
  <c r="AU230" i="13"/>
  <c r="AO230" i="13"/>
  <c r="AN230" i="13"/>
  <c r="AM230" i="13"/>
  <c r="AL230" i="13"/>
  <c r="BN230" i="13" s="1"/>
  <c r="AK230" i="13"/>
  <c r="BM230" i="13" s="1"/>
  <c r="AJ230" i="13"/>
  <c r="AI230" i="13"/>
  <c r="AH230" i="13"/>
  <c r="AG230" i="13"/>
  <c r="AF230" i="13"/>
  <c r="AE230" i="13"/>
  <c r="AD230" i="13"/>
  <c r="AA230" i="13"/>
  <c r="BQ230" i="13" s="1"/>
  <c r="Z230" i="13"/>
  <c r="BB230" i="13" s="1"/>
  <c r="Y230" i="13"/>
  <c r="BA230" i="13" s="1"/>
  <c r="X230" i="13"/>
  <c r="AZ230" i="13" s="1"/>
  <c r="W230" i="13"/>
  <c r="AY230" i="13" s="1"/>
  <c r="V230" i="13"/>
  <c r="U230" i="13"/>
  <c r="T230" i="13"/>
  <c r="S230" i="13"/>
  <c r="BI230" i="13" s="1"/>
  <c r="R230" i="13"/>
  <c r="AT230" i="13" s="1"/>
  <c r="Q230" i="13"/>
  <c r="AS230" i="13" s="1"/>
  <c r="P230" i="13"/>
  <c r="AR230" i="13" s="1"/>
  <c r="BP230" i="13"/>
  <c r="BG230" i="13"/>
  <c r="BF230" i="13"/>
  <c r="BQ229" i="13"/>
  <c r="BA229" i="13"/>
  <c r="AZ229" i="13"/>
  <c r="AY229" i="13"/>
  <c r="AT229" i="13"/>
  <c r="AO229" i="13"/>
  <c r="AN229" i="13"/>
  <c r="AM229" i="13"/>
  <c r="AL229" i="13"/>
  <c r="AK229" i="13"/>
  <c r="AJ229" i="13"/>
  <c r="BL229" i="13" s="1"/>
  <c r="AI229" i="13"/>
  <c r="AH229" i="13"/>
  <c r="AG229" i="13"/>
  <c r="AF229" i="13"/>
  <c r="AE229" i="13"/>
  <c r="AD229" i="13"/>
  <c r="AA229" i="13"/>
  <c r="BC229" i="13" s="1"/>
  <c r="Z229" i="13"/>
  <c r="Y229" i="13"/>
  <c r="X229" i="13"/>
  <c r="W229" i="13"/>
  <c r="BM229" i="13" s="1"/>
  <c r="V229" i="13"/>
  <c r="U229" i="13"/>
  <c r="AW229" i="13" s="1"/>
  <c r="T229" i="13"/>
  <c r="AV229" i="13" s="1"/>
  <c r="S229" i="13"/>
  <c r="AU229" i="13" s="1"/>
  <c r="R229" i="13"/>
  <c r="Q229" i="13"/>
  <c r="P229" i="13"/>
  <c r="BK229" i="13"/>
  <c r="BJ229" i="13"/>
  <c r="BI229" i="13"/>
  <c r="BG228" i="13"/>
  <c r="BC228" i="13"/>
  <c r="AX228" i="13"/>
  <c r="AO228" i="13"/>
  <c r="AN228" i="13"/>
  <c r="BP228" i="13" s="1"/>
  <c r="AM228" i="13"/>
  <c r="AL228" i="13"/>
  <c r="AK228" i="13"/>
  <c r="BM228" i="13" s="1"/>
  <c r="AJ228" i="13"/>
  <c r="AI228" i="13"/>
  <c r="AH228" i="13"/>
  <c r="AG228" i="13"/>
  <c r="AF228" i="13"/>
  <c r="BH228" i="13" s="1"/>
  <c r="AE228" i="13"/>
  <c r="AD228" i="13"/>
  <c r="BF228" i="13" s="1"/>
  <c r="AA228" i="13"/>
  <c r="BQ228" i="13" s="1"/>
  <c r="Z228" i="13"/>
  <c r="Y228" i="13"/>
  <c r="X228" i="13"/>
  <c r="W228" i="13"/>
  <c r="V228" i="13"/>
  <c r="U228" i="13"/>
  <c r="T228" i="13"/>
  <c r="S228" i="13"/>
  <c r="R228" i="13"/>
  <c r="Q228" i="13"/>
  <c r="P228" i="13"/>
  <c r="BO228" i="13"/>
  <c r="BB227" i="13"/>
  <c r="AO227" i="13"/>
  <c r="AN227" i="13"/>
  <c r="AM227" i="13"/>
  <c r="AL227" i="13"/>
  <c r="AK227" i="13"/>
  <c r="AJ227" i="13"/>
  <c r="AI227" i="13"/>
  <c r="BK227" i="13" s="1"/>
  <c r="AH227" i="13"/>
  <c r="BJ227" i="13" s="1"/>
  <c r="AG227" i="13"/>
  <c r="AF227" i="13"/>
  <c r="AE227" i="13"/>
  <c r="AD227" i="13"/>
  <c r="AA227" i="13"/>
  <c r="Z227" i="13"/>
  <c r="Y227" i="13"/>
  <c r="X227" i="13"/>
  <c r="W227" i="13"/>
  <c r="V227" i="13"/>
  <c r="U227" i="13"/>
  <c r="T227" i="13"/>
  <c r="S227" i="13"/>
  <c r="R227" i="13"/>
  <c r="AT227" i="13" s="1"/>
  <c r="Q227" i="13"/>
  <c r="P227" i="13"/>
  <c r="BQ227" i="13"/>
  <c r="BP227" i="13"/>
  <c r="BH227" i="13"/>
  <c r="BC226" i="13"/>
  <c r="BB226" i="13"/>
  <c r="AU226" i="13"/>
  <c r="AO226" i="13"/>
  <c r="AN226" i="13"/>
  <c r="AM226" i="13"/>
  <c r="AL226" i="13"/>
  <c r="AK226" i="13"/>
  <c r="AJ226" i="13"/>
  <c r="AX226" i="13" s="1"/>
  <c r="AI226" i="13"/>
  <c r="AH226" i="13"/>
  <c r="AV226" i="13" s="1"/>
  <c r="AG226" i="13"/>
  <c r="AF226" i="13"/>
  <c r="AE226" i="13"/>
  <c r="AD226" i="13"/>
  <c r="AA226" i="13"/>
  <c r="Z226" i="13"/>
  <c r="BP226" i="13" s="1"/>
  <c r="Y226" i="13"/>
  <c r="X226" i="13"/>
  <c r="W226" i="13"/>
  <c r="V226" i="13"/>
  <c r="U226" i="13"/>
  <c r="AW226" i="13" s="1"/>
  <c r="T226" i="13"/>
  <c r="S226" i="13"/>
  <c r="R226" i="13"/>
  <c r="BH226" i="13" s="1"/>
  <c r="Q226" i="13"/>
  <c r="P226" i="13"/>
  <c r="BQ226" i="13"/>
  <c r="BL226" i="13"/>
  <c r="BK226" i="13"/>
  <c r="BI226" i="13"/>
  <c r="BM225" i="13"/>
  <c r="AV225" i="13"/>
  <c r="AU225" i="13"/>
  <c r="AO225" i="13"/>
  <c r="AO244" i="13" s="1"/>
  <c r="AN225" i="13"/>
  <c r="AM225" i="13"/>
  <c r="AM244" i="13" s="1"/>
  <c r="AL225" i="13"/>
  <c r="AL244" i="13" s="1"/>
  <c r="AK225" i="13"/>
  <c r="AK244" i="13" s="1"/>
  <c r="AJ225" i="13"/>
  <c r="AI225" i="13"/>
  <c r="AH225" i="13"/>
  <c r="AG225" i="13"/>
  <c r="AF225" i="13"/>
  <c r="AE225" i="13"/>
  <c r="AE244" i="13" s="1"/>
  <c r="AD225" i="13"/>
  <c r="AD244" i="13" s="1"/>
  <c r="AA225" i="13"/>
  <c r="Z225" i="13"/>
  <c r="Y225" i="13"/>
  <c r="BA225" i="13" s="1"/>
  <c r="X225" i="13"/>
  <c r="W225" i="13"/>
  <c r="W244" i="13" s="1"/>
  <c r="V225" i="13"/>
  <c r="U225" i="13"/>
  <c r="AW225" i="13" s="1"/>
  <c r="T225" i="13"/>
  <c r="S225" i="13"/>
  <c r="R225" i="13"/>
  <c r="Q225" i="13"/>
  <c r="AS225" i="13" s="1"/>
  <c r="P225" i="13"/>
  <c r="AR225" i="13" s="1"/>
  <c r="BQ224" i="13"/>
  <c r="AZ224" i="13"/>
  <c r="AY224" i="13"/>
  <c r="AS224" i="13"/>
  <c r="AO224" i="13"/>
  <c r="AN224" i="13"/>
  <c r="AM224" i="13"/>
  <c r="AL224" i="13"/>
  <c r="AK224" i="13"/>
  <c r="AJ224" i="13"/>
  <c r="AI224" i="13"/>
  <c r="AH224" i="13"/>
  <c r="AG224" i="13"/>
  <c r="AF224" i="13"/>
  <c r="AE224" i="13"/>
  <c r="AD224" i="13"/>
  <c r="AA224" i="13"/>
  <c r="BC224" i="13" s="1"/>
  <c r="Z224" i="13"/>
  <c r="Y224" i="13"/>
  <c r="X224" i="13"/>
  <c r="W224" i="13"/>
  <c r="V224" i="13"/>
  <c r="U224" i="13"/>
  <c r="T224" i="13"/>
  <c r="AV224" i="13" s="1"/>
  <c r="S224" i="13"/>
  <c r="AU224" i="13" s="1"/>
  <c r="R224" i="13"/>
  <c r="Q224" i="13"/>
  <c r="BG224" i="13" s="1"/>
  <c r="P224" i="13"/>
  <c r="BI224" i="13"/>
  <c r="BC223" i="13"/>
  <c r="AX223" i="13"/>
  <c r="AW223" i="13"/>
  <c r="AO223" i="13"/>
  <c r="AN223" i="13"/>
  <c r="AM223" i="13"/>
  <c r="AL223" i="13"/>
  <c r="AK223" i="13"/>
  <c r="BM223" i="13" s="1"/>
  <c r="AJ223" i="13"/>
  <c r="AI223" i="13"/>
  <c r="AH223" i="13"/>
  <c r="AG223" i="13"/>
  <c r="AF223" i="13"/>
  <c r="AE223" i="13"/>
  <c r="AD223" i="13"/>
  <c r="AA223" i="13"/>
  <c r="Z223" i="13"/>
  <c r="BB223" i="13" s="1"/>
  <c r="Y223" i="13"/>
  <c r="X223" i="13"/>
  <c r="W223" i="13"/>
  <c r="V223" i="13"/>
  <c r="BL223" i="13" s="1"/>
  <c r="U223" i="13"/>
  <c r="BK223" i="13" s="1"/>
  <c r="T223" i="13"/>
  <c r="S223" i="13"/>
  <c r="R223" i="13"/>
  <c r="AT223" i="13" s="1"/>
  <c r="Q223" i="13"/>
  <c r="P223" i="13"/>
  <c r="BI222" i="13"/>
  <c r="BB222" i="13"/>
  <c r="BA222" i="13"/>
  <c r="AO222" i="13"/>
  <c r="AN222" i="13"/>
  <c r="AM222" i="13"/>
  <c r="AL222" i="13"/>
  <c r="AK222" i="13"/>
  <c r="AJ222" i="13"/>
  <c r="AI222" i="13"/>
  <c r="AH222" i="13"/>
  <c r="AG222" i="13"/>
  <c r="AF222" i="13"/>
  <c r="AE222" i="13"/>
  <c r="AD222" i="13"/>
  <c r="AA222" i="13"/>
  <c r="Z222" i="13"/>
  <c r="BP222" i="13" s="1"/>
  <c r="Y222" i="13"/>
  <c r="BO222" i="13" s="1"/>
  <c r="X222" i="13"/>
  <c r="BN222" i="13" s="1"/>
  <c r="W222" i="13"/>
  <c r="V222" i="13"/>
  <c r="AX222" i="13" s="1"/>
  <c r="U222" i="13"/>
  <c r="AW222" i="13" s="1"/>
  <c r="T222" i="13"/>
  <c r="S222" i="13"/>
  <c r="R222" i="13"/>
  <c r="BH222" i="13" s="1"/>
  <c r="Q222" i="13"/>
  <c r="BG222" i="13" s="1"/>
  <c r="P222" i="13"/>
  <c r="BF222" i="13" s="1"/>
  <c r="BQ222" i="13"/>
  <c r="BL222" i="13"/>
  <c r="BK222" i="13"/>
  <c r="BM221" i="13"/>
  <c r="AV221" i="13"/>
  <c r="AU221" i="13"/>
  <c r="AO221" i="13"/>
  <c r="AN221" i="13"/>
  <c r="AM221" i="13"/>
  <c r="AL221" i="13"/>
  <c r="BN221" i="13" s="1"/>
  <c r="AK221" i="13"/>
  <c r="AJ221" i="13"/>
  <c r="AI221" i="13"/>
  <c r="AH221" i="13"/>
  <c r="AG221" i="13"/>
  <c r="AF221" i="13"/>
  <c r="AE221" i="13"/>
  <c r="AD221" i="13"/>
  <c r="AA221" i="13"/>
  <c r="Z221" i="13"/>
  <c r="Y221" i="13"/>
  <c r="BA221" i="13" s="1"/>
  <c r="X221" i="13"/>
  <c r="AZ221" i="13" s="1"/>
  <c r="W221" i="13"/>
  <c r="AY221" i="13" s="1"/>
  <c r="V221" i="13"/>
  <c r="U221" i="13"/>
  <c r="BK221" i="13" s="1"/>
  <c r="T221" i="13"/>
  <c r="BJ221" i="13" s="1"/>
  <c r="S221" i="13"/>
  <c r="R221" i="13"/>
  <c r="Q221" i="13"/>
  <c r="AS221" i="13" s="1"/>
  <c r="P221" i="13"/>
  <c r="AR221" i="13" s="1"/>
  <c r="BQ220" i="13"/>
  <c r="AZ220" i="13"/>
  <c r="AY220" i="13"/>
  <c r="AS220" i="13"/>
  <c r="AO220" i="13"/>
  <c r="AN220" i="13"/>
  <c r="AM220" i="13"/>
  <c r="AL220" i="13"/>
  <c r="AK220" i="13"/>
  <c r="AJ220" i="13"/>
  <c r="AI220" i="13"/>
  <c r="AH220" i="13"/>
  <c r="AG220" i="13"/>
  <c r="AF220" i="13"/>
  <c r="AE220" i="13"/>
  <c r="AD220" i="13"/>
  <c r="AA220" i="13"/>
  <c r="BC220" i="13" s="1"/>
  <c r="Z220" i="13"/>
  <c r="Y220" i="13"/>
  <c r="X220" i="13"/>
  <c r="BN220" i="13" s="1"/>
  <c r="W220" i="13"/>
  <c r="BM220" i="13" s="1"/>
  <c r="V220" i="13"/>
  <c r="U220" i="13"/>
  <c r="T220" i="13"/>
  <c r="AV220" i="13" s="1"/>
  <c r="S220" i="13"/>
  <c r="AU220" i="13" s="1"/>
  <c r="R220" i="13"/>
  <c r="BH220" i="13" s="1"/>
  <c r="Q220" i="13"/>
  <c r="BG220" i="13" s="1"/>
  <c r="P220" i="13"/>
  <c r="BF220" i="13" s="1"/>
  <c r="BI220" i="13"/>
  <c r="BP219" i="13"/>
  <c r="BC219" i="13"/>
  <c r="AX219" i="13"/>
  <c r="AW219" i="13"/>
  <c r="AO219" i="13"/>
  <c r="AN219" i="13"/>
  <c r="AM219" i="13"/>
  <c r="AL219" i="13"/>
  <c r="AK219" i="13"/>
  <c r="AJ219" i="13"/>
  <c r="AI219" i="13"/>
  <c r="AH219" i="13"/>
  <c r="AG219" i="13"/>
  <c r="AF219" i="13"/>
  <c r="AE219" i="13"/>
  <c r="AD219" i="13"/>
  <c r="AA219" i="13"/>
  <c r="BQ219" i="13" s="1"/>
  <c r="Z219" i="13"/>
  <c r="BB219" i="13" s="1"/>
  <c r="Y219" i="13"/>
  <c r="X219" i="13"/>
  <c r="W219" i="13"/>
  <c r="V219" i="13"/>
  <c r="BL219" i="13" s="1"/>
  <c r="U219" i="13"/>
  <c r="BK219" i="13" s="1"/>
  <c r="T219" i="13"/>
  <c r="S219" i="13"/>
  <c r="AU219" i="13" s="1"/>
  <c r="R219" i="13"/>
  <c r="AT219" i="13" s="1"/>
  <c r="Q219" i="13"/>
  <c r="P219" i="13"/>
  <c r="BM219" i="13"/>
  <c r="BI219" i="13"/>
  <c r="BH219" i="13"/>
  <c r="AU218" i="13"/>
  <c r="AT218" i="13"/>
  <c r="AS218" i="13"/>
  <c r="AO218" i="13"/>
  <c r="AN218" i="13"/>
  <c r="AM218" i="13"/>
  <c r="AL218" i="13"/>
  <c r="AK218" i="13"/>
  <c r="AJ218" i="13"/>
  <c r="BL218" i="13" s="1"/>
  <c r="AI218" i="13"/>
  <c r="BK218" i="13" s="1"/>
  <c r="AH218" i="13"/>
  <c r="AG218" i="13"/>
  <c r="AF218" i="13"/>
  <c r="AE218" i="13"/>
  <c r="AD218" i="13"/>
  <c r="AA218" i="13"/>
  <c r="Z218" i="13"/>
  <c r="Y218" i="13"/>
  <c r="X218" i="13"/>
  <c r="W218" i="13"/>
  <c r="V218" i="13"/>
  <c r="U218" i="13"/>
  <c r="T218" i="13"/>
  <c r="AV218" i="13" s="1"/>
  <c r="S218" i="13"/>
  <c r="R218" i="13"/>
  <c r="BH218" i="13" s="1"/>
  <c r="Q218" i="13"/>
  <c r="BG218" i="13" s="1"/>
  <c r="P218" i="13"/>
  <c r="BI218" i="13"/>
  <c r="AV217" i="13"/>
  <c r="AO217" i="13"/>
  <c r="AO242" i="13" s="1"/>
  <c r="AN217" i="13"/>
  <c r="AM217" i="13"/>
  <c r="AL217" i="13"/>
  <c r="AK217" i="13"/>
  <c r="AJ217" i="13"/>
  <c r="AI217" i="13"/>
  <c r="AH217" i="13"/>
  <c r="AG217" i="13"/>
  <c r="AU217" i="13" s="1"/>
  <c r="AF217" i="13"/>
  <c r="AE217" i="13"/>
  <c r="AD217" i="13"/>
  <c r="AA217" i="13"/>
  <c r="Z217" i="13"/>
  <c r="Y217" i="13"/>
  <c r="BA217" i="13" s="1"/>
  <c r="X217" i="13"/>
  <c r="AZ217" i="13" s="1"/>
  <c r="W217" i="13"/>
  <c r="V217" i="13"/>
  <c r="U217" i="13"/>
  <c r="BK217" i="13" s="1"/>
  <c r="T217" i="13"/>
  <c r="S217" i="13"/>
  <c r="R217" i="13"/>
  <c r="Q217" i="13"/>
  <c r="AS217" i="13" s="1"/>
  <c r="P217" i="13"/>
  <c r="AR217" i="13" s="1"/>
  <c r="BQ217" i="13"/>
  <c r="BQ216" i="13"/>
  <c r="BC216" i="13"/>
  <c r="BB216" i="13"/>
  <c r="BA216" i="13"/>
  <c r="AO216" i="13"/>
  <c r="AN216" i="13"/>
  <c r="AM216" i="13"/>
  <c r="AL216" i="13"/>
  <c r="AK216" i="13"/>
  <c r="AJ216" i="13"/>
  <c r="AI216" i="13"/>
  <c r="BK216" i="13" s="1"/>
  <c r="AH216" i="13"/>
  <c r="BJ216" i="13" s="1"/>
  <c r="AG216" i="13"/>
  <c r="AF216" i="13"/>
  <c r="AE216" i="13"/>
  <c r="AD216" i="13"/>
  <c r="AA216" i="13"/>
  <c r="Z216" i="13"/>
  <c r="BP216" i="13" s="1"/>
  <c r="Y216" i="13"/>
  <c r="BO216" i="13" s="1"/>
  <c r="X216" i="13"/>
  <c r="W216" i="13"/>
  <c r="AY216" i="13" s="1"/>
  <c r="V216" i="13"/>
  <c r="AX216" i="13" s="1"/>
  <c r="U216" i="13"/>
  <c r="T216" i="13"/>
  <c r="S216" i="13"/>
  <c r="AU216" i="13" s="1"/>
  <c r="R216" i="13"/>
  <c r="BH216" i="13" s="1"/>
  <c r="Q216" i="13"/>
  <c r="BG216" i="13" s="1"/>
  <c r="P216" i="13"/>
  <c r="BF216" i="13" s="1"/>
  <c r="BC215" i="13"/>
  <c r="AY215" i="13"/>
  <c r="AX215" i="13"/>
  <c r="AO215" i="13"/>
  <c r="AN215" i="13"/>
  <c r="AM215" i="13"/>
  <c r="AL215" i="13"/>
  <c r="AK215" i="13"/>
  <c r="AJ215" i="13"/>
  <c r="AI215" i="13"/>
  <c r="AH215" i="13"/>
  <c r="AG215" i="13"/>
  <c r="AF215" i="13"/>
  <c r="BH215" i="13" s="1"/>
  <c r="AE215" i="13"/>
  <c r="AD215" i="13"/>
  <c r="AA215" i="13"/>
  <c r="Z215" i="13"/>
  <c r="Y215" i="13"/>
  <c r="X215" i="13"/>
  <c r="W215" i="13"/>
  <c r="V215" i="13"/>
  <c r="BL215" i="13" s="1"/>
  <c r="U215" i="13"/>
  <c r="T215" i="13"/>
  <c r="T245" i="13" s="1"/>
  <c r="S215" i="13"/>
  <c r="R215" i="13"/>
  <c r="Q215" i="13"/>
  <c r="P215" i="13"/>
  <c r="BM215" i="13"/>
  <c r="BK214" i="13"/>
  <c r="BA214" i="13"/>
  <c r="AZ214" i="13"/>
  <c r="AY214" i="13"/>
  <c r="AU214" i="13"/>
  <c r="AO214" i="13"/>
  <c r="AN214" i="13"/>
  <c r="AM214" i="13"/>
  <c r="AL214" i="13"/>
  <c r="AK214" i="13"/>
  <c r="AJ214" i="13"/>
  <c r="AI214" i="13"/>
  <c r="AH214" i="13"/>
  <c r="AG214" i="13"/>
  <c r="AF214" i="13"/>
  <c r="AE214" i="13"/>
  <c r="AD214" i="13"/>
  <c r="AA214" i="13"/>
  <c r="Z214" i="13"/>
  <c r="BP214" i="13" s="1"/>
  <c r="Y214" i="13"/>
  <c r="BO214" i="13" s="1"/>
  <c r="X214" i="13"/>
  <c r="BN214" i="13" s="1"/>
  <c r="W214" i="13"/>
  <c r="V214" i="13"/>
  <c r="AX214" i="13" s="1"/>
  <c r="U214" i="13"/>
  <c r="AW214" i="13" s="1"/>
  <c r="T214" i="13"/>
  <c r="AV214" i="13" s="1"/>
  <c r="S214" i="13"/>
  <c r="BI214" i="13" s="1"/>
  <c r="R214" i="13"/>
  <c r="BH214" i="13" s="1"/>
  <c r="Q214" i="13"/>
  <c r="BG214" i="13" s="1"/>
  <c r="P214" i="13"/>
  <c r="BF214" i="13" s="1"/>
  <c r="BM213" i="13"/>
  <c r="AX213" i="13"/>
  <c r="AW213" i="13"/>
  <c r="AV213" i="13"/>
  <c r="AU213" i="13"/>
  <c r="AO213" i="13"/>
  <c r="AN213" i="13"/>
  <c r="AM213" i="13"/>
  <c r="AL213" i="13"/>
  <c r="AK213" i="13"/>
  <c r="AJ213" i="13"/>
  <c r="AI213" i="13"/>
  <c r="AH213" i="13"/>
  <c r="AG213" i="13"/>
  <c r="AF213" i="13"/>
  <c r="AE213" i="13"/>
  <c r="AD213" i="13"/>
  <c r="AA213" i="13"/>
  <c r="Z213" i="13"/>
  <c r="BB213" i="13" s="1"/>
  <c r="Y213" i="13"/>
  <c r="BA213" i="13" s="1"/>
  <c r="X213" i="13"/>
  <c r="AZ213" i="13" s="1"/>
  <c r="W213" i="13"/>
  <c r="AY213" i="13" s="1"/>
  <c r="V213" i="13"/>
  <c r="BL213" i="13" s="1"/>
  <c r="U213" i="13"/>
  <c r="BK213" i="13" s="1"/>
  <c r="T213" i="13"/>
  <c r="S213" i="13"/>
  <c r="R213" i="13"/>
  <c r="AT213" i="13" s="1"/>
  <c r="Q213" i="13"/>
  <c r="AS213" i="13" s="1"/>
  <c r="P213" i="13"/>
  <c r="AR213" i="13" s="1"/>
  <c r="BP213" i="13"/>
  <c r="BI212" i="13"/>
  <c r="BC212" i="13"/>
  <c r="AO212" i="13"/>
  <c r="AN212" i="13"/>
  <c r="AM212" i="13"/>
  <c r="AL212" i="13"/>
  <c r="AK212" i="13"/>
  <c r="AJ212" i="13"/>
  <c r="AI212" i="13"/>
  <c r="AH212" i="13"/>
  <c r="AG212" i="13"/>
  <c r="AF212" i="13"/>
  <c r="AE212" i="13"/>
  <c r="AD212" i="13"/>
  <c r="AA212" i="13"/>
  <c r="Z212" i="13"/>
  <c r="Y212" i="13"/>
  <c r="X212" i="13"/>
  <c r="W212" i="13"/>
  <c r="AY212" i="13" s="1"/>
  <c r="V212" i="13"/>
  <c r="U212" i="13"/>
  <c r="T212" i="13"/>
  <c r="S212" i="13"/>
  <c r="AU212" i="13" s="1"/>
  <c r="R212" i="13"/>
  <c r="Q212" i="13"/>
  <c r="P212" i="13"/>
  <c r="BQ211" i="13"/>
  <c r="BG211" i="13"/>
  <c r="BC211" i="13"/>
  <c r="AO211" i="13"/>
  <c r="AN211" i="13"/>
  <c r="AN242" i="13" s="1"/>
  <c r="AM211" i="13"/>
  <c r="AL211" i="13"/>
  <c r="AK211" i="13"/>
  <c r="AJ211" i="13"/>
  <c r="AI211" i="13"/>
  <c r="AH211" i="13"/>
  <c r="AG211" i="13"/>
  <c r="AU211" i="13" s="1"/>
  <c r="AF211" i="13"/>
  <c r="AE211" i="13"/>
  <c r="AD211" i="13"/>
  <c r="AA211" i="13"/>
  <c r="Z211" i="13"/>
  <c r="Y211" i="13"/>
  <c r="X211" i="13"/>
  <c r="AZ211" i="13" s="1"/>
  <c r="W211" i="13"/>
  <c r="V211" i="13"/>
  <c r="U211" i="13"/>
  <c r="T211" i="13"/>
  <c r="BJ211" i="13" s="1"/>
  <c r="S211" i="13"/>
  <c r="BI211" i="13" s="1"/>
  <c r="R211" i="13"/>
  <c r="Q211" i="13"/>
  <c r="P211" i="13"/>
  <c r="AR211" i="13" s="1"/>
  <c r="BQ210" i="13"/>
  <c r="BB210" i="13"/>
  <c r="BA210" i="13"/>
  <c r="AZ210" i="13"/>
  <c r="AO210" i="13"/>
  <c r="AN210" i="13"/>
  <c r="AM210" i="13"/>
  <c r="AM245" i="13" s="1"/>
  <c r="AL210" i="13"/>
  <c r="AK210" i="13"/>
  <c r="AK245" i="13" s="1"/>
  <c r="AJ210" i="13"/>
  <c r="AI210" i="13"/>
  <c r="AH210" i="13"/>
  <c r="AG210" i="13"/>
  <c r="AF210" i="13"/>
  <c r="AF241" i="13" s="1"/>
  <c r="AE210" i="13"/>
  <c r="AE241" i="13" s="1"/>
  <c r="AD210" i="13"/>
  <c r="AA210" i="13"/>
  <c r="AA243" i="13" s="1"/>
  <c r="Z210" i="13"/>
  <c r="Y210" i="13"/>
  <c r="X210" i="13"/>
  <c r="W210" i="13"/>
  <c r="V210" i="13"/>
  <c r="U210" i="13"/>
  <c r="U245" i="13" s="1"/>
  <c r="T210" i="13"/>
  <c r="S210" i="13"/>
  <c r="R210" i="13"/>
  <c r="Q210" i="13"/>
  <c r="P210" i="13"/>
  <c r="BB200" i="13"/>
  <c r="AW200" i="13"/>
  <c r="AU200" i="13"/>
  <c r="AO200" i="13"/>
  <c r="AN200" i="13"/>
  <c r="AM200" i="13"/>
  <c r="BO200" i="13" s="1"/>
  <c r="AL200" i="13"/>
  <c r="AK200" i="13"/>
  <c r="AJ200" i="13"/>
  <c r="AI200" i="13"/>
  <c r="AH200" i="13"/>
  <c r="AG200" i="13"/>
  <c r="AF200" i="13"/>
  <c r="AE200" i="13"/>
  <c r="AD200" i="13"/>
  <c r="AA200" i="13"/>
  <c r="Z200" i="13"/>
  <c r="BP200" i="13" s="1"/>
  <c r="Y200" i="13"/>
  <c r="BA200" i="13" s="1"/>
  <c r="X200" i="13"/>
  <c r="W200" i="13"/>
  <c r="V200" i="13"/>
  <c r="U200" i="13"/>
  <c r="BK200" i="13" s="1"/>
  <c r="T200" i="13"/>
  <c r="S200" i="13"/>
  <c r="BI200" i="13" s="1"/>
  <c r="R200" i="13"/>
  <c r="BH200" i="13" s="1"/>
  <c r="Q200" i="13"/>
  <c r="AS200" i="13" s="1"/>
  <c r="P200" i="13"/>
  <c r="BL200" i="13"/>
  <c r="BG200" i="13"/>
  <c r="BQ199" i="13"/>
  <c r="BA199" i="13"/>
  <c r="AZ199" i="13"/>
  <c r="AY199" i="13"/>
  <c r="AO199" i="13"/>
  <c r="AN199" i="13"/>
  <c r="AM199" i="13"/>
  <c r="AL199" i="13"/>
  <c r="AK199" i="13"/>
  <c r="AJ199" i="13"/>
  <c r="AI199" i="13"/>
  <c r="AH199" i="13"/>
  <c r="AG199" i="13"/>
  <c r="AF199" i="13"/>
  <c r="AE199" i="13"/>
  <c r="AD199" i="13"/>
  <c r="AA199" i="13"/>
  <c r="BC199" i="13" s="1"/>
  <c r="Z199" i="13"/>
  <c r="Y199" i="13"/>
  <c r="X199" i="13"/>
  <c r="W199" i="13"/>
  <c r="BM199" i="13" s="1"/>
  <c r="V199" i="13"/>
  <c r="U199" i="13"/>
  <c r="AW199" i="13" s="1"/>
  <c r="T199" i="13"/>
  <c r="AV199" i="13" s="1"/>
  <c r="S199" i="13"/>
  <c r="AU199" i="13" s="1"/>
  <c r="R199" i="13"/>
  <c r="Q199" i="13"/>
  <c r="P199" i="13"/>
  <c r="BK199" i="13"/>
  <c r="BJ199" i="13"/>
  <c r="BI199" i="13"/>
  <c r="BG198" i="13"/>
  <c r="BC198" i="13"/>
  <c r="AV198" i="13"/>
  <c r="AT198" i="13"/>
  <c r="AO198" i="13"/>
  <c r="AN198" i="13"/>
  <c r="AM198" i="13"/>
  <c r="AL198" i="13"/>
  <c r="AK198" i="13"/>
  <c r="AJ198" i="13"/>
  <c r="AI198" i="13"/>
  <c r="AH198" i="13"/>
  <c r="AG198" i="13"/>
  <c r="AF198" i="13"/>
  <c r="AE198" i="13"/>
  <c r="AD198" i="13"/>
  <c r="AA198" i="13"/>
  <c r="BQ198" i="13" s="1"/>
  <c r="Z198" i="13"/>
  <c r="BP198" i="13" s="1"/>
  <c r="Y198" i="13"/>
  <c r="X198" i="13"/>
  <c r="W198" i="13"/>
  <c r="AY198" i="13" s="1"/>
  <c r="V198" i="13"/>
  <c r="AX198" i="13" s="1"/>
  <c r="U198" i="13"/>
  <c r="T198" i="13"/>
  <c r="S198" i="13"/>
  <c r="BI198" i="13" s="1"/>
  <c r="R198" i="13"/>
  <c r="BH198" i="13" s="1"/>
  <c r="Q198" i="13"/>
  <c r="P198" i="13"/>
  <c r="BO198" i="13"/>
  <c r="BM198" i="13"/>
  <c r="BQ197" i="13"/>
  <c r="BP197" i="13"/>
  <c r="BA197" i="13"/>
  <c r="AX197" i="13"/>
  <c r="AV197" i="13"/>
  <c r="AS197" i="13"/>
  <c r="AO197" i="13"/>
  <c r="AN197" i="13"/>
  <c r="AM197" i="13"/>
  <c r="AL197" i="13"/>
  <c r="AK197" i="13"/>
  <c r="AJ197" i="13"/>
  <c r="AI197" i="13"/>
  <c r="AH197" i="13"/>
  <c r="AG197" i="13"/>
  <c r="AF197" i="13"/>
  <c r="AE197" i="13"/>
  <c r="AD197" i="13"/>
  <c r="AA197" i="13"/>
  <c r="Z197" i="13"/>
  <c r="BB197" i="13" s="1"/>
  <c r="Y197" i="13"/>
  <c r="X197" i="13"/>
  <c r="AZ197" i="13" s="1"/>
  <c r="W197" i="13"/>
  <c r="V197" i="13"/>
  <c r="BL197" i="13" s="1"/>
  <c r="U197" i="13"/>
  <c r="AW197" i="13" s="1"/>
  <c r="T197" i="13"/>
  <c r="S197" i="13"/>
  <c r="R197" i="13"/>
  <c r="AT197" i="13" s="1"/>
  <c r="Q197" i="13"/>
  <c r="P197" i="13"/>
  <c r="BJ197" i="13"/>
  <c r="BI197" i="13"/>
  <c r="BB196" i="13"/>
  <c r="AZ196" i="13"/>
  <c r="AW196" i="13"/>
  <c r="AU196" i="13"/>
  <c r="AO196" i="13"/>
  <c r="AN196" i="13"/>
  <c r="AM196" i="13"/>
  <c r="AL196" i="13"/>
  <c r="AK196" i="13"/>
  <c r="AJ196" i="13"/>
  <c r="AI196" i="13"/>
  <c r="AH196" i="13"/>
  <c r="AG196" i="13"/>
  <c r="AF196" i="13"/>
  <c r="AE196" i="13"/>
  <c r="BG196" i="13" s="1"/>
  <c r="AD196" i="13"/>
  <c r="AA196" i="13"/>
  <c r="Z196" i="13"/>
  <c r="BP196" i="13" s="1"/>
  <c r="Y196" i="13"/>
  <c r="BA196" i="13" s="1"/>
  <c r="X196" i="13"/>
  <c r="W196" i="13"/>
  <c r="V196" i="13"/>
  <c r="AX196" i="13" s="1"/>
  <c r="U196" i="13"/>
  <c r="BK196" i="13" s="1"/>
  <c r="T196" i="13"/>
  <c r="S196" i="13"/>
  <c r="BI196" i="13" s="1"/>
  <c r="R196" i="13"/>
  <c r="BH196" i="13" s="1"/>
  <c r="Q196" i="13"/>
  <c r="AS196" i="13" s="1"/>
  <c r="P196" i="13"/>
  <c r="AR196" i="13" s="1"/>
  <c r="BN196" i="13"/>
  <c r="BP195" i="13"/>
  <c r="BO195" i="13"/>
  <c r="AO195" i="13"/>
  <c r="AN195" i="13"/>
  <c r="AM195" i="13"/>
  <c r="BA195" i="13" s="1"/>
  <c r="AL195" i="13"/>
  <c r="AK195" i="13"/>
  <c r="AJ195" i="13"/>
  <c r="AI195" i="13"/>
  <c r="AH195" i="13"/>
  <c r="AG195" i="13"/>
  <c r="AF195" i="13"/>
  <c r="AE195" i="13"/>
  <c r="AD195" i="13"/>
  <c r="AA195" i="13"/>
  <c r="Z195" i="13"/>
  <c r="Y195" i="13"/>
  <c r="X195" i="13"/>
  <c r="W195" i="13"/>
  <c r="BM195" i="13" s="1"/>
  <c r="V195" i="13"/>
  <c r="BL195" i="13" s="1"/>
  <c r="U195" i="13"/>
  <c r="T195" i="13"/>
  <c r="S195" i="13"/>
  <c r="R195" i="13"/>
  <c r="Q195" i="13"/>
  <c r="P195" i="13"/>
  <c r="BF195" i="13" s="1"/>
  <c r="BB194" i="13"/>
  <c r="BA194" i="13"/>
  <c r="AZ194" i="13"/>
  <c r="AW194" i="13"/>
  <c r="AO194" i="13"/>
  <c r="AN194" i="13"/>
  <c r="AM194" i="13"/>
  <c r="BO194" i="13" s="1"/>
  <c r="AL194" i="13"/>
  <c r="AK194" i="13"/>
  <c r="AJ194" i="13"/>
  <c r="AI194" i="13"/>
  <c r="AH194" i="13"/>
  <c r="AG194" i="13"/>
  <c r="AF194" i="13"/>
  <c r="AE194" i="13"/>
  <c r="AD194" i="13"/>
  <c r="AA194" i="13"/>
  <c r="BC194" i="13" s="1"/>
  <c r="Z194" i="13"/>
  <c r="BP194" i="13" s="1"/>
  <c r="Y194" i="13"/>
  <c r="X194" i="13"/>
  <c r="W194" i="13"/>
  <c r="V194" i="13"/>
  <c r="AX194" i="13" s="1"/>
  <c r="U194" i="13"/>
  <c r="T194" i="13"/>
  <c r="AV194" i="13" s="1"/>
  <c r="S194" i="13"/>
  <c r="AU194" i="13" s="1"/>
  <c r="R194" i="13"/>
  <c r="BH194" i="13" s="1"/>
  <c r="Q194" i="13"/>
  <c r="AS194" i="13" s="1"/>
  <c r="P194" i="13"/>
  <c r="BQ194" i="13"/>
  <c r="BI194" i="13"/>
  <c r="BG194" i="13"/>
  <c r="AZ193" i="13"/>
  <c r="AW193" i="13"/>
  <c r="AO193" i="13"/>
  <c r="BC193" i="13" s="1"/>
  <c r="AN193" i="13"/>
  <c r="AM193" i="13"/>
  <c r="BA193" i="13" s="1"/>
  <c r="AL193" i="13"/>
  <c r="AK193" i="13"/>
  <c r="AJ193" i="13"/>
  <c r="AI193" i="13"/>
  <c r="AH193" i="13"/>
  <c r="AG193" i="13"/>
  <c r="AF193" i="13"/>
  <c r="AE193" i="13"/>
  <c r="AD193" i="13"/>
  <c r="AA193" i="13"/>
  <c r="Z193" i="13"/>
  <c r="Y193" i="13"/>
  <c r="X193" i="13"/>
  <c r="W193" i="13"/>
  <c r="V193" i="13"/>
  <c r="U193" i="13"/>
  <c r="BK193" i="13" s="1"/>
  <c r="T193" i="13"/>
  <c r="S193" i="13"/>
  <c r="R193" i="13"/>
  <c r="Q193" i="13"/>
  <c r="AS193" i="13" s="1"/>
  <c r="P193" i="13"/>
  <c r="AR193" i="13" s="1"/>
  <c r="BQ193" i="13"/>
  <c r="BM192" i="13"/>
  <c r="AT192" i="13"/>
  <c r="AO192" i="13"/>
  <c r="AN192" i="13"/>
  <c r="AM192" i="13"/>
  <c r="AL192" i="13"/>
  <c r="AK192" i="13"/>
  <c r="AJ192" i="13"/>
  <c r="AI192" i="13"/>
  <c r="AH192" i="13"/>
  <c r="AG192" i="13"/>
  <c r="AF192" i="13"/>
  <c r="AE192" i="13"/>
  <c r="AD192" i="13"/>
  <c r="AA192" i="13"/>
  <c r="BQ192" i="13" s="1"/>
  <c r="Z192" i="13"/>
  <c r="BP192" i="13" s="1"/>
  <c r="Y192" i="13"/>
  <c r="BO192" i="13" s="1"/>
  <c r="X192" i="13"/>
  <c r="W192" i="13"/>
  <c r="AY192" i="13" s="1"/>
  <c r="V192" i="13"/>
  <c r="AX192" i="13" s="1"/>
  <c r="U192" i="13"/>
  <c r="AW192" i="13" s="1"/>
  <c r="T192" i="13"/>
  <c r="S192" i="13"/>
  <c r="BI192" i="13" s="1"/>
  <c r="R192" i="13"/>
  <c r="BH192" i="13" s="1"/>
  <c r="Q192" i="13"/>
  <c r="BG192" i="13" s="1"/>
  <c r="P192" i="13"/>
  <c r="BF192" i="13" s="1"/>
  <c r="BL192" i="13"/>
  <c r="AO191" i="13"/>
  <c r="AN191" i="13"/>
  <c r="AM191" i="13"/>
  <c r="AL191" i="13"/>
  <c r="AK191" i="13"/>
  <c r="AJ191" i="13"/>
  <c r="AI191" i="13"/>
  <c r="AH191" i="13"/>
  <c r="AG191" i="13"/>
  <c r="AF191" i="13"/>
  <c r="BH191" i="13" s="1"/>
  <c r="AE191" i="13"/>
  <c r="AD191" i="13"/>
  <c r="AA191" i="13"/>
  <c r="BC191" i="13" s="1"/>
  <c r="Z191" i="13"/>
  <c r="Y191" i="13"/>
  <c r="BA191" i="13" s="1"/>
  <c r="X191" i="13"/>
  <c r="W191" i="13"/>
  <c r="BM191" i="13" s="1"/>
  <c r="V191" i="13"/>
  <c r="U191" i="13"/>
  <c r="BK191" i="13" s="1"/>
  <c r="T191" i="13"/>
  <c r="S191" i="13"/>
  <c r="AU191" i="13" s="1"/>
  <c r="R191" i="13"/>
  <c r="Q191" i="13"/>
  <c r="AS191" i="13" s="1"/>
  <c r="P191" i="13"/>
  <c r="BP191" i="13"/>
  <c r="BO191" i="13"/>
  <c r="BG191" i="13"/>
  <c r="BC190" i="13"/>
  <c r="BB190" i="13"/>
  <c r="AU190" i="13"/>
  <c r="AT190" i="13"/>
  <c r="AO190" i="13"/>
  <c r="AN190" i="13"/>
  <c r="AM190" i="13"/>
  <c r="AL190" i="13"/>
  <c r="AK190" i="13"/>
  <c r="AJ190" i="13"/>
  <c r="AI190" i="13"/>
  <c r="AH190" i="13"/>
  <c r="AG190" i="13"/>
  <c r="AF190" i="13"/>
  <c r="AE190" i="13"/>
  <c r="AD190" i="13"/>
  <c r="AA190" i="13"/>
  <c r="BQ190" i="13" s="1"/>
  <c r="Z190" i="13"/>
  <c r="BP190" i="13" s="1"/>
  <c r="Y190" i="13"/>
  <c r="BO190" i="13" s="1"/>
  <c r="X190" i="13"/>
  <c r="BN190" i="13" s="1"/>
  <c r="W190" i="13"/>
  <c r="AY190" i="13" s="1"/>
  <c r="V190" i="13"/>
  <c r="AX190" i="13" s="1"/>
  <c r="U190" i="13"/>
  <c r="AW190" i="13" s="1"/>
  <c r="T190" i="13"/>
  <c r="AV190" i="13" s="1"/>
  <c r="S190" i="13"/>
  <c r="BI190" i="13" s="1"/>
  <c r="R190" i="13"/>
  <c r="BH190" i="13" s="1"/>
  <c r="Q190" i="13"/>
  <c r="BG190" i="13" s="1"/>
  <c r="P190" i="13"/>
  <c r="BF190" i="13" s="1"/>
  <c r="BM190" i="13"/>
  <c r="BK190" i="13"/>
  <c r="BJ190" i="13"/>
  <c r="AY189" i="13"/>
  <c r="AX189" i="13"/>
  <c r="AO189" i="13"/>
  <c r="AN189" i="13"/>
  <c r="AM189" i="13"/>
  <c r="AL189" i="13"/>
  <c r="AK189" i="13"/>
  <c r="AJ189" i="13"/>
  <c r="AI189" i="13"/>
  <c r="AH189" i="13"/>
  <c r="AG189" i="13"/>
  <c r="AF189" i="13"/>
  <c r="AE189" i="13"/>
  <c r="AD189" i="13"/>
  <c r="AA189" i="13"/>
  <c r="BC189" i="13" s="1"/>
  <c r="Z189" i="13"/>
  <c r="BB189" i="13" s="1"/>
  <c r="Y189" i="13"/>
  <c r="BA189" i="13" s="1"/>
  <c r="X189" i="13"/>
  <c r="W189" i="13"/>
  <c r="BM189" i="13" s="1"/>
  <c r="V189" i="13"/>
  <c r="BL189" i="13" s="1"/>
  <c r="U189" i="13"/>
  <c r="BK189" i="13" s="1"/>
  <c r="T189" i="13"/>
  <c r="S189" i="13"/>
  <c r="AU189" i="13" s="1"/>
  <c r="R189" i="13"/>
  <c r="AT189" i="13" s="1"/>
  <c r="Q189" i="13"/>
  <c r="AS189" i="13" s="1"/>
  <c r="P189" i="13"/>
  <c r="BQ189" i="13"/>
  <c r="BP189" i="13"/>
  <c r="BO189" i="13"/>
  <c r="BN189" i="13"/>
  <c r="BC188" i="13"/>
  <c r="AZ188" i="13"/>
  <c r="AU188" i="13"/>
  <c r="AO188" i="13"/>
  <c r="AN188" i="13"/>
  <c r="AM188" i="13"/>
  <c r="AL188" i="13"/>
  <c r="AK188" i="13"/>
  <c r="AJ188" i="13"/>
  <c r="AI188" i="13"/>
  <c r="AH188" i="13"/>
  <c r="AG188" i="13"/>
  <c r="AF188" i="13"/>
  <c r="AE188" i="13"/>
  <c r="AD188" i="13"/>
  <c r="AA188" i="13"/>
  <c r="BQ188" i="13" s="1"/>
  <c r="Z188" i="13"/>
  <c r="BP188" i="13" s="1"/>
  <c r="Y188" i="13"/>
  <c r="BO188" i="13" s="1"/>
  <c r="X188" i="13"/>
  <c r="BN188" i="13" s="1"/>
  <c r="W188" i="13"/>
  <c r="V188" i="13"/>
  <c r="U188" i="13"/>
  <c r="AW188" i="13" s="1"/>
  <c r="T188" i="13"/>
  <c r="AV188" i="13" s="1"/>
  <c r="S188" i="13"/>
  <c r="BI188" i="13" s="1"/>
  <c r="R188" i="13"/>
  <c r="Q188" i="13"/>
  <c r="BG188" i="13" s="1"/>
  <c r="P188" i="13"/>
  <c r="BF188" i="13" s="1"/>
  <c r="BP187" i="13"/>
  <c r="AY187" i="13"/>
  <c r="AX187" i="13"/>
  <c r="AV187" i="13"/>
  <c r="AO187" i="13"/>
  <c r="AN187" i="13"/>
  <c r="AM187" i="13"/>
  <c r="AL187" i="13"/>
  <c r="AK187" i="13"/>
  <c r="AJ187" i="13"/>
  <c r="AI187" i="13"/>
  <c r="AH187" i="13"/>
  <c r="AG187" i="13"/>
  <c r="AF187" i="13"/>
  <c r="AE187" i="13"/>
  <c r="AD187" i="13"/>
  <c r="AA187" i="13"/>
  <c r="Z187" i="13"/>
  <c r="BB187" i="13" s="1"/>
  <c r="Y187" i="13"/>
  <c r="BA187" i="13" s="1"/>
  <c r="X187" i="13"/>
  <c r="AZ187" i="13" s="1"/>
  <c r="W187" i="13"/>
  <c r="BM187" i="13" s="1"/>
  <c r="V187" i="13"/>
  <c r="BL187" i="13" s="1"/>
  <c r="U187" i="13"/>
  <c r="BK187" i="13" s="1"/>
  <c r="T187" i="13"/>
  <c r="BJ187" i="13" s="1"/>
  <c r="S187" i="13"/>
  <c r="R187" i="13"/>
  <c r="AT187" i="13" s="1"/>
  <c r="Q187" i="13"/>
  <c r="AS187" i="13" s="1"/>
  <c r="P187" i="13"/>
  <c r="AR187" i="13" s="1"/>
  <c r="BH187" i="13"/>
  <c r="BG187" i="13"/>
  <c r="AO186" i="13"/>
  <c r="AN186" i="13"/>
  <c r="AM186" i="13"/>
  <c r="AL186" i="13"/>
  <c r="AK186" i="13"/>
  <c r="BM186" i="13" s="1"/>
  <c r="AJ186" i="13"/>
  <c r="BL186" i="13" s="1"/>
  <c r="AI186" i="13"/>
  <c r="AH186" i="13"/>
  <c r="AG186" i="13"/>
  <c r="AF186" i="13"/>
  <c r="AE186" i="13"/>
  <c r="AD186" i="13"/>
  <c r="AA186" i="13"/>
  <c r="Z186" i="13"/>
  <c r="Y186" i="13"/>
  <c r="BO186" i="13" s="1"/>
  <c r="X186" i="13"/>
  <c r="W186" i="13"/>
  <c r="V186" i="13"/>
  <c r="U186" i="13"/>
  <c r="AW186" i="13" s="1"/>
  <c r="T186" i="13"/>
  <c r="S186" i="13"/>
  <c r="BI186" i="13" s="1"/>
  <c r="R186" i="13"/>
  <c r="Q186" i="13"/>
  <c r="BG186" i="13" s="1"/>
  <c r="P186" i="13"/>
  <c r="AV185" i="13"/>
  <c r="AO185" i="13"/>
  <c r="AO204" i="13" s="1"/>
  <c r="AN185" i="13"/>
  <c r="AM185" i="13"/>
  <c r="AL185" i="13"/>
  <c r="AK185" i="13"/>
  <c r="AJ185" i="13"/>
  <c r="AI185" i="13"/>
  <c r="AH185" i="13"/>
  <c r="AG185" i="13"/>
  <c r="AF185" i="13"/>
  <c r="AE185" i="13"/>
  <c r="AE204" i="13" s="1"/>
  <c r="AD185" i="13"/>
  <c r="AA185" i="13"/>
  <c r="Z185" i="13"/>
  <c r="Y185" i="13"/>
  <c r="X185" i="13"/>
  <c r="W185" i="13"/>
  <c r="V185" i="13"/>
  <c r="U185" i="13"/>
  <c r="T185" i="13"/>
  <c r="S185" i="13"/>
  <c r="R185" i="13"/>
  <c r="Q185" i="13"/>
  <c r="P185" i="13"/>
  <c r="BM184" i="13"/>
  <c r="AT184" i="13"/>
  <c r="AO184" i="13"/>
  <c r="AN184" i="13"/>
  <c r="AM184" i="13"/>
  <c r="AL184" i="13"/>
  <c r="AK184" i="13"/>
  <c r="AJ184" i="13"/>
  <c r="AI184" i="13"/>
  <c r="AH184" i="13"/>
  <c r="BJ184" i="13" s="1"/>
  <c r="AG184" i="13"/>
  <c r="AF184" i="13"/>
  <c r="AE184" i="13"/>
  <c r="AD184" i="13"/>
  <c r="AA184" i="13"/>
  <c r="BQ184" i="13" s="1"/>
  <c r="Z184" i="13"/>
  <c r="BP184" i="13" s="1"/>
  <c r="Y184" i="13"/>
  <c r="BO184" i="13" s="1"/>
  <c r="X184" i="13"/>
  <c r="W184" i="13"/>
  <c r="AY184" i="13" s="1"/>
  <c r="V184" i="13"/>
  <c r="AX184" i="13" s="1"/>
  <c r="U184" i="13"/>
  <c r="AW184" i="13" s="1"/>
  <c r="T184" i="13"/>
  <c r="S184" i="13"/>
  <c r="BI184" i="13" s="1"/>
  <c r="R184" i="13"/>
  <c r="BH184" i="13" s="1"/>
  <c r="Q184" i="13"/>
  <c r="BG184" i="13" s="1"/>
  <c r="P184" i="13"/>
  <c r="BF184" i="13" s="1"/>
  <c r="AO183" i="13"/>
  <c r="AN183" i="13"/>
  <c r="AM183" i="13"/>
  <c r="AL183" i="13"/>
  <c r="AK183" i="13"/>
  <c r="AJ183" i="13"/>
  <c r="AI183" i="13"/>
  <c r="AH183" i="13"/>
  <c r="AG183" i="13"/>
  <c r="AF183" i="13"/>
  <c r="BH183" i="13" s="1"/>
  <c r="AE183" i="13"/>
  <c r="AD183" i="13"/>
  <c r="BF183" i="13" s="1"/>
  <c r="AA183" i="13"/>
  <c r="BC183" i="13" s="1"/>
  <c r="Z183" i="13"/>
  <c r="Y183" i="13"/>
  <c r="BA183" i="13" s="1"/>
  <c r="X183" i="13"/>
  <c r="W183" i="13"/>
  <c r="BM183" i="13" s="1"/>
  <c r="V183" i="13"/>
  <c r="U183" i="13"/>
  <c r="BK183" i="13" s="1"/>
  <c r="T183" i="13"/>
  <c r="BJ183" i="13" s="1"/>
  <c r="S183" i="13"/>
  <c r="AU183" i="13" s="1"/>
  <c r="R183" i="13"/>
  <c r="Q183" i="13"/>
  <c r="AS183" i="13" s="1"/>
  <c r="P183" i="13"/>
  <c r="BI183" i="13"/>
  <c r="BG183" i="13"/>
  <c r="BC182" i="13"/>
  <c r="BB182" i="13"/>
  <c r="AO182" i="13"/>
  <c r="AN182" i="13"/>
  <c r="AM182" i="13"/>
  <c r="AL182" i="13"/>
  <c r="AK182" i="13"/>
  <c r="AJ182" i="13"/>
  <c r="AI182" i="13"/>
  <c r="AH182" i="13"/>
  <c r="AG182" i="13"/>
  <c r="AF182" i="13"/>
  <c r="AE182" i="13"/>
  <c r="AD182" i="13"/>
  <c r="AA182" i="13"/>
  <c r="BQ182" i="13" s="1"/>
  <c r="Z182" i="13"/>
  <c r="BP182" i="13" s="1"/>
  <c r="Y182" i="13"/>
  <c r="X182" i="13"/>
  <c r="W182" i="13"/>
  <c r="AY182" i="13" s="1"/>
  <c r="V182" i="13"/>
  <c r="AX182" i="13" s="1"/>
  <c r="U182" i="13"/>
  <c r="AW182" i="13" s="1"/>
  <c r="T182" i="13"/>
  <c r="S182" i="13"/>
  <c r="BI182" i="13" s="1"/>
  <c r="R182" i="13"/>
  <c r="BH182" i="13" s="1"/>
  <c r="Q182" i="13"/>
  <c r="BG182" i="13" s="1"/>
  <c r="P182" i="13"/>
  <c r="BG181" i="13"/>
  <c r="AV181" i="13"/>
  <c r="AO181" i="13"/>
  <c r="AN181" i="13"/>
  <c r="AM181" i="13"/>
  <c r="AL181" i="13"/>
  <c r="AK181" i="13"/>
  <c r="AJ181" i="13"/>
  <c r="AI181" i="13"/>
  <c r="AH181" i="13"/>
  <c r="AG181" i="13"/>
  <c r="AF181" i="13"/>
  <c r="AE181" i="13"/>
  <c r="AD181" i="13"/>
  <c r="AA181" i="13"/>
  <c r="Z181" i="13"/>
  <c r="Y181" i="13"/>
  <c r="X181" i="13"/>
  <c r="AZ181" i="13" s="1"/>
  <c r="W181" i="13"/>
  <c r="V181" i="13"/>
  <c r="BL181" i="13" s="1"/>
  <c r="U181" i="13"/>
  <c r="T181" i="13"/>
  <c r="BJ181" i="13" s="1"/>
  <c r="S181" i="13"/>
  <c r="R181" i="13"/>
  <c r="Q181" i="13"/>
  <c r="P181" i="13"/>
  <c r="AR181" i="13" s="1"/>
  <c r="AZ180" i="13"/>
  <c r="AU180" i="13"/>
  <c r="AS180" i="13"/>
  <c r="AO180" i="13"/>
  <c r="AN180" i="13"/>
  <c r="AM180" i="13"/>
  <c r="AL180" i="13"/>
  <c r="AK180" i="13"/>
  <c r="AJ180" i="13"/>
  <c r="AI180" i="13"/>
  <c r="AH180" i="13"/>
  <c r="AG180" i="13"/>
  <c r="AF180" i="13"/>
  <c r="AE180" i="13"/>
  <c r="AD180" i="13"/>
  <c r="AA180" i="13"/>
  <c r="Z180" i="13"/>
  <c r="BP180" i="13" s="1"/>
  <c r="Y180" i="13"/>
  <c r="X180" i="13"/>
  <c r="BN180" i="13" s="1"/>
  <c r="W180" i="13"/>
  <c r="V180" i="13"/>
  <c r="U180" i="13"/>
  <c r="T180" i="13"/>
  <c r="AV180" i="13" s="1"/>
  <c r="S180" i="13"/>
  <c r="BI180" i="13" s="1"/>
  <c r="R180" i="13"/>
  <c r="BH180" i="13" s="1"/>
  <c r="Q180" i="13"/>
  <c r="BG180" i="13" s="1"/>
  <c r="P180" i="13"/>
  <c r="BF180" i="13" s="1"/>
  <c r="BJ180" i="13"/>
  <c r="AY179" i="13"/>
  <c r="AX179" i="13"/>
  <c r="AW179" i="13"/>
  <c r="AO179" i="13"/>
  <c r="AN179" i="13"/>
  <c r="AM179" i="13"/>
  <c r="AL179" i="13"/>
  <c r="AK179" i="13"/>
  <c r="AJ179" i="13"/>
  <c r="AI179" i="13"/>
  <c r="AH179" i="13"/>
  <c r="AG179" i="13"/>
  <c r="AF179" i="13"/>
  <c r="AE179" i="13"/>
  <c r="AD179" i="13"/>
  <c r="AA179" i="13"/>
  <c r="BC179" i="13" s="1"/>
  <c r="Z179" i="13"/>
  <c r="BB179" i="13" s="1"/>
  <c r="Y179" i="13"/>
  <c r="BA179" i="13" s="1"/>
  <c r="X179" i="13"/>
  <c r="W179" i="13"/>
  <c r="BM179" i="13" s="1"/>
  <c r="V179" i="13"/>
  <c r="BL179" i="13" s="1"/>
  <c r="U179" i="13"/>
  <c r="BK179" i="13" s="1"/>
  <c r="T179" i="13"/>
  <c r="S179" i="13"/>
  <c r="AU179" i="13" s="1"/>
  <c r="R179" i="13"/>
  <c r="AT179" i="13" s="1"/>
  <c r="Q179" i="13"/>
  <c r="AS179" i="13" s="1"/>
  <c r="P179" i="13"/>
  <c r="BN179" i="13"/>
  <c r="BC178" i="13"/>
  <c r="BB178" i="13"/>
  <c r="BA178" i="13"/>
  <c r="AO178" i="13"/>
  <c r="AN178" i="13"/>
  <c r="AM178" i="13"/>
  <c r="AL178" i="13"/>
  <c r="AK178" i="13"/>
  <c r="AJ178" i="13"/>
  <c r="AI178" i="13"/>
  <c r="AH178" i="13"/>
  <c r="AG178" i="13"/>
  <c r="AF178" i="13"/>
  <c r="AE178" i="13"/>
  <c r="AD178" i="13"/>
  <c r="AA178" i="13"/>
  <c r="BQ178" i="13" s="1"/>
  <c r="Z178" i="13"/>
  <c r="BP178" i="13" s="1"/>
  <c r="Y178" i="13"/>
  <c r="BO178" i="13" s="1"/>
  <c r="X178" i="13"/>
  <c r="W178" i="13"/>
  <c r="AY178" i="13" s="1"/>
  <c r="V178" i="13"/>
  <c r="AX178" i="13" s="1"/>
  <c r="U178" i="13"/>
  <c r="AW178" i="13" s="1"/>
  <c r="T178" i="13"/>
  <c r="S178" i="13"/>
  <c r="BI178" i="13" s="1"/>
  <c r="R178" i="13"/>
  <c r="BH178" i="13" s="1"/>
  <c r="Q178" i="13"/>
  <c r="BG178" i="13" s="1"/>
  <c r="P178" i="13"/>
  <c r="BF178" i="13" s="1"/>
  <c r="BM178" i="13"/>
  <c r="AV177" i="13"/>
  <c r="AO177" i="13"/>
  <c r="AN177" i="13"/>
  <c r="AM177" i="13"/>
  <c r="AL177" i="13"/>
  <c r="AK177" i="13"/>
  <c r="AJ177" i="13"/>
  <c r="AI177" i="13"/>
  <c r="AH177" i="13"/>
  <c r="AG177" i="13"/>
  <c r="BI177" i="13" s="1"/>
  <c r="AF177" i="13"/>
  <c r="BH177" i="13" s="1"/>
  <c r="AE177" i="13"/>
  <c r="BG177" i="13" s="1"/>
  <c r="AD177" i="13"/>
  <c r="AA177" i="13"/>
  <c r="Z177" i="13"/>
  <c r="Y177" i="13"/>
  <c r="X177" i="13"/>
  <c r="AZ177" i="13" s="1"/>
  <c r="W177" i="13"/>
  <c r="V177" i="13"/>
  <c r="BL177" i="13" s="1"/>
  <c r="U177" i="13"/>
  <c r="T177" i="13"/>
  <c r="BJ177" i="13" s="1"/>
  <c r="S177" i="13"/>
  <c r="R177" i="13"/>
  <c r="Q177" i="13"/>
  <c r="P177" i="13"/>
  <c r="AR177" i="13" s="1"/>
  <c r="BQ177" i="13"/>
  <c r="BP177" i="13"/>
  <c r="BO177" i="13"/>
  <c r="BF177" i="13"/>
  <c r="AZ176" i="13"/>
  <c r="AU176" i="13"/>
  <c r="AS176" i="13"/>
  <c r="AO176" i="13"/>
  <c r="AN176" i="13"/>
  <c r="AM176" i="13"/>
  <c r="AL176" i="13"/>
  <c r="AK176" i="13"/>
  <c r="BM176" i="13" s="1"/>
  <c r="AJ176" i="13"/>
  <c r="AI176" i="13"/>
  <c r="AH176" i="13"/>
  <c r="AG176" i="13"/>
  <c r="AF176" i="13"/>
  <c r="AE176" i="13"/>
  <c r="AD176" i="13"/>
  <c r="AA176" i="13"/>
  <c r="Z176" i="13"/>
  <c r="BP176" i="13" s="1"/>
  <c r="Y176" i="13"/>
  <c r="X176" i="13"/>
  <c r="W176" i="13"/>
  <c r="V176" i="13"/>
  <c r="U176" i="13"/>
  <c r="T176" i="13"/>
  <c r="AV176" i="13" s="1"/>
  <c r="S176" i="13"/>
  <c r="BI176" i="13" s="1"/>
  <c r="R176" i="13"/>
  <c r="BH176" i="13" s="1"/>
  <c r="Q176" i="13"/>
  <c r="BG176" i="13" s="1"/>
  <c r="P176" i="13"/>
  <c r="BQ175" i="13"/>
  <c r="BP175" i="13"/>
  <c r="BO175" i="13"/>
  <c r="BF175" i="13"/>
  <c r="AY175" i="13"/>
  <c r="AX175" i="13"/>
  <c r="AW175" i="13"/>
  <c r="AO175" i="13"/>
  <c r="AN175" i="13"/>
  <c r="AM175" i="13"/>
  <c r="AL175" i="13"/>
  <c r="AK175" i="13"/>
  <c r="AJ175" i="13"/>
  <c r="AI175" i="13"/>
  <c r="AH175" i="13"/>
  <c r="AG175" i="13"/>
  <c r="AF175" i="13"/>
  <c r="AE175" i="13"/>
  <c r="AD175" i="13"/>
  <c r="AA175" i="13"/>
  <c r="BC175" i="13" s="1"/>
  <c r="Z175" i="13"/>
  <c r="BB175" i="13" s="1"/>
  <c r="Y175" i="13"/>
  <c r="BA175" i="13" s="1"/>
  <c r="X175" i="13"/>
  <c r="W175" i="13"/>
  <c r="BM175" i="13" s="1"/>
  <c r="V175" i="13"/>
  <c r="BL175" i="13" s="1"/>
  <c r="U175" i="13"/>
  <c r="BK175" i="13" s="1"/>
  <c r="T175" i="13"/>
  <c r="S175" i="13"/>
  <c r="AU175" i="13" s="1"/>
  <c r="R175" i="13"/>
  <c r="AT175" i="13" s="1"/>
  <c r="Q175" i="13"/>
  <c r="AS175" i="13" s="1"/>
  <c r="P175" i="13"/>
  <c r="BI175" i="13"/>
  <c r="BH175" i="13"/>
  <c r="BG175" i="13"/>
  <c r="BJ174" i="13"/>
  <c r="BC174" i="13"/>
  <c r="BB174" i="13"/>
  <c r="BA174" i="13"/>
  <c r="AO174" i="13"/>
  <c r="AN174" i="13"/>
  <c r="AM174" i="13"/>
  <c r="AL174" i="13"/>
  <c r="AK174" i="13"/>
  <c r="AJ174" i="13"/>
  <c r="AI174" i="13"/>
  <c r="AH174" i="13"/>
  <c r="AG174" i="13"/>
  <c r="AF174" i="13"/>
  <c r="AE174" i="13"/>
  <c r="AD174" i="13"/>
  <c r="AA174" i="13"/>
  <c r="BQ174" i="13" s="1"/>
  <c r="Z174" i="13"/>
  <c r="BP174" i="13" s="1"/>
  <c r="Y174" i="13"/>
  <c r="BO174" i="13" s="1"/>
  <c r="X174" i="13"/>
  <c r="W174" i="13"/>
  <c r="AY174" i="13" s="1"/>
  <c r="V174" i="13"/>
  <c r="AX174" i="13" s="1"/>
  <c r="U174" i="13"/>
  <c r="AW174" i="13" s="1"/>
  <c r="T174" i="13"/>
  <c r="S174" i="13"/>
  <c r="BI174" i="13" s="1"/>
  <c r="R174" i="13"/>
  <c r="BH174" i="13" s="1"/>
  <c r="Q174" i="13"/>
  <c r="BG174" i="13" s="1"/>
  <c r="P174" i="13"/>
  <c r="BI173" i="13"/>
  <c r="AV173" i="13"/>
  <c r="AO173" i="13"/>
  <c r="AN173" i="13"/>
  <c r="AM173" i="13"/>
  <c r="AL173" i="13"/>
  <c r="AK173" i="13"/>
  <c r="AJ173" i="13"/>
  <c r="AI173" i="13"/>
  <c r="AH173" i="13"/>
  <c r="AG173" i="13"/>
  <c r="AF173" i="13"/>
  <c r="AE173" i="13"/>
  <c r="AD173" i="13"/>
  <c r="AA173" i="13"/>
  <c r="Z173" i="13"/>
  <c r="Y173" i="13"/>
  <c r="X173" i="13"/>
  <c r="AZ173" i="13" s="1"/>
  <c r="W173" i="13"/>
  <c r="V173" i="13"/>
  <c r="BL173" i="13" s="1"/>
  <c r="U173" i="13"/>
  <c r="T173" i="13"/>
  <c r="BJ173" i="13" s="1"/>
  <c r="S173" i="13"/>
  <c r="R173" i="13"/>
  <c r="Q173" i="13"/>
  <c r="P173" i="13"/>
  <c r="AR173" i="13" s="1"/>
  <c r="BK172" i="13"/>
  <c r="AZ172" i="13"/>
  <c r="AS172" i="13"/>
  <c r="AO172" i="13"/>
  <c r="AN172" i="13"/>
  <c r="AM172" i="13"/>
  <c r="AL172" i="13"/>
  <c r="AK172" i="13"/>
  <c r="AJ172" i="13"/>
  <c r="AI172" i="13"/>
  <c r="AH172" i="13"/>
  <c r="AG172" i="13"/>
  <c r="AF172" i="13"/>
  <c r="AE172" i="13"/>
  <c r="AD172" i="13"/>
  <c r="AA172" i="13"/>
  <c r="Z172" i="13"/>
  <c r="Y172" i="13"/>
  <c r="X172" i="13"/>
  <c r="W172" i="13"/>
  <c r="V172" i="13"/>
  <c r="U172" i="13"/>
  <c r="T172" i="13"/>
  <c r="AV172" i="13" s="1"/>
  <c r="S172" i="13"/>
  <c r="R172" i="13"/>
  <c r="Q172" i="13"/>
  <c r="P172" i="13"/>
  <c r="AY171" i="13"/>
  <c r="AX171" i="13"/>
  <c r="AW171" i="13"/>
  <c r="AO171" i="13"/>
  <c r="AN171" i="13"/>
  <c r="AM171" i="13"/>
  <c r="AM202" i="13" s="1"/>
  <c r="AL171" i="13"/>
  <c r="AK171" i="13"/>
  <c r="AJ171" i="13"/>
  <c r="AI171" i="13"/>
  <c r="AH171" i="13"/>
  <c r="AG171" i="13"/>
  <c r="AF171" i="13"/>
  <c r="AE171" i="13"/>
  <c r="AE202" i="13" s="1"/>
  <c r="AD171" i="13"/>
  <c r="AA171" i="13"/>
  <c r="BC171" i="13" s="1"/>
  <c r="Z171" i="13"/>
  <c r="BB171" i="13" s="1"/>
  <c r="Y171" i="13"/>
  <c r="BA171" i="13" s="1"/>
  <c r="X171" i="13"/>
  <c r="W171" i="13"/>
  <c r="BM171" i="13" s="1"/>
  <c r="V171" i="13"/>
  <c r="BL171" i="13" s="1"/>
  <c r="U171" i="13"/>
  <c r="BK171" i="13" s="1"/>
  <c r="T171" i="13"/>
  <c r="S171" i="13"/>
  <c r="AU171" i="13" s="1"/>
  <c r="R171" i="13"/>
  <c r="AT171" i="13" s="1"/>
  <c r="Q171" i="13"/>
  <c r="AS171" i="13" s="1"/>
  <c r="P171" i="13"/>
  <c r="BC170" i="13"/>
  <c r="BB170" i="13"/>
  <c r="BA170" i="13"/>
  <c r="AO170" i="13"/>
  <c r="AO202" i="13" s="1"/>
  <c r="AN170" i="13"/>
  <c r="AM170" i="13"/>
  <c r="AL170" i="13"/>
  <c r="AK170" i="13"/>
  <c r="AJ170" i="13"/>
  <c r="AI170" i="13"/>
  <c r="AH170" i="13"/>
  <c r="AG170" i="13"/>
  <c r="AF170" i="13"/>
  <c r="AE170" i="13"/>
  <c r="AD170" i="13"/>
  <c r="AA170" i="13"/>
  <c r="Z170" i="13"/>
  <c r="Y170" i="13"/>
  <c r="X170" i="13"/>
  <c r="W170" i="13"/>
  <c r="W201" i="13" s="1"/>
  <c r="V170" i="13"/>
  <c r="U170" i="13"/>
  <c r="T170" i="13"/>
  <c r="S170" i="13"/>
  <c r="R170" i="13"/>
  <c r="Q170" i="13"/>
  <c r="P170" i="13"/>
  <c r="AL164" i="13"/>
  <c r="AK164" i="13"/>
  <c r="P164" i="13"/>
  <c r="AH163" i="13"/>
  <c r="R161" i="13"/>
  <c r="BH160" i="13"/>
  <c r="AZ160" i="13"/>
  <c r="AY160" i="13"/>
  <c r="AX160" i="13"/>
  <c r="AU160" i="13"/>
  <c r="AO160" i="13"/>
  <c r="AN160" i="13"/>
  <c r="AM160" i="13"/>
  <c r="AL160" i="13"/>
  <c r="AK160" i="13"/>
  <c r="AJ160" i="13"/>
  <c r="AI160" i="13"/>
  <c r="AH160" i="13"/>
  <c r="AG160" i="13"/>
  <c r="AF160" i="13"/>
  <c r="AE160" i="13"/>
  <c r="AD160" i="13"/>
  <c r="AA160" i="13"/>
  <c r="BC160" i="13" s="1"/>
  <c r="Z160" i="13"/>
  <c r="BB160" i="13" s="1"/>
  <c r="Y160" i="13"/>
  <c r="X160" i="13"/>
  <c r="BN160" i="13" s="1"/>
  <c r="W160" i="13"/>
  <c r="V160" i="13"/>
  <c r="U160" i="13"/>
  <c r="T160" i="13"/>
  <c r="AV160" i="13" s="1"/>
  <c r="S160" i="13"/>
  <c r="BI160" i="13" s="1"/>
  <c r="R160" i="13"/>
  <c r="AT160" i="13" s="1"/>
  <c r="Q160" i="13"/>
  <c r="P160" i="13"/>
  <c r="BF160" i="13" s="1"/>
  <c r="BP160" i="13"/>
  <c r="BC159" i="13"/>
  <c r="BB159" i="13"/>
  <c r="AY159" i="13"/>
  <c r="AV159" i="13"/>
  <c r="AS159" i="13"/>
  <c r="AO159" i="13"/>
  <c r="AN159" i="13"/>
  <c r="AM159" i="13"/>
  <c r="AL159" i="13"/>
  <c r="AK159" i="13"/>
  <c r="AJ159" i="13"/>
  <c r="BL159" i="13" s="1"/>
  <c r="AI159" i="13"/>
  <c r="AH159" i="13"/>
  <c r="AG159" i="13"/>
  <c r="AF159" i="13"/>
  <c r="AE159" i="13"/>
  <c r="AD159" i="13"/>
  <c r="AA159" i="13"/>
  <c r="Z159" i="13"/>
  <c r="Y159" i="13"/>
  <c r="X159" i="13"/>
  <c r="AZ159" i="13" s="1"/>
  <c r="W159" i="13"/>
  <c r="BM159" i="13" s="1"/>
  <c r="V159" i="13"/>
  <c r="AX159" i="13" s="1"/>
  <c r="U159" i="13"/>
  <c r="T159" i="13"/>
  <c r="S159" i="13"/>
  <c r="R159" i="13"/>
  <c r="Q159" i="13"/>
  <c r="P159" i="13"/>
  <c r="AR159" i="13" s="1"/>
  <c r="BQ159" i="13"/>
  <c r="BP158" i="13"/>
  <c r="BI158" i="13"/>
  <c r="BC158" i="13"/>
  <c r="AX158" i="13"/>
  <c r="AW158" i="13"/>
  <c r="AO158" i="13"/>
  <c r="AN158" i="13"/>
  <c r="AM158" i="13"/>
  <c r="AL158" i="13"/>
  <c r="AK158" i="13"/>
  <c r="AJ158" i="13"/>
  <c r="AI158" i="13"/>
  <c r="AH158" i="13"/>
  <c r="AG158" i="13"/>
  <c r="AF158" i="13"/>
  <c r="AE158" i="13"/>
  <c r="AD158" i="13"/>
  <c r="AA158" i="13"/>
  <c r="BQ158" i="13" s="1"/>
  <c r="Z158" i="13"/>
  <c r="BB158" i="13" s="1"/>
  <c r="Y158" i="13"/>
  <c r="BA158" i="13" s="1"/>
  <c r="X158" i="13"/>
  <c r="W158" i="13"/>
  <c r="V158" i="13"/>
  <c r="U158" i="13"/>
  <c r="T158" i="13"/>
  <c r="S158" i="13"/>
  <c r="R158" i="13"/>
  <c r="AT158" i="13" s="1"/>
  <c r="Q158" i="13"/>
  <c r="BG158" i="13" s="1"/>
  <c r="P158" i="13"/>
  <c r="BF158" i="13" s="1"/>
  <c r="BH158" i="13"/>
  <c r="BL157" i="13"/>
  <c r="BB157" i="13"/>
  <c r="BA157" i="13"/>
  <c r="AV157" i="13"/>
  <c r="AT157" i="13"/>
  <c r="AO157" i="13"/>
  <c r="AN157" i="13"/>
  <c r="AM157" i="13"/>
  <c r="AL157" i="13"/>
  <c r="AK157" i="13"/>
  <c r="BM157" i="13" s="1"/>
  <c r="AJ157" i="13"/>
  <c r="AI157" i="13"/>
  <c r="AH157" i="13"/>
  <c r="AG157" i="13"/>
  <c r="AF157" i="13"/>
  <c r="AE157" i="13"/>
  <c r="AD157" i="13"/>
  <c r="AA157" i="13"/>
  <c r="Z157" i="13"/>
  <c r="BP157" i="13" s="1"/>
  <c r="Y157" i="13"/>
  <c r="X157" i="13"/>
  <c r="W157" i="13"/>
  <c r="V157" i="13"/>
  <c r="AX157" i="13" s="1"/>
  <c r="U157" i="13"/>
  <c r="T157" i="13"/>
  <c r="BJ157" i="13" s="1"/>
  <c r="S157" i="13"/>
  <c r="R157" i="13"/>
  <c r="BH157" i="13" s="1"/>
  <c r="Q157" i="13"/>
  <c r="P157" i="13"/>
  <c r="BQ156" i="13"/>
  <c r="BG156" i="13"/>
  <c r="BC156" i="13"/>
  <c r="AO156" i="13"/>
  <c r="AN156" i="13"/>
  <c r="AM156" i="13"/>
  <c r="AL156" i="13"/>
  <c r="AK156" i="13"/>
  <c r="AJ156" i="13"/>
  <c r="AI156" i="13"/>
  <c r="AH156" i="13"/>
  <c r="AG156" i="13"/>
  <c r="AF156" i="13"/>
  <c r="AE156" i="13"/>
  <c r="AD156" i="13"/>
  <c r="AA156" i="13"/>
  <c r="Z156" i="13"/>
  <c r="Y156" i="13"/>
  <c r="X156" i="13"/>
  <c r="BN156" i="13" s="1"/>
  <c r="W156" i="13"/>
  <c r="AY156" i="13" s="1"/>
  <c r="V156" i="13"/>
  <c r="U156" i="13"/>
  <c r="T156" i="13"/>
  <c r="S156" i="13"/>
  <c r="AU156" i="13" s="1"/>
  <c r="R156" i="13"/>
  <c r="Q156" i="13"/>
  <c r="P156" i="13"/>
  <c r="BF156" i="13" s="1"/>
  <c r="BP156" i="13"/>
  <c r="BI156" i="13"/>
  <c r="BH156" i="13"/>
  <c r="AV155" i="13"/>
  <c r="AT155" i="13"/>
  <c r="AO155" i="13"/>
  <c r="AN155" i="13"/>
  <c r="AM155" i="13"/>
  <c r="AL155" i="13"/>
  <c r="AK155" i="13"/>
  <c r="AY155" i="13" s="1"/>
  <c r="AJ155" i="13"/>
  <c r="AI155" i="13"/>
  <c r="AH155" i="13"/>
  <c r="AG155" i="13"/>
  <c r="AF155" i="13"/>
  <c r="AE155" i="13"/>
  <c r="AD155" i="13"/>
  <c r="AA155" i="13"/>
  <c r="Z155" i="13"/>
  <c r="BP155" i="13" s="1"/>
  <c r="Y155" i="13"/>
  <c r="X155" i="13"/>
  <c r="W155" i="13"/>
  <c r="V155" i="13"/>
  <c r="U155" i="13"/>
  <c r="T155" i="13"/>
  <c r="BJ155" i="13" s="1"/>
  <c r="S155" i="13"/>
  <c r="AU155" i="13" s="1"/>
  <c r="R155" i="13"/>
  <c r="BH155" i="13" s="1"/>
  <c r="Q155" i="13"/>
  <c r="P155" i="13"/>
  <c r="BM155" i="13"/>
  <c r="BL155" i="13"/>
  <c r="BO154" i="13"/>
  <c r="BA154" i="13"/>
  <c r="AZ154" i="13"/>
  <c r="AX154" i="13"/>
  <c r="AO154" i="13"/>
  <c r="BC154" i="13" s="1"/>
  <c r="AN154" i="13"/>
  <c r="AM154" i="13"/>
  <c r="AL154" i="13"/>
  <c r="AK154" i="13"/>
  <c r="AJ154" i="13"/>
  <c r="AI154" i="13"/>
  <c r="AH154" i="13"/>
  <c r="BJ154" i="13" s="1"/>
  <c r="AG154" i="13"/>
  <c r="AF154" i="13"/>
  <c r="BH154" i="13" s="1"/>
  <c r="AE154" i="13"/>
  <c r="AD154" i="13"/>
  <c r="AA154" i="13"/>
  <c r="Z154" i="13"/>
  <c r="Y154" i="13"/>
  <c r="X154" i="13"/>
  <c r="BN154" i="13" s="1"/>
  <c r="W154" i="13"/>
  <c r="V154" i="13"/>
  <c r="U154" i="13"/>
  <c r="AW154" i="13" s="1"/>
  <c r="T154" i="13"/>
  <c r="AV154" i="13" s="1"/>
  <c r="S154" i="13"/>
  <c r="R154" i="13"/>
  <c r="Q154" i="13"/>
  <c r="AS154" i="13" s="1"/>
  <c r="P154" i="13"/>
  <c r="BF154" i="13" s="1"/>
  <c r="BQ154" i="13"/>
  <c r="BP154" i="13"/>
  <c r="BG154" i="13"/>
  <c r="AU153" i="13"/>
  <c r="AO153" i="13"/>
  <c r="BC153" i="13" s="1"/>
  <c r="AN153" i="13"/>
  <c r="AM153" i="13"/>
  <c r="AL153" i="13"/>
  <c r="AK153" i="13"/>
  <c r="AJ153" i="13"/>
  <c r="AI153" i="13"/>
  <c r="AW153" i="13" s="1"/>
  <c r="AH153" i="13"/>
  <c r="AG153" i="13"/>
  <c r="BI153" i="13" s="1"/>
  <c r="AF153" i="13"/>
  <c r="AE153" i="13"/>
  <c r="AD153" i="13"/>
  <c r="AA153" i="13"/>
  <c r="Z153" i="13"/>
  <c r="Y153" i="13"/>
  <c r="X153" i="13"/>
  <c r="AZ153" i="13" s="1"/>
  <c r="W153" i="13"/>
  <c r="V153" i="13"/>
  <c r="U153" i="13"/>
  <c r="T153" i="13"/>
  <c r="AV153" i="13" s="1"/>
  <c r="S153" i="13"/>
  <c r="R153" i="13"/>
  <c r="Q153" i="13"/>
  <c r="P153" i="13"/>
  <c r="AR153" i="13" s="1"/>
  <c r="BL153" i="13"/>
  <c r="BK153" i="13"/>
  <c r="AX152" i="13"/>
  <c r="AO152" i="13"/>
  <c r="AN152" i="13"/>
  <c r="BP152" i="13" s="1"/>
  <c r="AM152" i="13"/>
  <c r="BO152" i="13" s="1"/>
  <c r="AL152" i="13"/>
  <c r="AK152" i="13"/>
  <c r="BM152" i="13" s="1"/>
  <c r="AJ152" i="13"/>
  <c r="AI152" i="13"/>
  <c r="AH152" i="13"/>
  <c r="AG152" i="13"/>
  <c r="AF152" i="13"/>
  <c r="AE152" i="13"/>
  <c r="AD152" i="13"/>
  <c r="AA152" i="13"/>
  <c r="Z152" i="13"/>
  <c r="BB152" i="13" s="1"/>
  <c r="Y152" i="13"/>
  <c r="X152" i="13"/>
  <c r="AZ152" i="13" s="1"/>
  <c r="W152" i="13"/>
  <c r="V152" i="13"/>
  <c r="U152" i="13"/>
  <c r="T152" i="13"/>
  <c r="S152" i="13"/>
  <c r="R152" i="13"/>
  <c r="AT152" i="13" s="1"/>
  <c r="Q152" i="13"/>
  <c r="P152" i="13"/>
  <c r="AR152" i="13" s="1"/>
  <c r="BH152" i="13"/>
  <c r="BG152" i="13"/>
  <c r="BF152" i="13"/>
  <c r="BQ151" i="13"/>
  <c r="BA151" i="13"/>
  <c r="AY151" i="13"/>
  <c r="AS151" i="13"/>
  <c r="AO151" i="13"/>
  <c r="AN151" i="13"/>
  <c r="AM151" i="13"/>
  <c r="AL151" i="13"/>
  <c r="AK151" i="13"/>
  <c r="AJ151" i="13"/>
  <c r="BL151" i="13" s="1"/>
  <c r="AI151" i="13"/>
  <c r="AH151" i="13"/>
  <c r="AG151" i="13"/>
  <c r="AF151" i="13"/>
  <c r="AE151" i="13"/>
  <c r="AD151" i="13"/>
  <c r="AA151" i="13"/>
  <c r="BC151" i="13" s="1"/>
  <c r="Z151" i="13"/>
  <c r="Y151" i="13"/>
  <c r="X151" i="13"/>
  <c r="W151" i="13"/>
  <c r="BM151" i="13" s="1"/>
  <c r="V151" i="13"/>
  <c r="U151" i="13"/>
  <c r="AW151" i="13" s="1"/>
  <c r="T151" i="13"/>
  <c r="AV151" i="13" s="1"/>
  <c r="S151" i="13"/>
  <c r="AU151" i="13" s="1"/>
  <c r="R151" i="13"/>
  <c r="Q151" i="13"/>
  <c r="P151" i="13"/>
  <c r="BK151" i="13"/>
  <c r="BJ151" i="13"/>
  <c r="BI151" i="13"/>
  <c r="AX150" i="13"/>
  <c r="AW150" i="13"/>
  <c r="AU150" i="13"/>
  <c r="AO150" i="13"/>
  <c r="AN150" i="13"/>
  <c r="BP150" i="13" s="1"/>
  <c r="AM150" i="13"/>
  <c r="AL150" i="13"/>
  <c r="AK150" i="13"/>
  <c r="BM150" i="13" s="1"/>
  <c r="AJ150" i="13"/>
  <c r="AI150" i="13"/>
  <c r="AH150" i="13"/>
  <c r="AG150" i="13"/>
  <c r="AF150" i="13"/>
  <c r="AE150" i="13"/>
  <c r="AD150" i="13"/>
  <c r="AA150" i="13"/>
  <c r="BQ150" i="13" s="1"/>
  <c r="Z150" i="13"/>
  <c r="BB150" i="13" s="1"/>
  <c r="Y150" i="13"/>
  <c r="BA150" i="13" s="1"/>
  <c r="X150" i="13"/>
  <c r="AZ150" i="13" s="1"/>
  <c r="W150" i="13"/>
  <c r="V150" i="13"/>
  <c r="U150" i="13"/>
  <c r="T150" i="13"/>
  <c r="S150" i="13"/>
  <c r="BI150" i="13" s="1"/>
  <c r="R150" i="13"/>
  <c r="AT150" i="13" s="1"/>
  <c r="Q150" i="13"/>
  <c r="AS150" i="13" s="1"/>
  <c r="P150" i="13"/>
  <c r="AR150" i="13" s="1"/>
  <c r="BH150" i="13"/>
  <c r="BG150" i="13"/>
  <c r="BF150" i="13"/>
  <c r="BQ149" i="13"/>
  <c r="AY149" i="13"/>
  <c r="AT149" i="13"/>
  <c r="AS149" i="13"/>
  <c r="AO149" i="13"/>
  <c r="AN149" i="13"/>
  <c r="AM149" i="13"/>
  <c r="AL149" i="13"/>
  <c r="AK149" i="13"/>
  <c r="AJ149" i="13"/>
  <c r="BL149" i="13" s="1"/>
  <c r="AI149" i="13"/>
  <c r="BK149" i="13" s="1"/>
  <c r="AH149" i="13"/>
  <c r="AG149" i="13"/>
  <c r="AF149" i="13"/>
  <c r="AE149" i="13"/>
  <c r="AD149" i="13"/>
  <c r="AA149" i="13"/>
  <c r="BC149" i="13" s="1"/>
  <c r="Z149" i="13"/>
  <c r="BP149" i="13" s="1"/>
  <c r="Y149" i="13"/>
  <c r="BO149" i="13" s="1"/>
  <c r="X149" i="13"/>
  <c r="W149" i="13"/>
  <c r="BM149" i="13" s="1"/>
  <c r="V149" i="13"/>
  <c r="U149" i="13"/>
  <c r="T149" i="13"/>
  <c r="AV149" i="13" s="1"/>
  <c r="S149" i="13"/>
  <c r="AU149" i="13" s="1"/>
  <c r="R149" i="13"/>
  <c r="BH149" i="13" s="1"/>
  <c r="Q149" i="13"/>
  <c r="BG149" i="13" s="1"/>
  <c r="P149" i="13"/>
  <c r="BO148" i="13"/>
  <c r="BM148" i="13"/>
  <c r="BG148" i="13"/>
  <c r="AW148" i="13"/>
  <c r="AU148" i="13"/>
  <c r="AO148" i="13"/>
  <c r="AN148" i="13"/>
  <c r="AM148" i="13"/>
  <c r="AL148" i="13"/>
  <c r="AK148" i="13"/>
  <c r="AJ148" i="13"/>
  <c r="AI148" i="13"/>
  <c r="AH148" i="13"/>
  <c r="AG148" i="13"/>
  <c r="AF148" i="13"/>
  <c r="BH148" i="13" s="1"/>
  <c r="AE148" i="13"/>
  <c r="AD148" i="13"/>
  <c r="AA148" i="13"/>
  <c r="BQ148" i="13" s="1"/>
  <c r="Z148" i="13"/>
  <c r="Y148" i="13"/>
  <c r="BA148" i="13" s="1"/>
  <c r="X148" i="13"/>
  <c r="AZ148" i="13" s="1"/>
  <c r="W148" i="13"/>
  <c r="AY148" i="13" s="1"/>
  <c r="V148" i="13"/>
  <c r="U148" i="13"/>
  <c r="T148" i="13"/>
  <c r="S148" i="13"/>
  <c r="BI148" i="13" s="1"/>
  <c r="R148" i="13"/>
  <c r="Q148" i="13"/>
  <c r="AS148" i="13" s="1"/>
  <c r="P148" i="13"/>
  <c r="AR148" i="13" s="1"/>
  <c r="BP148" i="13"/>
  <c r="BL147" i="13"/>
  <c r="BB147" i="13"/>
  <c r="AT147" i="13"/>
  <c r="AO147" i="13"/>
  <c r="AN147" i="13"/>
  <c r="AM147" i="13"/>
  <c r="AL147" i="13"/>
  <c r="AK147" i="13"/>
  <c r="AJ147" i="13"/>
  <c r="AI147" i="13"/>
  <c r="BK147" i="13" s="1"/>
  <c r="AH147" i="13"/>
  <c r="AG147" i="13"/>
  <c r="BI147" i="13" s="1"/>
  <c r="AF147" i="13"/>
  <c r="AE147" i="13"/>
  <c r="AD147" i="13"/>
  <c r="AA147" i="13"/>
  <c r="Z147" i="13"/>
  <c r="Y147" i="13"/>
  <c r="X147" i="13"/>
  <c r="W147" i="13"/>
  <c r="V147" i="13"/>
  <c r="AX147" i="13" s="1"/>
  <c r="U147" i="13"/>
  <c r="T147" i="13"/>
  <c r="AV147" i="13" s="1"/>
  <c r="S147" i="13"/>
  <c r="R147" i="13"/>
  <c r="Q147" i="13"/>
  <c r="P147" i="13"/>
  <c r="BQ147" i="13"/>
  <c r="BJ147" i="13"/>
  <c r="BH146" i="13"/>
  <c r="BG146" i="13"/>
  <c r="AU146" i="13"/>
  <c r="AO146" i="13"/>
  <c r="AN146" i="13"/>
  <c r="AM146" i="13"/>
  <c r="AL146" i="13"/>
  <c r="AK146" i="13"/>
  <c r="AJ146" i="13"/>
  <c r="AI146" i="13"/>
  <c r="AH146" i="13"/>
  <c r="AG146" i="13"/>
  <c r="AF146" i="13"/>
  <c r="AE146" i="13"/>
  <c r="AD146" i="13"/>
  <c r="AA146" i="13"/>
  <c r="BQ146" i="13" s="1"/>
  <c r="Z146" i="13"/>
  <c r="Y146" i="13"/>
  <c r="X146" i="13"/>
  <c r="AZ146" i="13" s="1"/>
  <c r="W146" i="13"/>
  <c r="AY146" i="13" s="1"/>
  <c r="V146" i="13"/>
  <c r="BL146" i="13" s="1"/>
  <c r="U146" i="13"/>
  <c r="T146" i="13"/>
  <c r="BJ146" i="13" s="1"/>
  <c r="S146" i="13"/>
  <c r="BI146" i="13" s="1"/>
  <c r="R146" i="13"/>
  <c r="Q146" i="13"/>
  <c r="P146" i="13"/>
  <c r="AR146" i="13" s="1"/>
  <c r="BP146" i="13"/>
  <c r="BN146" i="13"/>
  <c r="BM146" i="13"/>
  <c r="BF146" i="13"/>
  <c r="BL145" i="13"/>
  <c r="BB145" i="13"/>
  <c r="BA145" i="13"/>
  <c r="AS145" i="13"/>
  <c r="AO145" i="13"/>
  <c r="AO164" i="13" s="1"/>
  <c r="AN145" i="13"/>
  <c r="AM145" i="13"/>
  <c r="AL145" i="13"/>
  <c r="AK145" i="13"/>
  <c r="AJ145" i="13"/>
  <c r="AI145" i="13"/>
  <c r="AH145" i="13"/>
  <c r="AH164" i="13" s="1"/>
  <c r="AG145" i="13"/>
  <c r="AF145" i="13"/>
  <c r="AE145" i="13"/>
  <c r="AD145" i="13"/>
  <c r="AD164" i="13" s="1"/>
  <c r="AA145" i="13"/>
  <c r="Z145" i="13"/>
  <c r="Y145" i="13"/>
  <c r="X145" i="13"/>
  <c r="W145" i="13"/>
  <c r="V145" i="13"/>
  <c r="AX145" i="13" s="1"/>
  <c r="U145" i="13"/>
  <c r="T145" i="13"/>
  <c r="T164" i="13" s="1"/>
  <c r="S145" i="13"/>
  <c r="R145" i="13"/>
  <c r="AT145" i="13" s="1"/>
  <c r="Q145" i="13"/>
  <c r="P145" i="13"/>
  <c r="BH144" i="13"/>
  <c r="BC144" i="13"/>
  <c r="AX144" i="13"/>
  <c r="AO144" i="13"/>
  <c r="AN144" i="13"/>
  <c r="BP144" i="13" s="1"/>
  <c r="AM144" i="13"/>
  <c r="AL144" i="13"/>
  <c r="AK144" i="13"/>
  <c r="AJ144" i="13"/>
  <c r="AI144" i="13"/>
  <c r="AH144" i="13"/>
  <c r="AG144" i="13"/>
  <c r="AF144" i="13"/>
  <c r="AE144" i="13"/>
  <c r="AD144" i="13"/>
  <c r="AA144" i="13"/>
  <c r="BQ144" i="13" s="1"/>
  <c r="Z144" i="13"/>
  <c r="BB144" i="13" s="1"/>
  <c r="Y144" i="13"/>
  <c r="X144" i="13"/>
  <c r="AZ144" i="13" s="1"/>
  <c r="W144" i="13"/>
  <c r="V144" i="13"/>
  <c r="U144" i="13"/>
  <c r="T144" i="13"/>
  <c r="S144" i="13"/>
  <c r="R144" i="13"/>
  <c r="AT144" i="13" s="1"/>
  <c r="Q144" i="13"/>
  <c r="P144" i="13"/>
  <c r="AR144" i="13" s="1"/>
  <c r="BN144" i="13"/>
  <c r="BA143" i="13"/>
  <c r="AY143" i="13"/>
  <c r="AS143" i="13"/>
  <c r="AO143" i="13"/>
  <c r="AN143" i="13"/>
  <c r="AM143" i="13"/>
  <c r="AL143" i="13"/>
  <c r="AK143" i="13"/>
  <c r="AJ143" i="13"/>
  <c r="BL143" i="13" s="1"/>
  <c r="AI143" i="13"/>
  <c r="AH143" i="13"/>
  <c r="AG143" i="13"/>
  <c r="AF143" i="13"/>
  <c r="AE143" i="13"/>
  <c r="AD143" i="13"/>
  <c r="AA143" i="13"/>
  <c r="BC143" i="13" s="1"/>
  <c r="Z143" i="13"/>
  <c r="Y143" i="13"/>
  <c r="X143" i="13"/>
  <c r="W143" i="13"/>
  <c r="BM143" i="13" s="1"/>
  <c r="V143" i="13"/>
  <c r="U143" i="13"/>
  <c r="AW143" i="13" s="1"/>
  <c r="T143" i="13"/>
  <c r="AV143" i="13" s="1"/>
  <c r="S143" i="13"/>
  <c r="AU143" i="13" s="1"/>
  <c r="R143" i="13"/>
  <c r="Q143" i="13"/>
  <c r="P143" i="13"/>
  <c r="BK143" i="13"/>
  <c r="BP142" i="13"/>
  <c r="BC142" i="13"/>
  <c r="AX142" i="13"/>
  <c r="AW142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A142" i="13"/>
  <c r="BQ142" i="13" s="1"/>
  <c r="Z142" i="13"/>
  <c r="BB142" i="13" s="1"/>
  <c r="Y142" i="13"/>
  <c r="BA142" i="13" s="1"/>
  <c r="X142" i="13"/>
  <c r="AZ142" i="13" s="1"/>
  <c r="W142" i="13"/>
  <c r="V142" i="13"/>
  <c r="BL142" i="13" s="1"/>
  <c r="U142" i="13"/>
  <c r="BK142" i="13" s="1"/>
  <c r="T142" i="13"/>
  <c r="S142" i="13"/>
  <c r="R142" i="13"/>
  <c r="AT142" i="13" s="1"/>
  <c r="Q142" i="13"/>
  <c r="AS142" i="13" s="1"/>
  <c r="P142" i="13"/>
  <c r="AR142" i="13" s="1"/>
  <c r="BO142" i="13"/>
  <c r="BN142" i="13"/>
  <c r="BH142" i="13"/>
  <c r="AY141" i="13"/>
  <c r="AT141" i="13"/>
  <c r="AO141" i="13"/>
  <c r="AN141" i="13"/>
  <c r="AM141" i="13"/>
  <c r="AL141" i="13"/>
  <c r="AK141" i="13"/>
  <c r="AJ141" i="13"/>
  <c r="BL141" i="13" s="1"/>
  <c r="AI141" i="13"/>
  <c r="BK141" i="13" s="1"/>
  <c r="AH141" i="13"/>
  <c r="AG141" i="13"/>
  <c r="AF141" i="13"/>
  <c r="AE141" i="13"/>
  <c r="AD141" i="13"/>
  <c r="AA141" i="13"/>
  <c r="BC141" i="13" s="1"/>
  <c r="Z141" i="13"/>
  <c r="Y141" i="13"/>
  <c r="X141" i="13"/>
  <c r="W141" i="13"/>
  <c r="BM141" i="13" s="1"/>
  <c r="V141" i="13"/>
  <c r="U141" i="13"/>
  <c r="T141" i="13"/>
  <c r="AV141" i="13" s="1"/>
  <c r="S141" i="13"/>
  <c r="AU141" i="13" s="1"/>
  <c r="R141" i="13"/>
  <c r="Q141" i="13"/>
  <c r="P141" i="13"/>
  <c r="BJ141" i="13"/>
  <c r="BI141" i="13"/>
  <c r="BO140" i="13"/>
  <c r="AW140" i="13"/>
  <c r="AU140" i="13"/>
  <c r="AO140" i="13"/>
  <c r="AN140" i="13"/>
  <c r="BP140" i="13" s="1"/>
  <c r="AM140" i="13"/>
  <c r="AL140" i="13"/>
  <c r="AK140" i="13"/>
  <c r="AJ140" i="13"/>
  <c r="AI140" i="13"/>
  <c r="AH140" i="13"/>
  <c r="AG140" i="13"/>
  <c r="AF140" i="13"/>
  <c r="BH140" i="13" s="1"/>
  <c r="AE140" i="13"/>
  <c r="AD140" i="13"/>
  <c r="AA140" i="13"/>
  <c r="BQ140" i="13" s="1"/>
  <c r="Z140" i="13"/>
  <c r="Y140" i="13"/>
  <c r="BA140" i="13" s="1"/>
  <c r="X140" i="13"/>
  <c r="AZ140" i="13" s="1"/>
  <c r="W140" i="13"/>
  <c r="AY140" i="13" s="1"/>
  <c r="V140" i="13"/>
  <c r="U140" i="13"/>
  <c r="BK140" i="13" s="1"/>
  <c r="T140" i="13"/>
  <c r="BJ140" i="13" s="1"/>
  <c r="S140" i="13"/>
  <c r="BI140" i="13" s="1"/>
  <c r="R140" i="13"/>
  <c r="Q140" i="13"/>
  <c r="AS140" i="13" s="1"/>
  <c r="P140" i="13"/>
  <c r="AR140" i="13" s="1"/>
  <c r="BN140" i="13"/>
  <c r="BF140" i="13"/>
  <c r="BB139" i="13"/>
  <c r="AT139" i="13"/>
  <c r="AO139" i="13"/>
  <c r="AN139" i="13"/>
  <c r="AM139" i="13"/>
  <c r="AL139" i="13"/>
  <c r="AK139" i="13"/>
  <c r="AJ139" i="13"/>
  <c r="AI139" i="13"/>
  <c r="BK139" i="13" s="1"/>
  <c r="AH139" i="13"/>
  <c r="AG139" i="13"/>
  <c r="AF139" i="13"/>
  <c r="AE139" i="13"/>
  <c r="AD139" i="13"/>
  <c r="AA139" i="13"/>
  <c r="Z139" i="13"/>
  <c r="BP139" i="13" s="1"/>
  <c r="Y139" i="13"/>
  <c r="X139" i="13"/>
  <c r="BN139" i="13" s="1"/>
  <c r="W139" i="13"/>
  <c r="V139" i="13"/>
  <c r="AX139" i="13" s="1"/>
  <c r="U139" i="13"/>
  <c r="T139" i="13"/>
  <c r="AV139" i="13" s="1"/>
  <c r="S139" i="13"/>
  <c r="R139" i="13"/>
  <c r="BH139" i="13" s="1"/>
  <c r="Q139" i="13"/>
  <c r="P139" i="13"/>
  <c r="BF139" i="13" s="1"/>
  <c r="BL139" i="13"/>
  <c r="AU138" i="13"/>
  <c r="AO138" i="13"/>
  <c r="AN138" i="13"/>
  <c r="AM138" i="13"/>
  <c r="BO138" i="13" s="1"/>
  <c r="AL138" i="13"/>
  <c r="AK138" i="13"/>
  <c r="AJ138" i="13"/>
  <c r="AI138" i="13"/>
  <c r="AH138" i="13"/>
  <c r="AG138" i="13"/>
  <c r="AF138" i="13"/>
  <c r="BH138" i="13" s="1"/>
  <c r="AE138" i="13"/>
  <c r="BG138" i="13" s="1"/>
  <c r="AD138" i="13"/>
  <c r="AA138" i="13"/>
  <c r="BQ138" i="13" s="1"/>
  <c r="Z138" i="13"/>
  <c r="Y138" i="13"/>
  <c r="X138" i="13"/>
  <c r="AZ138" i="13" s="1"/>
  <c r="W138" i="13"/>
  <c r="AY138" i="13" s="1"/>
  <c r="V138" i="13"/>
  <c r="BL138" i="13" s="1"/>
  <c r="U138" i="13"/>
  <c r="T138" i="13"/>
  <c r="BJ138" i="13" s="1"/>
  <c r="S138" i="13"/>
  <c r="BI138" i="13" s="1"/>
  <c r="R138" i="13"/>
  <c r="Q138" i="13"/>
  <c r="P138" i="13"/>
  <c r="AR138" i="13" s="1"/>
  <c r="BP138" i="13"/>
  <c r="BN138" i="13"/>
  <c r="BM138" i="13"/>
  <c r="BF138" i="13"/>
  <c r="BL137" i="13"/>
  <c r="BB137" i="13"/>
  <c r="BA137" i="13"/>
  <c r="AS137" i="13"/>
  <c r="AO137" i="13"/>
  <c r="AN137" i="13"/>
  <c r="AM137" i="13"/>
  <c r="AL137" i="13"/>
  <c r="AK137" i="13"/>
  <c r="AJ137" i="13"/>
  <c r="AI137" i="13"/>
  <c r="AH137" i="13"/>
  <c r="AG137" i="13"/>
  <c r="BI137" i="13" s="1"/>
  <c r="AF137" i="13"/>
  <c r="AE137" i="13"/>
  <c r="AD137" i="13"/>
  <c r="AA137" i="13"/>
  <c r="Z137" i="13"/>
  <c r="Y137" i="13"/>
  <c r="X137" i="13"/>
  <c r="W137" i="13"/>
  <c r="V137" i="13"/>
  <c r="AX137" i="13" s="1"/>
  <c r="U137" i="13"/>
  <c r="AW137" i="13" s="1"/>
  <c r="T137" i="13"/>
  <c r="AV137" i="13" s="1"/>
  <c r="S137" i="13"/>
  <c r="R137" i="13"/>
  <c r="Q137" i="13"/>
  <c r="P137" i="13"/>
  <c r="BQ137" i="13"/>
  <c r="BK137" i="13"/>
  <c r="BJ137" i="13"/>
  <c r="AX136" i="13"/>
  <c r="AO136" i="13"/>
  <c r="AN136" i="13"/>
  <c r="BP136" i="13" s="1"/>
  <c r="AM136" i="13"/>
  <c r="BO136" i="13" s="1"/>
  <c r="AL136" i="13"/>
  <c r="AK136" i="13"/>
  <c r="BM136" i="13" s="1"/>
  <c r="AJ136" i="13"/>
  <c r="AI136" i="13"/>
  <c r="AH136" i="13"/>
  <c r="AG136" i="13"/>
  <c r="AF136" i="13"/>
  <c r="AE136" i="13"/>
  <c r="AD136" i="13"/>
  <c r="AA136" i="13"/>
  <c r="BQ136" i="13" s="1"/>
  <c r="Z136" i="13"/>
  <c r="BB136" i="13" s="1"/>
  <c r="Y136" i="13"/>
  <c r="X136" i="13"/>
  <c r="AZ136" i="13" s="1"/>
  <c r="W136" i="13"/>
  <c r="V136" i="13"/>
  <c r="U136" i="13"/>
  <c r="T136" i="13"/>
  <c r="S136" i="13"/>
  <c r="R136" i="13"/>
  <c r="AT136" i="13" s="1"/>
  <c r="Q136" i="13"/>
  <c r="P136" i="13"/>
  <c r="AR136" i="13" s="1"/>
  <c r="BH136" i="13"/>
  <c r="BG136" i="13"/>
  <c r="BF136" i="13"/>
  <c r="BQ135" i="13"/>
  <c r="BI135" i="13"/>
  <c r="BA135" i="13"/>
  <c r="AY135" i="13"/>
  <c r="AS135" i="13"/>
  <c r="AO135" i="13"/>
  <c r="AN135" i="13"/>
  <c r="AM135" i="13"/>
  <c r="AL135" i="13"/>
  <c r="AK135" i="13"/>
  <c r="AJ135" i="13"/>
  <c r="BL135" i="13" s="1"/>
  <c r="AI135" i="13"/>
  <c r="AH135" i="13"/>
  <c r="AG135" i="13"/>
  <c r="AF135" i="13"/>
  <c r="AE135" i="13"/>
  <c r="AD135" i="13"/>
  <c r="AA135" i="13"/>
  <c r="BC135" i="13" s="1"/>
  <c r="Z135" i="13"/>
  <c r="Y135" i="13"/>
  <c r="BO135" i="13" s="1"/>
  <c r="X135" i="13"/>
  <c r="W135" i="13"/>
  <c r="BM135" i="13" s="1"/>
  <c r="V135" i="13"/>
  <c r="U135" i="13"/>
  <c r="AW135" i="13" s="1"/>
  <c r="T135" i="13"/>
  <c r="AV135" i="13" s="1"/>
  <c r="S135" i="13"/>
  <c r="AU135" i="13" s="1"/>
  <c r="R135" i="13"/>
  <c r="Q135" i="13"/>
  <c r="BG135" i="13" s="1"/>
  <c r="P135" i="13"/>
  <c r="BP134" i="13"/>
  <c r="AX134" i="13"/>
  <c r="AW134" i="13"/>
  <c r="AU134" i="13"/>
  <c r="AO134" i="13"/>
  <c r="AN134" i="13"/>
  <c r="AM134" i="13"/>
  <c r="AL134" i="13"/>
  <c r="AK134" i="13"/>
  <c r="AJ134" i="13"/>
  <c r="AI134" i="13"/>
  <c r="AH134" i="13"/>
  <c r="AG134" i="13"/>
  <c r="AF134" i="13"/>
  <c r="AE134" i="13"/>
  <c r="AD134" i="13"/>
  <c r="AA134" i="13"/>
  <c r="Z134" i="13"/>
  <c r="BB134" i="13" s="1"/>
  <c r="Y134" i="13"/>
  <c r="BA134" i="13" s="1"/>
  <c r="X134" i="13"/>
  <c r="AZ134" i="13" s="1"/>
  <c r="W134" i="13"/>
  <c r="V134" i="13"/>
  <c r="U134" i="13"/>
  <c r="T134" i="13"/>
  <c r="S134" i="13"/>
  <c r="BI134" i="13" s="1"/>
  <c r="R134" i="13"/>
  <c r="AT134" i="13" s="1"/>
  <c r="Q134" i="13"/>
  <c r="AS134" i="13" s="1"/>
  <c r="P134" i="13"/>
  <c r="AR134" i="13" s="1"/>
  <c r="BO134" i="13"/>
  <c r="BH134" i="13"/>
  <c r="BG134" i="13"/>
  <c r="BF134" i="13"/>
  <c r="BQ133" i="13"/>
  <c r="AY133" i="13"/>
  <c r="AT133" i="13"/>
  <c r="AO133" i="13"/>
  <c r="AN133" i="13"/>
  <c r="AM133" i="13"/>
  <c r="AL133" i="13"/>
  <c r="AK133" i="13"/>
  <c r="AJ133" i="13"/>
  <c r="BL133" i="13" s="1"/>
  <c r="AI133" i="13"/>
  <c r="BK133" i="13" s="1"/>
  <c r="AH133" i="13"/>
  <c r="AG133" i="13"/>
  <c r="AF133" i="13"/>
  <c r="AE133" i="13"/>
  <c r="AD133" i="13"/>
  <c r="AA133" i="13"/>
  <c r="BC133" i="13" s="1"/>
  <c r="Z133" i="13"/>
  <c r="Y133" i="13"/>
  <c r="X133" i="13"/>
  <c r="W133" i="13"/>
  <c r="BM133" i="13" s="1"/>
  <c r="V133" i="13"/>
  <c r="U133" i="13"/>
  <c r="T133" i="13"/>
  <c r="AV133" i="13" s="1"/>
  <c r="S133" i="13"/>
  <c r="AU133" i="13" s="1"/>
  <c r="R133" i="13"/>
  <c r="Q133" i="13"/>
  <c r="P133" i="13"/>
  <c r="BJ133" i="13"/>
  <c r="BG132" i="13"/>
  <c r="AW132" i="13"/>
  <c r="AU132" i="13"/>
  <c r="AO132" i="13"/>
  <c r="AN132" i="13"/>
  <c r="AM132" i="13"/>
  <c r="AL132" i="13"/>
  <c r="AK132" i="13"/>
  <c r="AJ132" i="13"/>
  <c r="AI132" i="13"/>
  <c r="AH132" i="13"/>
  <c r="AG132" i="13"/>
  <c r="AF132" i="13"/>
  <c r="AE132" i="13"/>
  <c r="AD132" i="13"/>
  <c r="AA132" i="13"/>
  <c r="BQ132" i="13" s="1"/>
  <c r="Z132" i="13"/>
  <c r="Y132" i="13"/>
  <c r="BA132" i="13" s="1"/>
  <c r="X132" i="13"/>
  <c r="AZ132" i="13" s="1"/>
  <c r="W132" i="13"/>
  <c r="AY132" i="13" s="1"/>
  <c r="V132" i="13"/>
  <c r="U132" i="13"/>
  <c r="T132" i="13"/>
  <c r="S132" i="13"/>
  <c r="BI132" i="13" s="1"/>
  <c r="R132" i="13"/>
  <c r="Q132" i="13"/>
  <c r="AS132" i="13" s="1"/>
  <c r="P132" i="13"/>
  <c r="AR132" i="13" s="1"/>
  <c r="BO132" i="13"/>
  <c r="BL131" i="13"/>
  <c r="BB131" i="13"/>
  <c r="AT131" i="13"/>
  <c r="AO131" i="13"/>
  <c r="AN131" i="13"/>
  <c r="AM131" i="13"/>
  <c r="AL131" i="13"/>
  <c r="AK131" i="13"/>
  <c r="AJ131" i="13"/>
  <c r="AI131" i="13"/>
  <c r="BK131" i="13" s="1"/>
  <c r="AH131" i="13"/>
  <c r="AG131" i="13"/>
  <c r="AF131" i="13"/>
  <c r="AE131" i="13"/>
  <c r="AD131" i="13"/>
  <c r="AA131" i="13"/>
  <c r="Z131" i="13"/>
  <c r="BP131" i="13" s="1"/>
  <c r="Y131" i="13"/>
  <c r="X131" i="13"/>
  <c r="W131" i="13"/>
  <c r="V131" i="13"/>
  <c r="AX131" i="13" s="1"/>
  <c r="U131" i="13"/>
  <c r="T131" i="13"/>
  <c r="AV131" i="13" s="1"/>
  <c r="S131" i="13"/>
  <c r="R131" i="13"/>
  <c r="BH131" i="13" s="1"/>
  <c r="Q131" i="13"/>
  <c r="P131" i="13"/>
  <c r="AX130" i="13"/>
  <c r="AU130" i="13"/>
  <c r="AO130" i="13"/>
  <c r="AN130" i="13"/>
  <c r="AM130" i="13"/>
  <c r="AL130" i="13"/>
  <c r="AK130" i="13"/>
  <c r="AK162" i="13" s="1"/>
  <c r="AJ130" i="13"/>
  <c r="AI130" i="13"/>
  <c r="AH130" i="13"/>
  <c r="AH161" i="13" s="1"/>
  <c r="AG130" i="13"/>
  <c r="AF130" i="13"/>
  <c r="AE130" i="13"/>
  <c r="AD130" i="13"/>
  <c r="AA130" i="13"/>
  <c r="AA162" i="13" s="1"/>
  <c r="Z130" i="13"/>
  <c r="BB130" i="13" s="1"/>
  <c r="Y130" i="13"/>
  <c r="X130" i="13"/>
  <c r="X165" i="13" s="1"/>
  <c r="W130" i="13"/>
  <c r="V130" i="13"/>
  <c r="U130" i="13"/>
  <c r="T130" i="13"/>
  <c r="T162" i="13" s="1"/>
  <c r="S130" i="13"/>
  <c r="R130" i="13"/>
  <c r="AT130" i="13" s="1"/>
  <c r="Q130" i="13"/>
  <c r="P130" i="13"/>
  <c r="P163" i="13" s="1"/>
  <c r="AK124" i="13"/>
  <c r="BC120" i="13"/>
  <c r="AO120" i="13"/>
  <c r="AN120" i="13"/>
  <c r="AM120" i="13"/>
  <c r="AL120" i="13"/>
  <c r="AK120" i="13"/>
  <c r="AJ120" i="13"/>
  <c r="BL120" i="13" s="1"/>
  <c r="AI120" i="13"/>
  <c r="BK120" i="13" s="1"/>
  <c r="AH120" i="13"/>
  <c r="AG120" i="13"/>
  <c r="AF120" i="13"/>
  <c r="AE120" i="13"/>
  <c r="AD120" i="13"/>
  <c r="AA120" i="13"/>
  <c r="BQ120" i="13" s="1"/>
  <c r="Z120" i="13"/>
  <c r="Y120" i="13"/>
  <c r="BO120" i="13" s="1"/>
  <c r="X120" i="13"/>
  <c r="W120" i="13"/>
  <c r="AY120" i="13" s="1"/>
  <c r="V120" i="13"/>
  <c r="U120" i="13"/>
  <c r="T120" i="13"/>
  <c r="S120" i="13"/>
  <c r="BI120" i="13" s="1"/>
  <c r="R120" i="13"/>
  <c r="BH120" i="13" s="1"/>
  <c r="Q120" i="13"/>
  <c r="BG120" i="13" s="1"/>
  <c r="P120" i="13"/>
  <c r="BF120" i="13" s="1"/>
  <c r="AX119" i="13"/>
  <c r="AW119" i="13"/>
  <c r="AV119" i="13"/>
  <c r="AO119" i="13"/>
  <c r="AN119" i="13"/>
  <c r="AM119" i="13"/>
  <c r="AL119" i="13"/>
  <c r="AK119" i="13"/>
  <c r="AJ119" i="13"/>
  <c r="AI119" i="13"/>
  <c r="AH119" i="13"/>
  <c r="AG119" i="13"/>
  <c r="BI119" i="13" s="1"/>
  <c r="AF119" i="13"/>
  <c r="AE119" i="13"/>
  <c r="AD119" i="13"/>
  <c r="AA119" i="13"/>
  <c r="Z119" i="13"/>
  <c r="BB119" i="13" s="1"/>
  <c r="Y119" i="13"/>
  <c r="BA119" i="13" s="1"/>
  <c r="X119" i="13"/>
  <c r="AZ119" i="13" s="1"/>
  <c r="W119" i="13"/>
  <c r="V119" i="13"/>
  <c r="U119" i="13"/>
  <c r="T119" i="13"/>
  <c r="S119" i="13"/>
  <c r="R119" i="13"/>
  <c r="AT119" i="13" s="1"/>
  <c r="Q119" i="13"/>
  <c r="AS119" i="13" s="1"/>
  <c r="P119" i="13"/>
  <c r="AR119" i="13" s="1"/>
  <c r="BQ119" i="13"/>
  <c r="BB118" i="13"/>
  <c r="BA118" i="13"/>
  <c r="AZ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A118" i="13"/>
  <c r="Z118" i="13"/>
  <c r="BP118" i="13" s="1"/>
  <c r="Y118" i="13"/>
  <c r="BO118" i="13" s="1"/>
  <c r="X118" i="13"/>
  <c r="BN118" i="13" s="1"/>
  <c r="W118" i="13"/>
  <c r="V118" i="13"/>
  <c r="AX118" i="13" s="1"/>
  <c r="U118" i="13"/>
  <c r="AW118" i="13" s="1"/>
  <c r="T118" i="13"/>
  <c r="AV118" i="13" s="1"/>
  <c r="S118" i="13"/>
  <c r="BI118" i="13" s="1"/>
  <c r="R118" i="13"/>
  <c r="BH118" i="13" s="1"/>
  <c r="Q118" i="13"/>
  <c r="BG118" i="13" s="1"/>
  <c r="P118" i="13"/>
  <c r="BF118" i="13" s="1"/>
  <c r="BL118" i="13"/>
  <c r="BK118" i="13"/>
  <c r="AY117" i="13"/>
  <c r="AO117" i="13"/>
  <c r="AN117" i="13"/>
  <c r="AM117" i="13"/>
  <c r="AL117" i="13"/>
  <c r="AK117" i="13"/>
  <c r="AJ117" i="13"/>
  <c r="AI117" i="13"/>
  <c r="AH117" i="13"/>
  <c r="AG117" i="13"/>
  <c r="AF117" i="13"/>
  <c r="AE117" i="13"/>
  <c r="BG117" i="13" s="1"/>
  <c r="AD117" i="13"/>
  <c r="AA117" i="13"/>
  <c r="BC117" i="13" s="1"/>
  <c r="Z117" i="13"/>
  <c r="Y117" i="13"/>
  <c r="X117" i="13"/>
  <c r="W117" i="13"/>
  <c r="BM117" i="13" s="1"/>
  <c r="V117" i="13"/>
  <c r="U117" i="13"/>
  <c r="BK117" i="13" s="1"/>
  <c r="T117" i="13"/>
  <c r="S117" i="13"/>
  <c r="AU117" i="13" s="1"/>
  <c r="R117" i="13"/>
  <c r="Q117" i="13"/>
  <c r="P117" i="13"/>
  <c r="BP117" i="13"/>
  <c r="BO117" i="13"/>
  <c r="BN117" i="13"/>
  <c r="BC116" i="13"/>
  <c r="AO116" i="13"/>
  <c r="AN116" i="13"/>
  <c r="AM116" i="13"/>
  <c r="AL116" i="13"/>
  <c r="AK116" i="13"/>
  <c r="AJ116" i="13"/>
  <c r="AI116" i="13"/>
  <c r="AH116" i="13"/>
  <c r="AG116" i="13"/>
  <c r="AF116" i="13"/>
  <c r="AE116" i="13"/>
  <c r="AD116" i="13"/>
  <c r="AA116" i="13"/>
  <c r="BQ116" i="13" s="1"/>
  <c r="Z116" i="13"/>
  <c r="Y116" i="13"/>
  <c r="X116" i="13"/>
  <c r="W116" i="13"/>
  <c r="AY116" i="13" s="1"/>
  <c r="V116" i="13"/>
  <c r="U116" i="13"/>
  <c r="T116" i="13"/>
  <c r="S116" i="13"/>
  <c r="BI116" i="13" s="1"/>
  <c r="R116" i="13"/>
  <c r="Q116" i="13"/>
  <c r="P116" i="13"/>
  <c r="BI115" i="13"/>
  <c r="AX115" i="13"/>
  <c r="AW115" i="13"/>
  <c r="AV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A115" i="13"/>
  <c r="Z115" i="13"/>
  <c r="BB115" i="13" s="1"/>
  <c r="Y115" i="13"/>
  <c r="BA115" i="13" s="1"/>
  <c r="X115" i="13"/>
  <c r="AZ115" i="13" s="1"/>
  <c r="W115" i="13"/>
  <c r="V115" i="13"/>
  <c r="BL115" i="13" s="1"/>
  <c r="U115" i="13"/>
  <c r="BK115" i="13" s="1"/>
  <c r="T115" i="13"/>
  <c r="BJ115" i="13" s="1"/>
  <c r="S115" i="13"/>
  <c r="R115" i="13"/>
  <c r="AT115" i="13" s="1"/>
  <c r="Q115" i="13"/>
  <c r="AS115" i="13" s="1"/>
  <c r="P115" i="13"/>
  <c r="AR115" i="13" s="1"/>
  <c r="BB114" i="13"/>
  <c r="BA114" i="13"/>
  <c r="AZ114" i="13"/>
  <c r="AU114" i="13"/>
  <c r="AO114" i="13"/>
  <c r="AN114" i="13"/>
  <c r="AM114" i="13"/>
  <c r="AL114" i="13"/>
  <c r="AK114" i="13"/>
  <c r="BM114" i="13" s="1"/>
  <c r="AJ114" i="13"/>
  <c r="AI114" i="13"/>
  <c r="AH114" i="13"/>
  <c r="AG114" i="13"/>
  <c r="AF114" i="13"/>
  <c r="AE114" i="13"/>
  <c r="AD114" i="13"/>
  <c r="AA114" i="13"/>
  <c r="Z114" i="13"/>
  <c r="Y114" i="13"/>
  <c r="X114" i="13"/>
  <c r="W114" i="13"/>
  <c r="V114" i="13"/>
  <c r="AX114" i="13" s="1"/>
  <c r="U114" i="13"/>
  <c r="AW114" i="13" s="1"/>
  <c r="T114" i="13"/>
  <c r="AV114" i="13" s="1"/>
  <c r="S114" i="13"/>
  <c r="BI114" i="13" s="1"/>
  <c r="R114" i="13"/>
  <c r="Q114" i="13"/>
  <c r="P114" i="13"/>
  <c r="BQ113" i="13"/>
  <c r="BF113" i="13"/>
  <c r="AY113" i="13"/>
  <c r="AO113" i="13"/>
  <c r="AN113" i="13"/>
  <c r="AM113" i="13"/>
  <c r="AL113" i="13"/>
  <c r="AK113" i="13"/>
  <c r="AJ113" i="13"/>
  <c r="AI113" i="13"/>
  <c r="AH113" i="13"/>
  <c r="AG113" i="13"/>
  <c r="AF113" i="13"/>
  <c r="AE113" i="13"/>
  <c r="AD113" i="13"/>
  <c r="AA113" i="13"/>
  <c r="BC113" i="13" s="1"/>
  <c r="Z113" i="13"/>
  <c r="Y113" i="13"/>
  <c r="X113" i="13"/>
  <c r="W113" i="13"/>
  <c r="BM113" i="13" s="1"/>
  <c r="V113" i="13"/>
  <c r="U113" i="13"/>
  <c r="BK113" i="13" s="1"/>
  <c r="T113" i="13"/>
  <c r="S113" i="13"/>
  <c r="AU113" i="13" s="1"/>
  <c r="R113" i="13"/>
  <c r="Q113" i="13"/>
  <c r="P113" i="13"/>
  <c r="BI113" i="13"/>
  <c r="BL112" i="13"/>
  <c r="BC112" i="13"/>
  <c r="AT112" i="13"/>
  <c r="AO112" i="13"/>
  <c r="AN112" i="13"/>
  <c r="AM112" i="13"/>
  <c r="AL112" i="13"/>
  <c r="AK112" i="13"/>
  <c r="AJ112" i="13"/>
  <c r="AI112" i="13"/>
  <c r="BK112" i="13" s="1"/>
  <c r="AH112" i="13"/>
  <c r="BJ112" i="13" s="1"/>
  <c r="AG112" i="13"/>
  <c r="AF112" i="13"/>
  <c r="AE112" i="13"/>
  <c r="AD112" i="13"/>
  <c r="AA112" i="13"/>
  <c r="BQ112" i="13" s="1"/>
  <c r="Z112" i="13"/>
  <c r="Y112" i="13"/>
  <c r="BO112" i="13" s="1"/>
  <c r="X112" i="13"/>
  <c r="W112" i="13"/>
  <c r="AY112" i="13" s="1"/>
  <c r="V112" i="13"/>
  <c r="U112" i="13"/>
  <c r="T112" i="13"/>
  <c r="S112" i="13"/>
  <c r="BI112" i="13" s="1"/>
  <c r="R112" i="13"/>
  <c r="BH112" i="13" s="1"/>
  <c r="Q112" i="13"/>
  <c r="BG112" i="13" s="1"/>
  <c r="P112" i="13"/>
  <c r="BF112" i="13" s="1"/>
  <c r="AX111" i="13"/>
  <c r="AW111" i="13"/>
  <c r="AV111" i="13"/>
  <c r="AO111" i="13"/>
  <c r="AN111" i="13"/>
  <c r="AM111" i="13"/>
  <c r="AL111" i="13"/>
  <c r="AK111" i="13"/>
  <c r="AJ111" i="13"/>
  <c r="AI111" i="13"/>
  <c r="AH111" i="13"/>
  <c r="AG111" i="13"/>
  <c r="BI111" i="13" s="1"/>
  <c r="AF111" i="13"/>
  <c r="AE111" i="13"/>
  <c r="AD111" i="13"/>
  <c r="AA111" i="13"/>
  <c r="Z111" i="13"/>
  <c r="BB111" i="13" s="1"/>
  <c r="Y111" i="13"/>
  <c r="BA111" i="13" s="1"/>
  <c r="X111" i="13"/>
  <c r="AZ111" i="13" s="1"/>
  <c r="W111" i="13"/>
  <c r="V111" i="13"/>
  <c r="U111" i="13"/>
  <c r="T111" i="13"/>
  <c r="S111" i="13"/>
  <c r="R111" i="13"/>
  <c r="AT111" i="13" s="1"/>
  <c r="Q111" i="13"/>
  <c r="AS111" i="13" s="1"/>
  <c r="P111" i="13"/>
  <c r="AR111" i="13" s="1"/>
  <c r="BQ111" i="13"/>
  <c r="BB110" i="13"/>
  <c r="BA110" i="13"/>
  <c r="AZ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A110" i="13"/>
  <c r="Z110" i="13"/>
  <c r="BP110" i="13" s="1"/>
  <c r="Y110" i="13"/>
  <c r="BO110" i="13" s="1"/>
  <c r="X110" i="13"/>
  <c r="BN110" i="13" s="1"/>
  <c r="W110" i="13"/>
  <c r="V110" i="13"/>
  <c r="AX110" i="13" s="1"/>
  <c r="U110" i="13"/>
  <c r="AW110" i="13" s="1"/>
  <c r="T110" i="13"/>
  <c r="AV110" i="13" s="1"/>
  <c r="S110" i="13"/>
  <c r="R110" i="13"/>
  <c r="BH110" i="13" s="1"/>
  <c r="Q110" i="13"/>
  <c r="BG110" i="13" s="1"/>
  <c r="P110" i="13"/>
  <c r="BF110" i="13" s="1"/>
  <c r="BL110" i="13"/>
  <c r="BK110" i="13"/>
  <c r="AY109" i="13"/>
  <c r="AO109" i="13"/>
  <c r="AN109" i="13"/>
  <c r="AM109" i="13"/>
  <c r="AL109" i="13"/>
  <c r="AK109" i="13"/>
  <c r="AJ109" i="13"/>
  <c r="AI109" i="13"/>
  <c r="AH109" i="13"/>
  <c r="AG109" i="13"/>
  <c r="AF109" i="13"/>
  <c r="AE109" i="13"/>
  <c r="BG109" i="13" s="1"/>
  <c r="AD109" i="13"/>
  <c r="BF109" i="13" s="1"/>
  <c r="AA109" i="13"/>
  <c r="BC109" i="13" s="1"/>
  <c r="Z109" i="13"/>
  <c r="Y109" i="13"/>
  <c r="X109" i="13"/>
  <c r="W109" i="13"/>
  <c r="BM109" i="13" s="1"/>
  <c r="V109" i="13"/>
  <c r="U109" i="13"/>
  <c r="BK109" i="13" s="1"/>
  <c r="T109" i="13"/>
  <c r="S109" i="13"/>
  <c r="AU109" i="13" s="1"/>
  <c r="R109" i="13"/>
  <c r="Q109" i="13"/>
  <c r="P109" i="13"/>
  <c r="BI109" i="13"/>
  <c r="BC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A108" i="13"/>
  <c r="BQ108" i="13" s="1"/>
  <c r="Z108" i="13"/>
  <c r="Y108" i="13"/>
  <c r="X108" i="13"/>
  <c r="W108" i="13"/>
  <c r="AY108" i="13" s="1"/>
  <c r="V108" i="13"/>
  <c r="U108" i="13"/>
  <c r="T108" i="13"/>
  <c r="S108" i="13"/>
  <c r="BI108" i="13" s="1"/>
  <c r="R108" i="13"/>
  <c r="Q108" i="13"/>
  <c r="P108" i="13"/>
  <c r="AX107" i="13"/>
  <c r="AW107" i="13"/>
  <c r="AV107" i="13"/>
  <c r="AO107" i="13"/>
  <c r="AN107" i="13"/>
  <c r="AM107" i="13"/>
  <c r="AL107" i="13"/>
  <c r="AK107" i="13"/>
  <c r="AJ107" i="13"/>
  <c r="AI107" i="13"/>
  <c r="AH107" i="13"/>
  <c r="AG107" i="13"/>
  <c r="AF107" i="13"/>
  <c r="AE107" i="13"/>
  <c r="AD107" i="13"/>
  <c r="AA107" i="13"/>
  <c r="Z107" i="13"/>
  <c r="BB107" i="13" s="1"/>
  <c r="Y107" i="13"/>
  <c r="BA107" i="13" s="1"/>
  <c r="X107" i="13"/>
  <c r="AZ107" i="13" s="1"/>
  <c r="W107" i="13"/>
  <c r="V107" i="13"/>
  <c r="BL107" i="13" s="1"/>
  <c r="U107" i="13"/>
  <c r="BK107" i="13" s="1"/>
  <c r="T107" i="13"/>
  <c r="BJ107" i="13" s="1"/>
  <c r="S107" i="13"/>
  <c r="R107" i="13"/>
  <c r="AT107" i="13" s="1"/>
  <c r="Q107" i="13"/>
  <c r="AS107" i="13" s="1"/>
  <c r="P107" i="13"/>
  <c r="AR107" i="13" s="1"/>
  <c r="BB106" i="13"/>
  <c r="BA106" i="13"/>
  <c r="AZ106" i="13"/>
  <c r="AO106" i="13"/>
  <c r="BC106" i="13" s="1"/>
  <c r="AN106" i="13"/>
  <c r="AM106" i="13"/>
  <c r="AL106" i="13"/>
  <c r="AK106" i="13"/>
  <c r="AJ106" i="13"/>
  <c r="AI106" i="13"/>
  <c r="AW106" i="13" s="1"/>
  <c r="AH106" i="13"/>
  <c r="AG106" i="13"/>
  <c r="AF106" i="13"/>
  <c r="AF124" i="13" s="1"/>
  <c r="AE106" i="13"/>
  <c r="AD106" i="13"/>
  <c r="AA106" i="13"/>
  <c r="Z106" i="13"/>
  <c r="Y106" i="13"/>
  <c r="BO106" i="13" s="1"/>
  <c r="X106" i="13"/>
  <c r="W106" i="13"/>
  <c r="V106" i="13"/>
  <c r="U106" i="13"/>
  <c r="T106" i="13"/>
  <c r="S106" i="13"/>
  <c r="AU106" i="13" s="1"/>
  <c r="R106" i="13"/>
  <c r="Q106" i="13"/>
  <c r="BG106" i="13" s="1"/>
  <c r="P106" i="13"/>
  <c r="BQ106" i="13"/>
  <c r="BP106" i="13"/>
  <c r="BI106" i="13"/>
  <c r="BC105" i="13"/>
  <c r="AV105" i="13"/>
  <c r="AU105" i="13"/>
  <c r="AO105" i="13"/>
  <c r="AN105" i="13"/>
  <c r="AN124" i="13" s="1"/>
  <c r="AM105" i="13"/>
  <c r="AL105" i="13"/>
  <c r="AK105" i="13"/>
  <c r="AJ105" i="13"/>
  <c r="AI105" i="13"/>
  <c r="AH105" i="13"/>
  <c r="AG105" i="13"/>
  <c r="AF105" i="13"/>
  <c r="AE105" i="13"/>
  <c r="AD105" i="13"/>
  <c r="AA105" i="13"/>
  <c r="Z105" i="13"/>
  <c r="Y105" i="13"/>
  <c r="X105" i="13"/>
  <c r="W105" i="13"/>
  <c r="V105" i="13"/>
  <c r="V124" i="13" s="1"/>
  <c r="U105" i="13"/>
  <c r="T105" i="13"/>
  <c r="S105" i="13"/>
  <c r="R105" i="13"/>
  <c r="AT105" i="13" s="1"/>
  <c r="Q105" i="13"/>
  <c r="P105" i="13"/>
  <c r="AO104" i="13"/>
  <c r="AN104" i="13"/>
  <c r="AM104" i="13"/>
  <c r="AL104" i="13"/>
  <c r="AK104" i="13"/>
  <c r="AJ104" i="13"/>
  <c r="AI104" i="13"/>
  <c r="AH104" i="13"/>
  <c r="AG104" i="13"/>
  <c r="BI104" i="13" s="1"/>
  <c r="AF104" i="13"/>
  <c r="AE104" i="13"/>
  <c r="AD104" i="13"/>
  <c r="AA104" i="13"/>
  <c r="Z104" i="13"/>
  <c r="BB104" i="13" s="1"/>
  <c r="Y104" i="13"/>
  <c r="X104" i="13"/>
  <c r="W104" i="13"/>
  <c r="V104" i="13"/>
  <c r="U104" i="13"/>
  <c r="T104" i="13"/>
  <c r="S104" i="13"/>
  <c r="R104" i="13"/>
  <c r="AT104" i="13" s="1"/>
  <c r="Q104" i="13"/>
  <c r="P104" i="13"/>
  <c r="BQ104" i="13"/>
  <c r="BP104" i="13"/>
  <c r="BH104" i="13"/>
  <c r="AU103" i="13"/>
  <c r="AO103" i="13"/>
  <c r="AN103" i="13"/>
  <c r="BB103" i="13" s="1"/>
  <c r="AM103" i="13"/>
  <c r="AL103" i="13"/>
  <c r="AZ103" i="13" s="1"/>
  <c r="AK103" i="13"/>
  <c r="AJ103" i="13"/>
  <c r="AI103" i="13"/>
  <c r="AH103" i="13"/>
  <c r="AG103" i="13"/>
  <c r="AF103" i="13"/>
  <c r="AT103" i="13" s="1"/>
  <c r="AE103" i="13"/>
  <c r="AD103" i="13"/>
  <c r="AA103" i="13"/>
  <c r="Z103" i="13"/>
  <c r="Y103" i="13"/>
  <c r="X103" i="13"/>
  <c r="W103" i="13"/>
  <c r="V103" i="13"/>
  <c r="AX103" i="13" s="1"/>
  <c r="U103" i="13"/>
  <c r="T103" i="13"/>
  <c r="S103" i="13"/>
  <c r="R103" i="13"/>
  <c r="Q103" i="13"/>
  <c r="P103" i="13"/>
  <c r="BM103" i="13"/>
  <c r="BB102" i="13"/>
  <c r="BA102" i="13"/>
  <c r="AX102" i="13"/>
  <c r="AO102" i="13"/>
  <c r="AN102" i="13"/>
  <c r="AM102" i="13"/>
  <c r="AL102" i="13"/>
  <c r="AK102" i="13"/>
  <c r="AJ102" i="13"/>
  <c r="AI102" i="13"/>
  <c r="AH102" i="13"/>
  <c r="AG102" i="13"/>
  <c r="BI102" i="13" s="1"/>
  <c r="AF102" i="13"/>
  <c r="AE102" i="13"/>
  <c r="AD102" i="13"/>
  <c r="AA102" i="13"/>
  <c r="Z102" i="13"/>
  <c r="Y102" i="13"/>
  <c r="BO102" i="13" s="1"/>
  <c r="X102" i="13"/>
  <c r="W102" i="13"/>
  <c r="V102" i="13"/>
  <c r="U102" i="13"/>
  <c r="T102" i="13"/>
  <c r="AV102" i="13" s="1"/>
  <c r="S102" i="13"/>
  <c r="R102" i="13"/>
  <c r="AT102" i="13" s="1"/>
  <c r="Q102" i="13"/>
  <c r="BG102" i="13" s="1"/>
  <c r="P102" i="13"/>
  <c r="AR102" i="13" s="1"/>
  <c r="BQ102" i="13"/>
  <c r="BL102" i="13"/>
  <c r="BH102" i="13"/>
  <c r="BF102" i="13"/>
  <c r="AW101" i="13"/>
  <c r="AV101" i="13"/>
  <c r="AU101" i="13"/>
  <c r="AO101" i="13"/>
  <c r="AN101" i="13"/>
  <c r="AM101" i="13"/>
  <c r="AL101" i="13"/>
  <c r="AZ101" i="13" s="1"/>
  <c r="AK101" i="13"/>
  <c r="BM101" i="13" s="1"/>
  <c r="AJ101" i="13"/>
  <c r="AI101" i="13"/>
  <c r="AH101" i="13"/>
  <c r="AG101" i="13"/>
  <c r="AF101" i="13"/>
  <c r="AE101" i="13"/>
  <c r="AD101" i="13"/>
  <c r="BF101" i="13" s="1"/>
  <c r="AA101" i="13"/>
  <c r="Z101" i="13"/>
  <c r="Y101" i="13"/>
  <c r="BA101" i="13" s="1"/>
  <c r="X101" i="13"/>
  <c r="W101" i="13"/>
  <c r="V101" i="13"/>
  <c r="AX101" i="13" s="1"/>
  <c r="U101" i="13"/>
  <c r="BK101" i="13" s="1"/>
  <c r="T101" i="13"/>
  <c r="S101" i="13"/>
  <c r="R101" i="13"/>
  <c r="R125" i="13" s="1"/>
  <c r="Q101" i="13"/>
  <c r="AS101" i="13" s="1"/>
  <c r="P101" i="13"/>
  <c r="AR101" i="13" s="1"/>
  <c r="BL101" i="13"/>
  <c r="BJ101" i="13"/>
  <c r="BA100" i="13"/>
  <c r="AZ100" i="13"/>
  <c r="AY100" i="13"/>
  <c r="AV100" i="13"/>
  <c r="AO100" i="13"/>
  <c r="AN100" i="13"/>
  <c r="AM100" i="13"/>
  <c r="AL100" i="13"/>
  <c r="AK100" i="13"/>
  <c r="AJ100" i="13"/>
  <c r="AI100" i="13"/>
  <c r="AH100" i="13"/>
  <c r="AG100" i="13"/>
  <c r="BI100" i="13" s="1"/>
  <c r="AF100" i="13"/>
  <c r="AE100" i="13"/>
  <c r="AD100" i="13"/>
  <c r="AA100" i="13"/>
  <c r="Z100" i="13"/>
  <c r="BB100" i="13" s="1"/>
  <c r="Y100" i="13"/>
  <c r="X100" i="13"/>
  <c r="W100" i="13"/>
  <c r="V100" i="13"/>
  <c r="U100" i="13"/>
  <c r="AW100" i="13" s="1"/>
  <c r="T100" i="13"/>
  <c r="S100" i="13"/>
  <c r="R100" i="13"/>
  <c r="AT100" i="13" s="1"/>
  <c r="Q100" i="13"/>
  <c r="P100" i="13"/>
  <c r="AR100" i="13" s="1"/>
  <c r="BQ100" i="13"/>
  <c r="BP100" i="13"/>
  <c r="BN100" i="13"/>
  <c r="BF100" i="13"/>
  <c r="BC99" i="13"/>
  <c r="AU99" i="13"/>
  <c r="AT99" i="13"/>
  <c r="AO99" i="13"/>
  <c r="AN99" i="13"/>
  <c r="AM99" i="13"/>
  <c r="BO99" i="13" s="1"/>
  <c r="AL99" i="13"/>
  <c r="AK99" i="13"/>
  <c r="AJ99" i="13"/>
  <c r="AX99" i="13" s="1"/>
  <c r="AI99" i="13"/>
  <c r="AH99" i="13"/>
  <c r="BJ99" i="13" s="1"/>
  <c r="AG99" i="13"/>
  <c r="AF99" i="13"/>
  <c r="AE99" i="13"/>
  <c r="AD99" i="13"/>
  <c r="AA99" i="13"/>
  <c r="Z99" i="13"/>
  <c r="BB99" i="13" s="1"/>
  <c r="Y99" i="13"/>
  <c r="BA99" i="13" s="1"/>
  <c r="X99" i="13"/>
  <c r="W99" i="13"/>
  <c r="AY99" i="13" s="1"/>
  <c r="V99" i="13"/>
  <c r="BL99" i="13" s="1"/>
  <c r="U99" i="13"/>
  <c r="BK99" i="13" s="1"/>
  <c r="T99" i="13"/>
  <c r="AV99" i="13" s="1"/>
  <c r="S99" i="13"/>
  <c r="R99" i="13"/>
  <c r="Q99" i="13"/>
  <c r="AS99" i="13" s="1"/>
  <c r="P99" i="13"/>
  <c r="BM99" i="13"/>
  <c r="BH99" i="13"/>
  <c r="BG99" i="13"/>
  <c r="BJ98" i="13"/>
  <c r="BI98" i="13"/>
  <c r="BB98" i="13"/>
  <c r="BA98" i="13"/>
  <c r="AY98" i="13"/>
  <c r="AX98" i="13"/>
  <c r="AV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A98" i="13"/>
  <c r="BC98" i="13" s="1"/>
  <c r="Z98" i="13"/>
  <c r="BP98" i="13" s="1"/>
  <c r="Y98" i="13"/>
  <c r="BO98" i="13" s="1"/>
  <c r="X98" i="13"/>
  <c r="AZ98" i="13" s="1"/>
  <c r="W98" i="13"/>
  <c r="BM98" i="13" s="1"/>
  <c r="V98" i="13"/>
  <c r="U98" i="13"/>
  <c r="AW98" i="13" s="1"/>
  <c r="T98" i="13"/>
  <c r="S98" i="13"/>
  <c r="AU98" i="13" s="1"/>
  <c r="R98" i="13"/>
  <c r="AT98" i="13" s="1"/>
  <c r="Q98" i="13"/>
  <c r="BG98" i="13" s="1"/>
  <c r="P98" i="13"/>
  <c r="AR98" i="13" s="1"/>
  <c r="BQ98" i="13"/>
  <c r="BL98" i="13"/>
  <c r="BH98" i="13"/>
  <c r="BC97" i="13"/>
  <c r="BB97" i="13"/>
  <c r="AZ97" i="13"/>
  <c r="AW97" i="13"/>
  <c r="AO97" i="13"/>
  <c r="AN97" i="13"/>
  <c r="AM97" i="13"/>
  <c r="AL97" i="13"/>
  <c r="AK97" i="13"/>
  <c r="BM97" i="13" s="1"/>
  <c r="AJ97" i="13"/>
  <c r="AI97" i="13"/>
  <c r="AH97" i="13"/>
  <c r="AV97" i="13" s="1"/>
  <c r="AG97" i="13"/>
  <c r="AF97" i="13"/>
  <c r="AE97" i="13"/>
  <c r="AD97" i="13"/>
  <c r="AA97" i="13"/>
  <c r="Z97" i="13"/>
  <c r="Y97" i="13"/>
  <c r="X97" i="13"/>
  <c r="W97" i="13"/>
  <c r="AY97" i="13" s="1"/>
  <c r="V97" i="13"/>
  <c r="U97" i="13"/>
  <c r="T97" i="13"/>
  <c r="S97" i="13"/>
  <c r="R97" i="13"/>
  <c r="AT97" i="13" s="1"/>
  <c r="Q97" i="13"/>
  <c r="P97" i="13"/>
  <c r="AR97" i="13" s="1"/>
  <c r="BP97" i="13"/>
  <c r="BO97" i="13"/>
  <c r="BQ96" i="13"/>
  <c r="BI96" i="13"/>
  <c r="AZ96" i="13"/>
  <c r="AY96" i="13"/>
  <c r="AO96" i="13"/>
  <c r="AN96" i="13"/>
  <c r="AM96" i="13"/>
  <c r="AL96" i="13"/>
  <c r="AK96" i="13"/>
  <c r="AJ96" i="13"/>
  <c r="AI96" i="13"/>
  <c r="AH96" i="13"/>
  <c r="AG96" i="13"/>
  <c r="AF96" i="13"/>
  <c r="AE96" i="13"/>
  <c r="AD96" i="13"/>
  <c r="AA96" i="13"/>
  <c r="BC96" i="13" s="1"/>
  <c r="Z96" i="13"/>
  <c r="BB96" i="13" s="1"/>
  <c r="Y96" i="13"/>
  <c r="BO96" i="13" s="1"/>
  <c r="X96" i="13"/>
  <c r="BN96" i="13" s="1"/>
  <c r="W96" i="13"/>
  <c r="BM96" i="13" s="1"/>
  <c r="V96" i="13"/>
  <c r="AX96" i="13" s="1"/>
  <c r="U96" i="13"/>
  <c r="AW96" i="13" s="1"/>
  <c r="T96" i="13"/>
  <c r="AV96" i="13" s="1"/>
  <c r="S96" i="13"/>
  <c r="AU96" i="13" s="1"/>
  <c r="R96" i="13"/>
  <c r="AT96" i="13" s="1"/>
  <c r="Q96" i="13"/>
  <c r="BG96" i="13" s="1"/>
  <c r="P96" i="13"/>
  <c r="BF96" i="13" s="1"/>
  <c r="BP96" i="13"/>
  <c r="BK96" i="13"/>
  <c r="BH96" i="13"/>
  <c r="AU95" i="13"/>
  <c r="AO95" i="13"/>
  <c r="AN95" i="13"/>
  <c r="AM95" i="13"/>
  <c r="AL95" i="13"/>
  <c r="AK95" i="13"/>
  <c r="AJ95" i="13"/>
  <c r="AI95" i="13"/>
  <c r="AH95" i="13"/>
  <c r="AG95" i="13"/>
  <c r="AF95" i="13"/>
  <c r="AE95" i="13"/>
  <c r="AD95" i="13"/>
  <c r="BF95" i="13" s="1"/>
  <c r="AA95" i="13"/>
  <c r="Z95" i="13"/>
  <c r="BB95" i="13" s="1"/>
  <c r="Y95" i="13"/>
  <c r="BA95" i="13" s="1"/>
  <c r="X95" i="13"/>
  <c r="AZ95" i="13" s="1"/>
  <c r="W95" i="13"/>
  <c r="AY95" i="13" s="1"/>
  <c r="V95" i="13"/>
  <c r="AX95" i="13" s="1"/>
  <c r="U95" i="13"/>
  <c r="BK95" i="13" s="1"/>
  <c r="T95" i="13"/>
  <c r="BJ95" i="13" s="1"/>
  <c r="S95" i="13"/>
  <c r="R95" i="13"/>
  <c r="AT95" i="13" s="1"/>
  <c r="Q95" i="13"/>
  <c r="AS95" i="13" s="1"/>
  <c r="P95" i="13"/>
  <c r="AR95" i="13" s="1"/>
  <c r="BM95" i="13"/>
  <c r="BL95" i="13"/>
  <c r="BG95" i="13"/>
  <c r="BQ94" i="13"/>
  <c r="AZ94" i="13"/>
  <c r="AY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A94" i="13"/>
  <c r="BC94" i="13" s="1"/>
  <c r="Z94" i="13"/>
  <c r="BB94" i="13" s="1"/>
  <c r="Y94" i="13"/>
  <c r="BO94" i="13" s="1"/>
  <c r="X94" i="13"/>
  <c r="BN94" i="13" s="1"/>
  <c r="W94" i="13"/>
  <c r="BM94" i="13" s="1"/>
  <c r="V94" i="13"/>
  <c r="AX94" i="13" s="1"/>
  <c r="U94" i="13"/>
  <c r="AW94" i="13" s="1"/>
  <c r="T94" i="13"/>
  <c r="AV94" i="13" s="1"/>
  <c r="S94" i="13"/>
  <c r="AU94" i="13" s="1"/>
  <c r="R94" i="13"/>
  <c r="AT94" i="13" s="1"/>
  <c r="Q94" i="13"/>
  <c r="BG94" i="13" s="1"/>
  <c r="P94" i="13"/>
  <c r="BF94" i="13" s="1"/>
  <c r="BP94" i="13"/>
  <c r="BI94" i="13"/>
  <c r="BH94" i="13"/>
  <c r="AU93" i="13"/>
  <c r="AO93" i="13"/>
  <c r="AN93" i="13"/>
  <c r="AM93" i="13"/>
  <c r="AL93" i="13"/>
  <c r="AK93" i="13"/>
  <c r="AJ93" i="13"/>
  <c r="AI93" i="13"/>
  <c r="AH93" i="13"/>
  <c r="AG93" i="13"/>
  <c r="AF93" i="13"/>
  <c r="AE93" i="13"/>
  <c r="AD93" i="13"/>
  <c r="AA93" i="13"/>
  <c r="BQ93" i="13" s="1"/>
  <c r="Z93" i="13"/>
  <c r="BB93" i="13" s="1"/>
  <c r="Y93" i="13"/>
  <c r="BA93" i="13" s="1"/>
  <c r="X93" i="13"/>
  <c r="AZ93" i="13" s="1"/>
  <c r="W93" i="13"/>
  <c r="AY93" i="13" s="1"/>
  <c r="V93" i="13"/>
  <c r="AX93" i="13" s="1"/>
  <c r="U93" i="13"/>
  <c r="BK93" i="13" s="1"/>
  <c r="T93" i="13"/>
  <c r="BJ93" i="13" s="1"/>
  <c r="S93" i="13"/>
  <c r="BI93" i="13" s="1"/>
  <c r="R93" i="13"/>
  <c r="AT93" i="13" s="1"/>
  <c r="Q93" i="13"/>
  <c r="AS93" i="13" s="1"/>
  <c r="P93" i="13"/>
  <c r="AR93" i="13" s="1"/>
  <c r="BM93" i="13"/>
  <c r="BL93" i="13"/>
  <c r="AZ92" i="13"/>
  <c r="AY92" i="13"/>
  <c r="AO92" i="13"/>
  <c r="AN92" i="13"/>
  <c r="AM92" i="13"/>
  <c r="AL92" i="13"/>
  <c r="AK92" i="13"/>
  <c r="AJ92" i="13"/>
  <c r="AI92" i="13"/>
  <c r="AH92" i="13"/>
  <c r="AG92" i="13"/>
  <c r="AF92" i="13"/>
  <c r="AE92" i="13"/>
  <c r="AD92" i="13"/>
  <c r="AA92" i="13"/>
  <c r="BC92" i="13" s="1"/>
  <c r="Z92" i="13"/>
  <c r="BB92" i="13" s="1"/>
  <c r="Y92" i="13"/>
  <c r="X92" i="13"/>
  <c r="W92" i="13"/>
  <c r="V92" i="13"/>
  <c r="AX92" i="13" s="1"/>
  <c r="U92" i="13"/>
  <c r="AW92" i="13" s="1"/>
  <c r="T92" i="13"/>
  <c r="AV92" i="13" s="1"/>
  <c r="S92" i="13"/>
  <c r="AU92" i="13" s="1"/>
  <c r="R92" i="13"/>
  <c r="AT92" i="13" s="1"/>
  <c r="Q92" i="13"/>
  <c r="P92" i="13"/>
  <c r="BQ92" i="13"/>
  <c r="BI92" i="13"/>
  <c r="AU91" i="13"/>
  <c r="AO91" i="13"/>
  <c r="AN91" i="13"/>
  <c r="AM91" i="13"/>
  <c r="AL91" i="13"/>
  <c r="AK91" i="13"/>
  <c r="AJ91" i="13"/>
  <c r="AI91" i="13"/>
  <c r="AH91" i="13"/>
  <c r="AG91" i="13"/>
  <c r="AF91" i="13"/>
  <c r="AE91" i="13"/>
  <c r="AD91" i="13"/>
  <c r="BF91" i="13" s="1"/>
  <c r="AA91" i="13"/>
  <c r="Z91" i="13"/>
  <c r="BB91" i="13" s="1"/>
  <c r="Y91" i="13"/>
  <c r="BA91" i="13" s="1"/>
  <c r="X91" i="13"/>
  <c r="AZ91" i="13" s="1"/>
  <c r="W91" i="13"/>
  <c r="AY91" i="13" s="1"/>
  <c r="V91" i="13"/>
  <c r="AX91" i="13" s="1"/>
  <c r="U91" i="13"/>
  <c r="BK91" i="13" s="1"/>
  <c r="T91" i="13"/>
  <c r="BJ91" i="13" s="1"/>
  <c r="S91" i="13"/>
  <c r="R91" i="13"/>
  <c r="AT91" i="13" s="1"/>
  <c r="Q91" i="13"/>
  <c r="AS91" i="13" s="1"/>
  <c r="P91" i="13"/>
  <c r="AR91" i="13" s="1"/>
  <c r="BM91" i="13"/>
  <c r="BL91" i="13"/>
  <c r="BG91" i="13"/>
  <c r="BA90" i="13"/>
  <c r="AZ90" i="13"/>
  <c r="AO90" i="13"/>
  <c r="AN90" i="13"/>
  <c r="AN122" i="13" s="1"/>
  <c r="AM90" i="13"/>
  <c r="AL90" i="13"/>
  <c r="AK90" i="13"/>
  <c r="AJ90" i="13"/>
  <c r="AI90" i="13"/>
  <c r="AH90" i="13"/>
  <c r="AG90" i="13"/>
  <c r="AF90" i="13"/>
  <c r="AE90" i="13"/>
  <c r="AD90" i="13"/>
  <c r="AA90" i="13"/>
  <c r="Z90" i="13"/>
  <c r="Y90" i="13"/>
  <c r="X90" i="13"/>
  <c r="W90" i="13"/>
  <c r="V90" i="13"/>
  <c r="V121" i="13" s="1"/>
  <c r="U90" i="13"/>
  <c r="T90" i="13"/>
  <c r="S90" i="13"/>
  <c r="R90" i="13"/>
  <c r="Q90" i="13"/>
  <c r="P90" i="13"/>
  <c r="AD85" i="13"/>
  <c r="AD83" i="13"/>
  <c r="BP80" i="13"/>
  <c r="BH80" i="13"/>
  <c r="AV80" i="13"/>
  <c r="AO80" i="13"/>
  <c r="AN80" i="13"/>
  <c r="AM80" i="13"/>
  <c r="BO80" i="13" s="1"/>
  <c r="AL80" i="13"/>
  <c r="AK80" i="13"/>
  <c r="AJ80" i="13"/>
  <c r="AI80" i="13"/>
  <c r="AH80" i="13"/>
  <c r="AG80" i="13"/>
  <c r="AF80" i="13"/>
  <c r="AE80" i="13"/>
  <c r="BG80" i="13" s="1"/>
  <c r="AD80" i="13"/>
  <c r="BF80" i="13" s="1"/>
  <c r="AA80" i="13"/>
  <c r="BC80" i="13" s="1"/>
  <c r="Z80" i="13"/>
  <c r="Y80" i="13"/>
  <c r="X80" i="13"/>
  <c r="AZ80" i="13" s="1"/>
  <c r="W80" i="13"/>
  <c r="AY80" i="13" s="1"/>
  <c r="V80" i="13"/>
  <c r="U80" i="13"/>
  <c r="T80" i="13"/>
  <c r="S80" i="13"/>
  <c r="AU80" i="13" s="1"/>
  <c r="R80" i="13"/>
  <c r="Q80" i="13"/>
  <c r="P80" i="13"/>
  <c r="AR80" i="13" s="1"/>
  <c r="BL79" i="13"/>
  <c r="BK79" i="13"/>
  <c r="BB79" i="13"/>
  <c r="BA79" i="13"/>
  <c r="AO79" i="13"/>
  <c r="AN79" i="13"/>
  <c r="AM79" i="13"/>
  <c r="AL79" i="13"/>
  <c r="AK79" i="13"/>
  <c r="AJ79" i="13"/>
  <c r="AI79" i="13"/>
  <c r="AH79" i="13"/>
  <c r="BJ79" i="13" s="1"/>
  <c r="AG79" i="13"/>
  <c r="AF79" i="13"/>
  <c r="AE79" i="13"/>
  <c r="AD79" i="13"/>
  <c r="AA79" i="13"/>
  <c r="BC79" i="13" s="1"/>
  <c r="Z79" i="13"/>
  <c r="Y79" i="13"/>
  <c r="X79" i="13"/>
  <c r="W79" i="13"/>
  <c r="AY79" i="13" s="1"/>
  <c r="V79" i="13"/>
  <c r="AX79" i="13" s="1"/>
  <c r="U79" i="13"/>
  <c r="AW79" i="13" s="1"/>
  <c r="T79" i="13"/>
  <c r="S79" i="13"/>
  <c r="AU79" i="13" s="1"/>
  <c r="R79" i="13"/>
  <c r="Q79" i="13"/>
  <c r="P79" i="13"/>
  <c r="BQ79" i="13"/>
  <c r="AO78" i="13"/>
  <c r="AN78" i="13"/>
  <c r="BP78" i="13" s="1"/>
  <c r="AM78" i="13"/>
  <c r="AL78" i="13"/>
  <c r="AK78" i="13"/>
  <c r="AJ78" i="13"/>
  <c r="AI78" i="13"/>
  <c r="AH78" i="13"/>
  <c r="AG78" i="13"/>
  <c r="AF78" i="13"/>
  <c r="AE78" i="13"/>
  <c r="BG78" i="13" s="1"/>
  <c r="AD78" i="13"/>
  <c r="AA78" i="13"/>
  <c r="BC78" i="13" s="1"/>
  <c r="Z78" i="13"/>
  <c r="Y78" i="13"/>
  <c r="X78" i="13"/>
  <c r="W78" i="13"/>
  <c r="AY78" i="13" s="1"/>
  <c r="V78" i="13"/>
  <c r="U78" i="13"/>
  <c r="T78" i="13"/>
  <c r="S78" i="13"/>
  <c r="AU78" i="13" s="1"/>
  <c r="R78" i="13"/>
  <c r="Q78" i="13"/>
  <c r="P78" i="13"/>
  <c r="BO78" i="13"/>
  <c r="BM78" i="13"/>
  <c r="BH78" i="13"/>
  <c r="BJ77" i="13"/>
  <c r="BB77" i="13"/>
  <c r="BA77" i="13"/>
  <c r="AZ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A77" i="13"/>
  <c r="BC77" i="13" s="1"/>
  <c r="Z77" i="13"/>
  <c r="BP77" i="13" s="1"/>
  <c r="Y77" i="13"/>
  <c r="X77" i="13"/>
  <c r="W77" i="13"/>
  <c r="AY77" i="13" s="1"/>
  <c r="V77" i="13"/>
  <c r="AX77" i="13" s="1"/>
  <c r="U77" i="13"/>
  <c r="AW77" i="13" s="1"/>
  <c r="T77" i="13"/>
  <c r="AV77" i="13" s="1"/>
  <c r="S77" i="13"/>
  <c r="AU77" i="13" s="1"/>
  <c r="R77" i="13"/>
  <c r="BH77" i="13" s="1"/>
  <c r="Q77" i="13"/>
  <c r="P77" i="13"/>
  <c r="BL77" i="13"/>
  <c r="BK77" i="13"/>
  <c r="BI77" i="13"/>
  <c r="BP76" i="13"/>
  <c r="BG76" i="13"/>
  <c r="AX76" i="13"/>
  <c r="AW76" i="13"/>
  <c r="AO76" i="13"/>
  <c r="AN76" i="13"/>
  <c r="AM76" i="13"/>
  <c r="BO76" i="13" s="1"/>
  <c r="AL76" i="13"/>
  <c r="BN76" i="13" s="1"/>
  <c r="AK76" i="13"/>
  <c r="AJ76" i="13"/>
  <c r="AI76" i="13"/>
  <c r="AH76" i="13"/>
  <c r="AG76" i="13"/>
  <c r="AF76" i="13"/>
  <c r="AE76" i="13"/>
  <c r="AD76" i="13"/>
  <c r="BF76" i="13" s="1"/>
  <c r="AA76" i="13"/>
  <c r="BC76" i="13" s="1"/>
  <c r="Z76" i="13"/>
  <c r="BB76" i="13" s="1"/>
  <c r="Y76" i="13"/>
  <c r="BA76" i="13" s="1"/>
  <c r="X76" i="13"/>
  <c r="W76" i="13"/>
  <c r="AY76" i="13" s="1"/>
  <c r="V76" i="13"/>
  <c r="U76" i="13"/>
  <c r="T76" i="13"/>
  <c r="S76" i="13"/>
  <c r="AU76" i="13" s="1"/>
  <c r="R76" i="13"/>
  <c r="AT76" i="13" s="1"/>
  <c r="Q76" i="13"/>
  <c r="AS76" i="13" s="1"/>
  <c r="P76" i="13"/>
  <c r="BH76" i="13"/>
  <c r="BB75" i="13"/>
  <c r="BA75" i="13"/>
  <c r="AZ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A75" i="13"/>
  <c r="BC75" i="13" s="1"/>
  <c r="Z75" i="13"/>
  <c r="Y75" i="13"/>
  <c r="X75" i="13"/>
  <c r="W75" i="13"/>
  <c r="AY75" i="13" s="1"/>
  <c r="V75" i="13"/>
  <c r="AX75" i="13" s="1"/>
  <c r="U75" i="13"/>
  <c r="AW75" i="13" s="1"/>
  <c r="T75" i="13"/>
  <c r="AV75" i="13" s="1"/>
  <c r="S75" i="13"/>
  <c r="AU75" i="13" s="1"/>
  <c r="R75" i="13"/>
  <c r="Q75" i="13"/>
  <c r="P75" i="13"/>
  <c r="AR75" i="13" s="1"/>
  <c r="BQ75" i="13"/>
  <c r="BL75" i="13"/>
  <c r="BK75" i="13"/>
  <c r="BA74" i="13"/>
  <c r="AZ74" i="13"/>
  <c r="AW74" i="13"/>
  <c r="AO74" i="13"/>
  <c r="AN74" i="13"/>
  <c r="BP74" i="13" s="1"/>
  <c r="AM74" i="13"/>
  <c r="AL74" i="13"/>
  <c r="AK74" i="13"/>
  <c r="AJ74" i="13"/>
  <c r="AI74" i="13"/>
  <c r="AH74" i="13"/>
  <c r="AG74" i="13"/>
  <c r="AF74" i="13"/>
  <c r="BH74" i="13" s="1"/>
  <c r="AE74" i="13"/>
  <c r="AD74" i="13"/>
  <c r="AA74" i="13"/>
  <c r="BC74" i="13" s="1"/>
  <c r="Z74" i="13"/>
  <c r="Y74" i="13"/>
  <c r="X74" i="13"/>
  <c r="W74" i="13"/>
  <c r="AY74" i="13" s="1"/>
  <c r="V74" i="13"/>
  <c r="U74" i="13"/>
  <c r="T74" i="13"/>
  <c r="AV74" i="13" s="1"/>
  <c r="S74" i="13"/>
  <c r="AU74" i="13" s="1"/>
  <c r="R74" i="13"/>
  <c r="Q74" i="13"/>
  <c r="AS74" i="13" s="1"/>
  <c r="P74" i="13"/>
  <c r="AR74" i="13" s="1"/>
  <c r="BO74" i="13"/>
  <c r="AZ73" i="13"/>
  <c r="AV73" i="13"/>
  <c r="AO73" i="13"/>
  <c r="AN73" i="13"/>
  <c r="AM73" i="13"/>
  <c r="BO73" i="13" s="1"/>
  <c r="AL73" i="13"/>
  <c r="AK73" i="13"/>
  <c r="AJ73" i="13"/>
  <c r="AI73" i="13"/>
  <c r="AH73" i="13"/>
  <c r="AG73" i="13"/>
  <c r="AF73" i="13"/>
  <c r="AE73" i="13"/>
  <c r="AD73" i="13"/>
  <c r="AA73" i="13"/>
  <c r="BC73" i="13" s="1"/>
  <c r="Z73" i="13"/>
  <c r="Y73" i="13"/>
  <c r="X73" i="13"/>
  <c r="W73" i="13"/>
  <c r="AY73" i="13" s="1"/>
  <c r="V73" i="13"/>
  <c r="AX73" i="13" s="1"/>
  <c r="U73" i="13"/>
  <c r="AW73" i="13" s="1"/>
  <c r="T73" i="13"/>
  <c r="S73" i="13"/>
  <c r="AU73" i="13" s="1"/>
  <c r="R73" i="13"/>
  <c r="Q73" i="13"/>
  <c r="AS73" i="13" s="1"/>
  <c r="P73" i="13"/>
  <c r="AR73" i="13" s="1"/>
  <c r="BQ73" i="13"/>
  <c r="BL73" i="13"/>
  <c r="BK73" i="13"/>
  <c r="BP72" i="13"/>
  <c r="AZ72" i="13"/>
  <c r="AO72" i="13"/>
  <c r="AN72" i="13"/>
  <c r="AM72" i="13"/>
  <c r="BA72" i="13" s="1"/>
  <c r="AL72" i="13"/>
  <c r="AK72" i="13"/>
  <c r="AJ72" i="13"/>
  <c r="AI72" i="13"/>
  <c r="AH72" i="13"/>
  <c r="AG72" i="13"/>
  <c r="AF72" i="13"/>
  <c r="BH72" i="13" s="1"/>
  <c r="AE72" i="13"/>
  <c r="AD72" i="13"/>
  <c r="BF72" i="13" s="1"/>
  <c r="AA72" i="13"/>
  <c r="BC72" i="13" s="1"/>
  <c r="Z72" i="13"/>
  <c r="Y72" i="13"/>
  <c r="X72" i="13"/>
  <c r="W72" i="13"/>
  <c r="AY72" i="13" s="1"/>
  <c r="V72" i="13"/>
  <c r="U72" i="13"/>
  <c r="AW72" i="13" s="1"/>
  <c r="T72" i="13"/>
  <c r="AV72" i="13" s="1"/>
  <c r="S72" i="13"/>
  <c r="AU72" i="13" s="1"/>
  <c r="R72" i="13"/>
  <c r="Q72" i="13"/>
  <c r="P72" i="13"/>
  <c r="AR72" i="13" s="1"/>
  <c r="BN72" i="13"/>
  <c r="BM72" i="13"/>
  <c r="BA71" i="13"/>
  <c r="AZ71" i="13"/>
  <c r="AV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A71" i="13"/>
  <c r="BC71" i="13" s="1"/>
  <c r="Z71" i="13"/>
  <c r="BB71" i="13" s="1"/>
  <c r="Y71" i="13"/>
  <c r="X71" i="13"/>
  <c r="W71" i="13"/>
  <c r="V71" i="13"/>
  <c r="AX71" i="13" s="1"/>
  <c r="U71" i="13"/>
  <c r="T71" i="13"/>
  <c r="BJ71" i="13" s="1"/>
  <c r="S71" i="13"/>
  <c r="AU71" i="13" s="1"/>
  <c r="R71" i="13"/>
  <c r="AT71" i="13" s="1"/>
  <c r="Q71" i="13"/>
  <c r="AS71" i="13" s="1"/>
  <c r="P71" i="13"/>
  <c r="AR71" i="13" s="1"/>
  <c r="BL71" i="13"/>
  <c r="BG71" i="13"/>
  <c r="BF71" i="13"/>
  <c r="AU70" i="13"/>
  <c r="AO70" i="13"/>
  <c r="AN70" i="13"/>
  <c r="AN81" i="13" s="1"/>
  <c r="AM70" i="13"/>
  <c r="BO70" i="13" s="1"/>
  <c r="AL70" i="13"/>
  <c r="AZ70" i="13" s="1"/>
  <c r="AK70" i="13"/>
  <c r="BM70" i="13" s="1"/>
  <c r="AJ70" i="13"/>
  <c r="AI70" i="13"/>
  <c r="AH70" i="13"/>
  <c r="AG70" i="13"/>
  <c r="AF70" i="13"/>
  <c r="AE70" i="13"/>
  <c r="BG70" i="13" s="1"/>
  <c r="AD70" i="13"/>
  <c r="AA70" i="13"/>
  <c r="Z70" i="13"/>
  <c r="Y70" i="13"/>
  <c r="X70" i="13"/>
  <c r="W70" i="13"/>
  <c r="V70" i="13"/>
  <c r="AX70" i="13" s="1"/>
  <c r="U70" i="13"/>
  <c r="T70" i="13"/>
  <c r="S70" i="13"/>
  <c r="BI70" i="13" s="1"/>
  <c r="R70" i="13"/>
  <c r="Q70" i="13"/>
  <c r="P70" i="13"/>
  <c r="AR70" i="13" s="1"/>
  <c r="BF70" i="13"/>
  <c r="BI69" i="13"/>
  <c r="AZ69" i="13"/>
  <c r="AY69" i="13"/>
  <c r="AW69" i="13"/>
  <c r="AO69" i="13"/>
  <c r="AN69" i="13"/>
  <c r="AM69" i="13"/>
  <c r="AL69" i="13"/>
  <c r="AK69" i="13"/>
  <c r="AJ69" i="13"/>
  <c r="AI69" i="13"/>
  <c r="AH69" i="13"/>
  <c r="AG69" i="13"/>
  <c r="AF69" i="13"/>
  <c r="AE69" i="13"/>
  <c r="AD69" i="13"/>
  <c r="AA69" i="13"/>
  <c r="BC69" i="13" s="1"/>
  <c r="Z69" i="13"/>
  <c r="BB69" i="13" s="1"/>
  <c r="Y69" i="13"/>
  <c r="BA69" i="13" s="1"/>
  <c r="X69" i="13"/>
  <c r="BN69" i="13" s="1"/>
  <c r="W69" i="13"/>
  <c r="BM69" i="13" s="1"/>
  <c r="V69" i="13"/>
  <c r="BL69" i="13" s="1"/>
  <c r="U69" i="13"/>
  <c r="BK69" i="13" s="1"/>
  <c r="T69" i="13"/>
  <c r="AV69" i="13" s="1"/>
  <c r="S69" i="13"/>
  <c r="AU69" i="13" s="1"/>
  <c r="R69" i="13"/>
  <c r="AT69" i="13" s="1"/>
  <c r="Q69" i="13"/>
  <c r="AS69" i="13" s="1"/>
  <c r="P69" i="13"/>
  <c r="BF69" i="13" s="1"/>
  <c r="BJ69" i="13"/>
  <c r="BC68" i="13"/>
  <c r="AV68" i="13"/>
  <c r="AU68" i="13"/>
  <c r="AO68" i="13"/>
  <c r="AN68" i="13"/>
  <c r="AM68" i="13"/>
  <c r="AL68" i="13"/>
  <c r="BN68" i="13" s="1"/>
  <c r="AK68" i="13"/>
  <c r="AJ68" i="13"/>
  <c r="AI68" i="13"/>
  <c r="BK68" i="13" s="1"/>
  <c r="AH68" i="13"/>
  <c r="AG68" i="13"/>
  <c r="AF68" i="13"/>
  <c r="AE68" i="13"/>
  <c r="AD68" i="13"/>
  <c r="BF68" i="13" s="1"/>
  <c r="AA68" i="13"/>
  <c r="BQ68" i="13" s="1"/>
  <c r="Z68" i="13"/>
  <c r="BP68" i="13" s="1"/>
  <c r="Y68" i="13"/>
  <c r="BO68" i="13" s="1"/>
  <c r="X68" i="13"/>
  <c r="W68" i="13"/>
  <c r="V68" i="13"/>
  <c r="AX68" i="13" s="1"/>
  <c r="U68" i="13"/>
  <c r="T68" i="13"/>
  <c r="S68" i="13"/>
  <c r="BI68" i="13" s="1"/>
  <c r="R68" i="13"/>
  <c r="BH68" i="13" s="1"/>
  <c r="Q68" i="13"/>
  <c r="BG68" i="13" s="1"/>
  <c r="P68" i="13"/>
  <c r="AW67" i="13"/>
  <c r="AO67" i="13"/>
  <c r="AN67" i="13"/>
  <c r="AM67" i="13"/>
  <c r="AL67" i="13"/>
  <c r="AK67" i="13"/>
  <c r="AJ67" i="13"/>
  <c r="AI67" i="13"/>
  <c r="AH67" i="13"/>
  <c r="BJ67" i="13" s="1"/>
  <c r="AG67" i="13"/>
  <c r="AG84" i="13" s="1"/>
  <c r="AF67" i="13"/>
  <c r="AE67" i="13"/>
  <c r="AD67" i="13"/>
  <c r="AA67" i="13"/>
  <c r="Z67" i="13"/>
  <c r="BB67" i="13" s="1"/>
  <c r="Y67" i="13"/>
  <c r="BA67" i="13" s="1"/>
  <c r="X67" i="13"/>
  <c r="W67" i="13"/>
  <c r="BM67" i="13" s="1"/>
  <c r="V67" i="13"/>
  <c r="BL67" i="13" s="1"/>
  <c r="U67" i="13"/>
  <c r="BK67" i="13" s="1"/>
  <c r="T67" i="13"/>
  <c r="S67" i="13"/>
  <c r="R67" i="13"/>
  <c r="AT67" i="13" s="1"/>
  <c r="Q67" i="13"/>
  <c r="AS67" i="13" s="1"/>
  <c r="P67" i="13"/>
  <c r="BQ67" i="13"/>
  <c r="BP67" i="13"/>
  <c r="BA66" i="13"/>
  <c r="AV66" i="13"/>
  <c r="AS66" i="13"/>
  <c r="AO66" i="13"/>
  <c r="AN66" i="13"/>
  <c r="AM66" i="13"/>
  <c r="AL66" i="13"/>
  <c r="AK66" i="13"/>
  <c r="AJ66" i="13"/>
  <c r="AI66" i="13"/>
  <c r="AH66" i="13"/>
  <c r="AG66" i="13"/>
  <c r="AF66" i="13"/>
  <c r="AE66" i="13"/>
  <c r="AD66" i="13"/>
  <c r="AA66" i="13"/>
  <c r="BQ66" i="13" s="1"/>
  <c r="Z66" i="13"/>
  <c r="BP66" i="13" s="1"/>
  <c r="Y66" i="13"/>
  <c r="X66" i="13"/>
  <c r="AZ66" i="13" s="1"/>
  <c r="W66" i="13"/>
  <c r="AY66" i="13" s="1"/>
  <c r="V66" i="13"/>
  <c r="AX66" i="13" s="1"/>
  <c r="U66" i="13"/>
  <c r="T66" i="13"/>
  <c r="BJ66" i="13" s="1"/>
  <c r="S66" i="13"/>
  <c r="BI66" i="13" s="1"/>
  <c r="R66" i="13"/>
  <c r="BH66" i="13" s="1"/>
  <c r="Q66" i="13"/>
  <c r="BG66" i="13" s="1"/>
  <c r="P66" i="13"/>
  <c r="AR66" i="13" s="1"/>
  <c r="BN66" i="13"/>
  <c r="BL66" i="13"/>
  <c r="BK66" i="13"/>
  <c r="BF66" i="13"/>
  <c r="AY65" i="13"/>
  <c r="AO65" i="13"/>
  <c r="AN65" i="13"/>
  <c r="AM65" i="13"/>
  <c r="AM84" i="13" s="1"/>
  <c r="AL65" i="13"/>
  <c r="AK65" i="13"/>
  <c r="AJ65" i="13"/>
  <c r="AI65" i="13"/>
  <c r="AH65" i="13"/>
  <c r="AG65" i="13"/>
  <c r="AF65" i="13"/>
  <c r="AE65" i="13"/>
  <c r="AE84" i="13" s="1"/>
  <c r="AD65" i="13"/>
  <c r="AA65" i="13"/>
  <c r="Z65" i="13"/>
  <c r="Y65" i="13"/>
  <c r="X65" i="13"/>
  <c r="W65" i="13"/>
  <c r="V65" i="13"/>
  <c r="U65" i="13"/>
  <c r="T65" i="13"/>
  <c r="S65" i="13"/>
  <c r="R65" i="13"/>
  <c r="Q65" i="13"/>
  <c r="P65" i="13"/>
  <c r="BN64" i="13"/>
  <c r="BF64" i="13"/>
  <c r="BC64" i="13"/>
  <c r="AV64" i="13"/>
  <c r="AU64" i="13"/>
  <c r="AS64" i="13"/>
  <c r="AO64" i="13"/>
  <c r="AN64" i="13"/>
  <c r="AM64" i="13"/>
  <c r="AL64" i="13"/>
  <c r="AK64" i="13"/>
  <c r="AJ64" i="13"/>
  <c r="AI64" i="13"/>
  <c r="BK64" i="13" s="1"/>
  <c r="AH64" i="13"/>
  <c r="AG64" i="13"/>
  <c r="AF64" i="13"/>
  <c r="AE64" i="13"/>
  <c r="AD64" i="13"/>
  <c r="AA64" i="13"/>
  <c r="BQ64" i="13" s="1"/>
  <c r="Z64" i="13"/>
  <c r="BP64" i="13" s="1"/>
  <c r="Y64" i="13"/>
  <c r="BO64" i="13" s="1"/>
  <c r="X64" i="13"/>
  <c r="AZ64" i="13" s="1"/>
  <c r="W64" i="13"/>
  <c r="AY64" i="13" s="1"/>
  <c r="V64" i="13"/>
  <c r="AX64" i="13" s="1"/>
  <c r="U64" i="13"/>
  <c r="AW64" i="13" s="1"/>
  <c r="T64" i="13"/>
  <c r="S64" i="13"/>
  <c r="BI64" i="13" s="1"/>
  <c r="R64" i="13"/>
  <c r="BH64" i="13" s="1"/>
  <c r="Q64" i="13"/>
  <c r="BG64" i="13" s="1"/>
  <c r="P64" i="13"/>
  <c r="AR64" i="13" s="1"/>
  <c r="AZ63" i="13"/>
  <c r="AO63" i="13"/>
  <c r="AN63" i="13"/>
  <c r="AM63" i="13"/>
  <c r="AL63" i="13"/>
  <c r="AK63" i="13"/>
  <c r="AJ63" i="13"/>
  <c r="AI63" i="13"/>
  <c r="AH63" i="13"/>
  <c r="AG63" i="13"/>
  <c r="AF63" i="13"/>
  <c r="AE63" i="13"/>
  <c r="BG63" i="13" s="1"/>
  <c r="AD63" i="13"/>
  <c r="AA63" i="13"/>
  <c r="BC63" i="13" s="1"/>
  <c r="Z63" i="13"/>
  <c r="BB63" i="13" s="1"/>
  <c r="Y63" i="13"/>
  <c r="X63" i="13"/>
  <c r="W63" i="13"/>
  <c r="BM63" i="13" s="1"/>
  <c r="V63" i="13"/>
  <c r="BL63" i="13" s="1"/>
  <c r="U63" i="13"/>
  <c r="BK63" i="13" s="1"/>
  <c r="T63" i="13"/>
  <c r="AV63" i="13" s="1"/>
  <c r="S63" i="13"/>
  <c r="AU63" i="13" s="1"/>
  <c r="R63" i="13"/>
  <c r="AT63" i="13" s="1"/>
  <c r="Q63" i="13"/>
  <c r="P63" i="13"/>
  <c r="BQ63" i="13"/>
  <c r="BP63" i="13"/>
  <c r="BJ63" i="13"/>
  <c r="BA62" i="13"/>
  <c r="AS62" i="13"/>
  <c r="AO62" i="13"/>
  <c r="AN62" i="13"/>
  <c r="AM62" i="13"/>
  <c r="AL62" i="13"/>
  <c r="BN62" i="13" s="1"/>
  <c r="AK62" i="13"/>
  <c r="AJ62" i="13"/>
  <c r="AI62" i="13"/>
  <c r="AH62" i="13"/>
  <c r="AG62" i="13"/>
  <c r="AF62" i="13"/>
  <c r="AE62" i="13"/>
  <c r="AD62" i="13"/>
  <c r="AA62" i="13"/>
  <c r="BQ62" i="13" s="1"/>
  <c r="Z62" i="13"/>
  <c r="BP62" i="13" s="1"/>
  <c r="Y62" i="13"/>
  <c r="BO62" i="13" s="1"/>
  <c r="X62" i="13"/>
  <c r="W62" i="13"/>
  <c r="V62" i="13"/>
  <c r="AX62" i="13" s="1"/>
  <c r="U62" i="13"/>
  <c r="AW62" i="13" s="1"/>
  <c r="T62" i="13"/>
  <c r="BJ62" i="13" s="1"/>
  <c r="S62" i="13"/>
  <c r="BI62" i="13" s="1"/>
  <c r="R62" i="13"/>
  <c r="BH62" i="13" s="1"/>
  <c r="Q62" i="13"/>
  <c r="BG62" i="13" s="1"/>
  <c r="P62" i="13"/>
  <c r="BF62" i="13"/>
  <c r="BI61" i="13"/>
  <c r="AZ61" i="13"/>
  <c r="AY61" i="13"/>
  <c r="AW61" i="13"/>
  <c r="AO61" i="13"/>
  <c r="AN61" i="13"/>
  <c r="AM61" i="13"/>
  <c r="AL61" i="13"/>
  <c r="AK61" i="13"/>
  <c r="AJ61" i="13"/>
  <c r="AI61" i="13"/>
  <c r="AH61" i="13"/>
  <c r="AG61" i="13"/>
  <c r="AF61" i="13"/>
  <c r="AE61" i="13"/>
  <c r="AD61" i="13"/>
  <c r="AA61" i="13"/>
  <c r="BC61" i="13" s="1"/>
  <c r="Z61" i="13"/>
  <c r="BB61" i="13" s="1"/>
  <c r="Y61" i="13"/>
  <c r="BA61" i="13" s="1"/>
  <c r="X61" i="13"/>
  <c r="W61" i="13"/>
  <c r="BM61" i="13" s="1"/>
  <c r="V61" i="13"/>
  <c r="BL61" i="13" s="1"/>
  <c r="U61" i="13"/>
  <c r="BK61" i="13" s="1"/>
  <c r="T61" i="13"/>
  <c r="AV61" i="13" s="1"/>
  <c r="S61" i="13"/>
  <c r="AU61" i="13" s="1"/>
  <c r="R61" i="13"/>
  <c r="AT61" i="13" s="1"/>
  <c r="Q61" i="13"/>
  <c r="AS61" i="13" s="1"/>
  <c r="P61" i="13"/>
  <c r="BJ61" i="13"/>
  <c r="BH61" i="13"/>
  <c r="BC60" i="13"/>
  <c r="AV60" i="13"/>
  <c r="AU60" i="13"/>
  <c r="AO60" i="13"/>
  <c r="AN60" i="13"/>
  <c r="AM60" i="13"/>
  <c r="AL60" i="13"/>
  <c r="BN60" i="13" s="1"/>
  <c r="AK60" i="13"/>
  <c r="AJ60" i="13"/>
  <c r="AI60" i="13"/>
  <c r="AH60" i="13"/>
  <c r="AG60" i="13"/>
  <c r="AF60" i="13"/>
  <c r="AE60" i="13"/>
  <c r="AD60" i="13"/>
  <c r="BF60" i="13" s="1"/>
  <c r="AA60" i="13"/>
  <c r="BQ60" i="13" s="1"/>
  <c r="Z60" i="13"/>
  <c r="BP60" i="13" s="1"/>
  <c r="Y60" i="13"/>
  <c r="BO60" i="13" s="1"/>
  <c r="X60" i="13"/>
  <c r="W60" i="13"/>
  <c r="V60" i="13"/>
  <c r="AX60" i="13" s="1"/>
  <c r="U60" i="13"/>
  <c r="T60" i="13"/>
  <c r="BJ60" i="13" s="1"/>
  <c r="S60" i="13"/>
  <c r="BI60" i="13" s="1"/>
  <c r="R60" i="13"/>
  <c r="BH60" i="13" s="1"/>
  <c r="Q60" i="13"/>
  <c r="BG60" i="13" s="1"/>
  <c r="P60" i="13"/>
  <c r="BM60" i="13"/>
  <c r="BL60" i="13"/>
  <c r="BO59" i="13"/>
  <c r="BG59" i="13"/>
  <c r="AW59" i="13"/>
  <c r="AO59" i="13"/>
  <c r="AN59" i="13"/>
  <c r="AM59" i="13"/>
  <c r="AL59" i="13"/>
  <c r="AK59" i="13"/>
  <c r="AJ59" i="13"/>
  <c r="AI59" i="13"/>
  <c r="AH59" i="13"/>
  <c r="AG59" i="13"/>
  <c r="AF59" i="13"/>
  <c r="AE59" i="13"/>
  <c r="AD59" i="13"/>
  <c r="AA59" i="13"/>
  <c r="Z59" i="13"/>
  <c r="BB59" i="13" s="1"/>
  <c r="Y59" i="13"/>
  <c r="BA59" i="13" s="1"/>
  <c r="X59" i="13"/>
  <c r="W59" i="13"/>
  <c r="BM59" i="13" s="1"/>
  <c r="V59" i="13"/>
  <c r="BL59" i="13" s="1"/>
  <c r="U59" i="13"/>
  <c r="BK59" i="13" s="1"/>
  <c r="T59" i="13"/>
  <c r="S59" i="13"/>
  <c r="R59" i="13"/>
  <c r="AT59" i="13" s="1"/>
  <c r="Q59" i="13"/>
  <c r="AS59" i="13" s="1"/>
  <c r="P59" i="13"/>
  <c r="BA58" i="13"/>
  <c r="AV58" i="13"/>
  <c r="AS58" i="13"/>
  <c r="AO58" i="13"/>
  <c r="AN58" i="13"/>
  <c r="AM58" i="13"/>
  <c r="AL58" i="13"/>
  <c r="AK58" i="13"/>
  <c r="AJ58" i="13"/>
  <c r="AI58" i="13"/>
  <c r="AH58" i="13"/>
  <c r="AG58" i="13"/>
  <c r="AF58" i="13"/>
  <c r="AE58" i="13"/>
  <c r="AD58" i="13"/>
  <c r="AA58" i="13"/>
  <c r="BQ58" i="13" s="1"/>
  <c r="Z58" i="13"/>
  <c r="BP58" i="13" s="1"/>
  <c r="Y58" i="13"/>
  <c r="BO58" i="13" s="1"/>
  <c r="X58" i="13"/>
  <c r="AZ58" i="13" s="1"/>
  <c r="W58" i="13"/>
  <c r="AY58" i="13" s="1"/>
  <c r="V58" i="13"/>
  <c r="AX58" i="13" s="1"/>
  <c r="U58" i="13"/>
  <c r="T58" i="13"/>
  <c r="S58" i="13"/>
  <c r="BI58" i="13" s="1"/>
  <c r="R58" i="13"/>
  <c r="BH58" i="13" s="1"/>
  <c r="Q58" i="13"/>
  <c r="BG58" i="13" s="1"/>
  <c r="P58" i="13"/>
  <c r="AR58" i="13" s="1"/>
  <c r="BN58" i="13"/>
  <c r="AY57" i="13"/>
  <c r="AO57" i="13"/>
  <c r="AN57" i="13"/>
  <c r="AM57" i="13"/>
  <c r="AL57" i="13"/>
  <c r="AK57" i="13"/>
  <c r="AJ57" i="13"/>
  <c r="AI57" i="13"/>
  <c r="AH57" i="13"/>
  <c r="BJ57" i="13" s="1"/>
  <c r="AG57" i="13"/>
  <c r="BI57" i="13" s="1"/>
  <c r="AF57" i="13"/>
  <c r="AE57" i="13"/>
  <c r="BG57" i="13" s="1"/>
  <c r="AD57" i="13"/>
  <c r="AA57" i="13"/>
  <c r="Z57" i="13"/>
  <c r="BB57" i="13" s="1"/>
  <c r="Y57" i="13"/>
  <c r="X57" i="13"/>
  <c r="W57" i="13"/>
  <c r="BM57" i="13" s="1"/>
  <c r="V57" i="13"/>
  <c r="BL57" i="13" s="1"/>
  <c r="U57" i="13"/>
  <c r="BK57" i="13" s="1"/>
  <c r="T57" i="13"/>
  <c r="S57" i="13"/>
  <c r="R57" i="13"/>
  <c r="AT57" i="13" s="1"/>
  <c r="Q57" i="13"/>
  <c r="P57" i="13"/>
  <c r="BP57" i="13"/>
  <c r="BO57" i="13"/>
  <c r="BH57" i="13"/>
  <c r="AV56" i="13"/>
  <c r="AU56" i="13"/>
  <c r="AS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A56" i="13"/>
  <c r="BQ56" i="13" s="1"/>
  <c r="Z56" i="13"/>
  <c r="BP56" i="13" s="1"/>
  <c r="Y56" i="13"/>
  <c r="BO56" i="13" s="1"/>
  <c r="X56" i="13"/>
  <c r="AZ56" i="13" s="1"/>
  <c r="W56" i="13"/>
  <c r="AY56" i="13" s="1"/>
  <c r="V56" i="13"/>
  <c r="AX56" i="13" s="1"/>
  <c r="U56" i="13"/>
  <c r="AW56" i="13" s="1"/>
  <c r="T56" i="13"/>
  <c r="S56" i="13"/>
  <c r="BI56" i="13" s="1"/>
  <c r="R56" i="13"/>
  <c r="BH56" i="13" s="1"/>
  <c r="Q56" i="13"/>
  <c r="BG56" i="13" s="1"/>
  <c r="P56" i="13"/>
  <c r="AR56" i="13" s="1"/>
  <c r="BM56" i="13"/>
  <c r="BL56" i="13"/>
  <c r="BO55" i="13"/>
  <c r="AZ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A55" i="13"/>
  <c r="BC55" i="13" s="1"/>
  <c r="Z55" i="13"/>
  <c r="BB55" i="13" s="1"/>
  <c r="Y55" i="13"/>
  <c r="X55" i="13"/>
  <c r="W55" i="13"/>
  <c r="BM55" i="13" s="1"/>
  <c r="V55" i="13"/>
  <c r="BL55" i="13" s="1"/>
  <c r="U55" i="13"/>
  <c r="BK55" i="13" s="1"/>
  <c r="T55" i="13"/>
  <c r="AV55" i="13" s="1"/>
  <c r="S55" i="13"/>
  <c r="AU55" i="13" s="1"/>
  <c r="R55" i="13"/>
  <c r="AT55" i="13" s="1"/>
  <c r="Q55" i="13"/>
  <c r="P55" i="13"/>
  <c r="BJ55" i="13"/>
  <c r="BI55" i="13"/>
  <c r="BH55" i="13"/>
  <c r="BA54" i="13"/>
  <c r="AS54" i="13"/>
  <c r="AO54" i="13"/>
  <c r="AN54" i="13"/>
  <c r="AM54" i="13"/>
  <c r="AL54" i="13"/>
  <c r="BN54" i="13" s="1"/>
  <c r="AK54" i="13"/>
  <c r="BM54" i="13" s="1"/>
  <c r="AJ54" i="13"/>
  <c r="AI54" i="13"/>
  <c r="AH54" i="13"/>
  <c r="AG54" i="13"/>
  <c r="AF54" i="13"/>
  <c r="AE54" i="13"/>
  <c r="AD54" i="13"/>
  <c r="AA54" i="13"/>
  <c r="BQ54" i="13" s="1"/>
  <c r="Z54" i="13"/>
  <c r="BP54" i="13" s="1"/>
  <c r="Y54" i="13"/>
  <c r="BO54" i="13" s="1"/>
  <c r="X54" i="13"/>
  <c r="W54" i="13"/>
  <c r="V54" i="13"/>
  <c r="AX54" i="13" s="1"/>
  <c r="U54" i="13"/>
  <c r="AW54" i="13" s="1"/>
  <c r="T54" i="13"/>
  <c r="S54" i="13"/>
  <c r="BI54" i="13" s="1"/>
  <c r="R54" i="13"/>
  <c r="BH54" i="13" s="1"/>
  <c r="Q54" i="13"/>
  <c r="BG54" i="13" s="1"/>
  <c r="P54" i="13"/>
  <c r="AZ53" i="13"/>
  <c r="AY53" i="13"/>
  <c r="AW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A53" i="13"/>
  <c r="BC53" i="13" s="1"/>
  <c r="Z53" i="13"/>
  <c r="BB53" i="13" s="1"/>
  <c r="Y53" i="13"/>
  <c r="BA53" i="13" s="1"/>
  <c r="X53" i="13"/>
  <c r="W53" i="13"/>
  <c r="BM53" i="13" s="1"/>
  <c r="V53" i="13"/>
  <c r="BL53" i="13" s="1"/>
  <c r="U53" i="13"/>
  <c r="BK53" i="13" s="1"/>
  <c r="T53" i="13"/>
  <c r="AV53" i="13" s="1"/>
  <c r="S53" i="13"/>
  <c r="AU53" i="13" s="1"/>
  <c r="R53" i="13"/>
  <c r="AT53" i="13" s="1"/>
  <c r="Q53" i="13"/>
  <c r="AS53" i="13" s="1"/>
  <c r="P53" i="13"/>
  <c r="BQ53" i="13"/>
  <c r="BC52" i="13"/>
  <c r="AV52" i="13"/>
  <c r="AU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A52" i="13"/>
  <c r="Z52" i="13"/>
  <c r="Y52" i="13"/>
  <c r="BO52" i="13" s="1"/>
  <c r="X52" i="13"/>
  <c r="W52" i="13"/>
  <c r="V52" i="13"/>
  <c r="AX52" i="13" s="1"/>
  <c r="U52" i="13"/>
  <c r="T52" i="13"/>
  <c r="S52" i="13"/>
  <c r="R52" i="13"/>
  <c r="Q52" i="13"/>
  <c r="BG52" i="13" s="1"/>
  <c r="P52" i="13"/>
  <c r="AW51" i="13"/>
  <c r="AO51" i="13"/>
  <c r="AO82" i="13" s="1"/>
  <c r="AN51" i="13"/>
  <c r="AM51" i="13"/>
  <c r="AL51" i="13"/>
  <c r="AK51" i="13"/>
  <c r="AJ51" i="13"/>
  <c r="AI51" i="13"/>
  <c r="AH51" i="13"/>
  <c r="AG51" i="13"/>
  <c r="AF51" i="13"/>
  <c r="AE51" i="13"/>
  <c r="AD51" i="13"/>
  <c r="AA51" i="13"/>
  <c r="Z51" i="13"/>
  <c r="BB51" i="13" s="1"/>
  <c r="Y51" i="13"/>
  <c r="BA51" i="13" s="1"/>
  <c r="X51" i="13"/>
  <c r="W51" i="13"/>
  <c r="BM51" i="13" s="1"/>
  <c r="V51" i="13"/>
  <c r="BL51" i="13" s="1"/>
  <c r="U51" i="13"/>
  <c r="BK51" i="13" s="1"/>
  <c r="T51" i="13"/>
  <c r="S51" i="13"/>
  <c r="R51" i="13"/>
  <c r="AT51" i="13" s="1"/>
  <c r="Q51" i="13"/>
  <c r="AS51" i="13" s="1"/>
  <c r="P51" i="13"/>
  <c r="BH51" i="13"/>
  <c r="BC50" i="13"/>
  <c r="BA50" i="13"/>
  <c r="AV50" i="13"/>
  <c r="AS50" i="13"/>
  <c r="AO50" i="13"/>
  <c r="AO81" i="13" s="1"/>
  <c r="AN50" i="13"/>
  <c r="AM50" i="13"/>
  <c r="AL50" i="13"/>
  <c r="AL85" i="13" s="1"/>
  <c r="AK50" i="13"/>
  <c r="AJ50" i="13"/>
  <c r="AI50" i="13"/>
  <c r="AH50" i="13"/>
  <c r="AG50" i="13"/>
  <c r="AG82" i="13" s="1"/>
  <c r="AF50" i="13"/>
  <c r="AE50" i="13"/>
  <c r="AD50" i="13"/>
  <c r="AA50" i="13"/>
  <c r="Z50" i="13"/>
  <c r="Y50" i="13"/>
  <c r="X50" i="13"/>
  <c r="W50" i="13"/>
  <c r="V50" i="13"/>
  <c r="U50" i="13"/>
  <c r="T50" i="13"/>
  <c r="S50" i="13"/>
  <c r="AU50" i="13" s="1"/>
  <c r="R50" i="13"/>
  <c r="Q50" i="13"/>
  <c r="P50" i="13"/>
  <c r="X43" i="13"/>
  <c r="AX40" i="13"/>
  <c r="AR40" i="13"/>
  <c r="AO40" i="13"/>
  <c r="AN40" i="13"/>
  <c r="AM40" i="13"/>
  <c r="AL40" i="13"/>
  <c r="AK40" i="13"/>
  <c r="AJ40" i="13"/>
  <c r="AI40" i="13"/>
  <c r="BK40" i="13" s="1"/>
  <c r="AH40" i="13"/>
  <c r="AH45" i="13" s="1"/>
  <c r="AG40" i="13"/>
  <c r="AF40" i="13"/>
  <c r="AE40" i="13"/>
  <c r="AD40" i="13"/>
  <c r="AA40" i="13"/>
  <c r="BC40" i="13" s="1"/>
  <c r="Z40" i="13"/>
  <c r="BB40" i="13" s="1"/>
  <c r="Y40" i="13"/>
  <c r="X40" i="13"/>
  <c r="BN40" i="13" s="1"/>
  <c r="W40" i="13"/>
  <c r="V40" i="13"/>
  <c r="BL40" i="13" s="1"/>
  <c r="U40" i="13"/>
  <c r="T40" i="13"/>
  <c r="S40" i="13"/>
  <c r="AU40" i="13" s="1"/>
  <c r="R40" i="13"/>
  <c r="AT40" i="13" s="1"/>
  <c r="Q40" i="13"/>
  <c r="P40" i="13"/>
  <c r="BF40" i="13" s="1"/>
  <c r="AW39" i="13"/>
  <c r="AT39" i="13"/>
  <c r="AO39" i="13"/>
  <c r="AN39" i="13"/>
  <c r="AM39" i="13"/>
  <c r="AL39" i="13"/>
  <c r="BN39" i="13" s="1"/>
  <c r="AK39" i="13"/>
  <c r="AJ39" i="13"/>
  <c r="AI39" i="13"/>
  <c r="AH39" i="13"/>
  <c r="AG39" i="13"/>
  <c r="AF39" i="13"/>
  <c r="AE39" i="13"/>
  <c r="AD39" i="13"/>
  <c r="AA39" i="13"/>
  <c r="Z39" i="13"/>
  <c r="BP39" i="13" s="1"/>
  <c r="Y39" i="13"/>
  <c r="BA39" i="13" s="1"/>
  <c r="X39" i="13"/>
  <c r="AZ39" i="13" s="1"/>
  <c r="W39" i="13"/>
  <c r="AY39" i="13" s="1"/>
  <c r="V39" i="13"/>
  <c r="U39" i="13"/>
  <c r="T39" i="13"/>
  <c r="BJ39" i="13" s="1"/>
  <c r="S39" i="13"/>
  <c r="R39" i="13"/>
  <c r="BH39" i="13" s="1"/>
  <c r="Q39" i="13"/>
  <c r="AS39" i="13" s="1"/>
  <c r="P39" i="13"/>
  <c r="AR39" i="13" s="1"/>
  <c r="BO39" i="13"/>
  <c r="BG39" i="13"/>
  <c r="BF39" i="13"/>
  <c r="AZ38" i="13"/>
  <c r="AO38" i="13"/>
  <c r="AN38" i="13"/>
  <c r="AM38" i="13"/>
  <c r="AL38" i="13"/>
  <c r="AK38" i="13"/>
  <c r="AJ38" i="13"/>
  <c r="AI38" i="13"/>
  <c r="BK38" i="13" s="1"/>
  <c r="AH38" i="13"/>
  <c r="BJ38" i="13" s="1"/>
  <c r="AG38" i="13"/>
  <c r="AF38" i="13"/>
  <c r="BH38" i="13" s="1"/>
  <c r="AE38" i="13"/>
  <c r="AD38" i="13"/>
  <c r="AA38" i="13"/>
  <c r="BC38" i="13" s="1"/>
  <c r="Z38" i="13"/>
  <c r="Y38" i="13"/>
  <c r="BO38" i="13" s="1"/>
  <c r="X38" i="13"/>
  <c r="BN38" i="13" s="1"/>
  <c r="W38" i="13"/>
  <c r="BM38" i="13" s="1"/>
  <c r="V38" i="13"/>
  <c r="BL38" i="13" s="1"/>
  <c r="U38" i="13"/>
  <c r="T38" i="13"/>
  <c r="S38" i="13"/>
  <c r="AU38" i="13" s="1"/>
  <c r="R38" i="13"/>
  <c r="Q38" i="13"/>
  <c r="BG38" i="13" s="1"/>
  <c r="P38" i="13"/>
  <c r="BF38" i="13" s="1"/>
  <c r="BP38" i="13"/>
  <c r="BI38" i="13"/>
  <c r="AV37" i="13"/>
  <c r="AT37" i="13"/>
  <c r="AO37" i="13"/>
  <c r="AN37" i="13"/>
  <c r="AM37" i="13"/>
  <c r="BO37" i="13" s="1"/>
  <c r="AL37" i="13"/>
  <c r="AK37" i="13"/>
  <c r="AJ37" i="13"/>
  <c r="BL37" i="13" s="1"/>
  <c r="AI37" i="13"/>
  <c r="AH37" i="13"/>
  <c r="AG37" i="13"/>
  <c r="AF37" i="13"/>
  <c r="AE37" i="13"/>
  <c r="BG37" i="13" s="1"/>
  <c r="AD37" i="13"/>
  <c r="AA37" i="13"/>
  <c r="BQ37" i="13" s="1"/>
  <c r="Z37" i="13"/>
  <c r="BP37" i="13" s="1"/>
  <c r="Y37" i="13"/>
  <c r="X37" i="13"/>
  <c r="AZ37" i="13" s="1"/>
  <c r="W37" i="13"/>
  <c r="AY37" i="13" s="1"/>
  <c r="V37" i="13"/>
  <c r="AX37" i="13" s="1"/>
  <c r="U37" i="13"/>
  <c r="T37" i="13"/>
  <c r="BJ37" i="13" s="1"/>
  <c r="S37" i="13"/>
  <c r="BI37" i="13" s="1"/>
  <c r="R37" i="13"/>
  <c r="BH37" i="13" s="1"/>
  <c r="Q37" i="13"/>
  <c r="P37" i="13"/>
  <c r="AR37" i="13" s="1"/>
  <c r="BN37" i="13"/>
  <c r="BF37" i="13"/>
  <c r="BH36" i="13"/>
  <c r="BA36" i="13"/>
  <c r="AO36" i="13"/>
  <c r="AN36" i="13"/>
  <c r="AM36" i="13"/>
  <c r="AL36" i="13"/>
  <c r="AK36" i="13"/>
  <c r="AJ36" i="13"/>
  <c r="AI36" i="13"/>
  <c r="AH36" i="13"/>
  <c r="AG36" i="13"/>
  <c r="AF36" i="13"/>
  <c r="AE36" i="13"/>
  <c r="AD36" i="13"/>
  <c r="AA36" i="13"/>
  <c r="BC36" i="13" s="1"/>
  <c r="Z36" i="13"/>
  <c r="BB36" i="13" s="1"/>
  <c r="Y36" i="13"/>
  <c r="BO36" i="13" s="1"/>
  <c r="X36" i="13"/>
  <c r="BN36" i="13" s="1"/>
  <c r="W36" i="13"/>
  <c r="V36" i="13"/>
  <c r="BL36" i="13" s="1"/>
  <c r="U36" i="13"/>
  <c r="AW36" i="13" s="1"/>
  <c r="T36" i="13"/>
  <c r="AV36" i="13" s="1"/>
  <c r="S36" i="13"/>
  <c r="AU36" i="13" s="1"/>
  <c r="R36" i="13"/>
  <c r="AT36" i="13" s="1"/>
  <c r="Q36" i="13"/>
  <c r="BG36" i="13" s="1"/>
  <c r="P36" i="13"/>
  <c r="BF36" i="13" s="1"/>
  <c r="BK36" i="13"/>
  <c r="BJ36" i="13"/>
  <c r="BO35" i="13"/>
  <c r="BB35" i="13"/>
  <c r="AT35" i="13"/>
  <c r="AO35" i="13"/>
  <c r="AN35" i="13"/>
  <c r="AM35" i="13"/>
  <c r="AL35" i="13"/>
  <c r="BN35" i="13" s="1"/>
  <c r="AK35" i="13"/>
  <c r="AJ35" i="13"/>
  <c r="AI35" i="13"/>
  <c r="AH35" i="13"/>
  <c r="AG35" i="13"/>
  <c r="AF35" i="13"/>
  <c r="AE35" i="13"/>
  <c r="AD35" i="13"/>
  <c r="BF35" i="13" s="1"/>
  <c r="AA35" i="13"/>
  <c r="BQ35" i="13" s="1"/>
  <c r="Z35" i="13"/>
  <c r="BP35" i="13" s="1"/>
  <c r="Y35" i="13"/>
  <c r="BA35" i="13" s="1"/>
  <c r="X35" i="13"/>
  <c r="W35" i="13"/>
  <c r="AY35" i="13" s="1"/>
  <c r="V35" i="13"/>
  <c r="AX35" i="13" s="1"/>
  <c r="U35" i="13"/>
  <c r="T35" i="13"/>
  <c r="BJ35" i="13" s="1"/>
  <c r="S35" i="13"/>
  <c r="BI35" i="13" s="1"/>
  <c r="R35" i="13"/>
  <c r="BH35" i="13" s="1"/>
  <c r="Q35" i="13"/>
  <c r="AS35" i="13" s="1"/>
  <c r="P35" i="13"/>
  <c r="BM35" i="13"/>
  <c r="BG35" i="13"/>
  <c r="BJ34" i="13"/>
  <c r="AZ34" i="13"/>
  <c r="AX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A34" i="13"/>
  <c r="BC34" i="13" s="1"/>
  <c r="Z34" i="13"/>
  <c r="BB34" i="13" s="1"/>
  <c r="Y34" i="13"/>
  <c r="BO34" i="13" s="1"/>
  <c r="X34" i="13"/>
  <c r="BN34" i="13" s="1"/>
  <c r="W34" i="13"/>
  <c r="BM34" i="13" s="1"/>
  <c r="V34" i="13"/>
  <c r="BL34" i="13" s="1"/>
  <c r="U34" i="13"/>
  <c r="AW34" i="13" s="1"/>
  <c r="T34" i="13"/>
  <c r="AV34" i="13" s="1"/>
  <c r="S34" i="13"/>
  <c r="AU34" i="13" s="1"/>
  <c r="R34" i="13"/>
  <c r="AT34" i="13" s="1"/>
  <c r="Q34" i="13"/>
  <c r="BG34" i="13" s="1"/>
  <c r="P34" i="13"/>
  <c r="BF34" i="13" s="1"/>
  <c r="BP34" i="13"/>
  <c r="BK34" i="13"/>
  <c r="AW33" i="13"/>
  <c r="AV33" i="13"/>
  <c r="AO33" i="13"/>
  <c r="AN33" i="13"/>
  <c r="AM33" i="13"/>
  <c r="BO33" i="13" s="1"/>
  <c r="AL33" i="13"/>
  <c r="BN33" i="13" s="1"/>
  <c r="AK33" i="13"/>
  <c r="AJ33" i="13"/>
  <c r="AI33" i="13"/>
  <c r="AH33" i="13"/>
  <c r="AG33" i="13"/>
  <c r="AF33" i="13"/>
  <c r="AE33" i="13"/>
  <c r="BG33" i="13" s="1"/>
  <c r="AD33" i="13"/>
  <c r="AA33" i="13"/>
  <c r="Z33" i="13"/>
  <c r="BP33" i="13" s="1"/>
  <c r="Y33" i="13"/>
  <c r="BA33" i="13" s="1"/>
  <c r="X33" i="13"/>
  <c r="W33" i="13"/>
  <c r="AY33" i="13" s="1"/>
  <c r="V33" i="13"/>
  <c r="U33" i="13"/>
  <c r="BK33" i="13" s="1"/>
  <c r="T33" i="13"/>
  <c r="BJ33" i="13" s="1"/>
  <c r="S33" i="13"/>
  <c r="R33" i="13"/>
  <c r="BH33" i="13" s="1"/>
  <c r="Q33" i="13"/>
  <c r="AS33" i="13" s="1"/>
  <c r="P33" i="13"/>
  <c r="BF33" i="13"/>
  <c r="BP32" i="13"/>
  <c r="BA32" i="13"/>
  <c r="AY32" i="13"/>
  <c r="AX32" i="13"/>
  <c r="AO32" i="13"/>
  <c r="AN32" i="13"/>
  <c r="AM32" i="13"/>
  <c r="AL32" i="13"/>
  <c r="AK32" i="13"/>
  <c r="AJ32" i="13"/>
  <c r="AI32" i="13"/>
  <c r="AH32" i="13"/>
  <c r="BJ32" i="13" s="1"/>
  <c r="AG32" i="13"/>
  <c r="AF32" i="13"/>
  <c r="AE32" i="13"/>
  <c r="AD32" i="13"/>
  <c r="AA32" i="13"/>
  <c r="BC32" i="13" s="1"/>
  <c r="Z32" i="13"/>
  <c r="BB32" i="13" s="1"/>
  <c r="Y32" i="13"/>
  <c r="X32" i="13"/>
  <c r="BN32" i="13" s="1"/>
  <c r="W32" i="13"/>
  <c r="V32" i="13"/>
  <c r="BL32" i="13" s="1"/>
  <c r="U32" i="13"/>
  <c r="AW32" i="13" s="1"/>
  <c r="T32" i="13"/>
  <c r="S32" i="13"/>
  <c r="AU32" i="13" s="1"/>
  <c r="R32" i="13"/>
  <c r="AT32" i="13" s="1"/>
  <c r="Q32" i="13"/>
  <c r="P32" i="13"/>
  <c r="BF32" i="13" s="1"/>
  <c r="BK32" i="13"/>
  <c r="BC31" i="13"/>
  <c r="BB31" i="13"/>
  <c r="AU31" i="13"/>
  <c r="AT31" i="13"/>
  <c r="AO31" i="13"/>
  <c r="AN31" i="13"/>
  <c r="AM31" i="13"/>
  <c r="BO31" i="13" s="1"/>
  <c r="AL31" i="13"/>
  <c r="BN31" i="13" s="1"/>
  <c r="AK31" i="13"/>
  <c r="AJ31" i="13"/>
  <c r="AI31" i="13"/>
  <c r="AH31" i="13"/>
  <c r="AG31" i="13"/>
  <c r="AF31" i="13"/>
  <c r="AE31" i="13"/>
  <c r="BG31" i="13" s="1"/>
  <c r="AD31" i="13"/>
  <c r="BF31" i="13" s="1"/>
  <c r="AA31" i="13"/>
  <c r="BQ31" i="13" s="1"/>
  <c r="Z31" i="13"/>
  <c r="BP31" i="13" s="1"/>
  <c r="Y31" i="13"/>
  <c r="X31" i="13"/>
  <c r="W31" i="13"/>
  <c r="AY31" i="13" s="1"/>
  <c r="V31" i="13"/>
  <c r="U31" i="13"/>
  <c r="T31" i="13"/>
  <c r="BJ31" i="13" s="1"/>
  <c r="S31" i="13"/>
  <c r="BI31" i="13" s="1"/>
  <c r="R31" i="13"/>
  <c r="BH31" i="13" s="1"/>
  <c r="Q31" i="13"/>
  <c r="P31" i="13"/>
  <c r="AZ30" i="13"/>
  <c r="AO30" i="13"/>
  <c r="AN30" i="13"/>
  <c r="AM30" i="13"/>
  <c r="AL30" i="13"/>
  <c r="AK30" i="13"/>
  <c r="AJ30" i="13"/>
  <c r="AI30" i="13"/>
  <c r="BK30" i="13" s="1"/>
  <c r="AH30" i="13"/>
  <c r="AG30" i="13"/>
  <c r="AF30" i="13"/>
  <c r="BH30" i="13" s="1"/>
  <c r="AE30" i="13"/>
  <c r="AD30" i="13"/>
  <c r="AA30" i="13"/>
  <c r="Z30" i="13"/>
  <c r="Y30" i="13"/>
  <c r="BO30" i="13" s="1"/>
  <c r="X30" i="13"/>
  <c r="BN30" i="13" s="1"/>
  <c r="W30" i="13"/>
  <c r="BM30" i="13" s="1"/>
  <c r="V30" i="13"/>
  <c r="BL30" i="13" s="1"/>
  <c r="U30" i="13"/>
  <c r="T30" i="13"/>
  <c r="AV30" i="13" s="1"/>
  <c r="S30" i="13"/>
  <c r="R30" i="13"/>
  <c r="Q30" i="13"/>
  <c r="BG30" i="13" s="1"/>
  <c r="P30" i="13"/>
  <c r="BF30" i="13" s="1"/>
  <c r="BP30" i="13"/>
  <c r="BJ30" i="13"/>
  <c r="BB29" i="13"/>
  <c r="AW29" i="13"/>
  <c r="AU29" i="13"/>
  <c r="AT29" i="13"/>
  <c r="AO29" i="13"/>
  <c r="AN29" i="13"/>
  <c r="AM29" i="13"/>
  <c r="BO29" i="13" s="1"/>
  <c r="AL29" i="13"/>
  <c r="BN29" i="13" s="1"/>
  <c r="AK29" i="13"/>
  <c r="AJ29" i="13"/>
  <c r="AI29" i="13"/>
  <c r="AH29" i="13"/>
  <c r="AG29" i="13"/>
  <c r="AF29" i="13"/>
  <c r="AE29" i="13"/>
  <c r="AD29" i="13"/>
  <c r="BF29" i="13" s="1"/>
  <c r="AA29" i="13"/>
  <c r="Z29" i="13"/>
  <c r="BP29" i="13" s="1"/>
  <c r="Y29" i="13"/>
  <c r="BA29" i="13" s="1"/>
  <c r="X29" i="13"/>
  <c r="AZ29" i="13" s="1"/>
  <c r="W29" i="13"/>
  <c r="V29" i="13"/>
  <c r="AX29" i="13" s="1"/>
  <c r="U29" i="13"/>
  <c r="BK29" i="13" s="1"/>
  <c r="T29" i="13"/>
  <c r="BJ29" i="13" s="1"/>
  <c r="S29" i="13"/>
  <c r="R29" i="13"/>
  <c r="BH29" i="13" s="1"/>
  <c r="Q29" i="13"/>
  <c r="AS29" i="13" s="1"/>
  <c r="P29" i="13"/>
  <c r="AR29" i="13" s="1"/>
  <c r="BG29" i="13"/>
  <c r="BP28" i="13"/>
  <c r="BA28" i="13"/>
  <c r="AY28" i="13"/>
  <c r="AX28" i="13"/>
  <c r="AO28" i="13"/>
  <c r="AN28" i="13"/>
  <c r="AM28" i="13"/>
  <c r="AL28" i="13"/>
  <c r="AK28" i="13"/>
  <c r="AJ28" i="13"/>
  <c r="AI28" i="13"/>
  <c r="AH28" i="13"/>
  <c r="BJ28" i="13" s="1"/>
  <c r="AG28" i="13"/>
  <c r="AF28" i="13"/>
  <c r="AE28" i="13"/>
  <c r="AD28" i="13"/>
  <c r="AA28" i="13"/>
  <c r="BC28" i="13" s="1"/>
  <c r="Z28" i="13"/>
  <c r="BB28" i="13" s="1"/>
  <c r="Y28" i="13"/>
  <c r="X28" i="13"/>
  <c r="BN28" i="13" s="1"/>
  <c r="W28" i="13"/>
  <c r="BM28" i="13" s="1"/>
  <c r="V28" i="13"/>
  <c r="BL28" i="13" s="1"/>
  <c r="U28" i="13"/>
  <c r="AW28" i="13" s="1"/>
  <c r="T28" i="13"/>
  <c r="S28" i="13"/>
  <c r="AU28" i="13" s="1"/>
  <c r="R28" i="13"/>
  <c r="AT28" i="13" s="1"/>
  <c r="Q28" i="13"/>
  <c r="P28" i="13"/>
  <c r="BF28" i="13" s="1"/>
  <c r="BK28" i="13"/>
  <c r="BC27" i="13"/>
  <c r="BB27" i="13"/>
  <c r="AU27" i="13"/>
  <c r="AT27" i="13"/>
  <c r="AO27" i="13"/>
  <c r="AN27" i="13"/>
  <c r="AM27" i="13"/>
  <c r="BO27" i="13" s="1"/>
  <c r="AL27" i="13"/>
  <c r="AL44" i="13" s="1"/>
  <c r="AK27" i="13"/>
  <c r="AJ27" i="13"/>
  <c r="AI27" i="13"/>
  <c r="AH27" i="13"/>
  <c r="AG27" i="13"/>
  <c r="AF27" i="13"/>
  <c r="AE27" i="13"/>
  <c r="BG27" i="13" s="1"/>
  <c r="AD27" i="13"/>
  <c r="BF27" i="13" s="1"/>
  <c r="AA27" i="13"/>
  <c r="BQ27" i="13" s="1"/>
  <c r="Z27" i="13"/>
  <c r="BP27" i="13" s="1"/>
  <c r="Y27" i="13"/>
  <c r="X27" i="13"/>
  <c r="W27" i="13"/>
  <c r="AY27" i="13" s="1"/>
  <c r="V27" i="13"/>
  <c r="U27" i="13"/>
  <c r="T27" i="13"/>
  <c r="BJ27" i="13" s="1"/>
  <c r="S27" i="13"/>
  <c r="BI27" i="13" s="1"/>
  <c r="R27" i="13"/>
  <c r="BH27" i="13" s="1"/>
  <c r="Q27" i="13"/>
  <c r="P27" i="13"/>
  <c r="AZ26" i="13"/>
  <c r="AO26" i="13"/>
  <c r="AN26" i="13"/>
  <c r="AM26" i="13"/>
  <c r="AL26" i="13"/>
  <c r="AK26" i="13"/>
  <c r="AJ26" i="13"/>
  <c r="AI26" i="13"/>
  <c r="BK26" i="13" s="1"/>
  <c r="AH26" i="13"/>
  <c r="AG26" i="13"/>
  <c r="AF26" i="13"/>
  <c r="BH26" i="13" s="1"/>
  <c r="AE26" i="13"/>
  <c r="AD26" i="13"/>
  <c r="AA26" i="13"/>
  <c r="Z26" i="13"/>
  <c r="Y26" i="13"/>
  <c r="BO26" i="13" s="1"/>
  <c r="X26" i="13"/>
  <c r="BN26" i="13" s="1"/>
  <c r="W26" i="13"/>
  <c r="BM26" i="13" s="1"/>
  <c r="V26" i="13"/>
  <c r="BL26" i="13" s="1"/>
  <c r="U26" i="13"/>
  <c r="T26" i="13"/>
  <c r="AV26" i="13" s="1"/>
  <c r="S26" i="13"/>
  <c r="R26" i="13"/>
  <c r="Q26" i="13"/>
  <c r="BG26" i="13" s="1"/>
  <c r="P26" i="13"/>
  <c r="BF26" i="13" s="1"/>
  <c r="BP26" i="13"/>
  <c r="BJ26" i="13"/>
  <c r="BB25" i="13"/>
  <c r="AW25" i="13"/>
  <c r="AU25" i="13"/>
  <c r="AT25" i="13"/>
  <c r="AO25" i="13"/>
  <c r="AN25" i="13"/>
  <c r="AM25" i="13"/>
  <c r="AL25" i="13"/>
  <c r="AK25" i="13"/>
  <c r="AJ25" i="13"/>
  <c r="AI25" i="13"/>
  <c r="AH25" i="13"/>
  <c r="AH44" i="13" s="1"/>
  <c r="AG25" i="13"/>
  <c r="AF25" i="13"/>
  <c r="AE25" i="13"/>
  <c r="AD25" i="13"/>
  <c r="AA25" i="13"/>
  <c r="Z25" i="13"/>
  <c r="Y25" i="13"/>
  <c r="BA25" i="13" s="1"/>
  <c r="X25" i="13"/>
  <c r="X44" i="13" s="1"/>
  <c r="W25" i="13"/>
  <c r="V25" i="13"/>
  <c r="U25" i="13"/>
  <c r="T25" i="13"/>
  <c r="S25" i="13"/>
  <c r="R25" i="13"/>
  <c r="Q25" i="13"/>
  <c r="AS25" i="13" s="1"/>
  <c r="P25" i="13"/>
  <c r="P44" i="13" s="1"/>
  <c r="BP24" i="13"/>
  <c r="BA24" i="13"/>
  <c r="AY24" i="13"/>
  <c r="AX24" i="13"/>
  <c r="AO24" i="13"/>
  <c r="AN24" i="13"/>
  <c r="AM24" i="13"/>
  <c r="AL24" i="13"/>
  <c r="AK24" i="13"/>
  <c r="AJ24" i="13"/>
  <c r="AI24" i="13"/>
  <c r="AH24" i="13"/>
  <c r="BJ24" i="13" s="1"/>
  <c r="AG24" i="13"/>
  <c r="AF24" i="13"/>
  <c r="AE24" i="13"/>
  <c r="AD24" i="13"/>
  <c r="AA24" i="13"/>
  <c r="BC24" i="13" s="1"/>
  <c r="Z24" i="13"/>
  <c r="BB24" i="13" s="1"/>
  <c r="Y24" i="13"/>
  <c r="X24" i="13"/>
  <c r="BN24" i="13" s="1"/>
  <c r="W24" i="13"/>
  <c r="V24" i="13"/>
  <c r="BL24" i="13" s="1"/>
  <c r="U24" i="13"/>
  <c r="AW24" i="13" s="1"/>
  <c r="T24" i="13"/>
  <c r="S24" i="13"/>
  <c r="AU24" i="13" s="1"/>
  <c r="R24" i="13"/>
  <c r="AT24" i="13" s="1"/>
  <c r="Q24" i="13"/>
  <c r="P24" i="13"/>
  <c r="BF24" i="13" s="1"/>
  <c r="BK24" i="13"/>
  <c r="BC23" i="13"/>
  <c r="BB23" i="13"/>
  <c r="AU23" i="13"/>
  <c r="AT23" i="13"/>
  <c r="AO23" i="13"/>
  <c r="AN23" i="13"/>
  <c r="AM23" i="13"/>
  <c r="BO23" i="13" s="1"/>
  <c r="AL23" i="13"/>
  <c r="BN23" i="13" s="1"/>
  <c r="AK23" i="13"/>
  <c r="AJ23" i="13"/>
  <c r="AI23" i="13"/>
  <c r="AH23" i="13"/>
  <c r="AG23" i="13"/>
  <c r="AF23" i="13"/>
  <c r="AE23" i="13"/>
  <c r="BG23" i="13" s="1"/>
  <c r="AD23" i="13"/>
  <c r="BF23" i="13" s="1"/>
  <c r="AA23" i="13"/>
  <c r="BQ23" i="13" s="1"/>
  <c r="Z23" i="13"/>
  <c r="BP23" i="13" s="1"/>
  <c r="Y23" i="13"/>
  <c r="X23" i="13"/>
  <c r="W23" i="13"/>
  <c r="AY23" i="13" s="1"/>
  <c r="V23" i="13"/>
  <c r="U23" i="13"/>
  <c r="BK23" i="13" s="1"/>
  <c r="T23" i="13"/>
  <c r="BJ23" i="13" s="1"/>
  <c r="S23" i="13"/>
  <c r="BI23" i="13" s="1"/>
  <c r="R23" i="13"/>
  <c r="BH23" i="13" s="1"/>
  <c r="Q23" i="13"/>
  <c r="P23" i="13"/>
  <c r="AZ22" i="13"/>
  <c r="AO22" i="13"/>
  <c r="AN22" i="13"/>
  <c r="AM22" i="13"/>
  <c r="AL22" i="13"/>
  <c r="AK22" i="13"/>
  <c r="AJ22" i="13"/>
  <c r="AI22" i="13"/>
  <c r="BK22" i="13" s="1"/>
  <c r="AH22" i="13"/>
  <c r="AG22" i="13"/>
  <c r="AF22" i="13"/>
  <c r="AE22" i="13"/>
  <c r="AD22" i="13"/>
  <c r="AA22" i="13"/>
  <c r="Z22" i="13"/>
  <c r="Y22" i="13"/>
  <c r="X22" i="13"/>
  <c r="BN22" i="13" s="1"/>
  <c r="W22" i="13"/>
  <c r="V22" i="13"/>
  <c r="BL22" i="13" s="1"/>
  <c r="U22" i="13"/>
  <c r="T22" i="13"/>
  <c r="AV22" i="13" s="1"/>
  <c r="S22" i="13"/>
  <c r="R22" i="13"/>
  <c r="Q22" i="13"/>
  <c r="P22" i="13"/>
  <c r="BF22" i="13" s="1"/>
  <c r="BJ22" i="13"/>
  <c r="BL21" i="13"/>
  <c r="BB21" i="13"/>
  <c r="AW21" i="13"/>
  <c r="AU21" i="13"/>
  <c r="AT21" i="13"/>
  <c r="AO21" i="13"/>
  <c r="AN21" i="13"/>
  <c r="AM21" i="13"/>
  <c r="BO21" i="13" s="1"/>
  <c r="AL21" i="13"/>
  <c r="BN21" i="13" s="1"/>
  <c r="AK21" i="13"/>
  <c r="AJ21" i="13"/>
  <c r="AI21" i="13"/>
  <c r="AH21" i="13"/>
  <c r="AG21" i="13"/>
  <c r="AF21" i="13"/>
  <c r="AE21" i="13"/>
  <c r="AD21" i="13"/>
  <c r="BF21" i="13" s="1"/>
  <c r="AA21" i="13"/>
  <c r="Z21" i="13"/>
  <c r="BP21" i="13" s="1"/>
  <c r="Y21" i="13"/>
  <c r="BA21" i="13" s="1"/>
  <c r="X21" i="13"/>
  <c r="AZ21" i="13" s="1"/>
  <c r="W21" i="13"/>
  <c r="V21" i="13"/>
  <c r="AX21" i="13" s="1"/>
  <c r="U21" i="13"/>
  <c r="BK21" i="13" s="1"/>
  <c r="T21" i="13"/>
  <c r="BJ21" i="13" s="1"/>
  <c r="S21" i="13"/>
  <c r="R21" i="13"/>
  <c r="BH21" i="13" s="1"/>
  <c r="Q21" i="13"/>
  <c r="AS21" i="13" s="1"/>
  <c r="P21" i="13"/>
  <c r="AR21" i="13" s="1"/>
  <c r="BG21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A20" i="13"/>
  <c r="BC20" i="13" s="1"/>
  <c r="Z20" i="13"/>
  <c r="BB20" i="13" s="1"/>
  <c r="Y20" i="13"/>
  <c r="BA20" i="13" s="1"/>
  <c r="X20" i="13"/>
  <c r="BN20" i="13" s="1"/>
  <c r="W20" i="13"/>
  <c r="AY20" i="13" s="1"/>
  <c r="V20" i="13"/>
  <c r="BL20" i="13" s="1"/>
  <c r="U20" i="13"/>
  <c r="BK20" i="13" s="1"/>
  <c r="T20" i="13"/>
  <c r="AV20" i="13" s="1"/>
  <c r="S20" i="13"/>
  <c r="AU20" i="13" s="1"/>
  <c r="R20" i="13"/>
  <c r="AT20" i="13" s="1"/>
  <c r="Q20" i="13"/>
  <c r="AS20" i="13" s="1"/>
  <c r="P20" i="13"/>
  <c r="BF20" i="13" s="1"/>
  <c r="BM20" i="13"/>
  <c r="BJ20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A19" i="13"/>
  <c r="BC19" i="13" s="1"/>
  <c r="Z19" i="13"/>
  <c r="BP19" i="13" s="1"/>
  <c r="Y19" i="13"/>
  <c r="BA19" i="13" s="1"/>
  <c r="X19" i="13"/>
  <c r="AZ19" i="13" s="1"/>
  <c r="W19" i="13"/>
  <c r="AY19" i="13" s="1"/>
  <c r="V19" i="13"/>
  <c r="AX19" i="13" s="1"/>
  <c r="U19" i="13"/>
  <c r="AW19" i="13" s="1"/>
  <c r="T19" i="13"/>
  <c r="BJ19" i="13" s="1"/>
  <c r="S19" i="13"/>
  <c r="AU19" i="13" s="1"/>
  <c r="R19" i="13"/>
  <c r="AT19" i="13" s="1"/>
  <c r="Q19" i="13"/>
  <c r="AS19" i="13" s="1"/>
  <c r="P19" i="13"/>
  <c r="AR19" i="13" s="1"/>
  <c r="BN19" i="13"/>
  <c r="BK19" i="13"/>
  <c r="BI19" i="13"/>
  <c r="BF19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A18" i="13"/>
  <c r="BC18" i="13" s="1"/>
  <c r="Z18" i="13"/>
  <c r="BB18" i="13" s="1"/>
  <c r="Y18" i="13"/>
  <c r="BA18" i="13" s="1"/>
  <c r="X18" i="13"/>
  <c r="BN18" i="13" s="1"/>
  <c r="W18" i="13"/>
  <c r="AY18" i="13" s="1"/>
  <c r="V18" i="13"/>
  <c r="AX18" i="13" s="1"/>
  <c r="U18" i="13"/>
  <c r="BK18" i="13" s="1"/>
  <c r="T18" i="13"/>
  <c r="AV18" i="13" s="1"/>
  <c r="S18" i="13"/>
  <c r="AU18" i="13" s="1"/>
  <c r="R18" i="13"/>
  <c r="AT18" i="13" s="1"/>
  <c r="Q18" i="13"/>
  <c r="AS18" i="13" s="1"/>
  <c r="P18" i="13"/>
  <c r="BF18" i="13" s="1"/>
  <c r="BJ18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A17" i="13"/>
  <c r="BC17" i="13" s="1"/>
  <c r="Z17" i="13"/>
  <c r="BP17" i="13" s="1"/>
  <c r="Y17" i="13"/>
  <c r="BO17" i="13" s="1"/>
  <c r="X17" i="13"/>
  <c r="AZ17" i="13" s="1"/>
  <c r="W17" i="13"/>
  <c r="AY17" i="13" s="1"/>
  <c r="V17" i="13"/>
  <c r="AX17" i="13" s="1"/>
  <c r="U17" i="13"/>
  <c r="AW17" i="13" s="1"/>
  <c r="T17" i="13"/>
  <c r="BJ17" i="13" s="1"/>
  <c r="S17" i="13"/>
  <c r="AU17" i="13" s="1"/>
  <c r="R17" i="13"/>
  <c r="BH17" i="13" s="1"/>
  <c r="Q17" i="13"/>
  <c r="AS17" i="13" s="1"/>
  <c r="P17" i="13"/>
  <c r="AR17" i="13" s="1"/>
  <c r="BN17" i="13"/>
  <c r="BI17" i="13"/>
  <c r="BF17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A16" i="13"/>
  <c r="BC16" i="13" s="1"/>
  <c r="Z16" i="13"/>
  <c r="BB16" i="13" s="1"/>
  <c r="Y16" i="13"/>
  <c r="BA16" i="13" s="1"/>
  <c r="X16" i="13"/>
  <c r="BN16" i="13" s="1"/>
  <c r="W16" i="13"/>
  <c r="AY16" i="13" s="1"/>
  <c r="V16" i="13"/>
  <c r="BL16" i="13" s="1"/>
  <c r="U16" i="13"/>
  <c r="AW16" i="13" s="1"/>
  <c r="T16" i="13"/>
  <c r="AV16" i="13" s="1"/>
  <c r="S16" i="13"/>
  <c r="AU16" i="13" s="1"/>
  <c r="R16" i="13"/>
  <c r="AT16" i="13" s="1"/>
  <c r="Q16" i="13"/>
  <c r="AS16" i="13" s="1"/>
  <c r="P16" i="13"/>
  <c r="BF16" i="13" s="1"/>
  <c r="BJ16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A15" i="13"/>
  <c r="BC15" i="13" s="1"/>
  <c r="Z15" i="13"/>
  <c r="BP15" i="13" s="1"/>
  <c r="Y15" i="13"/>
  <c r="BA15" i="13" s="1"/>
  <c r="X15" i="13"/>
  <c r="AZ15" i="13" s="1"/>
  <c r="W15" i="13"/>
  <c r="AY15" i="13" s="1"/>
  <c r="V15" i="13"/>
  <c r="AX15" i="13" s="1"/>
  <c r="U15" i="13"/>
  <c r="AW15" i="13" s="1"/>
  <c r="T15" i="13"/>
  <c r="BJ15" i="13" s="1"/>
  <c r="S15" i="13"/>
  <c r="AU15" i="13" s="1"/>
  <c r="R15" i="13"/>
  <c r="BH15" i="13" s="1"/>
  <c r="Q15" i="13"/>
  <c r="AS15" i="13" s="1"/>
  <c r="P15" i="13"/>
  <c r="AR15" i="13" s="1"/>
  <c r="BN15" i="13"/>
  <c r="BL15" i="13"/>
  <c r="BK15" i="13"/>
  <c r="BF15" i="13"/>
  <c r="AX14" i="13"/>
  <c r="AO14" i="13"/>
  <c r="AN14" i="13"/>
  <c r="AM14" i="13"/>
  <c r="AL14" i="13"/>
  <c r="AK14" i="13"/>
  <c r="AJ14" i="13"/>
  <c r="AI14" i="13"/>
  <c r="AH14" i="13"/>
  <c r="AG14" i="13"/>
  <c r="AF14" i="13"/>
  <c r="AE14" i="13"/>
  <c r="AD14" i="13"/>
  <c r="AA14" i="13"/>
  <c r="BC14" i="13" s="1"/>
  <c r="Z14" i="13"/>
  <c r="BB14" i="13" s="1"/>
  <c r="Y14" i="13"/>
  <c r="BA14" i="13" s="1"/>
  <c r="X14" i="13"/>
  <c r="BN14" i="13" s="1"/>
  <c r="W14" i="13"/>
  <c r="AY14" i="13" s="1"/>
  <c r="V14" i="13"/>
  <c r="BL14" i="13" s="1"/>
  <c r="U14" i="13"/>
  <c r="AW14" i="13" s="1"/>
  <c r="T14" i="13"/>
  <c r="AV14" i="13" s="1"/>
  <c r="S14" i="13"/>
  <c r="AU14" i="13" s="1"/>
  <c r="R14" i="13"/>
  <c r="AT14" i="13" s="1"/>
  <c r="Q14" i="13"/>
  <c r="AS14" i="13" s="1"/>
  <c r="P14" i="13"/>
  <c r="BF14" i="13" s="1"/>
  <c r="BM14" i="13"/>
  <c r="BJ14" i="13"/>
  <c r="BG14" i="13"/>
  <c r="AO13" i="13"/>
  <c r="AN13" i="13"/>
  <c r="AM13" i="13"/>
  <c r="AL13" i="13"/>
  <c r="AK13" i="13"/>
  <c r="AJ13" i="13"/>
  <c r="AI13" i="13"/>
  <c r="AH13" i="13"/>
  <c r="AG13" i="13"/>
  <c r="AF13" i="13"/>
  <c r="AE13" i="13"/>
  <c r="AD13" i="13"/>
  <c r="AA13" i="13"/>
  <c r="BC13" i="13" s="1"/>
  <c r="Z13" i="13"/>
  <c r="BP13" i="13" s="1"/>
  <c r="Y13" i="13"/>
  <c r="BA13" i="13" s="1"/>
  <c r="X13" i="13"/>
  <c r="AZ13" i="13" s="1"/>
  <c r="W13" i="13"/>
  <c r="AY13" i="13" s="1"/>
  <c r="V13" i="13"/>
  <c r="AX13" i="13" s="1"/>
  <c r="U13" i="13"/>
  <c r="AW13" i="13" s="1"/>
  <c r="T13" i="13"/>
  <c r="BJ13" i="13" s="1"/>
  <c r="S13" i="13"/>
  <c r="AU13" i="13" s="1"/>
  <c r="R13" i="13"/>
  <c r="AT13" i="13" s="1"/>
  <c r="Q13" i="13"/>
  <c r="BG13" i="13" s="1"/>
  <c r="P13" i="13"/>
  <c r="AR13" i="13" s="1"/>
  <c r="BN13" i="13"/>
  <c r="BK13" i="13"/>
  <c r="BF13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A12" i="13"/>
  <c r="BC12" i="13" s="1"/>
  <c r="Z12" i="13"/>
  <c r="BB12" i="13" s="1"/>
  <c r="Y12" i="13"/>
  <c r="BA12" i="13" s="1"/>
  <c r="X12" i="13"/>
  <c r="W12" i="13"/>
  <c r="AY12" i="13" s="1"/>
  <c r="V12" i="13"/>
  <c r="U12" i="13"/>
  <c r="AW12" i="13" s="1"/>
  <c r="T12" i="13"/>
  <c r="AV12" i="13" s="1"/>
  <c r="S12" i="13"/>
  <c r="AU12" i="13" s="1"/>
  <c r="R12" i="13"/>
  <c r="AT12" i="13" s="1"/>
  <c r="Q12" i="13"/>
  <c r="AS12" i="13" s="1"/>
  <c r="P12" i="13"/>
  <c r="BP12" i="13"/>
  <c r="AO11" i="13"/>
  <c r="AN11" i="13"/>
  <c r="AM11" i="13"/>
  <c r="AL11" i="13"/>
  <c r="AK11" i="13"/>
  <c r="AJ11" i="13"/>
  <c r="AI11" i="13"/>
  <c r="AH11" i="13"/>
  <c r="AG11" i="13"/>
  <c r="AF11" i="13"/>
  <c r="AE11" i="13"/>
  <c r="AD11" i="13"/>
  <c r="AA11" i="13"/>
  <c r="BC11" i="13" s="1"/>
  <c r="Z11" i="13"/>
  <c r="BP11" i="13" s="1"/>
  <c r="Y11" i="13"/>
  <c r="BO11" i="13" s="1"/>
  <c r="X11" i="13"/>
  <c r="AZ11" i="13" s="1"/>
  <c r="W11" i="13"/>
  <c r="AY11" i="13" s="1"/>
  <c r="V11" i="13"/>
  <c r="AX11" i="13" s="1"/>
  <c r="U11" i="13"/>
  <c r="AW11" i="13" s="1"/>
  <c r="T11" i="13"/>
  <c r="BJ11" i="13" s="1"/>
  <c r="S11" i="13"/>
  <c r="AU11" i="13" s="1"/>
  <c r="R11" i="13"/>
  <c r="AT11" i="13" s="1"/>
  <c r="Q11" i="13"/>
  <c r="AS11" i="13" s="1"/>
  <c r="P11" i="13"/>
  <c r="AR11" i="13" s="1"/>
  <c r="BQ11" i="13"/>
  <c r="BN11" i="13"/>
  <c r="BI11" i="13"/>
  <c r="BF11" i="13"/>
  <c r="AO10" i="13"/>
  <c r="AN10" i="13"/>
  <c r="AM10" i="13"/>
  <c r="AM43" i="13" s="1"/>
  <c r="AL10" i="13"/>
  <c r="AL42" i="13" s="1"/>
  <c r="AK10" i="13"/>
  <c r="AK42" i="13" s="1"/>
  <c r="AJ10" i="13"/>
  <c r="AI10" i="13"/>
  <c r="AH10" i="13"/>
  <c r="AG10" i="13"/>
  <c r="AF10" i="13"/>
  <c r="AE10" i="13"/>
  <c r="AE43" i="13" s="1"/>
  <c r="AD10" i="13"/>
  <c r="AD42" i="13" s="1"/>
  <c r="AA10" i="13"/>
  <c r="AA42" i="13" s="1"/>
  <c r="Z10" i="13"/>
  <c r="Y10" i="13"/>
  <c r="X10" i="13"/>
  <c r="W10" i="13"/>
  <c r="V10" i="13"/>
  <c r="U10" i="13"/>
  <c r="U43" i="13" s="1"/>
  <c r="T10" i="13"/>
  <c r="S10" i="13"/>
  <c r="R10" i="13"/>
  <c r="Q10" i="13"/>
  <c r="P10" i="13"/>
  <c r="P45" i="13" s="1"/>
  <c r="BH10" i="13"/>
  <c r="U360" i="11"/>
  <c r="T360" i="11"/>
  <c r="S360" i="11"/>
  <c r="R360" i="11"/>
  <c r="Q360" i="11"/>
  <c r="P360" i="11"/>
  <c r="U359" i="11"/>
  <c r="T359" i="11"/>
  <c r="S359" i="11"/>
  <c r="R359" i="11"/>
  <c r="Q359" i="11"/>
  <c r="P359" i="11"/>
  <c r="U358" i="11"/>
  <c r="T358" i="11"/>
  <c r="S358" i="11"/>
  <c r="R358" i="11"/>
  <c r="Q358" i="11"/>
  <c r="P358" i="11"/>
  <c r="U357" i="11"/>
  <c r="T357" i="11"/>
  <c r="S357" i="11"/>
  <c r="R357" i="11"/>
  <c r="Q357" i="11"/>
  <c r="P357" i="11"/>
  <c r="U356" i="11"/>
  <c r="T356" i="11"/>
  <c r="S356" i="11"/>
  <c r="R356" i="11"/>
  <c r="Q356" i="11"/>
  <c r="P356" i="11"/>
  <c r="U355" i="11"/>
  <c r="T355" i="11"/>
  <c r="S355" i="11"/>
  <c r="R355" i="11"/>
  <c r="Q355" i="11"/>
  <c r="P355" i="11"/>
  <c r="U354" i="11"/>
  <c r="T354" i="11"/>
  <c r="S354" i="11"/>
  <c r="R354" i="11"/>
  <c r="Q354" i="11"/>
  <c r="P354" i="11"/>
  <c r="U353" i="11"/>
  <c r="T353" i="11"/>
  <c r="S353" i="11"/>
  <c r="R353" i="11"/>
  <c r="Q353" i="11"/>
  <c r="P353" i="11"/>
  <c r="U352" i="11"/>
  <c r="T352" i="11"/>
  <c r="S352" i="11"/>
  <c r="R352" i="11"/>
  <c r="Q352" i="11"/>
  <c r="P352" i="11"/>
  <c r="U351" i="11"/>
  <c r="T351" i="11"/>
  <c r="S351" i="11"/>
  <c r="R351" i="11"/>
  <c r="Q351" i="11"/>
  <c r="P351" i="11"/>
  <c r="U350" i="11"/>
  <c r="T350" i="11"/>
  <c r="S350" i="11"/>
  <c r="R350" i="11"/>
  <c r="Q350" i="11"/>
  <c r="P350" i="11"/>
  <c r="U349" i="11"/>
  <c r="T349" i="11"/>
  <c r="S349" i="11"/>
  <c r="R349" i="11"/>
  <c r="Q349" i="11"/>
  <c r="P349" i="11"/>
  <c r="U348" i="11"/>
  <c r="T348" i="11"/>
  <c r="S348" i="11"/>
  <c r="R348" i="11"/>
  <c r="Q348" i="11"/>
  <c r="P348" i="11"/>
  <c r="U347" i="11"/>
  <c r="T347" i="11"/>
  <c r="S347" i="11"/>
  <c r="R347" i="11"/>
  <c r="Q347" i="11"/>
  <c r="P347" i="11"/>
  <c r="W364" i="11"/>
  <c r="V364" i="11"/>
  <c r="U346" i="11"/>
  <c r="T346" i="11"/>
  <c r="S346" i="11"/>
  <c r="R346" i="11"/>
  <c r="Q346" i="11"/>
  <c r="P346" i="11"/>
  <c r="X364" i="11"/>
  <c r="U345" i="11"/>
  <c r="U364" i="11" s="1"/>
  <c r="T345" i="11"/>
  <c r="T364" i="11" s="1"/>
  <c r="S345" i="11"/>
  <c r="R345" i="11"/>
  <c r="Q345" i="11"/>
  <c r="Q364" i="11" s="1"/>
  <c r="P345" i="11"/>
  <c r="P364" i="11" s="1"/>
  <c r="U344" i="11"/>
  <c r="T344" i="11"/>
  <c r="S344" i="11"/>
  <c r="R344" i="11"/>
  <c r="Q344" i="11"/>
  <c r="P344" i="11"/>
  <c r="U343" i="11"/>
  <c r="T343" i="11"/>
  <c r="S343" i="11"/>
  <c r="R343" i="11"/>
  <c r="Q343" i="11"/>
  <c r="P343" i="11"/>
  <c r="U342" i="11"/>
  <c r="T342" i="11"/>
  <c r="S342" i="11"/>
  <c r="R342" i="11"/>
  <c r="Q342" i="11"/>
  <c r="P342" i="11"/>
  <c r="U341" i="11"/>
  <c r="T341" i="11"/>
  <c r="S341" i="11"/>
  <c r="R341" i="11"/>
  <c r="Q341" i="11"/>
  <c r="P341" i="11"/>
  <c r="U340" i="11"/>
  <c r="T340" i="11"/>
  <c r="S340" i="11"/>
  <c r="R340" i="11"/>
  <c r="Q340" i="11"/>
  <c r="P340" i="11"/>
  <c r="U339" i="11"/>
  <c r="T339" i="11"/>
  <c r="S339" i="11"/>
  <c r="R339" i="11"/>
  <c r="Q339" i="11"/>
  <c r="P339" i="11"/>
  <c r="U338" i="11"/>
  <c r="T338" i="11"/>
  <c r="S338" i="11"/>
  <c r="R338" i="11"/>
  <c r="Q338" i="11"/>
  <c r="P338" i="11"/>
  <c r="U337" i="11"/>
  <c r="T337" i="11"/>
  <c r="S337" i="11"/>
  <c r="R337" i="11"/>
  <c r="Q337" i="11"/>
  <c r="P337" i="11"/>
  <c r="U336" i="11"/>
  <c r="T336" i="11"/>
  <c r="S336" i="11"/>
  <c r="R336" i="11"/>
  <c r="Q336" i="11"/>
  <c r="P336" i="11"/>
  <c r="U335" i="11"/>
  <c r="T335" i="11"/>
  <c r="S335" i="11"/>
  <c r="R335" i="11"/>
  <c r="Q335" i="11"/>
  <c r="P335" i="11"/>
  <c r="U334" i="11"/>
  <c r="T334" i="11"/>
  <c r="S334" i="11"/>
  <c r="R334" i="11"/>
  <c r="Q334" i="11"/>
  <c r="P334" i="11"/>
  <c r="U333" i="11"/>
  <c r="T333" i="11"/>
  <c r="S333" i="11"/>
  <c r="R333" i="11"/>
  <c r="Q333" i="11"/>
  <c r="P333" i="11"/>
  <c r="U332" i="11"/>
  <c r="T332" i="11"/>
  <c r="S332" i="11"/>
  <c r="R332" i="11"/>
  <c r="Q332" i="11"/>
  <c r="P332" i="11"/>
  <c r="AA361" i="11"/>
  <c r="Z362" i="11"/>
  <c r="Y362" i="11"/>
  <c r="X361" i="11"/>
  <c r="U331" i="11"/>
  <c r="T331" i="11"/>
  <c r="S331" i="11"/>
  <c r="S363" i="11" s="1"/>
  <c r="R331" i="11"/>
  <c r="Q331" i="11"/>
  <c r="Q362" i="11" s="1"/>
  <c r="P331" i="11"/>
  <c r="P362" i="11" s="1"/>
  <c r="W363" i="11"/>
  <c r="V363" i="11"/>
  <c r="U330" i="11"/>
  <c r="T330" i="11"/>
  <c r="S330" i="11"/>
  <c r="R330" i="11"/>
  <c r="Q330" i="11"/>
  <c r="Q363" i="11" s="1"/>
  <c r="P33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AA306" i="11"/>
  <c r="Z306" i="11"/>
  <c r="Y306" i="11"/>
  <c r="X306" i="11"/>
  <c r="W306" i="11"/>
  <c r="W324" i="11" s="1"/>
  <c r="V306" i="11"/>
  <c r="U306" i="11"/>
  <c r="T306" i="11"/>
  <c r="S306" i="11"/>
  <c r="R306" i="11"/>
  <c r="Q306" i="11"/>
  <c r="P306" i="11"/>
  <c r="AA305" i="11"/>
  <c r="Z305" i="11"/>
  <c r="Y305" i="11"/>
  <c r="Y324" i="11" s="1"/>
  <c r="X305" i="11"/>
  <c r="X324" i="11" s="1"/>
  <c r="W305" i="11"/>
  <c r="V305" i="11"/>
  <c r="U305" i="11"/>
  <c r="T305" i="11"/>
  <c r="T324" i="11" s="1"/>
  <c r="S305" i="11"/>
  <c r="S324" i="11" s="1"/>
  <c r="R305" i="11"/>
  <c r="R324" i="11" s="1"/>
  <c r="Q305" i="11"/>
  <c r="Q324" i="11" s="1"/>
  <c r="P305" i="11"/>
  <c r="P324" i="11" s="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AA291" i="11"/>
  <c r="AA322" i="11" s="1"/>
  <c r="Z291" i="11"/>
  <c r="Z322" i="11" s="1"/>
  <c r="Y291" i="11"/>
  <c r="Y323" i="11" s="1"/>
  <c r="X291" i="11"/>
  <c r="X323" i="11" s="1"/>
  <c r="W291" i="11"/>
  <c r="V291" i="11"/>
  <c r="U291" i="11"/>
  <c r="T291" i="11"/>
  <c r="S291" i="11"/>
  <c r="S322" i="11" s="1"/>
  <c r="R291" i="11"/>
  <c r="R321" i="11" s="1"/>
  <c r="Q291" i="11"/>
  <c r="Q323" i="11" s="1"/>
  <c r="P291" i="11"/>
  <c r="P323" i="11" s="1"/>
  <c r="AA290" i="11"/>
  <c r="Z290" i="11"/>
  <c r="Y290" i="11"/>
  <c r="X290" i="11"/>
  <c r="W290" i="11"/>
  <c r="V290" i="11"/>
  <c r="U290" i="11"/>
  <c r="U323" i="11" s="1"/>
  <c r="T290" i="11"/>
  <c r="T323" i="11" s="1"/>
  <c r="S290" i="11"/>
  <c r="R290" i="11"/>
  <c r="Q290" i="11"/>
  <c r="P290" i="11"/>
  <c r="P251" i="11"/>
  <c r="Q251" i="11"/>
  <c r="R251" i="11"/>
  <c r="S251" i="11"/>
  <c r="S283" i="11" s="1"/>
  <c r="T251" i="11"/>
  <c r="U251" i="11"/>
  <c r="V251" i="11"/>
  <c r="W251" i="11"/>
  <c r="W282" i="11" s="1"/>
  <c r="X251" i="11"/>
  <c r="Y251" i="11"/>
  <c r="Z251" i="11"/>
  <c r="AA251" i="11"/>
  <c r="AA282" i="11" s="1"/>
  <c r="P252" i="11"/>
  <c r="Q252" i="11"/>
  <c r="R252" i="11"/>
  <c r="R281" i="11" s="1"/>
  <c r="S252" i="11"/>
  <c r="S282" i="11" s="1"/>
  <c r="T252" i="11"/>
  <c r="U252" i="11"/>
  <c r="V252" i="11"/>
  <c r="W252" i="11"/>
  <c r="X252" i="11"/>
  <c r="Y252" i="11"/>
  <c r="Y283" i="11" s="1"/>
  <c r="Z252" i="11"/>
  <c r="Z281" i="11" s="1"/>
  <c r="AA252" i="11"/>
  <c r="AA281" i="11" s="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P265" i="11"/>
  <c r="Q265" i="11"/>
  <c r="R265" i="11"/>
  <c r="S265" i="11"/>
  <c r="T265" i="11"/>
  <c r="T284" i="11" s="1"/>
  <c r="U265" i="11"/>
  <c r="U284" i="11" s="1"/>
  <c r="V265" i="11"/>
  <c r="V284" i="11" s="1"/>
  <c r="W265" i="11"/>
  <c r="W284" i="11" s="1"/>
  <c r="X265" i="11"/>
  <c r="Y265" i="11"/>
  <c r="Z265" i="11"/>
  <c r="AA265" i="11"/>
  <c r="AA284" i="11" s="1"/>
  <c r="P266" i="11"/>
  <c r="Q266" i="11"/>
  <c r="R266" i="11"/>
  <c r="R284" i="11" s="1"/>
  <c r="S266" i="11"/>
  <c r="S284" i="11" s="1"/>
  <c r="T266" i="11"/>
  <c r="U266" i="11"/>
  <c r="V266" i="11"/>
  <c r="W266" i="11"/>
  <c r="X266" i="11"/>
  <c r="X284" i="11" s="1"/>
  <c r="Y266" i="11"/>
  <c r="Y284" i="11" s="1"/>
  <c r="Z266" i="11"/>
  <c r="Z284" i="11" s="1"/>
  <c r="AA266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Q250" i="11"/>
  <c r="R250" i="11"/>
  <c r="S250" i="11"/>
  <c r="T250" i="11"/>
  <c r="U250" i="11"/>
  <c r="V250" i="11"/>
  <c r="W250" i="11"/>
  <c r="X250" i="11"/>
  <c r="X283" i="11" s="1"/>
  <c r="Y250" i="11"/>
  <c r="Z250" i="11"/>
  <c r="AA250" i="11"/>
  <c r="P250" i="11"/>
  <c r="BF10" i="11"/>
  <c r="AR331" i="11"/>
  <c r="AS331" i="11"/>
  <c r="AT331" i="11"/>
  <c r="AU331" i="11"/>
  <c r="AV331" i="11"/>
  <c r="AW331" i="11"/>
  <c r="AW362" i="11" s="1"/>
  <c r="AR332" i="11"/>
  <c r="AR363" i="11" s="1"/>
  <c r="AS332" i="11"/>
  <c r="AS363" i="11" s="1"/>
  <c r="AT332" i="11"/>
  <c r="AU332" i="11"/>
  <c r="AV332" i="11"/>
  <c r="AW332" i="11"/>
  <c r="AR333" i="11"/>
  <c r="AS333" i="11"/>
  <c r="AT333" i="11"/>
  <c r="AT363" i="11" s="1"/>
  <c r="AU333" i="11"/>
  <c r="AU363" i="11" s="1"/>
  <c r="AV333" i="11"/>
  <c r="AW333" i="11"/>
  <c r="AR334" i="11"/>
  <c r="AS334" i="11"/>
  <c r="AT334" i="11"/>
  <c r="AU334" i="11"/>
  <c r="AV334" i="11"/>
  <c r="AW334" i="11"/>
  <c r="AR335" i="11"/>
  <c r="AS335" i="11"/>
  <c r="AT335" i="11"/>
  <c r="AU335" i="11"/>
  <c r="AV335" i="11"/>
  <c r="AW335" i="11"/>
  <c r="AR336" i="11"/>
  <c r="AS336" i="11"/>
  <c r="AT336" i="11"/>
  <c r="AU336" i="11"/>
  <c r="AV336" i="11"/>
  <c r="AW336" i="11"/>
  <c r="AR337" i="11"/>
  <c r="AS337" i="11"/>
  <c r="AT337" i="11"/>
  <c r="AU337" i="11"/>
  <c r="AV337" i="11"/>
  <c r="AW337" i="11"/>
  <c r="AR338" i="11"/>
  <c r="AS338" i="11"/>
  <c r="AT338" i="11"/>
  <c r="AU338" i="11"/>
  <c r="AV338" i="11"/>
  <c r="AW338" i="11"/>
  <c r="AR339" i="11"/>
  <c r="AS339" i="11"/>
  <c r="AT339" i="11"/>
  <c r="AU339" i="11"/>
  <c r="AV339" i="11"/>
  <c r="AW339" i="11"/>
  <c r="AR340" i="11"/>
  <c r="AS340" i="11"/>
  <c r="AT340" i="11"/>
  <c r="AU340" i="11"/>
  <c r="AV340" i="11"/>
  <c r="AW340" i="11"/>
  <c r="AR341" i="11"/>
  <c r="AS341" i="11"/>
  <c r="AT341" i="11"/>
  <c r="AU341" i="11"/>
  <c r="AV341" i="11"/>
  <c r="AW341" i="11"/>
  <c r="AR342" i="11"/>
  <c r="AS342" i="11"/>
  <c r="AT342" i="11"/>
  <c r="AU342" i="11"/>
  <c r="AV342" i="11"/>
  <c r="AW342" i="11"/>
  <c r="AR343" i="11"/>
  <c r="AS343" i="11"/>
  <c r="AT343" i="11"/>
  <c r="AU343" i="11"/>
  <c r="AV343" i="11"/>
  <c r="AW343" i="11"/>
  <c r="AR344" i="11"/>
  <c r="AS344" i="11"/>
  <c r="AT344" i="11"/>
  <c r="AU344" i="11"/>
  <c r="AV344" i="11"/>
  <c r="AW344" i="11"/>
  <c r="AR345" i="11"/>
  <c r="AS345" i="11"/>
  <c r="AS364" i="11" s="1"/>
  <c r="AT345" i="11"/>
  <c r="AU345" i="11"/>
  <c r="AU364" i="11" s="1"/>
  <c r="AV345" i="11"/>
  <c r="AW345" i="11"/>
  <c r="AR346" i="11"/>
  <c r="AS346" i="11"/>
  <c r="AT346" i="11"/>
  <c r="AU346" i="11"/>
  <c r="AV346" i="11"/>
  <c r="AV364" i="11" s="1"/>
  <c r="AW346" i="11"/>
  <c r="AW364" i="11" s="1"/>
  <c r="AR347" i="11"/>
  <c r="AS347" i="11"/>
  <c r="AT347" i="11"/>
  <c r="AU347" i="11"/>
  <c r="AV347" i="11"/>
  <c r="AW347" i="11"/>
  <c r="AR348" i="11"/>
  <c r="AR364" i="11" s="1"/>
  <c r="AS348" i="11"/>
  <c r="AT348" i="11"/>
  <c r="AU348" i="11"/>
  <c r="AV348" i="11"/>
  <c r="AW348" i="11"/>
  <c r="AR349" i="11"/>
  <c r="AS349" i="11"/>
  <c r="AT349" i="11"/>
  <c r="AU349" i="11"/>
  <c r="AV349" i="11"/>
  <c r="AW349" i="11"/>
  <c r="AR350" i="11"/>
  <c r="AS350" i="11"/>
  <c r="AT350" i="11"/>
  <c r="AU350" i="11"/>
  <c r="AV350" i="11"/>
  <c r="AW350" i="11"/>
  <c r="AR351" i="11"/>
  <c r="AS351" i="11"/>
  <c r="AT351" i="11"/>
  <c r="AU351" i="11"/>
  <c r="AV351" i="11"/>
  <c r="AW351" i="11"/>
  <c r="AR352" i="11"/>
  <c r="AS352" i="11"/>
  <c r="AT352" i="11"/>
  <c r="AU352" i="11"/>
  <c r="AV352" i="11"/>
  <c r="AW352" i="11"/>
  <c r="AR353" i="11"/>
  <c r="AS353" i="11"/>
  <c r="AT353" i="11"/>
  <c r="AU353" i="11"/>
  <c r="AV353" i="11"/>
  <c r="AW353" i="11"/>
  <c r="AR354" i="11"/>
  <c r="AS354" i="11"/>
  <c r="AT354" i="11"/>
  <c r="AU354" i="11"/>
  <c r="AV354" i="11"/>
  <c r="AW354" i="11"/>
  <c r="AR355" i="11"/>
  <c r="AS355" i="11"/>
  <c r="AT355" i="11"/>
  <c r="AU355" i="11"/>
  <c r="AV355" i="11"/>
  <c r="AW355" i="11"/>
  <c r="AR356" i="11"/>
  <c r="AS356" i="11"/>
  <c r="AT356" i="11"/>
  <c r="AU356" i="11"/>
  <c r="AV356" i="11"/>
  <c r="AW356" i="11"/>
  <c r="AR357" i="11"/>
  <c r="AS357" i="11"/>
  <c r="AT357" i="11"/>
  <c r="AU357" i="11"/>
  <c r="AV357" i="11"/>
  <c r="AW357" i="11"/>
  <c r="AR358" i="11"/>
  <c r="AS358" i="11"/>
  <c r="AT358" i="11"/>
  <c r="AU358" i="11"/>
  <c r="AV358" i="11"/>
  <c r="AW358" i="11"/>
  <c r="AR359" i="11"/>
  <c r="AS359" i="11"/>
  <c r="AT359" i="11"/>
  <c r="AU359" i="11"/>
  <c r="AV359" i="11"/>
  <c r="AW359" i="11"/>
  <c r="AR360" i="11"/>
  <c r="AS360" i="11"/>
  <c r="AT360" i="11"/>
  <c r="AU360" i="11"/>
  <c r="AV360" i="11"/>
  <c r="AW360" i="11"/>
  <c r="AS330" i="11"/>
  <c r="AT330" i="11"/>
  <c r="AU330" i="11"/>
  <c r="AV330" i="11"/>
  <c r="AW330" i="11"/>
  <c r="AR330" i="11"/>
  <c r="AR291" i="11"/>
  <c r="AS291" i="11"/>
  <c r="AT291" i="11"/>
  <c r="AU291" i="11"/>
  <c r="AV291" i="11"/>
  <c r="AV322" i="11" s="1"/>
  <c r="AW291" i="11"/>
  <c r="AW322" i="11" s="1"/>
  <c r="AX291" i="11"/>
  <c r="AY291" i="11"/>
  <c r="AZ291" i="11"/>
  <c r="BA291" i="11"/>
  <c r="BB291" i="11"/>
  <c r="BC291" i="11"/>
  <c r="AR292" i="11"/>
  <c r="AS292" i="11"/>
  <c r="AT292" i="11"/>
  <c r="AT322" i="11" s="1"/>
  <c r="AU292" i="11"/>
  <c r="AU323" i="11" s="1"/>
  <c r="AV292" i="11"/>
  <c r="AW292" i="11"/>
  <c r="AX292" i="11"/>
  <c r="AY292" i="11"/>
  <c r="AZ292" i="11"/>
  <c r="BA292" i="11"/>
  <c r="BB292" i="11"/>
  <c r="BB322" i="11" s="1"/>
  <c r="BC292" i="11"/>
  <c r="BC321" i="11" s="1"/>
  <c r="AR293" i="11"/>
  <c r="AS293" i="11"/>
  <c r="AT293" i="11"/>
  <c r="AU293" i="11"/>
  <c r="AV293" i="11"/>
  <c r="AW293" i="11"/>
  <c r="AX293" i="11"/>
  <c r="AY293" i="11"/>
  <c r="AZ293" i="11"/>
  <c r="BA293" i="11"/>
  <c r="BB293" i="11"/>
  <c r="BC293" i="11"/>
  <c r="AR294" i="11"/>
  <c r="AS294" i="11"/>
  <c r="AT294" i="11"/>
  <c r="AU294" i="11"/>
  <c r="AV294" i="11"/>
  <c r="AW294" i="11"/>
  <c r="AX294" i="11"/>
  <c r="AY294" i="11"/>
  <c r="AZ294" i="11"/>
  <c r="BA294" i="11"/>
  <c r="BB294" i="11"/>
  <c r="BC294" i="11"/>
  <c r="AR295" i="11"/>
  <c r="AS295" i="11"/>
  <c r="AT295" i="11"/>
  <c r="AU295" i="11"/>
  <c r="AV295" i="11"/>
  <c r="AW295" i="11"/>
  <c r="AX295" i="11"/>
  <c r="AY295" i="11"/>
  <c r="AZ295" i="11"/>
  <c r="BA295" i="11"/>
  <c r="BB295" i="11"/>
  <c r="BC295" i="11"/>
  <c r="AR296" i="11"/>
  <c r="AS296" i="11"/>
  <c r="AT296" i="11"/>
  <c r="AU296" i="11"/>
  <c r="AV296" i="11"/>
  <c r="AW296" i="11"/>
  <c r="AX296" i="11"/>
  <c r="AY296" i="11"/>
  <c r="AZ296" i="11"/>
  <c r="BA296" i="11"/>
  <c r="BB296" i="11"/>
  <c r="BC296" i="11"/>
  <c r="AR297" i="11"/>
  <c r="AS297" i="11"/>
  <c r="AT297" i="11"/>
  <c r="AU297" i="11"/>
  <c r="AV297" i="11"/>
  <c r="AW297" i="11"/>
  <c r="AX297" i="11"/>
  <c r="AY297" i="11"/>
  <c r="AZ297" i="11"/>
  <c r="BA297" i="11"/>
  <c r="BB297" i="11"/>
  <c r="BC297" i="11"/>
  <c r="AR298" i="11"/>
  <c r="AS298" i="11"/>
  <c r="AT298" i="11"/>
  <c r="AU298" i="11"/>
  <c r="AV298" i="11"/>
  <c r="AW298" i="11"/>
  <c r="AX298" i="11"/>
  <c r="AY298" i="11"/>
  <c r="AZ298" i="11"/>
  <c r="BA298" i="11"/>
  <c r="BB298" i="11"/>
  <c r="BC298" i="11"/>
  <c r="AR299" i="11"/>
  <c r="AS299" i="11"/>
  <c r="AT299" i="11"/>
  <c r="AU299" i="11"/>
  <c r="AV299" i="11"/>
  <c r="AW299" i="11"/>
  <c r="AX299" i="11"/>
  <c r="AY299" i="11"/>
  <c r="AZ299" i="11"/>
  <c r="BA299" i="11"/>
  <c r="BB299" i="11"/>
  <c r="BC299" i="11"/>
  <c r="AR300" i="11"/>
  <c r="AS300" i="11"/>
  <c r="AT300" i="11"/>
  <c r="AU300" i="11"/>
  <c r="AV300" i="11"/>
  <c r="AW300" i="11"/>
  <c r="AX300" i="11"/>
  <c r="AY300" i="11"/>
  <c r="AZ300" i="11"/>
  <c r="BA300" i="11"/>
  <c r="BB300" i="11"/>
  <c r="BC300" i="11"/>
  <c r="AR301" i="11"/>
  <c r="AS301" i="11"/>
  <c r="AT301" i="11"/>
  <c r="AU301" i="11"/>
  <c r="AV301" i="11"/>
  <c r="AW301" i="11"/>
  <c r="AX301" i="11"/>
  <c r="AY301" i="11"/>
  <c r="AZ301" i="11"/>
  <c r="BA301" i="11"/>
  <c r="BB301" i="11"/>
  <c r="BC301" i="11"/>
  <c r="AR302" i="11"/>
  <c r="AS302" i="11"/>
  <c r="AT302" i="11"/>
  <c r="AU302" i="11"/>
  <c r="AV302" i="11"/>
  <c r="AW302" i="11"/>
  <c r="AX302" i="11"/>
  <c r="AY302" i="11"/>
  <c r="AZ302" i="11"/>
  <c r="BA302" i="11"/>
  <c r="BB302" i="11"/>
  <c r="BC302" i="11"/>
  <c r="AR303" i="11"/>
  <c r="AS303" i="11"/>
  <c r="AT303" i="11"/>
  <c r="AU303" i="11"/>
  <c r="AV303" i="11"/>
  <c r="AW303" i="11"/>
  <c r="AX303" i="11"/>
  <c r="AY303" i="11"/>
  <c r="AZ303" i="11"/>
  <c r="BA303" i="11"/>
  <c r="BB303" i="11"/>
  <c r="BC303" i="11"/>
  <c r="AR304" i="11"/>
  <c r="AS304" i="11"/>
  <c r="AT304" i="11"/>
  <c r="AU304" i="11"/>
  <c r="AV304" i="11"/>
  <c r="AW304" i="11"/>
  <c r="AX304" i="11"/>
  <c r="AY304" i="11"/>
  <c r="AZ304" i="11"/>
  <c r="BA304" i="11"/>
  <c r="BB304" i="11"/>
  <c r="BC304" i="11"/>
  <c r="AR305" i="11"/>
  <c r="AS305" i="11"/>
  <c r="AT305" i="11"/>
  <c r="AU305" i="11"/>
  <c r="AU324" i="11" s="1"/>
  <c r="AV305" i="11"/>
  <c r="AV324" i="11" s="1"/>
  <c r="AW305" i="11"/>
  <c r="AX305" i="11"/>
  <c r="AX324" i="11" s="1"/>
  <c r="AY305" i="11"/>
  <c r="AY324" i="11" s="1"/>
  <c r="AZ305" i="11"/>
  <c r="BA305" i="11"/>
  <c r="BB305" i="11"/>
  <c r="BC305" i="11"/>
  <c r="AR306" i="11"/>
  <c r="AS306" i="11"/>
  <c r="AS324" i="11" s="1"/>
  <c r="AT306" i="11"/>
  <c r="AT324" i="11" s="1"/>
  <c r="AU306" i="11"/>
  <c r="AV306" i="11"/>
  <c r="AW306" i="11"/>
  <c r="AX306" i="11"/>
  <c r="AY306" i="11"/>
  <c r="AZ306" i="11"/>
  <c r="AZ324" i="11" s="1"/>
  <c r="BA306" i="11"/>
  <c r="BB306" i="11"/>
  <c r="BC306" i="11"/>
  <c r="BC324" i="11" s="1"/>
  <c r="AR307" i="11"/>
  <c r="AS307" i="11"/>
  <c r="AT307" i="11"/>
  <c r="AU307" i="11"/>
  <c r="AV307" i="11"/>
  <c r="AW307" i="11"/>
  <c r="AX307" i="11"/>
  <c r="AY307" i="11"/>
  <c r="AZ307" i="11"/>
  <c r="BA307" i="11"/>
  <c r="BB307" i="11"/>
  <c r="BC307" i="11"/>
  <c r="AR308" i="11"/>
  <c r="AS308" i="11"/>
  <c r="AT308" i="11"/>
  <c r="AU308" i="11"/>
  <c r="AV308" i="11"/>
  <c r="AW308" i="11"/>
  <c r="AX308" i="11"/>
  <c r="AY308" i="11"/>
  <c r="AZ308" i="11"/>
  <c r="BA308" i="11"/>
  <c r="BB308" i="11"/>
  <c r="BC308" i="11"/>
  <c r="AR309" i="11"/>
  <c r="AS309" i="11"/>
  <c r="AT309" i="11"/>
  <c r="AU309" i="11"/>
  <c r="AV309" i="11"/>
  <c r="AW309" i="11"/>
  <c r="AX309" i="11"/>
  <c r="AY309" i="11"/>
  <c r="AZ309" i="11"/>
  <c r="BA309" i="11"/>
  <c r="BB309" i="11"/>
  <c r="BC309" i="11"/>
  <c r="AR310" i="11"/>
  <c r="AS310" i="11"/>
  <c r="AT310" i="11"/>
  <c r="AU310" i="11"/>
  <c r="AV310" i="11"/>
  <c r="AW310" i="11"/>
  <c r="AX310" i="11"/>
  <c r="AY310" i="11"/>
  <c r="AZ310" i="11"/>
  <c r="BA310" i="11"/>
  <c r="BB310" i="11"/>
  <c r="BC310" i="11"/>
  <c r="AR311" i="11"/>
  <c r="AS311" i="11"/>
  <c r="AT311" i="11"/>
  <c r="AU311" i="11"/>
  <c r="AV311" i="11"/>
  <c r="AW311" i="11"/>
  <c r="AX311" i="11"/>
  <c r="AY311" i="11"/>
  <c r="AZ311" i="11"/>
  <c r="BA311" i="11"/>
  <c r="BB311" i="11"/>
  <c r="BC311" i="11"/>
  <c r="AR312" i="11"/>
  <c r="AS312" i="11"/>
  <c r="AT312" i="11"/>
  <c r="AU312" i="11"/>
  <c r="AV312" i="11"/>
  <c r="AW312" i="11"/>
  <c r="AX312" i="11"/>
  <c r="AY312" i="11"/>
  <c r="AZ312" i="11"/>
  <c r="BA312" i="11"/>
  <c r="BB312" i="11"/>
  <c r="BC312" i="11"/>
  <c r="AR313" i="11"/>
  <c r="AS313" i="11"/>
  <c r="AT313" i="11"/>
  <c r="AU313" i="11"/>
  <c r="AV313" i="11"/>
  <c r="AW313" i="11"/>
  <c r="AX313" i="11"/>
  <c r="AY313" i="11"/>
  <c r="AZ313" i="11"/>
  <c r="BA313" i="11"/>
  <c r="BB313" i="11"/>
  <c r="BC313" i="11"/>
  <c r="AR314" i="11"/>
  <c r="AS314" i="11"/>
  <c r="AT314" i="11"/>
  <c r="AU314" i="11"/>
  <c r="AV314" i="11"/>
  <c r="AW314" i="11"/>
  <c r="AX314" i="11"/>
  <c r="AY314" i="11"/>
  <c r="AZ314" i="11"/>
  <c r="BA314" i="11"/>
  <c r="BB314" i="11"/>
  <c r="BC314" i="11"/>
  <c r="AR315" i="11"/>
  <c r="AS315" i="11"/>
  <c r="AT315" i="11"/>
  <c r="AU315" i="11"/>
  <c r="AV315" i="11"/>
  <c r="AW315" i="11"/>
  <c r="AX315" i="11"/>
  <c r="AY315" i="11"/>
  <c r="AZ315" i="11"/>
  <c r="BA315" i="11"/>
  <c r="BB315" i="11"/>
  <c r="BC315" i="11"/>
  <c r="AR316" i="11"/>
  <c r="AS316" i="11"/>
  <c r="AT316" i="11"/>
  <c r="AU316" i="11"/>
  <c r="AV316" i="11"/>
  <c r="AW316" i="11"/>
  <c r="AX316" i="11"/>
  <c r="AY316" i="11"/>
  <c r="AZ316" i="11"/>
  <c r="BA316" i="11"/>
  <c r="BB316" i="11"/>
  <c r="BC316" i="11"/>
  <c r="AR317" i="11"/>
  <c r="AS317" i="11"/>
  <c r="AT317" i="11"/>
  <c r="AU317" i="11"/>
  <c r="AV317" i="11"/>
  <c r="AW317" i="11"/>
  <c r="AX317" i="11"/>
  <c r="AY317" i="11"/>
  <c r="AZ317" i="11"/>
  <c r="BA317" i="11"/>
  <c r="BB317" i="11"/>
  <c r="BC317" i="11"/>
  <c r="AR318" i="11"/>
  <c r="AS318" i="11"/>
  <c r="AT318" i="11"/>
  <c r="AU318" i="11"/>
  <c r="AV318" i="11"/>
  <c r="AW318" i="11"/>
  <c r="AX318" i="11"/>
  <c r="AY318" i="11"/>
  <c r="AZ318" i="11"/>
  <c r="BA318" i="11"/>
  <c r="BB318" i="11"/>
  <c r="BC318" i="11"/>
  <c r="AR319" i="11"/>
  <c r="AS319" i="11"/>
  <c r="AT319" i="11"/>
  <c r="AU319" i="11"/>
  <c r="AV319" i="11"/>
  <c r="AW319" i="11"/>
  <c r="AX319" i="11"/>
  <c r="AY319" i="11"/>
  <c r="AZ319" i="11"/>
  <c r="BA319" i="11"/>
  <c r="BB319" i="11"/>
  <c r="BC319" i="11"/>
  <c r="AR320" i="11"/>
  <c r="AS320" i="11"/>
  <c r="AT320" i="11"/>
  <c r="AU320" i="11"/>
  <c r="AV320" i="11"/>
  <c r="AW320" i="11"/>
  <c r="AX320" i="11"/>
  <c r="AY320" i="11"/>
  <c r="AZ320" i="11"/>
  <c r="BA320" i="11"/>
  <c r="BB320" i="11"/>
  <c r="BC320" i="11"/>
  <c r="AS290" i="11"/>
  <c r="AT290" i="11"/>
  <c r="AU290" i="11"/>
  <c r="AV290" i="11"/>
  <c r="AW290" i="11"/>
  <c r="AX290" i="11"/>
  <c r="AY290" i="11"/>
  <c r="AZ290" i="11"/>
  <c r="AZ322" i="11" s="1"/>
  <c r="BA290" i="11"/>
  <c r="BB290" i="11"/>
  <c r="BC290" i="11"/>
  <c r="AR290" i="11"/>
  <c r="AR251" i="11"/>
  <c r="AS251" i="11"/>
  <c r="AT251" i="11"/>
  <c r="AU251" i="11"/>
  <c r="AV251" i="11"/>
  <c r="AV282" i="11" s="1"/>
  <c r="AW251" i="11"/>
  <c r="AW282" i="11" s="1"/>
  <c r="AX251" i="11"/>
  <c r="AY251" i="11"/>
  <c r="AZ251" i="11"/>
  <c r="BA251" i="11"/>
  <c r="BB251" i="11"/>
  <c r="BC251" i="11"/>
  <c r="AR252" i="11"/>
  <c r="AS252" i="11"/>
  <c r="AT252" i="11"/>
  <c r="AT282" i="11" s="1"/>
  <c r="AU252" i="11"/>
  <c r="AU283" i="11" s="1"/>
  <c r="AV252" i="11"/>
  <c r="AW252" i="11"/>
  <c r="AX252" i="11"/>
  <c r="AY252" i="11"/>
  <c r="AZ252" i="11"/>
  <c r="BA252" i="11"/>
  <c r="BA283" i="11" s="1"/>
  <c r="BB252" i="11"/>
  <c r="BB282" i="11" s="1"/>
  <c r="BC252" i="11"/>
  <c r="BC281" i="11" s="1"/>
  <c r="AR253" i="11"/>
  <c r="AS253" i="11"/>
  <c r="AT253" i="11"/>
  <c r="AU253" i="11"/>
  <c r="AV253" i="11"/>
  <c r="AW253" i="11"/>
  <c r="AX253" i="11"/>
  <c r="AY253" i="11"/>
  <c r="AZ253" i="11"/>
  <c r="BA253" i="11"/>
  <c r="BB253" i="11"/>
  <c r="BC253" i="11"/>
  <c r="AR254" i="11"/>
  <c r="AS254" i="11"/>
  <c r="AT254" i="11"/>
  <c r="AU254" i="11"/>
  <c r="AV254" i="11"/>
  <c r="AW254" i="11"/>
  <c r="AX254" i="11"/>
  <c r="AY254" i="11"/>
  <c r="AZ254" i="11"/>
  <c r="BA254" i="11"/>
  <c r="BB254" i="11"/>
  <c r="BC254" i="11"/>
  <c r="AR255" i="11"/>
  <c r="AS255" i="11"/>
  <c r="AT255" i="11"/>
  <c r="AU255" i="11"/>
  <c r="AV255" i="11"/>
  <c r="AW255" i="11"/>
  <c r="AX255" i="11"/>
  <c r="AY255" i="11"/>
  <c r="AZ255" i="11"/>
  <c r="BA255" i="11"/>
  <c r="BB255" i="11"/>
  <c r="BC255" i="11"/>
  <c r="AR256" i="11"/>
  <c r="AS256" i="11"/>
  <c r="AT256" i="11"/>
  <c r="AU256" i="11"/>
  <c r="AV256" i="11"/>
  <c r="AW256" i="11"/>
  <c r="AX256" i="11"/>
  <c r="AY256" i="11"/>
  <c r="AZ256" i="11"/>
  <c r="BA256" i="11"/>
  <c r="BB256" i="11"/>
  <c r="BC256" i="11"/>
  <c r="AR257" i="11"/>
  <c r="AS257" i="11"/>
  <c r="AT257" i="11"/>
  <c r="AU257" i="11"/>
  <c r="AV257" i="11"/>
  <c r="AW257" i="11"/>
  <c r="AX257" i="11"/>
  <c r="AY257" i="11"/>
  <c r="AZ257" i="11"/>
  <c r="BA257" i="11"/>
  <c r="BB257" i="11"/>
  <c r="BC257" i="11"/>
  <c r="AR258" i="11"/>
  <c r="AS258" i="11"/>
  <c r="AT258" i="11"/>
  <c r="AU258" i="11"/>
  <c r="AV258" i="11"/>
  <c r="AW258" i="11"/>
  <c r="AX258" i="11"/>
  <c r="AY258" i="11"/>
  <c r="AZ258" i="11"/>
  <c r="BA258" i="11"/>
  <c r="BB258" i="11"/>
  <c r="BC258" i="11"/>
  <c r="AR259" i="11"/>
  <c r="AS259" i="11"/>
  <c r="AT259" i="11"/>
  <c r="AU259" i="11"/>
  <c r="AV259" i="11"/>
  <c r="AW259" i="11"/>
  <c r="AX259" i="11"/>
  <c r="AY259" i="11"/>
  <c r="AZ259" i="11"/>
  <c r="BA259" i="11"/>
  <c r="BB259" i="11"/>
  <c r="BC259" i="11"/>
  <c r="AR260" i="11"/>
  <c r="AS260" i="11"/>
  <c r="AT260" i="11"/>
  <c r="AU260" i="11"/>
  <c r="AV260" i="11"/>
  <c r="AW260" i="11"/>
  <c r="AX260" i="11"/>
  <c r="AY260" i="11"/>
  <c r="AZ260" i="11"/>
  <c r="BA260" i="11"/>
  <c r="BB260" i="11"/>
  <c r="BC260" i="11"/>
  <c r="AR261" i="11"/>
  <c r="AS261" i="11"/>
  <c r="AT261" i="11"/>
  <c r="AU261" i="11"/>
  <c r="AV261" i="11"/>
  <c r="AW261" i="11"/>
  <c r="AX261" i="11"/>
  <c r="AY261" i="11"/>
  <c r="AZ261" i="11"/>
  <c r="BA261" i="11"/>
  <c r="BB261" i="11"/>
  <c r="BC261" i="11"/>
  <c r="AR262" i="11"/>
  <c r="AS262" i="11"/>
  <c r="AT262" i="11"/>
  <c r="AU262" i="11"/>
  <c r="AV262" i="11"/>
  <c r="AW262" i="11"/>
  <c r="AX262" i="11"/>
  <c r="AY262" i="11"/>
  <c r="AZ262" i="11"/>
  <c r="BA262" i="11"/>
  <c r="BB262" i="11"/>
  <c r="BC262" i="11"/>
  <c r="AR263" i="11"/>
  <c r="AS263" i="11"/>
  <c r="AT263" i="11"/>
  <c r="AU263" i="11"/>
  <c r="AV263" i="11"/>
  <c r="AW263" i="11"/>
  <c r="AX263" i="11"/>
  <c r="AY263" i="11"/>
  <c r="AZ263" i="11"/>
  <c r="BA263" i="11"/>
  <c r="BB263" i="11"/>
  <c r="BC263" i="11"/>
  <c r="AR264" i="11"/>
  <c r="AS264" i="11"/>
  <c r="AT264" i="11"/>
  <c r="AU264" i="11"/>
  <c r="AV264" i="11"/>
  <c r="AW264" i="11"/>
  <c r="AX264" i="11"/>
  <c r="AY264" i="11"/>
  <c r="AZ264" i="11"/>
  <c r="BA264" i="11"/>
  <c r="BB264" i="11"/>
  <c r="BC264" i="11"/>
  <c r="AR265" i="11"/>
  <c r="AS265" i="11"/>
  <c r="AT265" i="11"/>
  <c r="AU265" i="11"/>
  <c r="AU284" i="11" s="1"/>
  <c r="AV265" i="11"/>
  <c r="AV284" i="11" s="1"/>
  <c r="AW265" i="11"/>
  <c r="AX265" i="11"/>
  <c r="AX284" i="11" s="1"/>
  <c r="AY265" i="11"/>
  <c r="AY284" i="11" s="1"/>
  <c r="AZ265" i="11"/>
  <c r="BA265" i="11"/>
  <c r="BB265" i="11"/>
  <c r="BC265" i="11"/>
  <c r="AR266" i="11"/>
  <c r="AS266" i="11"/>
  <c r="AS284" i="11" s="1"/>
  <c r="AT266" i="11"/>
  <c r="AT284" i="11" s="1"/>
  <c r="AU266" i="11"/>
  <c r="AV266" i="11"/>
  <c r="AW266" i="11"/>
  <c r="AX266" i="11"/>
  <c r="AY266" i="11"/>
  <c r="AZ266" i="11"/>
  <c r="AZ284" i="11" s="1"/>
  <c r="BA266" i="11"/>
  <c r="BB266" i="11"/>
  <c r="BC266" i="11"/>
  <c r="BC284" i="11" s="1"/>
  <c r="AR267" i="11"/>
  <c r="AS267" i="11"/>
  <c r="AT267" i="11"/>
  <c r="AU267" i="11"/>
  <c r="AV267" i="11"/>
  <c r="AW267" i="11"/>
  <c r="AX267" i="11"/>
  <c r="AY267" i="11"/>
  <c r="AZ267" i="11"/>
  <c r="BA267" i="11"/>
  <c r="BB267" i="11"/>
  <c r="BC267" i="11"/>
  <c r="AR268" i="11"/>
  <c r="AS268" i="11"/>
  <c r="AT268" i="11"/>
  <c r="AU268" i="11"/>
  <c r="AV268" i="11"/>
  <c r="AW268" i="11"/>
  <c r="AX268" i="11"/>
  <c r="AY268" i="11"/>
  <c r="AZ268" i="11"/>
  <c r="BA268" i="11"/>
  <c r="BB268" i="11"/>
  <c r="BC268" i="11"/>
  <c r="AR269" i="11"/>
  <c r="AS269" i="11"/>
  <c r="AT269" i="11"/>
  <c r="AU269" i="11"/>
  <c r="AV269" i="11"/>
  <c r="AW269" i="11"/>
  <c r="AX269" i="11"/>
  <c r="AY269" i="11"/>
  <c r="AZ269" i="11"/>
  <c r="BA269" i="11"/>
  <c r="BB269" i="11"/>
  <c r="BC269" i="11"/>
  <c r="AR270" i="11"/>
  <c r="AS270" i="11"/>
  <c r="AT270" i="11"/>
  <c r="AU270" i="11"/>
  <c r="AV270" i="11"/>
  <c r="AW270" i="11"/>
  <c r="AX270" i="11"/>
  <c r="AY270" i="11"/>
  <c r="AZ270" i="11"/>
  <c r="BA270" i="11"/>
  <c r="BB270" i="11"/>
  <c r="BC270" i="11"/>
  <c r="AR271" i="11"/>
  <c r="AS271" i="11"/>
  <c r="AT271" i="11"/>
  <c r="AU271" i="11"/>
  <c r="AV271" i="11"/>
  <c r="AW271" i="11"/>
  <c r="AX271" i="11"/>
  <c r="AY271" i="11"/>
  <c r="AZ271" i="11"/>
  <c r="BA271" i="11"/>
  <c r="BB271" i="11"/>
  <c r="BC271" i="11"/>
  <c r="AR272" i="11"/>
  <c r="AS272" i="11"/>
  <c r="AT272" i="11"/>
  <c r="AU272" i="11"/>
  <c r="AV272" i="11"/>
  <c r="AW272" i="11"/>
  <c r="AX272" i="11"/>
  <c r="AY272" i="11"/>
  <c r="AZ272" i="11"/>
  <c r="BA272" i="11"/>
  <c r="BB272" i="11"/>
  <c r="BC272" i="11"/>
  <c r="AR273" i="11"/>
  <c r="AS273" i="11"/>
  <c r="AT273" i="11"/>
  <c r="AU273" i="11"/>
  <c r="AV273" i="11"/>
  <c r="AW273" i="11"/>
  <c r="AX273" i="11"/>
  <c r="AY273" i="11"/>
  <c r="AZ273" i="11"/>
  <c r="BA273" i="11"/>
  <c r="BB273" i="11"/>
  <c r="BC273" i="11"/>
  <c r="AR274" i="11"/>
  <c r="AS274" i="11"/>
  <c r="AT274" i="11"/>
  <c r="AU274" i="11"/>
  <c r="AV274" i="11"/>
  <c r="AW274" i="11"/>
  <c r="AX274" i="11"/>
  <c r="AY274" i="11"/>
  <c r="AZ274" i="11"/>
  <c r="BA274" i="11"/>
  <c r="BB274" i="11"/>
  <c r="BC274" i="11"/>
  <c r="AR275" i="11"/>
  <c r="AS275" i="11"/>
  <c r="AT275" i="11"/>
  <c r="AU275" i="11"/>
  <c r="AV275" i="11"/>
  <c r="AW275" i="11"/>
  <c r="AX275" i="11"/>
  <c r="AY275" i="11"/>
  <c r="AZ275" i="11"/>
  <c r="BA275" i="11"/>
  <c r="BB275" i="11"/>
  <c r="BC275" i="11"/>
  <c r="AR276" i="11"/>
  <c r="AS276" i="11"/>
  <c r="AT276" i="11"/>
  <c r="AU276" i="11"/>
  <c r="AV276" i="11"/>
  <c r="AW276" i="11"/>
  <c r="AX276" i="11"/>
  <c r="AY276" i="11"/>
  <c r="AZ276" i="11"/>
  <c r="BA276" i="11"/>
  <c r="BB276" i="11"/>
  <c r="BC276" i="11"/>
  <c r="AR277" i="11"/>
  <c r="AS277" i="11"/>
  <c r="AT277" i="11"/>
  <c r="AU277" i="11"/>
  <c r="AV277" i="11"/>
  <c r="AW277" i="11"/>
  <c r="AX277" i="11"/>
  <c r="AY277" i="11"/>
  <c r="AZ277" i="11"/>
  <c r="BA277" i="11"/>
  <c r="BB277" i="11"/>
  <c r="BC277" i="11"/>
  <c r="AR278" i="11"/>
  <c r="AS278" i="11"/>
  <c r="AT278" i="11"/>
  <c r="AU278" i="11"/>
  <c r="AV278" i="11"/>
  <c r="AW278" i="11"/>
  <c r="AX278" i="11"/>
  <c r="AY278" i="11"/>
  <c r="AZ278" i="11"/>
  <c r="BA278" i="11"/>
  <c r="BB278" i="11"/>
  <c r="BC278" i="11"/>
  <c r="AR279" i="11"/>
  <c r="AS279" i="11"/>
  <c r="AT279" i="11"/>
  <c r="AU279" i="11"/>
  <c r="AV279" i="11"/>
  <c r="AW279" i="11"/>
  <c r="AX279" i="11"/>
  <c r="AY279" i="11"/>
  <c r="AZ279" i="11"/>
  <c r="BA279" i="11"/>
  <c r="BB279" i="11"/>
  <c r="BC279" i="11"/>
  <c r="AR280" i="11"/>
  <c r="AS280" i="11"/>
  <c r="AT280" i="11"/>
  <c r="AU280" i="11"/>
  <c r="AV280" i="11"/>
  <c r="AW280" i="11"/>
  <c r="AX280" i="11"/>
  <c r="AY280" i="11"/>
  <c r="AZ280" i="11"/>
  <c r="BA280" i="11"/>
  <c r="BB280" i="11"/>
  <c r="BC280" i="11"/>
  <c r="AS250" i="11"/>
  <c r="AT250" i="11"/>
  <c r="AU250" i="11"/>
  <c r="AV250" i="11"/>
  <c r="AW250" i="11"/>
  <c r="AX250" i="11"/>
  <c r="AY250" i="11"/>
  <c r="AZ250" i="11"/>
  <c r="AZ283" i="11" s="1"/>
  <c r="BA250" i="11"/>
  <c r="BB250" i="11"/>
  <c r="BC250" i="11"/>
  <c r="AR250" i="11"/>
  <c r="AD331" i="11"/>
  <c r="AE331" i="11"/>
  <c r="AF331" i="11"/>
  <c r="AG331" i="11"/>
  <c r="AH331" i="11"/>
  <c r="AI331" i="11"/>
  <c r="AI362" i="11" s="1"/>
  <c r="AD332" i="11"/>
  <c r="AD362" i="11" s="1"/>
  <c r="AE332" i="11"/>
  <c r="AE363" i="11" s="1"/>
  <c r="AF332" i="11"/>
  <c r="AG332" i="11"/>
  <c r="AH332" i="11"/>
  <c r="AI332" i="11"/>
  <c r="AD333" i="11"/>
  <c r="AE333" i="11"/>
  <c r="AF333" i="11"/>
  <c r="AF363" i="11" s="1"/>
  <c r="AG333" i="11"/>
  <c r="AG362" i="11" s="1"/>
  <c r="AH333" i="11"/>
  <c r="AI333" i="11"/>
  <c r="AD334" i="11"/>
  <c r="AE334" i="11"/>
  <c r="AF334" i="11"/>
  <c r="AG334" i="11"/>
  <c r="AH334" i="11"/>
  <c r="AI334" i="11"/>
  <c r="AD335" i="11"/>
  <c r="AE335" i="11"/>
  <c r="AF335" i="11"/>
  <c r="AG335" i="11"/>
  <c r="AH335" i="11"/>
  <c r="AI335" i="11"/>
  <c r="AD336" i="11"/>
  <c r="AE336" i="11"/>
  <c r="AF336" i="11"/>
  <c r="AG336" i="11"/>
  <c r="AH336" i="11"/>
  <c r="AI336" i="11"/>
  <c r="AD337" i="11"/>
  <c r="AE337" i="11"/>
  <c r="AF337" i="11"/>
  <c r="AG337" i="11"/>
  <c r="AH337" i="11"/>
  <c r="AI337" i="11"/>
  <c r="AD338" i="11"/>
  <c r="AE338" i="11"/>
  <c r="AF338" i="11"/>
  <c r="AG338" i="11"/>
  <c r="AH338" i="11"/>
  <c r="AI338" i="11"/>
  <c r="AD339" i="11"/>
  <c r="AE339" i="11"/>
  <c r="AF339" i="11"/>
  <c r="AG339" i="11"/>
  <c r="AH339" i="11"/>
  <c r="AI339" i="11"/>
  <c r="AD340" i="11"/>
  <c r="AE340" i="11"/>
  <c r="AF340" i="11"/>
  <c r="AG340" i="11"/>
  <c r="AH340" i="11"/>
  <c r="AI340" i="11"/>
  <c r="AD341" i="11"/>
  <c r="AE341" i="11"/>
  <c r="AF341" i="11"/>
  <c r="AG341" i="11"/>
  <c r="AH341" i="11"/>
  <c r="AI341" i="11"/>
  <c r="AD342" i="11"/>
  <c r="AE342" i="11"/>
  <c r="AF342" i="11"/>
  <c r="AG342" i="11"/>
  <c r="AH342" i="11"/>
  <c r="AI342" i="11"/>
  <c r="AD343" i="11"/>
  <c r="AE343" i="11"/>
  <c r="AF343" i="11"/>
  <c r="AG343" i="11"/>
  <c r="AH343" i="11"/>
  <c r="AI343" i="11"/>
  <c r="AD344" i="11"/>
  <c r="AE344" i="11"/>
  <c r="AF344" i="11"/>
  <c r="AG344" i="11"/>
  <c r="AH344" i="11"/>
  <c r="AI344" i="11"/>
  <c r="AD345" i="11"/>
  <c r="AD364" i="11" s="1"/>
  <c r="AE345" i="11"/>
  <c r="AE364" i="11" s="1"/>
  <c r="AF345" i="11"/>
  <c r="AG345" i="11"/>
  <c r="AG364" i="11" s="1"/>
  <c r="AH345" i="11"/>
  <c r="AI345" i="11"/>
  <c r="AD346" i="11"/>
  <c r="AE346" i="11"/>
  <c r="AF346" i="11"/>
  <c r="AG346" i="11"/>
  <c r="AH346" i="11"/>
  <c r="AH364" i="11" s="1"/>
  <c r="AI346" i="11"/>
  <c r="AI364" i="11" s="1"/>
  <c r="AD347" i="11"/>
  <c r="AE347" i="11"/>
  <c r="AF347" i="11"/>
  <c r="AG347" i="11"/>
  <c r="AH347" i="11"/>
  <c r="AI347" i="11"/>
  <c r="AD348" i="11"/>
  <c r="AE348" i="11"/>
  <c r="AF348" i="11"/>
  <c r="AG348" i="11"/>
  <c r="AH348" i="11"/>
  <c r="AI348" i="11"/>
  <c r="AD349" i="11"/>
  <c r="AE349" i="11"/>
  <c r="AF349" i="11"/>
  <c r="AG349" i="11"/>
  <c r="AH349" i="11"/>
  <c r="AI349" i="11"/>
  <c r="AD350" i="11"/>
  <c r="AE350" i="11"/>
  <c r="AF350" i="11"/>
  <c r="AG350" i="11"/>
  <c r="AH350" i="11"/>
  <c r="AI350" i="11"/>
  <c r="AD351" i="11"/>
  <c r="AE351" i="11"/>
  <c r="AF351" i="11"/>
  <c r="AG351" i="11"/>
  <c r="AH351" i="11"/>
  <c r="AI351" i="11"/>
  <c r="AD352" i="11"/>
  <c r="AE352" i="11"/>
  <c r="AF352" i="11"/>
  <c r="AG352" i="11"/>
  <c r="AH352" i="11"/>
  <c r="AI352" i="11"/>
  <c r="AD353" i="11"/>
  <c r="AE353" i="11"/>
  <c r="AF353" i="11"/>
  <c r="AG353" i="11"/>
  <c r="AH353" i="11"/>
  <c r="AI353" i="11"/>
  <c r="AD354" i="11"/>
  <c r="AE354" i="11"/>
  <c r="AF354" i="11"/>
  <c r="AG354" i="11"/>
  <c r="AH354" i="11"/>
  <c r="AI354" i="11"/>
  <c r="AD355" i="11"/>
  <c r="AE355" i="11"/>
  <c r="AF355" i="11"/>
  <c r="AG355" i="11"/>
  <c r="AH355" i="11"/>
  <c r="AI355" i="11"/>
  <c r="AD356" i="11"/>
  <c r="AE356" i="11"/>
  <c r="AF356" i="11"/>
  <c r="AG356" i="11"/>
  <c r="AH356" i="11"/>
  <c r="AI356" i="11"/>
  <c r="AD357" i="11"/>
  <c r="AE357" i="11"/>
  <c r="AF357" i="11"/>
  <c r="AG357" i="11"/>
  <c r="AH357" i="11"/>
  <c r="AI357" i="11"/>
  <c r="AD358" i="11"/>
  <c r="AE358" i="11"/>
  <c r="AF358" i="11"/>
  <c r="AG358" i="11"/>
  <c r="AH358" i="11"/>
  <c r="AI358" i="11"/>
  <c r="AD359" i="11"/>
  <c r="AE359" i="11"/>
  <c r="AF359" i="11"/>
  <c r="AG359" i="11"/>
  <c r="AH359" i="11"/>
  <c r="AI359" i="11"/>
  <c r="AD360" i="11"/>
  <c r="AE360" i="11"/>
  <c r="AF360" i="11"/>
  <c r="AG360" i="11"/>
  <c r="AH360" i="11"/>
  <c r="AI360" i="11"/>
  <c r="AE330" i="11"/>
  <c r="AF330" i="11"/>
  <c r="AG330" i="11"/>
  <c r="AH330" i="11"/>
  <c r="AI330" i="11"/>
  <c r="AD330" i="11"/>
  <c r="AD291" i="11"/>
  <c r="AE291" i="11"/>
  <c r="AF291" i="11"/>
  <c r="AG291" i="11"/>
  <c r="AH291" i="11"/>
  <c r="AH322" i="11" s="1"/>
  <c r="AI291" i="11"/>
  <c r="AI322" i="11" s="1"/>
  <c r="AJ291" i="11"/>
  <c r="AK291" i="11"/>
  <c r="AL291" i="11"/>
  <c r="AM291" i="11"/>
  <c r="AN291" i="11"/>
  <c r="AN322" i="11" s="1"/>
  <c r="AO291" i="11"/>
  <c r="AD292" i="11"/>
  <c r="AE292" i="11"/>
  <c r="AF292" i="11"/>
  <c r="AF322" i="11" s="1"/>
  <c r="AG292" i="11"/>
  <c r="AG321" i="11" s="1"/>
  <c r="AH292" i="11"/>
  <c r="AI292" i="11"/>
  <c r="AJ292" i="11"/>
  <c r="AK292" i="11"/>
  <c r="AL292" i="11"/>
  <c r="AM292" i="11"/>
  <c r="AM323" i="11" s="1"/>
  <c r="AN292" i="11"/>
  <c r="AN321" i="11" s="1"/>
  <c r="AO292" i="11"/>
  <c r="AO323" i="11" s="1"/>
  <c r="AD293" i="11"/>
  <c r="AE293" i="11"/>
  <c r="AF293" i="11"/>
  <c r="AG293" i="11"/>
  <c r="AH293" i="11"/>
  <c r="AI293" i="11"/>
  <c r="AJ293" i="11"/>
  <c r="AK293" i="11"/>
  <c r="AL293" i="11"/>
  <c r="AM293" i="11"/>
  <c r="AN293" i="11"/>
  <c r="AO293" i="11"/>
  <c r="AD294" i="11"/>
  <c r="AE294" i="11"/>
  <c r="AF294" i="11"/>
  <c r="AG294" i="11"/>
  <c r="AH294" i="11"/>
  <c r="AI294" i="11"/>
  <c r="AJ294" i="11"/>
  <c r="AK294" i="11"/>
  <c r="AL294" i="11"/>
  <c r="AM294" i="11"/>
  <c r="AN294" i="11"/>
  <c r="AO294" i="11"/>
  <c r="AD295" i="11"/>
  <c r="AE295" i="11"/>
  <c r="AF295" i="11"/>
  <c r="AG295" i="11"/>
  <c r="AH295" i="11"/>
  <c r="AI295" i="11"/>
  <c r="AJ295" i="11"/>
  <c r="AK295" i="11"/>
  <c r="AL295" i="11"/>
  <c r="AM295" i="11"/>
  <c r="AN295" i="11"/>
  <c r="AO295" i="11"/>
  <c r="AD296" i="11"/>
  <c r="AE296" i="11"/>
  <c r="AF296" i="11"/>
  <c r="AG296" i="11"/>
  <c r="AH296" i="11"/>
  <c r="AI296" i="11"/>
  <c r="AJ296" i="11"/>
  <c r="AK296" i="11"/>
  <c r="AL296" i="11"/>
  <c r="AM296" i="11"/>
  <c r="AN296" i="11"/>
  <c r="AO296" i="11"/>
  <c r="AD297" i="11"/>
  <c r="AE297" i="11"/>
  <c r="AF297" i="11"/>
  <c r="AG297" i="11"/>
  <c r="AH297" i="11"/>
  <c r="AI297" i="11"/>
  <c r="AJ297" i="11"/>
  <c r="AK297" i="11"/>
  <c r="AL297" i="11"/>
  <c r="AM297" i="11"/>
  <c r="AN297" i="11"/>
  <c r="AO297" i="11"/>
  <c r="AD298" i="11"/>
  <c r="AE298" i="11"/>
  <c r="AF298" i="11"/>
  <c r="AG298" i="11"/>
  <c r="AH298" i="11"/>
  <c r="AI298" i="11"/>
  <c r="AJ298" i="11"/>
  <c r="AK298" i="11"/>
  <c r="AL298" i="11"/>
  <c r="AM298" i="11"/>
  <c r="AN298" i="11"/>
  <c r="AO298" i="11"/>
  <c r="AD299" i="11"/>
  <c r="AE299" i="11"/>
  <c r="AF299" i="11"/>
  <c r="AG299" i="11"/>
  <c r="AH299" i="11"/>
  <c r="AI299" i="11"/>
  <c r="AJ299" i="11"/>
  <c r="AK299" i="11"/>
  <c r="AL299" i="11"/>
  <c r="AM299" i="11"/>
  <c r="AN299" i="11"/>
  <c r="AO299" i="11"/>
  <c r="AD300" i="11"/>
  <c r="AE300" i="11"/>
  <c r="AF300" i="11"/>
  <c r="AG300" i="11"/>
  <c r="AH300" i="11"/>
  <c r="AI300" i="11"/>
  <c r="AJ300" i="11"/>
  <c r="AK300" i="11"/>
  <c r="AL300" i="11"/>
  <c r="AM300" i="11"/>
  <c r="AN300" i="11"/>
  <c r="AO300" i="11"/>
  <c r="AD301" i="11"/>
  <c r="AE301" i="11"/>
  <c r="AF301" i="11"/>
  <c r="AG301" i="11"/>
  <c r="AH301" i="11"/>
  <c r="AI301" i="11"/>
  <c r="AJ301" i="11"/>
  <c r="AK301" i="11"/>
  <c r="AL301" i="11"/>
  <c r="AM301" i="11"/>
  <c r="AN301" i="11"/>
  <c r="AO301" i="11"/>
  <c r="AD302" i="11"/>
  <c r="AE302" i="11"/>
  <c r="AF302" i="11"/>
  <c r="AG302" i="11"/>
  <c r="AH302" i="11"/>
  <c r="AI302" i="11"/>
  <c r="AJ302" i="11"/>
  <c r="AK302" i="11"/>
  <c r="AL302" i="11"/>
  <c r="AM302" i="11"/>
  <c r="AN302" i="11"/>
  <c r="AO302" i="11"/>
  <c r="AD303" i="11"/>
  <c r="AE303" i="11"/>
  <c r="AF303" i="11"/>
  <c r="AG303" i="11"/>
  <c r="AH303" i="11"/>
  <c r="AI303" i="11"/>
  <c r="AJ303" i="11"/>
  <c r="AK303" i="11"/>
  <c r="AL303" i="11"/>
  <c r="AM303" i="11"/>
  <c r="AN303" i="11"/>
  <c r="AO303" i="11"/>
  <c r="AD304" i="11"/>
  <c r="AE304" i="11"/>
  <c r="AF304" i="11"/>
  <c r="AG304" i="11"/>
  <c r="AH304" i="11"/>
  <c r="AI304" i="11"/>
  <c r="AJ304" i="11"/>
  <c r="AK304" i="11"/>
  <c r="AL304" i="11"/>
  <c r="AM304" i="11"/>
  <c r="AN304" i="11"/>
  <c r="AO304" i="11"/>
  <c r="AD305" i="11"/>
  <c r="AE305" i="11"/>
  <c r="AF305" i="11"/>
  <c r="AG305" i="11"/>
  <c r="AG324" i="11" s="1"/>
  <c r="AH305" i="11"/>
  <c r="AH324" i="11" s="1"/>
  <c r="AI305" i="11"/>
  <c r="AJ305" i="11"/>
  <c r="AJ324" i="11" s="1"/>
  <c r="AK305" i="11"/>
  <c r="AK324" i="11" s="1"/>
  <c r="AL305" i="11"/>
  <c r="AM305" i="11"/>
  <c r="AN305" i="11"/>
  <c r="AO305" i="11"/>
  <c r="AD306" i="11"/>
  <c r="AE306" i="11"/>
  <c r="AE324" i="11" s="1"/>
  <c r="AF306" i="11"/>
  <c r="AF324" i="11" s="1"/>
  <c r="AG306" i="11"/>
  <c r="AH306" i="11"/>
  <c r="AI306" i="11"/>
  <c r="AJ306" i="11"/>
  <c r="AK306" i="11"/>
  <c r="AL306" i="11"/>
  <c r="AL324" i="11" s="1"/>
  <c r="AM306" i="11"/>
  <c r="AN306" i="11"/>
  <c r="AO306" i="11"/>
  <c r="AO324" i="11" s="1"/>
  <c r="AD307" i="11"/>
  <c r="AE307" i="11"/>
  <c r="AF307" i="11"/>
  <c r="AG307" i="11"/>
  <c r="AH307" i="11"/>
  <c r="AI307" i="11"/>
  <c r="AJ307" i="11"/>
  <c r="AK307" i="11"/>
  <c r="AL307" i="11"/>
  <c r="AM307" i="11"/>
  <c r="AN307" i="11"/>
  <c r="AO307" i="11"/>
  <c r="AD308" i="11"/>
  <c r="AE308" i="11"/>
  <c r="AF308" i="11"/>
  <c r="AG308" i="11"/>
  <c r="AH308" i="11"/>
  <c r="AI308" i="11"/>
  <c r="AJ308" i="11"/>
  <c r="AK308" i="11"/>
  <c r="AL308" i="11"/>
  <c r="AM308" i="11"/>
  <c r="AN308" i="11"/>
  <c r="AO308" i="11"/>
  <c r="AD309" i="11"/>
  <c r="AE309" i="11"/>
  <c r="AF309" i="11"/>
  <c r="AG309" i="11"/>
  <c r="AH309" i="11"/>
  <c r="AI309" i="11"/>
  <c r="AJ309" i="11"/>
  <c r="AK309" i="11"/>
  <c r="AL309" i="11"/>
  <c r="AM309" i="11"/>
  <c r="AN309" i="11"/>
  <c r="AO309" i="11"/>
  <c r="AD310" i="11"/>
  <c r="AE310" i="11"/>
  <c r="AF310" i="11"/>
  <c r="AG310" i="11"/>
  <c r="AH310" i="11"/>
  <c r="AI310" i="11"/>
  <c r="AJ310" i="11"/>
  <c r="AK310" i="11"/>
  <c r="AL310" i="11"/>
  <c r="AM310" i="11"/>
  <c r="AN310" i="11"/>
  <c r="AO310" i="11"/>
  <c r="AD311" i="11"/>
  <c r="AE311" i="11"/>
  <c r="AF311" i="11"/>
  <c r="AG311" i="11"/>
  <c r="AH311" i="11"/>
  <c r="AI311" i="11"/>
  <c r="AJ311" i="11"/>
  <c r="AK311" i="11"/>
  <c r="AL311" i="11"/>
  <c r="AM311" i="11"/>
  <c r="AN311" i="11"/>
  <c r="AO311" i="11"/>
  <c r="AD312" i="11"/>
  <c r="AE312" i="11"/>
  <c r="AF312" i="11"/>
  <c r="AG312" i="11"/>
  <c r="AH312" i="11"/>
  <c r="AI312" i="11"/>
  <c r="AJ312" i="11"/>
  <c r="AK312" i="11"/>
  <c r="AL312" i="11"/>
  <c r="AM312" i="11"/>
  <c r="AN312" i="11"/>
  <c r="AO312" i="11"/>
  <c r="AD313" i="11"/>
  <c r="AE313" i="11"/>
  <c r="AF313" i="11"/>
  <c r="AG313" i="11"/>
  <c r="AH313" i="11"/>
  <c r="AI313" i="11"/>
  <c r="AJ313" i="11"/>
  <c r="AK313" i="11"/>
  <c r="AL313" i="11"/>
  <c r="AM313" i="11"/>
  <c r="AN313" i="11"/>
  <c r="AO313" i="11"/>
  <c r="AD314" i="11"/>
  <c r="AE314" i="11"/>
  <c r="AF314" i="11"/>
  <c r="AG314" i="11"/>
  <c r="AH314" i="11"/>
  <c r="AI314" i="11"/>
  <c r="AJ314" i="11"/>
  <c r="AK314" i="11"/>
  <c r="AL314" i="11"/>
  <c r="AM314" i="11"/>
  <c r="AN314" i="11"/>
  <c r="AO314" i="11"/>
  <c r="AD315" i="11"/>
  <c r="AE315" i="11"/>
  <c r="AF315" i="11"/>
  <c r="AG315" i="11"/>
  <c r="AH315" i="11"/>
  <c r="AI315" i="11"/>
  <c r="AJ315" i="11"/>
  <c r="AK315" i="11"/>
  <c r="AL315" i="11"/>
  <c r="AM315" i="11"/>
  <c r="AN315" i="11"/>
  <c r="AO315" i="11"/>
  <c r="AD316" i="11"/>
  <c r="AE316" i="11"/>
  <c r="AF316" i="11"/>
  <c r="AG316" i="11"/>
  <c r="AH316" i="11"/>
  <c r="AI316" i="11"/>
  <c r="AJ316" i="11"/>
  <c r="AK316" i="11"/>
  <c r="AL316" i="11"/>
  <c r="AM316" i="11"/>
  <c r="AN316" i="11"/>
  <c r="AO316" i="11"/>
  <c r="AD317" i="11"/>
  <c r="AE317" i="11"/>
  <c r="AF317" i="11"/>
  <c r="AG317" i="11"/>
  <c r="AH317" i="11"/>
  <c r="AI317" i="11"/>
  <c r="AJ317" i="11"/>
  <c r="AK317" i="11"/>
  <c r="AL317" i="11"/>
  <c r="AM317" i="11"/>
  <c r="AN317" i="11"/>
  <c r="AO317" i="11"/>
  <c r="AD318" i="11"/>
  <c r="AE318" i="11"/>
  <c r="AF318" i="11"/>
  <c r="AG318" i="11"/>
  <c r="AH318" i="11"/>
  <c r="AI318" i="11"/>
  <c r="AJ318" i="11"/>
  <c r="AK318" i="11"/>
  <c r="AL318" i="11"/>
  <c r="AM318" i="11"/>
  <c r="AN318" i="11"/>
  <c r="AO318" i="11"/>
  <c r="AD319" i="11"/>
  <c r="AE319" i="11"/>
  <c r="AF319" i="11"/>
  <c r="AG319" i="11"/>
  <c r="AH319" i="11"/>
  <c r="AI319" i="11"/>
  <c r="AJ319" i="11"/>
  <c r="AK319" i="11"/>
  <c r="AL319" i="11"/>
  <c r="AM319" i="11"/>
  <c r="AN319" i="11"/>
  <c r="AO319" i="11"/>
  <c r="AD320" i="11"/>
  <c r="AE320" i="11"/>
  <c r="AF320" i="11"/>
  <c r="AG320" i="11"/>
  <c r="AH320" i="11"/>
  <c r="AI320" i="11"/>
  <c r="AJ320" i="11"/>
  <c r="AK320" i="11"/>
  <c r="AL320" i="11"/>
  <c r="AM320" i="11"/>
  <c r="AN320" i="11"/>
  <c r="AO320" i="11"/>
  <c r="AE290" i="11"/>
  <c r="AF290" i="11"/>
  <c r="AG290" i="11"/>
  <c r="AH290" i="11"/>
  <c r="AI290" i="11"/>
  <c r="AJ290" i="11"/>
  <c r="AK290" i="11"/>
  <c r="AL290" i="11"/>
  <c r="AL323" i="11" s="1"/>
  <c r="AM290" i="11"/>
  <c r="AN290" i="11"/>
  <c r="AO290" i="11"/>
  <c r="AD290" i="11"/>
  <c r="AD251" i="11"/>
  <c r="AE251" i="11"/>
  <c r="AF251" i="11"/>
  <c r="AG251" i="11"/>
  <c r="AH251" i="11"/>
  <c r="AH282" i="11" s="1"/>
  <c r="AI251" i="11"/>
  <c r="AI282" i="11" s="1"/>
  <c r="AJ251" i="11"/>
  <c r="AK251" i="11"/>
  <c r="AL251" i="11"/>
  <c r="AM251" i="11"/>
  <c r="AN251" i="11"/>
  <c r="AO251" i="11"/>
  <c r="AD252" i="11"/>
  <c r="AE252" i="11"/>
  <c r="AF252" i="11"/>
  <c r="AF282" i="11" s="1"/>
  <c r="AG252" i="11"/>
  <c r="AG283" i="11" s="1"/>
  <c r="AH252" i="11"/>
  <c r="AI252" i="11"/>
  <c r="AJ252" i="11"/>
  <c r="AK252" i="11"/>
  <c r="AL252" i="11"/>
  <c r="AM252" i="11"/>
  <c r="AM283" i="11" s="1"/>
  <c r="AN252" i="11"/>
  <c r="AN282" i="11" s="1"/>
  <c r="AO252" i="11"/>
  <c r="AO283" i="11" s="1"/>
  <c r="AD253" i="11"/>
  <c r="AE253" i="11"/>
  <c r="AF253" i="11"/>
  <c r="AG253" i="11"/>
  <c r="AH253" i="11"/>
  <c r="AI253" i="11"/>
  <c r="AJ253" i="11"/>
  <c r="AK253" i="11"/>
  <c r="AL253" i="11"/>
  <c r="AM253" i="11"/>
  <c r="AN253" i="11"/>
  <c r="AO253" i="11"/>
  <c r="AD254" i="11"/>
  <c r="AE254" i="11"/>
  <c r="AF254" i="11"/>
  <c r="AG254" i="11"/>
  <c r="AH254" i="11"/>
  <c r="AI254" i="11"/>
  <c r="AJ254" i="11"/>
  <c r="AK254" i="11"/>
  <c r="AL254" i="11"/>
  <c r="AM254" i="11"/>
  <c r="AN254" i="11"/>
  <c r="AO254" i="11"/>
  <c r="AD255" i="11"/>
  <c r="AE255" i="11"/>
  <c r="AF255" i="11"/>
  <c r="AG255" i="11"/>
  <c r="AH255" i="11"/>
  <c r="AI255" i="11"/>
  <c r="AJ255" i="11"/>
  <c r="AK255" i="11"/>
  <c r="AL255" i="11"/>
  <c r="AM255" i="11"/>
  <c r="AN255" i="11"/>
  <c r="AO255" i="11"/>
  <c r="AD256" i="11"/>
  <c r="AE256" i="11"/>
  <c r="AF256" i="11"/>
  <c r="AG256" i="11"/>
  <c r="AH256" i="11"/>
  <c r="AI256" i="11"/>
  <c r="AJ256" i="11"/>
  <c r="AK256" i="11"/>
  <c r="AL256" i="11"/>
  <c r="AM256" i="11"/>
  <c r="AN256" i="11"/>
  <c r="AO256" i="11"/>
  <c r="AD257" i="11"/>
  <c r="AE257" i="11"/>
  <c r="AF257" i="11"/>
  <c r="AG257" i="11"/>
  <c r="AH257" i="11"/>
  <c r="AI257" i="11"/>
  <c r="AJ257" i="11"/>
  <c r="AK257" i="11"/>
  <c r="AL257" i="11"/>
  <c r="AM257" i="11"/>
  <c r="AN257" i="11"/>
  <c r="AO257" i="11"/>
  <c r="AD258" i="11"/>
  <c r="AE258" i="11"/>
  <c r="AF258" i="11"/>
  <c r="AG258" i="11"/>
  <c r="AH258" i="11"/>
  <c r="AI258" i="11"/>
  <c r="AJ258" i="11"/>
  <c r="AK258" i="11"/>
  <c r="AL258" i="11"/>
  <c r="AM258" i="11"/>
  <c r="AN258" i="11"/>
  <c r="AO258" i="11"/>
  <c r="AD259" i="11"/>
  <c r="AE259" i="11"/>
  <c r="AF259" i="11"/>
  <c r="AG259" i="11"/>
  <c r="AH259" i="11"/>
  <c r="AI259" i="11"/>
  <c r="AJ259" i="11"/>
  <c r="AK259" i="11"/>
  <c r="AL259" i="11"/>
  <c r="AM259" i="11"/>
  <c r="AN259" i="11"/>
  <c r="AO259" i="11"/>
  <c r="AD260" i="11"/>
  <c r="AE260" i="11"/>
  <c r="AF260" i="11"/>
  <c r="AG260" i="11"/>
  <c r="AH260" i="11"/>
  <c r="AI260" i="11"/>
  <c r="AJ260" i="11"/>
  <c r="AK260" i="11"/>
  <c r="AL260" i="11"/>
  <c r="AM260" i="11"/>
  <c r="AN260" i="11"/>
  <c r="AO260" i="11"/>
  <c r="AD261" i="11"/>
  <c r="AE261" i="11"/>
  <c r="AF261" i="11"/>
  <c r="AG261" i="11"/>
  <c r="AH261" i="11"/>
  <c r="AI261" i="11"/>
  <c r="AJ261" i="11"/>
  <c r="AK261" i="11"/>
  <c r="AL261" i="11"/>
  <c r="AM261" i="11"/>
  <c r="AN261" i="11"/>
  <c r="AO261" i="11"/>
  <c r="AD262" i="11"/>
  <c r="AE262" i="11"/>
  <c r="AF262" i="11"/>
  <c r="AG262" i="11"/>
  <c r="AH262" i="11"/>
  <c r="AI262" i="11"/>
  <c r="AJ262" i="11"/>
  <c r="AK262" i="11"/>
  <c r="AL262" i="11"/>
  <c r="AM262" i="11"/>
  <c r="AN262" i="11"/>
  <c r="AO262" i="11"/>
  <c r="AD263" i="11"/>
  <c r="AE263" i="11"/>
  <c r="AF263" i="11"/>
  <c r="AG263" i="11"/>
  <c r="AH263" i="11"/>
  <c r="AI263" i="11"/>
  <c r="AJ263" i="11"/>
  <c r="AK263" i="11"/>
  <c r="AL263" i="11"/>
  <c r="AM263" i="11"/>
  <c r="AN263" i="11"/>
  <c r="AO263" i="11"/>
  <c r="AD264" i="11"/>
  <c r="AE264" i="11"/>
  <c r="AF264" i="11"/>
  <c r="AG264" i="11"/>
  <c r="AH264" i="11"/>
  <c r="AI264" i="11"/>
  <c r="AJ264" i="11"/>
  <c r="AK264" i="11"/>
  <c r="AL264" i="11"/>
  <c r="AM264" i="11"/>
  <c r="AN264" i="11"/>
  <c r="AO264" i="11"/>
  <c r="AD265" i="11"/>
  <c r="AE265" i="11"/>
  <c r="AF265" i="11"/>
  <c r="AG265" i="11"/>
  <c r="AG284" i="11" s="1"/>
  <c r="AH265" i="11"/>
  <c r="AH284" i="11" s="1"/>
  <c r="AI265" i="11"/>
  <c r="AJ265" i="11"/>
  <c r="AJ284" i="11" s="1"/>
  <c r="AK265" i="11"/>
  <c r="AK284" i="11" s="1"/>
  <c r="AL265" i="11"/>
  <c r="AM265" i="11"/>
  <c r="AN265" i="11"/>
  <c r="AO265" i="11"/>
  <c r="AD266" i="11"/>
  <c r="AE266" i="11"/>
  <c r="AE284" i="11" s="1"/>
  <c r="AF266" i="11"/>
  <c r="AF284" i="11" s="1"/>
  <c r="AG266" i="11"/>
  <c r="AH266" i="11"/>
  <c r="AI266" i="11"/>
  <c r="AJ266" i="11"/>
  <c r="AK266" i="11"/>
  <c r="AL266" i="11"/>
  <c r="AL284" i="11" s="1"/>
  <c r="AM266" i="11"/>
  <c r="AN266" i="11"/>
  <c r="AO266" i="11"/>
  <c r="AO284" i="11" s="1"/>
  <c r="AD267" i="11"/>
  <c r="AE267" i="11"/>
  <c r="AF267" i="11"/>
  <c r="AG267" i="11"/>
  <c r="AH267" i="11"/>
  <c r="AI267" i="11"/>
  <c r="AJ267" i="11"/>
  <c r="AK267" i="11"/>
  <c r="AL267" i="11"/>
  <c r="AM267" i="11"/>
  <c r="AN267" i="11"/>
  <c r="AO267" i="11"/>
  <c r="AD268" i="11"/>
  <c r="AE268" i="11"/>
  <c r="AF268" i="11"/>
  <c r="AG268" i="11"/>
  <c r="AH268" i="11"/>
  <c r="AI268" i="11"/>
  <c r="AJ268" i="11"/>
  <c r="AK268" i="11"/>
  <c r="AL268" i="11"/>
  <c r="AM268" i="11"/>
  <c r="AN268" i="11"/>
  <c r="AO268" i="11"/>
  <c r="AD269" i="11"/>
  <c r="AE269" i="11"/>
  <c r="AF269" i="11"/>
  <c r="AG269" i="11"/>
  <c r="AH269" i="11"/>
  <c r="AI269" i="11"/>
  <c r="AJ269" i="11"/>
  <c r="AK269" i="11"/>
  <c r="AL269" i="11"/>
  <c r="AM269" i="11"/>
  <c r="AN269" i="11"/>
  <c r="AO269" i="11"/>
  <c r="AD270" i="11"/>
  <c r="AE270" i="11"/>
  <c r="AF270" i="11"/>
  <c r="AG270" i="11"/>
  <c r="AH270" i="11"/>
  <c r="AI270" i="11"/>
  <c r="AJ270" i="11"/>
  <c r="AK270" i="11"/>
  <c r="AL270" i="11"/>
  <c r="AM270" i="11"/>
  <c r="AN270" i="11"/>
  <c r="AO270" i="11"/>
  <c r="AD271" i="11"/>
  <c r="AE271" i="11"/>
  <c r="AF271" i="11"/>
  <c r="AG271" i="11"/>
  <c r="AH271" i="11"/>
  <c r="AI271" i="11"/>
  <c r="AJ271" i="11"/>
  <c r="AK271" i="11"/>
  <c r="AL271" i="11"/>
  <c r="AM271" i="11"/>
  <c r="AN271" i="11"/>
  <c r="AO271" i="11"/>
  <c r="AD272" i="11"/>
  <c r="AE272" i="11"/>
  <c r="AF272" i="11"/>
  <c r="AG272" i="11"/>
  <c r="AH272" i="11"/>
  <c r="AI272" i="11"/>
  <c r="AJ272" i="11"/>
  <c r="AK272" i="11"/>
  <c r="AL272" i="11"/>
  <c r="AM272" i="11"/>
  <c r="AN272" i="11"/>
  <c r="AO272" i="11"/>
  <c r="AD273" i="11"/>
  <c r="AE273" i="11"/>
  <c r="AF273" i="11"/>
  <c r="AG273" i="11"/>
  <c r="AH273" i="11"/>
  <c r="AI273" i="11"/>
  <c r="AJ273" i="11"/>
  <c r="AK273" i="11"/>
  <c r="AL273" i="11"/>
  <c r="AM273" i="11"/>
  <c r="AN273" i="11"/>
  <c r="AO273" i="11"/>
  <c r="AD274" i="11"/>
  <c r="AE274" i="11"/>
  <c r="AF274" i="11"/>
  <c r="AG274" i="11"/>
  <c r="AH274" i="11"/>
  <c r="AI274" i="11"/>
  <c r="AJ274" i="11"/>
  <c r="AK274" i="11"/>
  <c r="AL274" i="11"/>
  <c r="AM274" i="11"/>
  <c r="AN274" i="11"/>
  <c r="AO274" i="11"/>
  <c r="AD275" i="11"/>
  <c r="AE275" i="11"/>
  <c r="AF275" i="11"/>
  <c r="AG275" i="11"/>
  <c r="AH275" i="11"/>
  <c r="AI275" i="11"/>
  <c r="AJ275" i="11"/>
  <c r="AK275" i="11"/>
  <c r="AL275" i="11"/>
  <c r="AM275" i="11"/>
  <c r="AN275" i="11"/>
  <c r="AO275" i="11"/>
  <c r="AD276" i="11"/>
  <c r="AE276" i="11"/>
  <c r="AF276" i="11"/>
  <c r="AG276" i="11"/>
  <c r="AH276" i="11"/>
  <c r="AI276" i="11"/>
  <c r="AJ276" i="11"/>
  <c r="AK276" i="11"/>
  <c r="AL276" i="11"/>
  <c r="AM276" i="11"/>
  <c r="AN276" i="11"/>
  <c r="AO276" i="11"/>
  <c r="AD277" i="11"/>
  <c r="AE277" i="11"/>
  <c r="AF277" i="11"/>
  <c r="AG277" i="11"/>
  <c r="AH277" i="11"/>
  <c r="AI277" i="11"/>
  <c r="AJ277" i="11"/>
  <c r="AK277" i="11"/>
  <c r="AL277" i="11"/>
  <c r="AM277" i="11"/>
  <c r="AN277" i="11"/>
  <c r="AO277" i="11"/>
  <c r="AD278" i="11"/>
  <c r="AE278" i="11"/>
  <c r="AF278" i="11"/>
  <c r="AG278" i="11"/>
  <c r="AH278" i="11"/>
  <c r="AI278" i="11"/>
  <c r="AJ278" i="11"/>
  <c r="AK278" i="11"/>
  <c r="AL278" i="11"/>
  <c r="AM278" i="11"/>
  <c r="AN278" i="11"/>
  <c r="AO278" i="11"/>
  <c r="AD279" i="11"/>
  <c r="AE279" i="11"/>
  <c r="AF279" i="11"/>
  <c r="AG279" i="11"/>
  <c r="AH279" i="11"/>
  <c r="AI279" i="11"/>
  <c r="AJ279" i="11"/>
  <c r="AK279" i="11"/>
  <c r="AL279" i="11"/>
  <c r="AM279" i="11"/>
  <c r="AN279" i="11"/>
  <c r="AO279" i="11"/>
  <c r="AD280" i="11"/>
  <c r="AE280" i="11"/>
  <c r="AF280" i="11"/>
  <c r="AG280" i="11"/>
  <c r="AH280" i="11"/>
  <c r="AI280" i="11"/>
  <c r="AJ280" i="11"/>
  <c r="AK280" i="11"/>
  <c r="AL280" i="11"/>
  <c r="AM280" i="11"/>
  <c r="AN280" i="11"/>
  <c r="AO280" i="11"/>
  <c r="AE250" i="11"/>
  <c r="AF250" i="11"/>
  <c r="AG250" i="11"/>
  <c r="AH250" i="11"/>
  <c r="AI250" i="11"/>
  <c r="AJ250" i="11"/>
  <c r="AK250" i="11"/>
  <c r="AL250" i="11"/>
  <c r="AL283" i="11" s="1"/>
  <c r="AM250" i="11"/>
  <c r="AN250" i="11"/>
  <c r="AO250" i="11"/>
  <c r="AD250" i="11"/>
  <c r="AY365" i="11"/>
  <c r="BC364" i="11"/>
  <c r="BB364" i="11"/>
  <c r="BA364" i="11"/>
  <c r="AZ364" i="11"/>
  <c r="AY364" i="11"/>
  <c r="AX364" i="11"/>
  <c r="BC363" i="11"/>
  <c r="BB363" i="11"/>
  <c r="BA363" i="11"/>
  <c r="AZ363" i="11"/>
  <c r="AY363" i="11"/>
  <c r="AX363" i="11"/>
  <c r="BC362" i="11"/>
  <c r="BB362" i="11"/>
  <c r="BA362" i="11"/>
  <c r="AZ362" i="11"/>
  <c r="AY362" i="11"/>
  <c r="AX362" i="11"/>
  <c r="BC361" i="11"/>
  <c r="BC365" i="11" s="1"/>
  <c r="BB361" i="11"/>
  <c r="BB365" i="11" s="1"/>
  <c r="BA361" i="11"/>
  <c r="BA365" i="11" s="1"/>
  <c r="AZ361" i="11"/>
  <c r="AZ365" i="11" s="1"/>
  <c r="AY361" i="11"/>
  <c r="AX361" i="11"/>
  <c r="AX365" i="11" s="1"/>
  <c r="AT364" i="11"/>
  <c r="AR362" i="11"/>
  <c r="BA324" i="11"/>
  <c r="AR324" i="11"/>
  <c r="BB324" i="11"/>
  <c r="AW324" i="11"/>
  <c r="AT323" i="11"/>
  <c r="BC322" i="11"/>
  <c r="AR323" i="11"/>
  <c r="BA284" i="11"/>
  <c r="AR284" i="11"/>
  <c r="BB284" i="11"/>
  <c r="AW284" i="11"/>
  <c r="AT283" i="11"/>
  <c r="BC282" i="11"/>
  <c r="AS283" i="11"/>
  <c r="AR282" i="11"/>
  <c r="AO364" i="11"/>
  <c r="AN364" i="11"/>
  <c r="AM364" i="11"/>
  <c r="AL364" i="11"/>
  <c r="AK364" i="11"/>
  <c r="AJ364" i="11"/>
  <c r="AO363" i="11"/>
  <c r="AN363" i="11"/>
  <c r="AM363" i="11"/>
  <c r="AL363" i="11"/>
  <c r="AK363" i="11"/>
  <c r="AJ363" i="11"/>
  <c r="AO362" i="11"/>
  <c r="AN362" i="11"/>
  <c r="AM362" i="11"/>
  <c r="AL362" i="11"/>
  <c r="AK362" i="11"/>
  <c r="AJ362" i="11"/>
  <c r="AO361" i="11"/>
  <c r="AO365" i="11" s="1"/>
  <c r="AN361" i="11"/>
  <c r="AN365" i="11" s="1"/>
  <c r="AM361" i="11"/>
  <c r="AM365" i="11" s="1"/>
  <c r="AL361" i="11"/>
  <c r="AL365" i="11" s="1"/>
  <c r="AK361" i="11"/>
  <c r="AK365" i="11" s="1"/>
  <c r="AJ361" i="11"/>
  <c r="AJ365" i="11" s="1"/>
  <c r="AF364" i="11"/>
  <c r="AF362" i="11"/>
  <c r="AE362" i="11"/>
  <c r="AM324" i="11"/>
  <c r="AD324" i="11"/>
  <c r="AN324" i="11"/>
  <c r="AI324" i="11"/>
  <c r="AF323" i="11"/>
  <c r="AO322" i="11"/>
  <c r="AE323" i="11"/>
  <c r="AD323" i="11"/>
  <c r="AM284" i="11"/>
  <c r="AD284" i="11"/>
  <c r="AN284" i="11"/>
  <c r="AI284" i="11"/>
  <c r="AF283" i="11"/>
  <c r="AE283" i="11"/>
  <c r="AD282" i="11"/>
  <c r="AA364" i="11"/>
  <c r="Z364" i="11"/>
  <c r="Y364" i="11"/>
  <c r="AA363" i="11"/>
  <c r="Z363" i="11"/>
  <c r="Y363" i="11"/>
  <c r="X363" i="11"/>
  <c r="W362" i="11"/>
  <c r="V362" i="11"/>
  <c r="W361" i="11"/>
  <c r="V361" i="11"/>
  <c r="R364" i="11"/>
  <c r="S364" i="11"/>
  <c r="U362" i="11"/>
  <c r="T362" i="11"/>
  <c r="V324" i="11"/>
  <c r="Z323" i="11"/>
  <c r="R323" i="11"/>
  <c r="AA324" i="11"/>
  <c r="Z324" i="11"/>
  <c r="U324" i="11"/>
  <c r="S323" i="11"/>
  <c r="W323" i="11"/>
  <c r="U322" i="11"/>
  <c r="T322" i="11"/>
  <c r="Q284" i="11"/>
  <c r="P284" i="11"/>
  <c r="Z283" i="11"/>
  <c r="Q283" i="11"/>
  <c r="P283" i="11"/>
  <c r="B330" i="11"/>
  <c r="B354" i="11"/>
  <c r="C354" i="11"/>
  <c r="D354" i="11"/>
  <c r="E354" i="11"/>
  <c r="F354" i="11"/>
  <c r="F362" i="11" s="1"/>
  <c r="G354" i="11"/>
  <c r="B355" i="11"/>
  <c r="C355" i="11"/>
  <c r="D355" i="11"/>
  <c r="E355" i="11"/>
  <c r="F355" i="11"/>
  <c r="G355" i="11"/>
  <c r="J361" i="11"/>
  <c r="K362" i="11"/>
  <c r="B356" i="11"/>
  <c r="C356" i="11"/>
  <c r="D356" i="11"/>
  <c r="E356" i="11"/>
  <c r="F356" i="11"/>
  <c r="G356" i="11"/>
  <c r="B357" i="11"/>
  <c r="C357" i="11"/>
  <c r="D357" i="11"/>
  <c r="E357" i="11"/>
  <c r="F357" i="11"/>
  <c r="G357" i="11"/>
  <c r="B358" i="11"/>
  <c r="C358" i="11"/>
  <c r="D358" i="11"/>
  <c r="E358" i="11"/>
  <c r="F358" i="11"/>
  <c r="G358" i="11"/>
  <c r="B359" i="11"/>
  <c r="C359" i="11"/>
  <c r="D359" i="11"/>
  <c r="E359" i="11"/>
  <c r="F359" i="11"/>
  <c r="G359" i="11"/>
  <c r="B360" i="11"/>
  <c r="C360" i="11"/>
  <c r="D360" i="11"/>
  <c r="E360" i="11"/>
  <c r="F360" i="11"/>
  <c r="G360" i="11"/>
  <c r="B331" i="11"/>
  <c r="C331" i="11"/>
  <c r="D331" i="11"/>
  <c r="E331" i="11"/>
  <c r="E363" i="11" s="1"/>
  <c r="F331" i="11"/>
  <c r="F363" i="11" s="1"/>
  <c r="G331" i="11"/>
  <c r="H363" i="11"/>
  <c r="B332" i="11"/>
  <c r="B363" i="11" s="1"/>
  <c r="C332" i="11"/>
  <c r="D332" i="11"/>
  <c r="E332" i="11"/>
  <c r="F332" i="11"/>
  <c r="G332" i="11"/>
  <c r="L363" i="11"/>
  <c r="M363" i="11"/>
  <c r="B333" i="11"/>
  <c r="C333" i="11"/>
  <c r="D333" i="11"/>
  <c r="E333" i="11"/>
  <c r="F333" i="11"/>
  <c r="G333" i="11"/>
  <c r="B334" i="11"/>
  <c r="C334" i="11"/>
  <c r="D334" i="11"/>
  <c r="E334" i="11"/>
  <c r="F334" i="11"/>
  <c r="G334" i="11"/>
  <c r="B335" i="11"/>
  <c r="C335" i="11"/>
  <c r="D335" i="11"/>
  <c r="E335" i="11"/>
  <c r="F335" i="11"/>
  <c r="G335" i="11"/>
  <c r="B336" i="11"/>
  <c r="C336" i="11"/>
  <c r="D336" i="11"/>
  <c r="E336" i="11"/>
  <c r="F336" i="11"/>
  <c r="G336" i="11"/>
  <c r="B337" i="11"/>
  <c r="C337" i="11"/>
  <c r="D337" i="11"/>
  <c r="E337" i="11"/>
  <c r="F337" i="11"/>
  <c r="G337" i="11"/>
  <c r="B338" i="11"/>
  <c r="C338" i="11"/>
  <c r="D338" i="11"/>
  <c r="E338" i="11"/>
  <c r="F338" i="11"/>
  <c r="G338" i="11"/>
  <c r="B339" i="11"/>
  <c r="C339" i="11"/>
  <c r="D339" i="11"/>
  <c r="E339" i="11"/>
  <c r="F339" i="11"/>
  <c r="G339" i="11"/>
  <c r="B340" i="11"/>
  <c r="C340" i="11"/>
  <c r="D340" i="11"/>
  <c r="E340" i="11"/>
  <c r="F340" i="11"/>
  <c r="G340" i="11"/>
  <c r="B341" i="11"/>
  <c r="C341" i="11"/>
  <c r="D341" i="11"/>
  <c r="E341" i="11"/>
  <c r="F341" i="11"/>
  <c r="G341" i="11"/>
  <c r="B342" i="11"/>
  <c r="C342" i="11"/>
  <c r="D342" i="11"/>
  <c r="E342" i="11"/>
  <c r="F342" i="11"/>
  <c r="G342" i="11"/>
  <c r="B343" i="11"/>
  <c r="C343" i="11"/>
  <c r="D343" i="11"/>
  <c r="E343" i="11"/>
  <c r="F343" i="11"/>
  <c r="G343" i="11"/>
  <c r="B344" i="11"/>
  <c r="C344" i="11"/>
  <c r="D344" i="11"/>
  <c r="E344" i="11"/>
  <c r="F344" i="11"/>
  <c r="G344" i="11"/>
  <c r="B345" i="11"/>
  <c r="C345" i="11"/>
  <c r="D345" i="11"/>
  <c r="E345" i="11"/>
  <c r="E364" i="11" s="1"/>
  <c r="F345" i="11"/>
  <c r="G345" i="11"/>
  <c r="B346" i="11"/>
  <c r="C346" i="11"/>
  <c r="D346" i="11"/>
  <c r="E346" i="11"/>
  <c r="F346" i="11"/>
  <c r="G346" i="11"/>
  <c r="B347" i="11"/>
  <c r="C347" i="11"/>
  <c r="D347" i="11"/>
  <c r="E347" i="11"/>
  <c r="F347" i="11"/>
  <c r="G347" i="11"/>
  <c r="B348" i="11"/>
  <c r="C348" i="11"/>
  <c r="D348" i="11"/>
  <c r="E348" i="11"/>
  <c r="F348" i="11"/>
  <c r="G348" i="11"/>
  <c r="B349" i="11"/>
  <c r="C349" i="11"/>
  <c r="D349" i="11"/>
  <c r="E349" i="11"/>
  <c r="F349" i="11"/>
  <c r="G349" i="11"/>
  <c r="B350" i="11"/>
  <c r="C350" i="11"/>
  <c r="D350" i="11"/>
  <c r="E350" i="11"/>
  <c r="F350" i="11"/>
  <c r="G350" i="11"/>
  <c r="B351" i="11"/>
  <c r="C351" i="11"/>
  <c r="D351" i="11"/>
  <c r="E351" i="11"/>
  <c r="F351" i="11"/>
  <c r="G351" i="11"/>
  <c r="B352" i="11"/>
  <c r="C352" i="11"/>
  <c r="D352" i="11"/>
  <c r="E352" i="11"/>
  <c r="F352" i="11"/>
  <c r="G352" i="11"/>
  <c r="B353" i="11"/>
  <c r="C353" i="11"/>
  <c r="D353" i="11"/>
  <c r="E353" i="11"/>
  <c r="F353" i="11"/>
  <c r="G353" i="11"/>
  <c r="C330" i="11"/>
  <c r="D330" i="11"/>
  <c r="E330" i="11"/>
  <c r="F330" i="11"/>
  <c r="G330" i="11"/>
  <c r="B291" i="11"/>
  <c r="C291" i="11"/>
  <c r="D291" i="11"/>
  <c r="D323" i="11" s="1"/>
  <c r="E291" i="11"/>
  <c r="E323" i="11" s="1"/>
  <c r="F291" i="11"/>
  <c r="F323" i="11" s="1"/>
  <c r="G291" i="11"/>
  <c r="G323" i="11" s="1"/>
  <c r="H291" i="11"/>
  <c r="H323" i="11" s="1"/>
  <c r="I291" i="11"/>
  <c r="J291" i="11"/>
  <c r="K291" i="11"/>
  <c r="L291" i="11"/>
  <c r="M291" i="11"/>
  <c r="B292" i="11"/>
  <c r="B323" i="11" s="1"/>
  <c r="C292" i="11"/>
  <c r="C322" i="11" s="1"/>
  <c r="D292" i="11"/>
  <c r="E292" i="11"/>
  <c r="F292" i="11"/>
  <c r="G292" i="11"/>
  <c r="H292" i="11"/>
  <c r="I292" i="11"/>
  <c r="J292" i="11"/>
  <c r="K292" i="11"/>
  <c r="L292" i="11"/>
  <c r="L323" i="11" s="1"/>
  <c r="M292" i="11"/>
  <c r="M323" i="11" s="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B305" i="11"/>
  <c r="C305" i="11"/>
  <c r="D305" i="11"/>
  <c r="D324" i="11" s="1"/>
  <c r="E305" i="11"/>
  <c r="E324" i="11" s="1"/>
  <c r="F305" i="11"/>
  <c r="G305" i="11"/>
  <c r="H305" i="11"/>
  <c r="H324" i="11" s="1"/>
  <c r="I305" i="11"/>
  <c r="I324" i="11" s="1"/>
  <c r="J305" i="11"/>
  <c r="K305" i="11"/>
  <c r="L305" i="11"/>
  <c r="M305" i="11"/>
  <c r="B306" i="11"/>
  <c r="B324" i="11" s="1"/>
  <c r="C306" i="11"/>
  <c r="C324" i="11" s="1"/>
  <c r="D306" i="11"/>
  <c r="E306" i="11"/>
  <c r="F306" i="11"/>
  <c r="G306" i="11"/>
  <c r="H306" i="11"/>
  <c r="I306" i="11"/>
  <c r="J306" i="11"/>
  <c r="K306" i="11"/>
  <c r="L306" i="11"/>
  <c r="L324" i="11" s="1"/>
  <c r="M306" i="11"/>
  <c r="M324" i="11" s="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C290" i="11"/>
  <c r="D290" i="11"/>
  <c r="E290" i="11"/>
  <c r="F290" i="11"/>
  <c r="G290" i="11"/>
  <c r="H290" i="11"/>
  <c r="I290" i="11"/>
  <c r="J290" i="11"/>
  <c r="K290" i="11"/>
  <c r="L290" i="11"/>
  <c r="M290" i="11"/>
  <c r="B290" i="11"/>
  <c r="B251" i="11"/>
  <c r="C251" i="11"/>
  <c r="D251" i="11"/>
  <c r="E251" i="11"/>
  <c r="F251" i="11"/>
  <c r="F281" i="11" s="1"/>
  <c r="G251" i="11"/>
  <c r="G283" i="11" s="1"/>
  <c r="H251" i="11"/>
  <c r="I251" i="11"/>
  <c r="J251" i="11"/>
  <c r="K251" i="11"/>
  <c r="L251" i="11"/>
  <c r="M251" i="11"/>
  <c r="M283" i="11" s="1"/>
  <c r="B252" i="11"/>
  <c r="B283" i="11" s="1"/>
  <c r="C252" i="11"/>
  <c r="C283" i="11" s="1"/>
  <c r="D252" i="11"/>
  <c r="D283" i="11" s="1"/>
  <c r="E252" i="11"/>
  <c r="F252" i="11"/>
  <c r="G252" i="11"/>
  <c r="H252" i="11"/>
  <c r="I252" i="11"/>
  <c r="J252" i="11"/>
  <c r="K252" i="11"/>
  <c r="K282" i="11" s="1"/>
  <c r="L252" i="11"/>
  <c r="L283" i="11" s="1"/>
  <c r="M252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B265" i="11"/>
  <c r="C265" i="11"/>
  <c r="D265" i="11"/>
  <c r="E265" i="11"/>
  <c r="F265" i="11"/>
  <c r="G265" i="11"/>
  <c r="H265" i="11"/>
  <c r="H284" i="11" s="1"/>
  <c r="I265" i="11"/>
  <c r="I284" i="11" s="1"/>
  <c r="J265" i="11"/>
  <c r="K265" i="11"/>
  <c r="L265" i="11"/>
  <c r="M265" i="11"/>
  <c r="B266" i="11"/>
  <c r="B284" i="11" s="1"/>
  <c r="C266" i="11"/>
  <c r="C284" i="11" s="1"/>
  <c r="D266" i="11"/>
  <c r="E266" i="11"/>
  <c r="F266" i="11"/>
  <c r="G266" i="11"/>
  <c r="H266" i="11"/>
  <c r="I266" i="11"/>
  <c r="J266" i="11"/>
  <c r="K266" i="11"/>
  <c r="L266" i="11"/>
  <c r="L284" i="11" s="1"/>
  <c r="M266" i="11"/>
  <c r="M284" i="11" s="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C250" i="11"/>
  <c r="D250" i="11"/>
  <c r="E250" i="11"/>
  <c r="F250" i="11"/>
  <c r="G250" i="11"/>
  <c r="H250" i="11"/>
  <c r="I250" i="11"/>
  <c r="J250" i="11"/>
  <c r="K250" i="11"/>
  <c r="L250" i="11"/>
  <c r="M250" i="11"/>
  <c r="B250" i="11"/>
  <c r="J364" i="11"/>
  <c r="G364" i="11"/>
  <c r="F364" i="11"/>
  <c r="K324" i="11"/>
  <c r="J324" i="11"/>
  <c r="G324" i="11"/>
  <c r="F324" i="11"/>
  <c r="K322" i="11"/>
  <c r="J323" i="11"/>
  <c r="F322" i="11"/>
  <c r="K284" i="11"/>
  <c r="J284" i="11"/>
  <c r="E284" i="11"/>
  <c r="G284" i="11"/>
  <c r="F284" i="11"/>
  <c r="D284" i="11"/>
  <c r="J283" i="11"/>
  <c r="F282" i="11"/>
  <c r="E283" i="11"/>
  <c r="B10" i="11"/>
  <c r="N41" i="11"/>
  <c r="P10" i="11"/>
  <c r="AD125" i="11"/>
  <c r="AD124" i="11"/>
  <c r="AD123" i="11"/>
  <c r="AD122" i="11"/>
  <c r="AD121" i="11"/>
  <c r="AP121" i="11"/>
  <c r="BD121" i="11"/>
  <c r="AR10" i="11"/>
  <c r="BF11" i="11"/>
  <c r="BF36" i="11"/>
  <c r="BF219" i="13" l="1"/>
  <c r="BN219" i="13"/>
  <c r="BJ230" i="13"/>
  <c r="BF237" i="13"/>
  <c r="BG219" i="13"/>
  <c r="BO219" i="13"/>
  <c r="BO237" i="13"/>
  <c r="BH239" i="13"/>
  <c r="BJ222" i="13"/>
  <c r="BQ223" i="13"/>
  <c r="BK234" i="13"/>
  <c r="BM238" i="13"/>
  <c r="BH211" i="13"/>
  <c r="BJ213" i="13"/>
  <c r="BQ215" i="13"/>
  <c r="BJ217" i="13"/>
  <c r="BF223" i="13"/>
  <c r="BN223" i="13"/>
  <c r="BL228" i="13"/>
  <c r="BF229" i="13"/>
  <c r="BN229" i="13"/>
  <c r="BF231" i="13"/>
  <c r="BJ231" i="13"/>
  <c r="BF232" i="13"/>
  <c r="BL234" i="13"/>
  <c r="BJ238" i="13"/>
  <c r="BN238" i="13"/>
  <c r="BN237" i="13"/>
  <c r="BQ213" i="13"/>
  <c r="BG227" i="13"/>
  <c r="BM232" i="13"/>
  <c r="BF215" i="13"/>
  <c r="BN215" i="13"/>
  <c r="BO223" i="13"/>
  <c r="BM224" i="13"/>
  <c r="BG229" i="13"/>
  <c r="BO229" i="13"/>
  <c r="BG231" i="13"/>
  <c r="BK238" i="13"/>
  <c r="BF239" i="13"/>
  <c r="BK230" i="13"/>
  <c r="BG237" i="13"/>
  <c r="BG239" i="13"/>
  <c r="BL230" i="13"/>
  <c r="BJ234" i="13"/>
  <c r="BH237" i="13"/>
  <c r="BP239" i="13"/>
  <c r="BL240" i="13"/>
  <c r="BM214" i="13"/>
  <c r="BG215" i="13"/>
  <c r="BF218" i="13"/>
  <c r="BN218" i="13"/>
  <c r="BI221" i="13"/>
  <c r="BQ221" i="13"/>
  <c r="BF224" i="13"/>
  <c r="BN224" i="13"/>
  <c r="BH229" i="13"/>
  <c r="BH231" i="13"/>
  <c r="BP231" i="13"/>
  <c r="BL232" i="13"/>
  <c r="BF233" i="13"/>
  <c r="BN233" i="13"/>
  <c r="BF235" i="13"/>
  <c r="BJ235" i="13"/>
  <c r="BM236" i="13"/>
  <c r="BL238" i="13"/>
  <c r="BF174" i="13"/>
  <c r="BF176" i="13"/>
  <c r="BN176" i="13"/>
  <c r="BF182" i="13"/>
  <c r="BJ182" i="13"/>
  <c r="BL188" i="13"/>
  <c r="BG195" i="13"/>
  <c r="BF199" i="13"/>
  <c r="BN199" i="13"/>
  <c r="BJ192" i="13"/>
  <c r="BL180" i="13"/>
  <c r="BM180" i="13"/>
  <c r="BK176" i="13"/>
  <c r="BH181" i="13"/>
  <c r="BM188" i="13"/>
  <c r="BM196" i="13"/>
  <c r="BG199" i="13"/>
  <c r="BO199" i="13"/>
  <c r="BM200" i="13"/>
  <c r="BK180" i="13"/>
  <c r="BF197" i="13"/>
  <c r="BG197" i="13"/>
  <c r="BH199" i="13"/>
  <c r="BH173" i="13"/>
  <c r="BI187" i="13"/>
  <c r="BL176" i="13"/>
  <c r="BI181" i="13"/>
  <c r="BF186" i="13"/>
  <c r="BN186" i="13"/>
  <c r="BJ186" i="13"/>
  <c r="BJ191" i="13"/>
  <c r="BH193" i="13"/>
  <c r="BF194" i="13"/>
  <c r="BJ194" i="13"/>
  <c r="BJ196" i="13"/>
  <c r="BF196" i="13"/>
  <c r="BL198" i="13"/>
  <c r="BF200" i="13"/>
  <c r="BN200" i="13"/>
  <c r="BF143" i="13"/>
  <c r="BG143" i="13"/>
  <c r="BO143" i="13"/>
  <c r="BF147" i="13"/>
  <c r="BN147" i="13"/>
  <c r="BJ152" i="13"/>
  <c r="BF155" i="13"/>
  <c r="BN155" i="13"/>
  <c r="BN141" i="13"/>
  <c r="BH159" i="13"/>
  <c r="BP159" i="13"/>
  <c r="BM134" i="13"/>
  <c r="BF137" i="13"/>
  <c r="BM144" i="13"/>
  <c r="BH147" i="13"/>
  <c r="BP147" i="13"/>
  <c r="BJ148" i="13"/>
  <c r="BJ150" i="13"/>
  <c r="BL152" i="13"/>
  <c r="BH153" i="13"/>
  <c r="BP153" i="13"/>
  <c r="BF157" i="13"/>
  <c r="BO137" i="13"/>
  <c r="BK150" i="13"/>
  <c r="BK134" i="13"/>
  <c r="BL136" i="13"/>
  <c r="BH137" i="13"/>
  <c r="BP137" i="13"/>
  <c r="BM142" i="13"/>
  <c r="BO144" i="13"/>
  <c r="BP145" i="13"/>
  <c r="BL150" i="13"/>
  <c r="BF151" i="13"/>
  <c r="BN151" i="13"/>
  <c r="BL154" i="13"/>
  <c r="BL158" i="13"/>
  <c r="BG160" i="13"/>
  <c r="BN133" i="13"/>
  <c r="BN143" i="13"/>
  <c r="BH133" i="13"/>
  <c r="BP133" i="13"/>
  <c r="BF141" i="13"/>
  <c r="BK152" i="13"/>
  <c r="BJ156" i="13"/>
  <c r="BJ136" i="13"/>
  <c r="BN137" i="13"/>
  <c r="BG141" i="13"/>
  <c r="BO141" i="13"/>
  <c r="BF145" i="13"/>
  <c r="BJ134" i="13"/>
  <c r="BG137" i="13"/>
  <c r="BH141" i="13"/>
  <c r="BP141" i="13"/>
  <c r="BJ144" i="13"/>
  <c r="BK148" i="13"/>
  <c r="BJ159" i="13"/>
  <c r="BF131" i="13"/>
  <c r="BN131" i="13"/>
  <c r="BJ132" i="13"/>
  <c r="BL134" i="13"/>
  <c r="BF135" i="13"/>
  <c r="BN135" i="13"/>
  <c r="BI139" i="13"/>
  <c r="BJ142" i="13"/>
  <c r="BL144" i="13"/>
  <c r="BN149" i="13"/>
  <c r="BG151" i="13"/>
  <c r="BO151" i="13"/>
  <c r="BK155" i="13"/>
  <c r="BL160" i="13"/>
  <c r="BQ103" i="13"/>
  <c r="BG113" i="13"/>
  <c r="BF104" i="13"/>
  <c r="BF108" i="13"/>
  <c r="BF124" i="13" s="1"/>
  <c r="BM110" i="13"/>
  <c r="BJ111" i="13"/>
  <c r="BH113" i="13"/>
  <c r="BF114" i="13"/>
  <c r="BF116" i="13"/>
  <c r="BM118" i="13"/>
  <c r="BN98" i="13"/>
  <c r="BG100" i="13"/>
  <c r="BO100" i="13"/>
  <c r="BK100" i="13"/>
  <c r="BO103" i="13"/>
  <c r="BG104" i="13"/>
  <c r="BO104" i="13"/>
  <c r="BK104" i="13"/>
  <c r="BM106" i="13"/>
  <c r="BG108" i="13"/>
  <c r="BK108" i="13"/>
  <c r="BK111" i="13"/>
  <c r="BG114" i="13"/>
  <c r="BO114" i="13"/>
  <c r="BG116" i="13"/>
  <c r="BO116" i="13"/>
  <c r="BK116" i="13"/>
  <c r="BK119" i="13"/>
  <c r="BF93" i="13"/>
  <c r="BN97" i="13"/>
  <c r="BP103" i="13"/>
  <c r="BL104" i="13"/>
  <c r="BM100" i="13"/>
  <c r="BN101" i="13"/>
  <c r="BI103" i="13"/>
  <c r="BI97" i="13"/>
  <c r="BQ97" i="13"/>
  <c r="BK102" i="13"/>
  <c r="BI107" i="13"/>
  <c r="BN114" i="13"/>
  <c r="BJ119" i="13"/>
  <c r="BI91" i="13"/>
  <c r="BQ91" i="13"/>
  <c r="BI95" i="13"/>
  <c r="BQ95" i="13"/>
  <c r="BK97" i="13"/>
  <c r="BI99" i="13"/>
  <c r="BQ99" i="13"/>
  <c r="BI101" i="13"/>
  <c r="BF106" i="13"/>
  <c r="BN106" i="13"/>
  <c r="BH108" i="13"/>
  <c r="BL111" i="13"/>
  <c r="BH114" i="13"/>
  <c r="BP114" i="13"/>
  <c r="BL116" i="13"/>
  <c r="BL119" i="13"/>
  <c r="BF53" i="13"/>
  <c r="BJ78" i="13"/>
  <c r="BF79" i="13"/>
  <c r="BF67" i="13"/>
  <c r="BO79" i="13"/>
  <c r="BF63" i="13"/>
  <c r="BJ64" i="13"/>
  <c r="BJ70" i="13"/>
  <c r="BP75" i="13"/>
  <c r="BF51" i="13"/>
  <c r="BN51" i="13"/>
  <c r="BJ51" i="13"/>
  <c r="BJ58" i="13"/>
  <c r="BK60" i="13"/>
  <c r="BF61" i="13"/>
  <c r="BN61" i="13"/>
  <c r="BI71" i="13"/>
  <c r="BH73" i="13"/>
  <c r="BP73" i="13"/>
  <c r="BF74" i="13"/>
  <c r="BF75" i="13"/>
  <c r="BL80" i="13"/>
  <c r="BN67" i="13"/>
  <c r="BG79" i="13"/>
  <c r="BF57" i="13"/>
  <c r="BN57" i="13"/>
  <c r="BN63" i="13"/>
  <c r="BJ68" i="13"/>
  <c r="BH75" i="13"/>
  <c r="BK76" i="13"/>
  <c r="BH79" i="13"/>
  <c r="BP79" i="13"/>
  <c r="BJ80" i="13"/>
  <c r="BJ54" i="13"/>
  <c r="BG55" i="13"/>
  <c r="BK56" i="13"/>
  <c r="BK70" i="13"/>
  <c r="BI59" i="13"/>
  <c r="BK74" i="13"/>
  <c r="BO75" i="13"/>
  <c r="BF77" i="13"/>
  <c r="BN77" i="13"/>
  <c r="BN53" i="13"/>
  <c r="BM58" i="13"/>
  <c r="BL76" i="13"/>
  <c r="BF55" i="13"/>
  <c r="BN55" i="13"/>
  <c r="BJ56" i="13"/>
  <c r="BF59" i="13"/>
  <c r="BN59" i="13"/>
  <c r="BJ59" i="13"/>
  <c r="BM62" i="13"/>
  <c r="BM66" i="13"/>
  <c r="BJ73" i="13"/>
  <c r="BF73" i="13"/>
  <c r="BG77" i="13"/>
  <c r="BO77" i="13"/>
  <c r="BH22" i="13"/>
  <c r="BI26" i="13"/>
  <c r="BI30" i="13"/>
  <c r="BL39" i="13"/>
  <c r="BH14" i="13"/>
  <c r="BM22" i="13"/>
  <c r="BI22" i="13"/>
  <c r="BK27" i="13"/>
  <c r="BK31" i="13"/>
  <c r="BK37" i="13"/>
  <c r="BI39" i="13"/>
  <c r="BQ39" i="13"/>
  <c r="BM40" i="13"/>
  <c r="BG16" i="13"/>
  <c r="BO16" i="13"/>
  <c r="BK17" i="13"/>
  <c r="BG18" i="13"/>
  <c r="BG22" i="13"/>
  <c r="BO22" i="13"/>
  <c r="BM24" i="13"/>
  <c r="BM32" i="13"/>
  <c r="BK39" i="13"/>
  <c r="BG40" i="13"/>
  <c r="BO40" i="13"/>
  <c r="BL17" i="13"/>
  <c r="BH18" i="13"/>
  <c r="BG28" i="13"/>
  <c r="BO28" i="13"/>
  <c r="BI29" i="13"/>
  <c r="BQ29" i="13"/>
  <c r="BM29" i="13"/>
  <c r="BL33" i="13"/>
  <c r="BK35" i="13"/>
  <c r="BO20" i="13"/>
  <c r="BI21" i="13"/>
  <c r="BQ21" i="13"/>
  <c r="BM21" i="13"/>
  <c r="BG24" i="13"/>
  <c r="BO24" i="13"/>
  <c r="BG32" i="13"/>
  <c r="BO32" i="13"/>
  <c r="BI33" i="13"/>
  <c r="BQ33" i="13"/>
  <c r="BM36" i="13"/>
  <c r="B44" i="13"/>
  <c r="BF25" i="13"/>
  <c r="BF44" i="13" s="1"/>
  <c r="BN25" i="13"/>
  <c r="BI65" i="13"/>
  <c r="BF52" i="13"/>
  <c r="BN52" i="13"/>
  <c r="BJ65" i="13"/>
  <c r="I44" i="13"/>
  <c r="BM25" i="13"/>
  <c r="BG10" i="13"/>
  <c r="BL12" i="13"/>
  <c r="BF50" i="13"/>
  <c r="B83" i="13"/>
  <c r="BK52" i="13"/>
  <c r="BI10" i="13"/>
  <c r="I42" i="13"/>
  <c r="F43" i="13"/>
  <c r="BF12" i="13"/>
  <c r="BN12" i="13"/>
  <c r="AW10" i="13"/>
  <c r="BO12" i="13"/>
  <c r="AS13" i="13"/>
  <c r="T42" i="13"/>
  <c r="AD44" i="13"/>
  <c r="AT15" i="13"/>
  <c r="AX20" i="13"/>
  <c r="Y41" i="13"/>
  <c r="AI44" i="13"/>
  <c r="BP52" i="13"/>
  <c r="AK85" i="13"/>
  <c r="U124" i="13"/>
  <c r="AW105" i="13"/>
  <c r="W42" i="13"/>
  <c r="W41" i="13"/>
  <c r="AG41" i="13"/>
  <c r="AG42" i="13"/>
  <c r="AO41" i="13"/>
  <c r="AO42" i="13"/>
  <c r="AY10" i="13"/>
  <c r="BM11" i="13"/>
  <c r="BM13" i="13"/>
  <c r="BI14" i="13"/>
  <c r="BQ14" i="13"/>
  <c r="BM15" i="13"/>
  <c r="BI16" i="13"/>
  <c r="BQ16" i="13"/>
  <c r="BM17" i="13"/>
  <c r="BI18" i="13"/>
  <c r="BQ18" i="13"/>
  <c r="BM19" i="13"/>
  <c r="BI20" i="13"/>
  <c r="BQ20" i="13"/>
  <c r="AV21" i="13"/>
  <c r="AR22" i="13"/>
  <c r="AX23" i="13"/>
  <c r="AV24" i="13"/>
  <c r="AZ24" i="13"/>
  <c r="R44" i="13"/>
  <c r="L42" i="13"/>
  <c r="Z44" i="13"/>
  <c r="AJ44" i="13"/>
  <c r="AV25" i="13"/>
  <c r="AR26" i="13"/>
  <c r="BN27" i="13"/>
  <c r="AX27" i="13"/>
  <c r="AV28" i="13"/>
  <c r="AZ28" i="13"/>
  <c r="AV29" i="13"/>
  <c r="AR30" i="13"/>
  <c r="AX31" i="13"/>
  <c r="AV32" i="13"/>
  <c r="AZ32" i="13"/>
  <c r="BB33" i="13"/>
  <c r="BA34" i="13"/>
  <c r="AR38" i="13"/>
  <c r="AV39" i="13"/>
  <c r="AA41" i="13"/>
  <c r="AG43" i="13"/>
  <c r="AK44" i="13"/>
  <c r="AO45" i="13"/>
  <c r="Q85" i="13"/>
  <c r="Q83" i="13"/>
  <c r="Q82" i="13"/>
  <c r="Q81" i="13"/>
  <c r="Y85" i="13"/>
  <c r="Y83" i="13"/>
  <c r="Y82" i="13"/>
  <c r="Y81" i="13"/>
  <c r="AI85" i="13"/>
  <c r="AI83" i="13"/>
  <c r="AI81" i="13"/>
  <c r="AI82" i="13"/>
  <c r="BI52" i="13"/>
  <c r="BQ52" i="13"/>
  <c r="BA52" i="13"/>
  <c r="BA85" i="13" s="1"/>
  <c r="AU58" i="13"/>
  <c r="AU83" i="13" s="1"/>
  <c r="BA60" i="13"/>
  <c r="W84" i="13"/>
  <c r="AO84" i="13"/>
  <c r="BO66" i="13"/>
  <c r="Y84" i="13"/>
  <c r="AU66" i="13"/>
  <c r="BA68" i="13"/>
  <c r="BL72" i="13"/>
  <c r="AX72" i="13"/>
  <c r="BA73" i="13"/>
  <c r="M123" i="13"/>
  <c r="BQ90" i="13"/>
  <c r="W122" i="13"/>
  <c r="W121" i="13"/>
  <c r="W123" i="13"/>
  <c r="AY90" i="13"/>
  <c r="W125" i="13"/>
  <c r="AG121" i="13"/>
  <c r="AG122" i="13"/>
  <c r="AG125" i="13"/>
  <c r="AG123" i="13"/>
  <c r="AO121" i="13"/>
  <c r="AO122" i="13"/>
  <c r="AO123" i="13"/>
  <c r="AO125" i="13"/>
  <c r="BA11" i="13"/>
  <c r="AW18" i="13"/>
  <c r="L43" i="13"/>
  <c r="AX12" i="13"/>
  <c r="AX16" i="13"/>
  <c r="BB17" i="13"/>
  <c r="BB19" i="13"/>
  <c r="AS40" i="13"/>
  <c r="AH82" i="13"/>
  <c r="BH52" i="13"/>
  <c r="F41" i="13"/>
  <c r="P42" i="13"/>
  <c r="P41" i="13"/>
  <c r="X42" i="13"/>
  <c r="X41" i="13"/>
  <c r="AH42" i="13"/>
  <c r="AR10" i="13"/>
  <c r="AZ10" i="13"/>
  <c r="BJ10" i="13"/>
  <c r="AV11" i="13"/>
  <c r="AR12" i="13"/>
  <c r="AZ12" i="13"/>
  <c r="BJ12" i="13"/>
  <c r="AV13" i="13"/>
  <c r="AR14" i="13"/>
  <c r="AZ14" i="13"/>
  <c r="AV15" i="13"/>
  <c r="AR16" i="13"/>
  <c r="AZ16" i="13"/>
  <c r="AV17" i="13"/>
  <c r="AR18" i="13"/>
  <c r="AZ18" i="13"/>
  <c r="AV19" i="13"/>
  <c r="AR20" i="13"/>
  <c r="AZ20" i="13"/>
  <c r="AS22" i="13"/>
  <c r="C44" i="13"/>
  <c r="E44" i="13"/>
  <c r="BI25" i="13"/>
  <c r="M44" i="13"/>
  <c r="BQ25" i="13"/>
  <c r="AS26" i="13"/>
  <c r="AS44" i="13" s="1"/>
  <c r="AS30" i="13"/>
  <c r="AS38" i="13"/>
  <c r="AZ40" i="13"/>
  <c r="AH43" i="13"/>
  <c r="Q44" i="13"/>
  <c r="U45" i="13"/>
  <c r="AV82" i="13"/>
  <c r="AY51" i="13"/>
  <c r="BJ52" i="13"/>
  <c r="AR57" i="13"/>
  <c r="AY59" i="13"/>
  <c r="P84" i="13"/>
  <c r="BN65" i="13"/>
  <c r="AR65" i="13"/>
  <c r="AY67" i="13"/>
  <c r="AY84" i="13" s="1"/>
  <c r="BO72" i="13"/>
  <c r="BO84" i="13" s="1"/>
  <c r="BJ76" i="13"/>
  <c r="AV76" i="13"/>
  <c r="BN105" i="13"/>
  <c r="BG12" i="13"/>
  <c r="BA17" i="13"/>
  <c r="AW20" i="13"/>
  <c r="AT44" i="13"/>
  <c r="U84" i="13"/>
  <c r="G81" i="13"/>
  <c r="BL74" i="13"/>
  <c r="AX74" i="13"/>
  <c r="BN79" i="13"/>
  <c r="AZ79" i="13"/>
  <c r="AR79" i="13"/>
  <c r="V42" i="13"/>
  <c r="V41" i="13"/>
  <c r="V45" i="13"/>
  <c r="V43" i="13"/>
  <c r="AX10" i="13"/>
  <c r="BB11" i="13"/>
  <c r="BB15" i="13"/>
  <c r="AT17" i="13"/>
  <c r="Y42" i="13"/>
  <c r="AM45" i="13"/>
  <c r="BO105" i="13"/>
  <c r="Q45" i="13"/>
  <c r="Q43" i="13"/>
  <c r="Y45" i="13"/>
  <c r="Y43" i="13"/>
  <c r="AI45" i="13"/>
  <c r="AI43" i="13"/>
  <c r="AI41" i="13"/>
  <c r="AS10" i="13"/>
  <c r="BA10" i="13"/>
  <c r="BG11" i="13"/>
  <c r="BO13" i="13"/>
  <c r="BK14" i="13"/>
  <c r="BG15" i="13"/>
  <c r="BO15" i="13"/>
  <c r="BK16" i="13"/>
  <c r="BG17" i="13"/>
  <c r="BG19" i="13"/>
  <c r="BO19" i="13"/>
  <c r="AT22" i="13"/>
  <c r="BB22" i="13"/>
  <c r="AX22" i="13"/>
  <c r="AR23" i="13"/>
  <c r="AZ23" i="13"/>
  <c r="H44" i="13"/>
  <c r="F44" i="13"/>
  <c r="BJ25" i="13"/>
  <c r="BB44" i="13"/>
  <c r="AT26" i="13"/>
  <c r="BB26" i="13"/>
  <c r="AX26" i="13"/>
  <c r="AR27" i="13"/>
  <c r="AZ27" i="13"/>
  <c r="AT30" i="13"/>
  <c r="BB30" i="13"/>
  <c r="AX30" i="13"/>
  <c r="AR31" i="13"/>
  <c r="AZ31" i="13"/>
  <c r="AR36" i="13"/>
  <c r="AS37" i="13"/>
  <c r="BA37" i="13"/>
  <c r="AT38" i="13"/>
  <c r="BB38" i="13"/>
  <c r="AX38" i="13"/>
  <c r="BB39" i="13"/>
  <c r="BJ40" i="13"/>
  <c r="AV40" i="13"/>
  <c r="BA40" i="13"/>
  <c r="AH41" i="13"/>
  <c r="AI42" i="13"/>
  <c r="S44" i="13"/>
  <c r="W45" i="13"/>
  <c r="S82" i="13"/>
  <c r="S81" i="13"/>
  <c r="S83" i="13"/>
  <c r="S85" i="13"/>
  <c r="AA82" i="13"/>
  <c r="AA81" i="13"/>
  <c r="AA85" i="13"/>
  <c r="AK81" i="13"/>
  <c r="AK82" i="13"/>
  <c r="AK83" i="13"/>
  <c r="BA82" i="13"/>
  <c r="BI51" i="13"/>
  <c r="AU51" i="13"/>
  <c r="AU82" i="13" s="1"/>
  <c r="BC51" i="13"/>
  <c r="AZ51" i="13"/>
  <c r="AW52" i="13"/>
  <c r="AY54" i="13"/>
  <c r="AS57" i="13"/>
  <c r="AS85" i="13" s="1"/>
  <c r="BA57" i="13"/>
  <c r="BA81" i="13" s="1"/>
  <c r="AW57" i="13"/>
  <c r="AU59" i="13"/>
  <c r="BC59" i="13"/>
  <c r="AZ59" i="13"/>
  <c r="AW60" i="13"/>
  <c r="AY62" i="13"/>
  <c r="Q84" i="13"/>
  <c r="BA65" i="13"/>
  <c r="AI84" i="13"/>
  <c r="AW65" i="13"/>
  <c r="BI67" i="13"/>
  <c r="AU67" i="13"/>
  <c r="BC67" i="13"/>
  <c r="AZ67" i="13"/>
  <c r="AW68" i="13"/>
  <c r="P81" i="13"/>
  <c r="AM124" i="13"/>
  <c r="BP132" i="13"/>
  <c r="BL191" i="13"/>
  <c r="AX191" i="13"/>
  <c r="AM41" i="13"/>
  <c r="AM42" i="13"/>
  <c r="J82" i="13"/>
  <c r="J81" i="13"/>
  <c r="J83" i="13"/>
  <c r="AF41" i="13"/>
  <c r="AF42" i="13"/>
  <c r="AF45" i="13"/>
  <c r="AF43" i="13"/>
  <c r="BB13" i="13"/>
  <c r="AR51" i="13"/>
  <c r="BC54" i="13"/>
  <c r="BC83" i="13" s="1"/>
  <c r="AH84" i="13"/>
  <c r="AE124" i="13"/>
  <c r="R45" i="13"/>
  <c r="R43" i="13"/>
  <c r="R42" i="13"/>
  <c r="R41" i="13"/>
  <c r="Z45" i="13"/>
  <c r="Z43" i="13"/>
  <c r="Z42" i="13"/>
  <c r="Z41" i="13"/>
  <c r="AJ45" i="13"/>
  <c r="AJ43" i="13"/>
  <c r="AJ42" i="13"/>
  <c r="AT10" i="13"/>
  <c r="BB10" i="13"/>
  <c r="BH11" i="13"/>
  <c r="BH13" i="13"/>
  <c r="BL18" i="13"/>
  <c r="BH19" i="13"/>
  <c r="BC21" i="13"/>
  <c r="AU22" i="13"/>
  <c r="BC22" i="13"/>
  <c r="AY22" i="13"/>
  <c r="AS23" i="13"/>
  <c r="BA23" i="13"/>
  <c r="U44" i="13"/>
  <c r="AE44" i="13"/>
  <c r="AM44" i="13"/>
  <c r="BC25" i="13"/>
  <c r="AU26" i="13"/>
  <c r="BC26" i="13"/>
  <c r="AY26" i="13"/>
  <c r="AS27" i="13"/>
  <c r="BA27" i="13"/>
  <c r="BC29" i="13"/>
  <c r="AU30" i="13"/>
  <c r="AU44" i="13" s="1"/>
  <c r="BC30" i="13"/>
  <c r="AY30" i="13"/>
  <c r="AS31" i="13"/>
  <c r="BA31" i="13"/>
  <c r="AX33" i="13"/>
  <c r="AR35" i="13"/>
  <c r="AZ35" i="13"/>
  <c r="AS36" i="13"/>
  <c r="AW37" i="13"/>
  <c r="AW40" i="13"/>
  <c r="AJ41" i="13"/>
  <c r="P43" i="13"/>
  <c r="AO43" i="13"/>
  <c r="T44" i="13"/>
  <c r="X45" i="13"/>
  <c r="G83" i="13"/>
  <c r="T82" i="13"/>
  <c r="T81" i="13"/>
  <c r="T85" i="13"/>
  <c r="AD81" i="13"/>
  <c r="AD82" i="13"/>
  <c r="AL81" i="13"/>
  <c r="AL82" i="13"/>
  <c r="AL83" i="13"/>
  <c r="AV51" i="13"/>
  <c r="AV85" i="13" s="1"/>
  <c r="AR54" i="13"/>
  <c r="AZ54" i="13"/>
  <c r="AR55" i="13"/>
  <c r="BC58" i="13"/>
  <c r="AV59" i="13"/>
  <c r="AR62" i="13"/>
  <c r="AZ62" i="13"/>
  <c r="AR63" i="13"/>
  <c r="BC66" i="13"/>
  <c r="AV67" i="13"/>
  <c r="AS70" i="13"/>
  <c r="BA70" i="13"/>
  <c r="AW70" i="13"/>
  <c r="AS72" i="13"/>
  <c r="BK80" i="13"/>
  <c r="AW80" i="13"/>
  <c r="W81" i="13"/>
  <c r="P82" i="13"/>
  <c r="BG92" i="13"/>
  <c r="BO92" i="13"/>
  <c r="AE41" i="13"/>
  <c r="AE42" i="13"/>
  <c r="BL44" i="13"/>
  <c r="K84" i="13"/>
  <c r="BK103" i="13"/>
  <c r="AW103" i="13"/>
  <c r="AN41" i="13"/>
  <c r="AN42" i="13"/>
  <c r="AN45" i="13"/>
  <c r="AN43" i="13"/>
  <c r="BP10" i="13"/>
  <c r="BN50" i="13"/>
  <c r="S45" i="13"/>
  <c r="S43" i="13"/>
  <c r="AA45" i="13"/>
  <c r="AA43" i="13"/>
  <c r="AK45" i="13"/>
  <c r="AK43" i="13"/>
  <c r="AU10" i="13"/>
  <c r="BC10" i="13"/>
  <c r="BM10" i="13"/>
  <c r="BM12" i="13"/>
  <c r="AV23" i="13"/>
  <c r="AR24" i="13"/>
  <c r="V44" i="13"/>
  <c r="AF44" i="13"/>
  <c r="AN44" i="13"/>
  <c r="AV27" i="13"/>
  <c r="AR28" i="13"/>
  <c r="AV31" i="13"/>
  <c r="AR32" i="13"/>
  <c r="AR34" i="13"/>
  <c r="AV35" i="13"/>
  <c r="AX36" i="13"/>
  <c r="BB37" i="13"/>
  <c r="AV38" i="13"/>
  <c r="BA38" i="13"/>
  <c r="Q41" i="13"/>
  <c r="AK41" i="13"/>
  <c r="Q42" i="13"/>
  <c r="Y44" i="13"/>
  <c r="AE45" i="13"/>
  <c r="U83" i="13"/>
  <c r="AE85" i="13"/>
  <c r="AY52" i="13"/>
  <c r="BM52" i="13"/>
  <c r="AU54" i="13"/>
  <c r="AS55" i="13"/>
  <c r="BA55" i="13"/>
  <c r="AW55" i="13"/>
  <c r="BA56" i="13"/>
  <c r="AU57" i="13"/>
  <c r="AU81" i="13" s="1"/>
  <c r="BC57" i="13"/>
  <c r="AZ57" i="13"/>
  <c r="AW58" i="13"/>
  <c r="AY60" i="13"/>
  <c r="AU62" i="13"/>
  <c r="AS63" i="13"/>
  <c r="BA63" i="13"/>
  <c r="AW63" i="13"/>
  <c r="BA64" i="13"/>
  <c r="AZ65" i="13"/>
  <c r="AZ84" i="13" s="1"/>
  <c r="AW66" i="13"/>
  <c r="AY68" i="13"/>
  <c r="AT70" i="13"/>
  <c r="BB70" i="13"/>
  <c r="BK78" i="13"/>
  <c r="AW78" i="13"/>
  <c r="X81" i="13"/>
  <c r="W82" i="13"/>
  <c r="T83" i="13"/>
  <c r="AS133" i="13"/>
  <c r="BO133" i="13"/>
  <c r="BA133" i="13"/>
  <c r="BM139" i="13"/>
  <c r="AY139" i="13"/>
  <c r="BG147" i="13"/>
  <c r="AS147" i="13"/>
  <c r="BO147" i="13"/>
  <c r="BA147" i="13"/>
  <c r="BA164" i="13" s="1"/>
  <c r="U42" i="13"/>
  <c r="U41" i="13"/>
  <c r="BO10" i="13"/>
  <c r="T41" i="13"/>
  <c r="BG103" i="13"/>
  <c r="AE122" i="13"/>
  <c r="BH12" i="13"/>
  <c r="AR59" i="13"/>
  <c r="BC62" i="13"/>
  <c r="AR67" i="13"/>
  <c r="T45" i="13"/>
  <c r="T43" i="13"/>
  <c r="AD45" i="13"/>
  <c r="AD43" i="13"/>
  <c r="AD41" i="13"/>
  <c r="AL45" i="13"/>
  <c r="AL43" i="13"/>
  <c r="AL41" i="13"/>
  <c r="AV10" i="13"/>
  <c r="AY21" i="13"/>
  <c r="AW22" i="13"/>
  <c r="BA22" i="13"/>
  <c r="AW23" i="13"/>
  <c r="AS24" i="13"/>
  <c r="W44" i="13"/>
  <c r="AG44" i="13"/>
  <c r="AO44" i="13"/>
  <c r="BG25" i="13"/>
  <c r="AW26" i="13"/>
  <c r="AW44" i="13" s="1"/>
  <c r="BA26" i="13"/>
  <c r="AW27" i="13"/>
  <c r="AS28" i="13"/>
  <c r="AY29" i="13"/>
  <c r="AW30" i="13"/>
  <c r="BA30" i="13"/>
  <c r="BA44" i="13" s="1"/>
  <c r="AW31" i="13"/>
  <c r="AS32" i="13"/>
  <c r="AR33" i="13"/>
  <c r="AZ33" i="13"/>
  <c r="AT33" i="13"/>
  <c r="AS34" i="13"/>
  <c r="AW35" i="13"/>
  <c r="AZ36" i="13"/>
  <c r="AW38" i="13"/>
  <c r="AX39" i="13"/>
  <c r="S41" i="13"/>
  <c r="S42" i="13"/>
  <c r="W43" i="13"/>
  <c r="AA44" i="13"/>
  <c r="AG45" i="13"/>
  <c r="BK50" i="13"/>
  <c r="AR52" i="13"/>
  <c r="AZ52" i="13"/>
  <c r="AS52" i="13"/>
  <c r="AS82" i="13" s="1"/>
  <c r="AR53" i="13"/>
  <c r="AV54" i="13"/>
  <c r="AY55" i="13"/>
  <c r="BC56" i="13"/>
  <c r="AV57" i="13"/>
  <c r="AR60" i="13"/>
  <c r="AZ60" i="13"/>
  <c r="AS60" i="13"/>
  <c r="AR61" i="13"/>
  <c r="AV62" i="13"/>
  <c r="AY63" i="13"/>
  <c r="AR68" i="13"/>
  <c r="AZ68" i="13"/>
  <c r="AS68" i="13"/>
  <c r="AR69" i="13"/>
  <c r="BQ70" i="13"/>
  <c r="BC70" i="13"/>
  <c r="BK71" i="13"/>
  <c r="AW71" i="13"/>
  <c r="AS75" i="13"/>
  <c r="BL78" i="13"/>
  <c r="AX78" i="13"/>
  <c r="X82" i="13"/>
  <c r="AA83" i="13"/>
  <c r="X84" i="13"/>
  <c r="BJ92" i="13"/>
  <c r="Y161" i="13"/>
  <c r="AI164" i="13"/>
  <c r="BF149" i="13"/>
  <c r="B164" i="13"/>
  <c r="AU33" i="13"/>
  <c r="BC33" i="13"/>
  <c r="AY34" i="13"/>
  <c r="AU35" i="13"/>
  <c r="BC35" i="13"/>
  <c r="AY36" i="13"/>
  <c r="AU37" i="13"/>
  <c r="BC37" i="13"/>
  <c r="AY38" i="13"/>
  <c r="AU39" i="13"/>
  <c r="BC39" i="13"/>
  <c r="AY40" i="13"/>
  <c r="H83" i="13"/>
  <c r="H82" i="13"/>
  <c r="R85" i="13"/>
  <c r="R83" i="13"/>
  <c r="R82" i="13"/>
  <c r="R81" i="13"/>
  <c r="Z85" i="13"/>
  <c r="Z83" i="13"/>
  <c r="Z82" i="13"/>
  <c r="Z81" i="13"/>
  <c r="AJ85" i="13"/>
  <c r="AJ83" i="13"/>
  <c r="AJ81" i="13"/>
  <c r="AJ82" i="13"/>
  <c r="AT50" i="13"/>
  <c r="BB50" i="13"/>
  <c r="BL50" i="13"/>
  <c r="AX51" i="13"/>
  <c r="AT52" i="13"/>
  <c r="BB52" i="13"/>
  <c r="BL52" i="13"/>
  <c r="AX53" i="13"/>
  <c r="AT54" i="13"/>
  <c r="BB54" i="13"/>
  <c r="AX55" i="13"/>
  <c r="AT56" i="13"/>
  <c r="BB56" i="13"/>
  <c r="AX57" i="13"/>
  <c r="AT58" i="13"/>
  <c r="BB58" i="13"/>
  <c r="AX59" i="13"/>
  <c r="AT60" i="13"/>
  <c r="BB60" i="13"/>
  <c r="AX61" i="13"/>
  <c r="AT62" i="13"/>
  <c r="BB62" i="13"/>
  <c r="AX63" i="13"/>
  <c r="AT64" i="13"/>
  <c r="BB64" i="13"/>
  <c r="L84" i="13"/>
  <c r="V84" i="13"/>
  <c r="AF84" i="13"/>
  <c r="AN84" i="13"/>
  <c r="AX65" i="13"/>
  <c r="BH65" i="13"/>
  <c r="BP65" i="13"/>
  <c r="AT66" i="13"/>
  <c r="BB66" i="13"/>
  <c r="AX67" i="13"/>
  <c r="AT68" i="13"/>
  <c r="BB68" i="13"/>
  <c r="AX69" i="13"/>
  <c r="AV70" i="13"/>
  <c r="AV103" i="13"/>
  <c r="BJ103" i="13"/>
  <c r="BM105" i="13"/>
  <c r="BH116" i="13"/>
  <c r="AT116" i="13"/>
  <c r="BP116" i="13"/>
  <c r="BB116" i="13"/>
  <c r="AW160" i="13"/>
  <c r="BK160" i="13"/>
  <c r="BA160" i="13"/>
  <c r="BO160" i="13"/>
  <c r="AX25" i="13"/>
  <c r="U82" i="13"/>
  <c r="U81" i="13"/>
  <c r="AE81" i="13"/>
  <c r="AE82" i="13"/>
  <c r="AM81" i="13"/>
  <c r="AM82" i="13"/>
  <c r="AW50" i="13"/>
  <c r="AS65" i="13"/>
  <c r="BP70" i="13"/>
  <c r="AY70" i="13"/>
  <c r="BH71" i="13"/>
  <c r="AY71" i="13"/>
  <c r="BM71" i="13"/>
  <c r="BB73" i="13"/>
  <c r="AS79" i="13"/>
  <c r="AS80" i="13"/>
  <c r="BA80" i="13"/>
  <c r="AE83" i="13"/>
  <c r="AM85" i="13"/>
  <c r="P122" i="13"/>
  <c r="P121" i="13"/>
  <c r="P125" i="13"/>
  <c r="P123" i="13"/>
  <c r="X122" i="13"/>
  <c r="X121" i="13"/>
  <c r="X123" i="13"/>
  <c r="X125" i="13"/>
  <c r="AH121" i="13"/>
  <c r="AH122" i="13"/>
  <c r="AH125" i="13"/>
  <c r="AH123" i="13"/>
  <c r="AR90" i="13"/>
  <c r="AV91" i="13"/>
  <c r="AV93" i="13"/>
  <c r="AV95" i="13"/>
  <c r="BM102" i="13"/>
  <c r="AY102" i="13"/>
  <c r="BN103" i="13"/>
  <c r="BM104" i="13"/>
  <c r="AY104" i="13"/>
  <c r="BL113" i="13"/>
  <c r="AX113" i="13"/>
  <c r="AA122" i="13"/>
  <c r="BK138" i="13"/>
  <c r="AW138" i="13"/>
  <c r="BH143" i="13"/>
  <c r="AT143" i="13"/>
  <c r="BP143" i="13"/>
  <c r="BB143" i="13"/>
  <c r="BM170" i="13"/>
  <c r="AY25" i="13"/>
  <c r="AY44" i="13" s="1"/>
  <c r="V82" i="13"/>
  <c r="V81" i="13"/>
  <c r="V85" i="13"/>
  <c r="V83" i="13"/>
  <c r="AF82" i="13"/>
  <c r="AF85" i="13"/>
  <c r="AF83" i="13"/>
  <c r="AN82" i="13"/>
  <c r="AN85" i="13"/>
  <c r="AN83" i="13"/>
  <c r="AX50" i="13"/>
  <c r="R84" i="13"/>
  <c r="Z84" i="13"/>
  <c r="AJ84" i="13"/>
  <c r="AT65" i="13"/>
  <c r="BB65" i="13"/>
  <c r="BH70" i="13"/>
  <c r="BG72" i="13"/>
  <c r="BG73" i="13"/>
  <c r="BG74" i="13"/>
  <c r="BG75" i="13"/>
  <c r="AR77" i="13"/>
  <c r="AR78" i="13"/>
  <c r="AZ78" i="13"/>
  <c r="AV78" i="13"/>
  <c r="AT79" i="13"/>
  <c r="AT80" i="13"/>
  <c r="BB80" i="13"/>
  <c r="AX80" i="13"/>
  <c r="AF81" i="13"/>
  <c r="Q122" i="13"/>
  <c r="Q121" i="13"/>
  <c r="Q125" i="13"/>
  <c r="Q123" i="13"/>
  <c r="Y122" i="13"/>
  <c r="Y121" i="13"/>
  <c r="Y123" i="13"/>
  <c r="Y125" i="13"/>
  <c r="AI121" i="13"/>
  <c r="AI122" i="13"/>
  <c r="AI125" i="13"/>
  <c r="AI123" i="13"/>
  <c r="AS90" i="13"/>
  <c r="BC91" i="13"/>
  <c r="BC93" i="13"/>
  <c r="BC95" i="13"/>
  <c r="AZ99" i="13"/>
  <c r="BN99" i="13"/>
  <c r="AR99" i="13"/>
  <c r="AT101" i="13"/>
  <c r="BH101" i="13"/>
  <c r="BB101" i="13"/>
  <c r="BP101" i="13"/>
  <c r="AZ102" i="13"/>
  <c r="BN102" i="13"/>
  <c r="AR103" i="13"/>
  <c r="BN104" i="13"/>
  <c r="AZ104" i="13"/>
  <c r="AZ121" i="13" s="1"/>
  <c r="AR104" i="13"/>
  <c r="BM111" i="13"/>
  <c r="AY111" i="13"/>
  <c r="BN112" i="13"/>
  <c r="AZ112" i="13"/>
  <c r="AR112" i="13"/>
  <c r="BI142" i="13"/>
  <c r="AU142" i="13"/>
  <c r="AR25" i="13"/>
  <c r="AZ25" i="13"/>
  <c r="W85" i="13"/>
  <c r="W83" i="13"/>
  <c r="AG85" i="13"/>
  <c r="AG83" i="13"/>
  <c r="AO85" i="13"/>
  <c r="AO83" i="13"/>
  <c r="AY50" i="13"/>
  <c r="S84" i="13"/>
  <c r="AA84" i="13"/>
  <c r="AK84" i="13"/>
  <c r="AU65" i="13"/>
  <c r="BC65" i="13"/>
  <c r="BC84" i="13" s="1"/>
  <c r="AS77" i="13"/>
  <c r="AS78" i="13"/>
  <c r="BA78" i="13"/>
  <c r="AG81" i="13"/>
  <c r="U85" i="13"/>
  <c r="BM92" i="13"/>
  <c r="BQ101" i="13"/>
  <c r="BC101" i="13"/>
  <c r="BI110" i="13"/>
  <c r="AU110" i="13"/>
  <c r="BQ110" i="13"/>
  <c r="BC110" i="13"/>
  <c r="BM137" i="13"/>
  <c r="AY137" i="13"/>
  <c r="BI152" i="13"/>
  <c r="AU152" i="13"/>
  <c r="BQ152" i="13"/>
  <c r="BC152" i="13"/>
  <c r="P85" i="13"/>
  <c r="P83" i="13"/>
  <c r="X85" i="13"/>
  <c r="X83" i="13"/>
  <c r="AH85" i="13"/>
  <c r="AH83" i="13"/>
  <c r="AR50" i="13"/>
  <c r="AZ50" i="13"/>
  <c r="T84" i="13"/>
  <c r="AD84" i="13"/>
  <c r="AL84" i="13"/>
  <c r="AV65" i="13"/>
  <c r="BJ72" i="13"/>
  <c r="AT72" i="13"/>
  <c r="BB72" i="13"/>
  <c r="AT73" i="13"/>
  <c r="BJ74" i="13"/>
  <c r="AT74" i="13"/>
  <c r="BB74" i="13"/>
  <c r="BJ75" i="13"/>
  <c r="AT75" i="13"/>
  <c r="AR76" i="13"/>
  <c r="AZ76" i="13"/>
  <c r="AT77" i="13"/>
  <c r="AT78" i="13"/>
  <c r="BB78" i="13"/>
  <c r="AV79" i="13"/>
  <c r="AH81" i="13"/>
  <c r="AM83" i="13"/>
  <c r="AZ123" i="13"/>
  <c r="BF92" i="13"/>
  <c r="BN92" i="13"/>
  <c r="AR92" i="13"/>
  <c r="AR94" i="13"/>
  <c r="AR96" i="13"/>
  <c r="AX97" i="13"/>
  <c r="BL97" i="13"/>
  <c r="AX100" i="13"/>
  <c r="BL100" i="13"/>
  <c r="BK136" i="13"/>
  <c r="AW136" i="13"/>
  <c r="AW91" i="13"/>
  <c r="AS92" i="13"/>
  <c r="BA92" i="13"/>
  <c r="BA121" i="13" s="1"/>
  <c r="BK92" i="13"/>
  <c r="AW93" i="13"/>
  <c r="AS94" i="13"/>
  <c r="BA94" i="13"/>
  <c r="AW95" i="13"/>
  <c r="AS96" i="13"/>
  <c r="BA96" i="13"/>
  <c r="AS102" i="13"/>
  <c r="AS104" i="13"/>
  <c r="BM107" i="13"/>
  <c r="AY107" i="13"/>
  <c r="BJ109" i="13"/>
  <c r="AV109" i="13"/>
  <c r="BQ118" i="13"/>
  <c r="BC118" i="13"/>
  <c r="BM119" i="13"/>
  <c r="AY119" i="13"/>
  <c r="BM130" i="13"/>
  <c r="U162" i="13"/>
  <c r="U161" i="13"/>
  <c r="U165" i="13"/>
  <c r="AW130" i="13"/>
  <c r="U163" i="13"/>
  <c r="AE162" i="13"/>
  <c r="AE161" i="13"/>
  <c r="AE165" i="13"/>
  <c r="AE163" i="13"/>
  <c r="AM162" i="13"/>
  <c r="AM163" i="13"/>
  <c r="AM161" i="13"/>
  <c r="BL140" i="13"/>
  <c r="AX140" i="13"/>
  <c r="BI72" i="13"/>
  <c r="BQ72" i="13"/>
  <c r="BM73" i="13"/>
  <c r="BI74" i="13"/>
  <c r="BQ74" i="13"/>
  <c r="BM75" i="13"/>
  <c r="BI76" i="13"/>
  <c r="BQ76" i="13"/>
  <c r="BM77" i="13"/>
  <c r="BI78" i="13"/>
  <c r="BQ78" i="13"/>
  <c r="BM79" i="13"/>
  <c r="BI80" i="13"/>
  <c r="BQ80" i="13"/>
  <c r="R122" i="13"/>
  <c r="R121" i="13"/>
  <c r="R123" i="13"/>
  <c r="Z122" i="13"/>
  <c r="Z121" i="13"/>
  <c r="Z125" i="13"/>
  <c r="AJ122" i="13"/>
  <c r="AJ121" i="13"/>
  <c r="AJ123" i="13"/>
  <c r="AT90" i="13"/>
  <c r="BB90" i="13"/>
  <c r="BH91" i="13"/>
  <c r="BP91" i="13"/>
  <c r="BH93" i="13"/>
  <c r="BP93" i="13"/>
  <c r="BL94" i="13"/>
  <c r="BH95" i="13"/>
  <c r="BP95" i="13"/>
  <c r="BL96" i="13"/>
  <c r="BH97" i="13"/>
  <c r="AS97" i="13"/>
  <c r="BA97" i="13"/>
  <c r="BH100" i="13"/>
  <c r="BJ102" i="13"/>
  <c r="BF103" i="13"/>
  <c r="AY103" i="13"/>
  <c r="BC103" i="13"/>
  <c r="AX104" i="13"/>
  <c r="AX106" i="13"/>
  <c r="BL106" i="13"/>
  <c r="BN108" i="13"/>
  <c r="AZ108" i="13"/>
  <c r="AR108" i="13"/>
  <c r="BP112" i="13"/>
  <c r="BB112" i="13"/>
  <c r="BN120" i="13"/>
  <c r="AZ120" i="13"/>
  <c r="AR120" i="13"/>
  <c r="Z123" i="13"/>
  <c r="AJ125" i="13"/>
  <c r="J162" i="13"/>
  <c r="BG139" i="13"/>
  <c r="AS139" i="13"/>
  <c r="BO139" i="13"/>
  <c r="BA139" i="13"/>
  <c r="BI144" i="13"/>
  <c r="AU144" i="13"/>
  <c r="AU161" i="13" s="1"/>
  <c r="F164" i="13"/>
  <c r="BL199" i="13"/>
  <c r="AX199" i="13"/>
  <c r="S125" i="13"/>
  <c r="S123" i="13"/>
  <c r="S122" i="13"/>
  <c r="S121" i="13"/>
  <c r="AA125" i="13"/>
  <c r="AA123" i="13"/>
  <c r="AK125" i="13"/>
  <c r="AK123" i="13"/>
  <c r="AK121" i="13"/>
  <c r="AK122" i="13"/>
  <c r="AU90" i="13"/>
  <c r="BC90" i="13"/>
  <c r="BJ97" i="13"/>
  <c r="AU97" i="13"/>
  <c r="BF98" i="13"/>
  <c r="AW99" i="13"/>
  <c r="AS100" i="13"/>
  <c r="AU102" i="13"/>
  <c r="BC102" i="13"/>
  <c r="AU104" i="13"/>
  <c r="BC104" i="13"/>
  <c r="BO108" i="13"/>
  <c r="BA108" i="13"/>
  <c r="AS108" i="13"/>
  <c r="BL109" i="13"/>
  <c r="AX109" i="13"/>
  <c r="BJ117" i="13"/>
  <c r="AV117" i="13"/>
  <c r="AT120" i="13"/>
  <c r="AA121" i="13"/>
  <c r="BP130" i="13"/>
  <c r="BM131" i="13"/>
  <c r="AY131" i="13"/>
  <c r="AG163" i="13"/>
  <c r="BI131" i="13"/>
  <c r="AO161" i="13"/>
  <c r="AO165" i="13"/>
  <c r="BQ134" i="13"/>
  <c r="BC134" i="13"/>
  <c r="BH135" i="13"/>
  <c r="AT135" i="13"/>
  <c r="AT162" i="13" s="1"/>
  <c r="BP135" i="13"/>
  <c r="BB135" i="13"/>
  <c r="BC136" i="13"/>
  <c r="AS141" i="13"/>
  <c r="BK145" i="13"/>
  <c r="BA149" i="13"/>
  <c r="AY154" i="13"/>
  <c r="BM154" i="13"/>
  <c r="AU154" i="13"/>
  <c r="BI154" i="13"/>
  <c r="AO163" i="13"/>
  <c r="BN182" i="13"/>
  <c r="AZ182" i="13"/>
  <c r="AR182" i="13"/>
  <c r="AR198" i="13"/>
  <c r="BF198" i="13"/>
  <c r="AZ198" i="13"/>
  <c r="BN198" i="13"/>
  <c r="T125" i="13"/>
  <c r="T123" i="13"/>
  <c r="T122" i="13"/>
  <c r="T121" i="13"/>
  <c r="AD125" i="13"/>
  <c r="AD123" i="13"/>
  <c r="AD122" i="13"/>
  <c r="AL125" i="13"/>
  <c r="AL123" i="13"/>
  <c r="AL121" i="13"/>
  <c r="AL122" i="13"/>
  <c r="AV90" i="13"/>
  <c r="AY101" i="13"/>
  <c r="BH103" i="13"/>
  <c r="AS103" i="13"/>
  <c r="BA103" i="13"/>
  <c r="AV104" i="13"/>
  <c r="B124" i="13"/>
  <c r="R124" i="13"/>
  <c r="Z124" i="13"/>
  <c r="AJ124" i="13"/>
  <c r="AR106" i="13"/>
  <c r="BP108" i="13"/>
  <c r="BB108" i="13"/>
  <c r="AT108" i="13"/>
  <c r="AT124" i="13" s="1"/>
  <c r="BQ114" i="13"/>
  <c r="BC114" i="13"/>
  <c r="BM115" i="13"/>
  <c r="AY115" i="13"/>
  <c r="BP120" i="13"/>
  <c r="BB120" i="13"/>
  <c r="AD121" i="13"/>
  <c r="S124" i="13"/>
  <c r="AX132" i="13"/>
  <c r="BH132" i="13"/>
  <c r="BK144" i="13"/>
  <c r="AW144" i="13"/>
  <c r="BK146" i="13"/>
  <c r="AW146" i="13"/>
  <c r="AF165" i="13"/>
  <c r="BM181" i="13"/>
  <c r="AY181" i="13"/>
  <c r="U125" i="13"/>
  <c r="U123" i="13"/>
  <c r="U122" i="13"/>
  <c r="U121" i="13"/>
  <c r="AE125" i="13"/>
  <c r="AE123" i="13"/>
  <c r="AE121" i="13"/>
  <c r="AM125" i="13"/>
  <c r="AM123" i="13"/>
  <c r="AM122" i="13"/>
  <c r="AW90" i="13"/>
  <c r="AS98" i="13"/>
  <c r="AU100" i="13"/>
  <c r="BC100" i="13"/>
  <c r="AW102" i="13"/>
  <c r="AW104" i="13"/>
  <c r="BA104" i="13"/>
  <c r="E124" i="13"/>
  <c r="BI105" i="13"/>
  <c r="AA124" i="13"/>
  <c r="AS106" i="13"/>
  <c r="BN116" i="13"/>
  <c r="AZ116" i="13"/>
  <c r="AR116" i="13"/>
  <c r="BL117" i="13"/>
  <c r="AX117" i="13"/>
  <c r="AM121" i="13"/>
  <c r="BG131" i="13"/>
  <c r="Q161" i="13"/>
  <c r="AS131" i="13"/>
  <c r="BO131" i="13"/>
  <c r="BA131" i="13"/>
  <c r="Y162" i="13"/>
  <c r="BI136" i="13"/>
  <c r="AU136" i="13"/>
  <c r="BQ145" i="13"/>
  <c r="W164" i="13"/>
  <c r="AY145" i="13"/>
  <c r="AG164" i="13"/>
  <c r="BM147" i="13"/>
  <c r="AY147" i="13"/>
  <c r="BC150" i="13"/>
  <c r="BH151" i="13"/>
  <c r="AT151" i="13"/>
  <c r="BP151" i="13"/>
  <c r="BB151" i="13"/>
  <c r="Q162" i="13"/>
  <c r="AM165" i="13"/>
  <c r="BL172" i="13"/>
  <c r="Q241" i="13"/>
  <c r="AS212" i="13"/>
  <c r="Q242" i="13"/>
  <c r="BA212" i="13"/>
  <c r="BK212" i="13"/>
  <c r="D121" i="13"/>
  <c r="V125" i="13"/>
  <c r="V123" i="13"/>
  <c r="AF125" i="13"/>
  <c r="AF123" i="13"/>
  <c r="AF121" i="13"/>
  <c r="AF122" i="13"/>
  <c r="AN125" i="13"/>
  <c r="AN123" i="13"/>
  <c r="AN121" i="13"/>
  <c r="AX90" i="13"/>
  <c r="BH90" i="13"/>
  <c r="BP90" i="13"/>
  <c r="BH92" i="13"/>
  <c r="BP92" i="13"/>
  <c r="BP99" i="13"/>
  <c r="BL103" i="13"/>
  <c r="T124" i="13"/>
  <c r="AD124" i="13"/>
  <c r="AL124" i="13"/>
  <c r="BB105" i="13"/>
  <c r="BH106" i="13"/>
  <c r="AT106" i="13"/>
  <c r="AY106" i="13"/>
  <c r="BJ113" i="13"/>
  <c r="AV113" i="13"/>
  <c r="AU118" i="13"/>
  <c r="AU124" i="13" s="1"/>
  <c r="V122" i="13"/>
  <c r="AJ161" i="13"/>
  <c r="BF133" i="13"/>
  <c r="BA141" i="13"/>
  <c r="BL148" i="13"/>
  <c r="BL164" i="13" s="1"/>
  <c r="AX148" i="13"/>
  <c r="AU172" i="13"/>
  <c r="BC172" i="13"/>
  <c r="BM172" i="13"/>
  <c r="BO180" i="13"/>
  <c r="BA180" i="13"/>
  <c r="AS112" i="13"/>
  <c r="AS116" i="13"/>
  <c r="AS120" i="13"/>
  <c r="V162" i="13"/>
  <c r="V161" i="13"/>
  <c r="V165" i="13"/>
  <c r="AF161" i="13"/>
  <c r="AF162" i="13"/>
  <c r="AF163" i="13"/>
  <c r="AN161" i="13"/>
  <c r="AN163" i="13"/>
  <c r="AN165" i="13"/>
  <c r="AF164" i="13"/>
  <c r="AN164" i="13"/>
  <c r="AY157" i="13"/>
  <c r="AA161" i="13"/>
  <c r="R162" i="13"/>
  <c r="R163" i="13"/>
  <c r="P205" i="13"/>
  <c r="P203" i="13"/>
  <c r="P202" i="13"/>
  <c r="X205" i="13"/>
  <c r="X203" i="13"/>
  <c r="X202" i="13"/>
  <c r="X201" i="13"/>
  <c r="AZ170" i="13"/>
  <c r="AH205" i="13"/>
  <c r="AH203" i="13"/>
  <c r="AH201" i="13"/>
  <c r="AH202" i="13"/>
  <c r="AR170" i="13"/>
  <c r="BJ171" i="13"/>
  <c r="AV171" i="13"/>
  <c r="AL201" i="13"/>
  <c r="BK177" i="13"/>
  <c r="AW177" i="13"/>
  <c r="BL183" i="13"/>
  <c r="AX183" i="13"/>
  <c r="K204" i="13"/>
  <c r="BK185" i="13"/>
  <c r="BN192" i="13"/>
  <c r="AZ192" i="13"/>
  <c r="AR192" i="13"/>
  <c r="BJ223" i="13"/>
  <c r="AV223" i="13"/>
  <c r="BA285" i="13"/>
  <c r="AS155" i="13"/>
  <c r="BG155" i="13"/>
  <c r="BA155" i="13"/>
  <c r="BO155" i="13"/>
  <c r="BL156" i="13"/>
  <c r="AX156" i="13"/>
  <c r="AU157" i="13"/>
  <c r="BI157" i="13"/>
  <c r="BC157" i="13"/>
  <c r="BQ157" i="13"/>
  <c r="BQ180" i="13"/>
  <c r="BC180" i="13"/>
  <c r="BN184" i="13"/>
  <c r="AZ184" i="13"/>
  <c r="AR184" i="13"/>
  <c r="AR186" i="13"/>
  <c r="BJ189" i="13"/>
  <c r="AV189" i="13"/>
  <c r="BM193" i="13"/>
  <c r="AY193" i="13"/>
  <c r="AU193" i="13"/>
  <c r="BI193" i="13"/>
  <c r="BQ212" i="13"/>
  <c r="BM212" i="13"/>
  <c r="BJ215" i="13"/>
  <c r="AV215" i="13"/>
  <c r="BJ219" i="13"/>
  <c r="AV219" i="13"/>
  <c r="AX105" i="13"/>
  <c r="AU107" i="13"/>
  <c r="BC107" i="13"/>
  <c r="BC124" i="13" s="1"/>
  <c r="AU108" i="13"/>
  <c r="AY110" i="13"/>
  <c r="AU111" i="13"/>
  <c r="BC111" i="13"/>
  <c r="AU112" i="13"/>
  <c r="AY114" i="13"/>
  <c r="AU115" i="13"/>
  <c r="BC115" i="13"/>
  <c r="AU116" i="13"/>
  <c r="AY118" i="13"/>
  <c r="AU119" i="13"/>
  <c r="BC119" i="13"/>
  <c r="AU120" i="13"/>
  <c r="AT132" i="13"/>
  <c r="AT165" i="13" s="1"/>
  <c r="BB132" i="13"/>
  <c r="BB133" i="13"/>
  <c r="BB165" i="13" s="1"/>
  <c r="AX135" i="13"/>
  <c r="AT140" i="13"/>
  <c r="BB140" i="13"/>
  <c r="BB141" i="13"/>
  <c r="AX143" i="13"/>
  <c r="BN145" i="13"/>
  <c r="J164" i="13"/>
  <c r="AT148" i="13"/>
  <c r="BB148" i="13"/>
  <c r="BB149" i="13"/>
  <c r="AX151" i="13"/>
  <c r="AY153" i="13"/>
  <c r="BM153" i="13"/>
  <c r="AW155" i="13"/>
  <c r="BN158" i="13"/>
  <c r="AZ158" i="13"/>
  <c r="AR158" i="13"/>
  <c r="V163" i="13"/>
  <c r="V164" i="13"/>
  <c r="R165" i="13"/>
  <c r="BO176" i="13"/>
  <c r="BA176" i="13"/>
  <c r="BM177" i="13"/>
  <c r="AY177" i="13"/>
  <c r="BN178" i="13"/>
  <c r="AZ178" i="13"/>
  <c r="AR178" i="13"/>
  <c r="BJ179" i="13"/>
  <c r="AV179" i="13"/>
  <c r="W204" i="13"/>
  <c r="AY185" i="13"/>
  <c r="AG204" i="13"/>
  <c r="AU186" i="13"/>
  <c r="AW195" i="13"/>
  <c r="BK195" i="13"/>
  <c r="P201" i="13"/>
  <c r="BI210" i="13"/>
  <c r="BN239" i="13"/>
  <c r="AZ239" i="13"/>
  <c r="AR239" i="13"/>
  <c r="W124" i="13"/>
  <c r="AG124" i="13"/>
  <c r="AO124" i="13"/>
  <c r="AY105" i="13"/>
  <c r="AV108" i="13"/>
  <c r="AR109" i="13"/>
  <c r="AZ109" i="13"/>
  <c r="AR110" i="13"/>
  <c r="AV112" i="13"/>
  <c r="AR113" i="13"/>
  <c r="AZ113" i="13"/>
  <c r="AR114" i="13"/>
  <c r="AV116" i="13"/>
  <c r="AR117" i="13"/>
  <c r="AZ117" i="13"/>
  <c r="AR118" i="13"/>
  <c r="AV120" i="13"/>
  <c r="AU131" i="13"/>
  <c r="AU163" i="13" s="1"/>
  <c r="BC131" i="13"/>
  <c r="BC132" i="13"/>
  <c r="AW133" i="13"/>
  <c r="AY136" i="13"/>
  <c r="AT137" i="13"/>
  <c r="AS138" i="13"/>
  <c r="BA138" i="13"/>
  <c r="AU139" i="13"/>
  <c r="BC139" i="13"/>
  <c r="BC140" i="13"/>
  <c r="AW141" i="13"/>
  <c r="AY144" i="13"/>
  <c r="Q164" i="13"/>
  <c r="K164" i="13"/>
  <c r="BO145" i="13"/>
  <c r="AS146" i="13"/>
  <c r="AS164" i="13" s="1"/>
  <c r="BA146" i="13"/>
  <c r="AU147" i="13"/>
  <c r="BC147" i="13"/>
  <c r="BC148" i="13"/>
  <c r="AW149" i="13"/>
  <c r="AY152" i="13"/>
  <c r="AT153" i="13"/>
  <c r="BC155" i="13"/>
  <c r="BQ155" i="13"/>
  <c r="AR156" i="13"/>
  <c r="BK157" i="13"/>
  <c r="AW157" i="13"/>
  <c r="AS157" i="13"/>
  <c r="BG157" i="13"/>
  <c r="AU158" i="13"/>
  <c r="AW159" i="13"/>
  <c r="BK159" i="13"/>
  <c r="BA159" i="13"/>
  <c r="BO159" i="13"/>
  <c r="AS160" i="13"/>
  <c r="AD162" i="13"/>
  <c r="Y164" i="13"/>
  <c r="T165" i="13"/>
  <c r="AG202" i="13"/>
  <c r="BJ172" i="13"/>
  <c r="BK173" i="13"/>
  <c r="AW173" i="13"/>
  <c r="BH186" i="13"/>
  <c r="AT186" i="13"/>
  <c r="BP186" i="13"/>
  <c r="BP204" i="13" s="1"/>
  <c r="BB186" i="13"/>
  <c r="AZ186" i="13"/>
  <c r="U201" i="13"/>
  <c r="P124" i="13"/>
  <c r="X124" i="13"/>
  <c r="AH124" i="13"/>
  <c r="AR105" i="13"/>
  <c r="AZ105" i="13"/>
  <c r="AZ124" i="13" s="1"/>
  <c r="AV106" i="13"/>
  <c r="AV124" i="13" s="1"/>
  <c r="AW108" i="13"/>
  <c r="AS109" i="13"/>
  <c r="BA109" i="13"/>
  <c r="AW109" i="13"/>
  <c r="AS110" i="13"/>
  <c r="AW112" i="13"/>
  <c r="BA112" i="13"/>
  <c r="AS113" i="13"/>
  <c r="BA113" i="13"/>
  <c r="AW113" i="13"/>
  <c r="AS114" i="13"/>
  <c r="AW116" i="13"/>
  <c r="BA116" i="13"/>
  <c r="AS117" i="13"/>
  <c r="BA117" i="13"/>
  <c r="AW117" i="13"/>
  <c r="AS118" i="13"/>
  <c r="AW120" i="13"/>
  <c r="BA120" i="13"/>
  <c r="AJ162" i="13"/>
  <c r="AX133" i="13"/>
  <c r="AX161" i="13" s="1"/>
  <c r="AT138" i="13"/>
  <c r="BB138" i="13"/>
  <c r="BB161" i="13" s="1"/>
  <c r="AX138" i="13"/>
  <c r="AX141" i="13"/>
  <c r="R164" i="13"/>
  <c r="AJ164" i="13"/>
  <c r="AT146" i="13"/>
  <c r="AT164" i="13" s="1"/>
  <c r="BB146" i="13"/>
  <c r="BB164" i="13" s="1"/>
  <c r="AX146" i="13"/>
  <c r="AX149" i="13"/>
  <c r="BG153" i="13"/>
  <c r="AS153" i="13"/>
  <c r="BA153" i="13"/>
  <c r="BO153" i="13"/>
  <c r="BO156" i="13"/>
  <c r="BA156" i="13"/>
  <c r="AW156" i="13"/>
  <c r="BK156" i="13"/>
  <c r="AS156" i="13"/>
  <c r="Z164" i="13"/>
  <c r="Z165" i="13"/>
  <c r="BQ176" i="13"/>
  <c r="BC176" i="13"/>
  <c r="BC201" i="13" s="1"/>
  <c r="BQ186" i="13"/>
  <c r="BC186" i="13"/>
  <c r="BH188" i="13"/>
  <c r="AT188" i="13"/>
  <c r="BB188" i="13"/>
  <c r="Q124" i="13"/>
  <c r="Y124" i="13"/>
  <c r="AI124" i="13"/>
  <c r="AS105" i="13"/>
  <c r="AS124" i="13" s="1"/>
  <c r="BA105" i="13"/>
  <c r="AX108" i="13"/>
  <c r="AT109" i="13"/>
  <c r="BB109" i="13"/>
  <c r="AT110" i="13"/>
  <c r="AX112" i="13"/>
  <c r="AT113" i="13"/>
  <c r="BB113" i="13"/>
  <c r="AT114" i="13"/>
  <c r="AX116" i="13"/>
  <c r="AT117" i="13"/>
  <c r="BB117" i="13"/>
  <c r="AT118" i="13"/>
  <c r="AX120" i="13"/>
  <c r="S165" i="13"/>
  <c r="S163" i="13"/>
  <c r="S162" i="13"/>
  <c r="S161" i="13"/>
  <c r="AA165" i="13"/>
  <c r="AA163" i="13"/>
  <c r="AK165" i="13"/>
  <c r="AK163" i="13"/>
  <c r="AK161" i="13"/>
  <c r="BC130" i="13"/>
  <c r="AW131" i="13"/>
  <c r="BK132" i="13"/>
  <c r="AY134" i="13"/>
  <c r="AS136" i="13"/>
  <c r="BA136" i="13"/>
  <c r="AU137" i="13"/>
  <c r="AU165" i="13" s="1"/>
  <c r="BC137" i="13"/>
  <c r="BC138" i="13"/>
  <c r="AW139" i="13"/>
  <c r="AY142" i="13"/>
  <c r="AS144" i="13"/>
  <c r="BA144" i="13"/>
  <c r="S164" i="13"/>
  <c r="AA164" i="13"/>
  <c r="BC146" i="13"/>
  <c r="AW147" i="13"/>
  <c r="AY150" i="13"/>
  <c r="AS152" i="13"/>
  <c r="BA152" i="13"/>
  <c r="AW152" i="13"/>
  <c r="BB153" i="13"/>
  <c r="BI155" i="13"/>
  <c r="AZ156" i="13"/>
  <c r="AY158" i="13"/>
  <c r="BM158" i="13"/>
  <c r="AU159" i="13"/>
  <c r="BI159" i="13"/>
  <c r="AN162" i="13"/>
  <c r="BK170" i="13"/>
  <c r="AM201" i="13"/>
  <c r="BG172" i="13"/>
  <c r="BA172" i="13"/>
  <c r="BA201" i="13" s="1"/>
  <c r="BM173" i="13"/>
  <c r="AY173" i="13"/>
  <c r="BN174" i="13"/>
  <c r="AZ174" i="13"/>
  <c r="AR174" i="13"/>
  <c r="BJ175" i="13"/>
  <c r="AV175" i="13"/>
  <c r="BK181" i="13"/>
  <c r="AW181" i="13"/>
  <c r="B204" i="13"/>
  <c r="BF185" i="13"/>
  <c r="BQ196" i="13"/>
  <c r="BC196" i="13"/>
  <c r="AD161" i="13"/>
  <c r="AL161" i="13"/>
  <c r="AV130" i="13"/>
  <c r="BF130" i="13"/>
  <c r="BN130" i="13"/>
  <c r="AR131" i="13"/>
  <c r="AZ131" i="13"/>
  <c r="AV132" i="13"/>
  <c r="BF132" i="13"/>
  <c r="BN132" i="13"/>
  <c r="AR133" i="13"/>
  <c r="AZ133" i="13"/>
  <c r="AV134" i="13"/>
  <c r="AR135" i="13"/>
  <c r="AZ135" i="13"/>
  <c r="AV136" i="13"/>
  <c r="AR137" i="13"/>
  <c r="AZ137" i="13"/>
  <c r="AV138" i="13"/>
  <c r="AR139" i="13"/>
  <c r="AZ139" i="13"/>
  <c r="AV140" i="13"/>
  <c r="AR141" i="13"/>
  <c r="AZ141" i="13"/>
  <c r="AV142" i="13"/>
  <c r="AR143" i="13"/>
  <c r="AZ143" i="13"/>
  <c r="AV144" i="13"/>
  <c r="AR145" i="13"/>
  <c r="AR164" i="13" s="1"/>
  <c r="AZ145" i="13"/>
  <c r="AZ164" i="13" s="1"/>
  <c r="BJ145" i="13"/>
  <c r="AV146" i="13"/>
  <c r="AR147" i="13"/>
  <c r="AZ147" i="13"/>
  <c r="AV148" i="13"/>
  <c r="AR149" i="13"/>
  <c r="AZ149" i="13"/>
  <c r="AV150" i="13"/>
  <c r="AR151" i="13"/>
  <c r="AZ151" i="13"/>
  <c r="AV152" i="13"/>
  <c r="AS158" i="13"/>
  <c r="P161" i="13"/>
  <c r="Z161" i="13"/>
  <c r="P162" i="13"/>
  <c r="Z162" i="13"/>
  <c r="AL162" i="13"/>
  <c r="T163" i="13"/>
  <c r="X164" i="13"/>
  <c r="P165" i="13"/>
  <c r="AD165" i="13"/>
  <c r="H201" i="13"/>
  <c r="V201" i="13"/>
  <c r="AF202" i="13"/>
  <c r="AN201" i="13"/>
  <c r="BH172" i="13"/>
  <c r="BP172" i="13"/>
  <c r="AT172" i="13"/>
  <c r="AT176" i="13"/>
  <c r="AT180" i="13"/>
  <c r="BL185" i="13"/>
  <c r="BL204" i="13" s="1"/>
  <c r="AF204" i="13"/>
  <c r="AN204" i="13"/>
  <c r="BL193" i="13"/>
  <c r="AX193" i="13"/>
  <c r="AY217" i="13"/>
  <c r="BM217" i="13"/>
  <c r="BO218" i="13"/>
  <c r="BA218" i="13"/>
  <c r="W162" i="13"/>
  <c r="W161" i="13"/>
  <c r="AG162" i="13"/>
  <c r="AO162" i="13"/>
  <c r="AY130" i="13"/>
  <c r="AU145" i="13"/>
  <c r="AU164" i="13" s="1"/>
  <c r="BC145" i="13"/>
  <c r="AR154" i="13"/>
  <c r="AT156" i="13"/>
  <c r="BB156" i="13"/>
  <c r="AV158" i="13"/>
  <c r="AT159" i="13"/>
  <c r="W163" i="13"/>
  <c r="AJ163" i="13"/>
  <c r="AG165" i="13"/>
  <c r="Q202" i="13"/>
  <c r="Q201" i="13"/>
  <c r="Q205" i="13"/>
  <c r="Y202" i="13"/>
  <c r="Y201" i="13"/>
  <c r="Y203" i="13"/>
  <c r="AI201" i="13"/>
  <c r="AI202" i="13"/>
  <c r="AI205" i="13"/>
  <c r="AS170" i="13"/>
  <c r="AW172" i="13"/>
  <c r="AS173" i="13"/>
  <c r="BA173" i="13"/>
  <c r="AS174" i="13"/>
  <c r="AW176" i="13"/>
  <c r="AS177" i="13"/>
  <c r="BA177" i="13"/>
  <c r="AS178" i="13"/>
  <c r="AW180" i="13"/>
  <c r="AS181" i="13"/>
  <c r="BA181" i="13"/>
  <c r="BO182" i="13"/>
  <c r="BA182" i="13"/>
  <c r="AS182" i="13"/>
  <c r="AU184" i="13"/>
  <c r="C204" i="13"/>
  <c r="AX185" i="13"/>
  <c r="AV186" i="13"/>
  <c r="AV204" i="13" s="1"/>
  <c r="AU187" i="13"/>
  <c r="BC187" i="13"/>
  <c r="AX188" i="13"/>
  <c r="AR190" i="13"/>
  <c r="AU192" i="13"/>
  <c r="BM197" i="13"/>
  <c r="AY197" i="13"/>
  <c r="AE201" i="13"/>
  <c r="Q203" i="13"/>
  <c r="BN231" i="13"/>
  <c r="AZ231" i="13"/>
  <c r="AR231" i="13"/>
  <c r="BO235" i="13"/>
  <c r="BA235" i="13"/>
  <c r="Q261" i="13"/>
  <c r="AE283" i="13"/>
  <c r="Q262" i="13"/>
  <c r="C281" i="13"/>
  <c r="C285" i="13"/>
  <c r="Y262" i="13"/>
  <c r="K282" i="13"/>
  <c r="AR130" i="13"/>
  <c r="AZ130" i="13"/>
  <c r="AV145" i="13"/>
  <c r="BF153" i="13"/>
  <c r="AX155" i="13"/>
  <c r="AR157" i="13"/>
  <c r="AZ157" i="13"/>
  <c r="BO158" i="13"/>
  <c r="BQ160" i="13"/>
  <c r="T161" i="13"/>
  <c r="AG161" i="13"/>
  <c r="AH162" i="13"/>
  <c r="B163" i="13"/>
  <c r="X163" i="13"/>
  <c r="AL163" i="13"/>
  <c r="AH165" i="13"/>
  <c r="R202" i="13"/>
  <c r="R201" i="13"/>
  <c r="Z202" i="13"/>
  <c r="Z201" i="13"/>
  <c r="Z203" i="13"/>
  <c r="AJ201" i="13"/>
  <c r="AJ202" i="13"/>
  <c r="AJ205" i="13"/>
  <c r="AJ203" i="13"/>
  <c r="AT170" i="13"/>
  <c r="BL170" i="13"/>
  <c r="AX172" i="13"/>
  <c r="BB172" i="13"/>
  <c r="BB202" i="13" s="1"/>
  <c r="AT173" i="13"/>
  <c r="BB173" i="13"/>
  <c r="BB201" i="13" s="1"/>
  <c r="AX173" i="13"/>
  <c r="AT174" i="13"/>
  <c r="AX176" i="13"/>
  <c r="BB176" i="13"/>
  <c r="BB205" i="13" s="1"/>
  <c r="AT177" i="13"/>
  <c r="BB177" i="13"/>
  <c r="AX177" i="13"/>
  <c r="AT178" i="13"/>
  <c r="AX180" i="13"/>
  <c r="BB180" i="13"/>
  <c r="AT181" i="13"/>
  <c r="BB181" i="13"/>
  <c r="AX181" i="13"/>
  <c r="AT182" i="13"/>
  <c r="AR183" i="13"/>
  <c r="AZ183" i="13"/>
  <c r="AV183" i="13"/>
  <c r="AY188" i="13"/>
  <c r="AR191" i="13"/>
  <c r="AZ191" i="13"/>
  <c r="AV191" i="13"/>
  <c r="BN195" i="13"/>
  <c r="AZ195" i="13"/>
  <c r="AV195" i="13"/>
  <c r="BJ195" i="13"/>
  <c r="AR195" i="13"/>
  <c r="AG201" i="13"/>
  <c r="R203" i="13"/>
  <c r="U204" i="13"/>
  <c r="R205" i="13"/>
  <c r="H242" i="13"/>
  <c r="H241" i="13"/>
  <c r="H245" i="13" s="1"/>
  <c r="H243" i="13"/>
  <c r="BL210" i="13"/>
  <c r="BO231" i="13"/>
  <c r="BA231" i="13"/>
  <c r="AS231" i="13"/>
  <c r="Q165" i="13"/>
  <c r="Q163" i="13"/>
  <c r="Y165" i="13"/>
  <c r="Y163" i="13"/>
  <c r="AI165" i="13"/>
  <c r="AI163" i="13"/>
  <c r="AS130" i="13"/>
  <c r="BA130" i="13"/>
  <c r="U164" i="13"/>
  <c r="AE164" i="13"/>
  <c r="AM164" i="13"/>
  <c r="AW145" i="13"/>
  <c r="AT154" i="13"/>
  <c r="BB154" i="13"/>
  <c r="BB155" i="13"/>
  <c r="BM156" i="13"/>
  <c r="AV156" i="13"/>
  <c r="AR160" i="13"/>
  <c r="J161" i="13"/>
  <c r="J165" i="13" s="1"/>
  <c r="AI162" i="13"/>
  <c r="Z163" i="13"/>
  <c r="W165" i="13"/>
  <c r="AJ165" i="13"/>
  <c r="S202" i="13"/>
  <c r="S201" i="13"/>
  <c r="S203" i="13"/>
  <c r="S205" i="13"/>
  <c r="AA202" i="13"/>
  <c r="AA201" i="13"/>
  <c r="AA203" i="13"/>
  <c r="AA205" i="13"/>
  <c r="AK201" i="13"/>
  <c r="AK202" i="13"/>
  <c r="AK205" i="13"/>
  <c r="AU170" i="13"/>
  <c r="AY172" i="13"/>
  <c r="AU173" i="13"/>
  <c r="BC173" i="13"/>
  <c r="BC202" i="13" s="1"/>
  <c r="AU174" i="13"/>
  <c r="AY176" i="13"/>
  <c r="AU177" i="13"/>
  <c r="BC177" i="13"/>
  <c r="AU178" i="13"/>
  <c r="AY180" i="13"/>
  <c r="AU181" i="13"/>
  <c r="BC181" i="13"/>
  <c r="AU182" i="13"/>
  <c r="AV184" i="13"/>
  <c r="BB184" i="13"/>
  <c r="AX186" i="13"/>
  <c r="AR188" i="13"/>
  <c r="AV192" i="13"/>
  <c r="BB192" i="13"/>
  <c r="BM194" i="13"/>
  <c r="AY194" i="13"/>
  <c r="AS195" i="13"/>
  <c r="AY195" i="13"/>
  <c r="BQ200" i="13"/>
  <c r="BC200" i="13"/>
  <c r="AI203" i="13"/>
  <c r="V204" i="13"/>
  <c r="Y205" i="13"/>
  <c r="BM210" i="13"/>
  <c r="BP225" i="13"/>
  <c r="BF227" i="13"/>
  <c r="P244" i="13"/>
  <c r="BN227" i="13"/>
  <c r="AZ227" i="13"/>
  <c r="AR227" i="13"/>
  <c r="AX153" i="13"/>
  <c r="BK154" i="13"/>
  <c r="AR155" i="13"/>
  <c r="AZ155" i="13"/>
  <c r="X161" i="13"/>
  <c r="AI161" i="13"/>
  <c r="X162" i="13"/>
  <c r="AD163" i="13"/>
  <c r="AL165" i="13"/>
  <c r="AR171" i="13"/>
  <c r="AZ171" i="13"/>
  <c r="BF172" i="13"/>
  <c r="BN172" i="13"/>
  <c r="AR172" i="13"/>
  <c r="AV174" i="13"/>
  <c r="AR175" i="13"/>
  <c r="AZ175" i="13"/>
  <c r="AR176" i="13"/>
  <c r="AV178" i="13"/>
  <c r="AR179" i="13"/>
  <c r="AZ179" i="13"/>
  <c r="AR180" i="13"/>
  <c r="AV182" i="13"/>
  <c r="AT183" i="13"/>
  <c r="BB183" i="13"/>
  <c r="AY183" i="13"/>
  <c r="BC184" i="13"/>
  <c r="T204" i="13"/>
  <c r="AD204" i="13"/>
  <c r="AL204" i="13"/>
  <c r="AY186" i="13"/>
  <c r="AR189" i="13"/>
  <c r="AZ189" i="13"/>
  <c r="AZ190" i="13"/>
  <c r="AT191" i="13"/>
  <c r="BB191" i="13"/>
  <c r="AY191" i="13"/>
  <c r="BC192" i="13"/>
  <c r="AV193" i="13"/>
  <c r="BJ193" i="13"/>
  <c r="AR194" i="13"/>
  <c r="AW198" i="13"/>
  <c r="BK198" i="13"/>
  <c r="BJ200" i="13"/>
  <c r="AV200" i="13"/>
  <c r="AK203" i="13"/>
  <c r="AM204" i="13"/>
  <c r="Z205" i="13"/>
  <c r="BH224" i="13"/>
  <c r="AT224" i="13"/>
  <c r="BP224" i="13"/>
  <c r="BB224" i="13"/>
  <c r="AW183" i="13"/>
  <c r="AS184" i="13"/>
  <c r="BA184" i="13"/>
  <c r="AW185" i="13"/>
  <c r="BG185" i="13"/>
  <c r="BO185" i="13"/>
  <c r="AS186" i="13"/>
  <c r="BA186" i="13"/>
  <c r="AW187" i="13"/>
  <c r="AS188" i="13"/>
  <c r="BA188" i="13"/>
  <c r="AW189" i="13"/>
  <c r="AS190" i="13"/>
  <c r="BA190" i="13"/>
  <c r="AW191" i="13"/>
  <c r="AS192" i="13"/>
  <c r="BA192" i="13"/>
  <c r="AV196" i="13"/>
  <c r="AR197" i="13"/>
  <c r="AF201" i="13"/>
  <c r="BH212" i="13"/>
  <c r="BB212" i="13"/>
  <c r="BL212" i="13"/>
  <c r="AT212" i="13"/>
  <c r="BK215" i="13"/>
  <c r="AW215" i="13"/>
  <c r="BI223" i="13"/>
  <c r="AU223" i="13"/>
  <c r="X244" i="13"/>
  <c r="AU244" i="13"/>
  <c r="AY226" i="13"/>
  <c r="BM226" i="13"/>
  <c r="BN235" i="13"/>
  <c r="AZ235" i="13"/>
  <c r="AR235" i="13"/>
  <c r="BO239" i="13"/>
  <c r="BA239" i="13"/>
  <c r="AS239" i="13"/>
  <c r="T261" i="13"/>
  <c r="AV282" i="13"/>
  <c r="P262" i="13"/>
  <c r="B285" i="13"/>
  <c r="X262" i="13"/>
  <c r="J282" i="13"/>
  <c r="J285" i="13" s="1"/>
  <c r="AF284" i="13"/>
  <c r="G365" i="13"/>
  <c r="T202" i="13"/>
  <c r="T201" i="13"/>
  <c r="T205" i="13"/>
  <c r="T203" i="13"/>
  <c r="AD202" i="13"/>
  <c r="AD205" i="13"/>
  <c r="AD203" i="13"/>
  <c r="AL202" i="13"/>
  <c r="AL205" i="13"/>
  <c r="AL203" i="13"/>
  <c r="AV170" i="13"/>
  <c r="P204" i="13"/>
  <c r="X204" i="13"/>
  <c r="AH204" i="13"/>
  <c r="AR185" i="13"/>
  <c r="AR204" i="13" s="1"/>
  <c r="AZ185" i="13"/>
  <c r="BO196" i="13"/>
  <c r="AY196" i="13"/>
  <c r="BK197" i="13"/>
  <c r="AU197" i="13"/>
  <c r="BC197" i="13"/>
  <c r="AS198" i="13"/>
  <c r="BA198" i="13"/>
  <c r="AU198" i="13"/>
  <c r="AN202" i="13"/>
  <c r="W245" i="13"/>
  <c r="W243" i="13"/>
  <c r="AY210" i="13"/>
  <c r="W242" i="13"/>
  <c r="W241" i="13"/>
  <c r="AG245" i="13"/>
  <c r="AG243" i="13"/>
  <c r="AG241" i="13"/>
  <c r="AG242" i="13"/>
  <c r="AO245" i="13"/>
  <c r="AO243" i="13"/>
  <c r="BC210" i="13"/>
  <c r="AD243" i="13"/>
  <c r="AL245" i="13"/>
  <c r="BC214" i="13"/>
  <c r="BQ214" i="13"/>
  <c r="BI217" i="13"/>
  <c r="BC217" i="13"/>
  <c r="BP218" i="13"/>
  <c r="BB218" i="13"/>
  <c r="BO227" i="13"/>
  <c r="BA227" i="13"/>
  <c r="AS227" i="13"/>
  <c r="AE245" i="13"/>
  <c r="U252" i="13"/>
  <c r="U205" i="13"/>
  <c r="U203" i="13"/>
  <c r="AE205" i="13"/>
  <c r="AE203" i="13"/>
  <c r="AM205" i="13"/>
  <c r="AM203" i="13"/>
  <c r="AW170" i="13"/>
  <c r="Q204" i="13"/>
  <c r="Y204" i="13"/>
  <c r="AI204" i="13"/>
  <c r="AS185" i="13"/>
  <c r="BA185" i="13"/>
  <c r="AT194" i="13"/>
  <c r="AT195" i="13"/>
  <c r="BB195" i="13"/>
  <c r="BN197" i="13"/>
  <c r="AR199" i="13"/>
  <c r="AX200" i="13"/>
  <c r="U202" i="13"/>
  <c r="AW211" i="13"/>
  <c r="AM241" i="13"/>
  <c r="AM243" i="13"/>
  <c r="BN216" i="13"/>
  <c r="AZ216" i="13"/>
  <c r="AR216" i="13"/>
  <c r="BC218" i="13"/>
  <c r="BQ218" i="13"/>
  <c r="BM218" i="13"/>
  <c r="AY218" i="13"/>
  <c r="BO220" i="13"/>
  <c r="BA220" i="13"/>
  <c r="AT220" i="13"/>
  <c r="BL221" i="13"/>
  <c r="AX221" i="13"/>
  <c r="AN241" i="13"/>
  <c r="AI283" i="13"/>
  <c r="AI281" i="13"/>
  <c r="AI282" i="13"/>
  <c r="AI285" i="13" s="1"/>
  <c r="AS283" i="13"/>
  <c r="AS281" i="13"/>
  <c r="AS282" i="13"/>
  <c r="Q250" i="13"/>
  <c r="BA282" i="13"/>
  <c r="BA281" i="13"/>
  <c r="BA283" i="13"/>
  <c r="U251" i="13"/>
  <c r="G282" i="13"/>
  <c r="V205" i="13"/>
  <c r="V203" i="13"/>
  <c r="AF205" i="13"/>
  <c r="AF203" i="13"/>
  <c r="AN205" i="13"/>
  <c r="AN203" i="13"/>
  <c r="AX170" i="13"/>
  <c r="R204" i="13"/>
  <c r="Z204" i="13"/>
  <c r="AJ204" i="13"/>
  <c r="AT185" i="13"/>
  <c r="BB185" i="13"/>
  <c r="AT193" i="13"/>
  <c r="BB193" i="13"/>
  <c r="AU195" i="13"/>
  <c r="BC195" i="13"/>
  <c r="AS199" i="13"/>
  <c r="AY200" i="13"/>
  <c r="V202" i="13"/>
  <c r="BL211" i="13"/>
  <c r="AX211" i="13"/>
  <c r="V242" i="13"/>
  <c r="V241" i="13"/>
  <c r="BP220" i="13"/>
  <c r="BB220" i="13"/>
  <c r="BM222" i="13"/>
  <c r="AY222" i="13"/>
  <c r="AW244" i="13"/>
  <c r="AX240" i="13"/>
  <c r="AO241" i="13"/>
  <c r="Y244" i="13"/>
  <c r="X283" i="13"/>
  <c r="X281" i="13"/>
  <c r="W205" i="13"/>
  <c r="W203" i="13"/>
  <c r="AG205" i="13"/>
  <c r="AG203" i="13"/>
  <c r="AO205" i="13"/>
  <c r="AO203" i="13"/>
  <c r="AO201" i="13"/>
  <c r="AY170" i="13"/>
  <c r="S204" i="13"/>
  <c r="AA204" i="13"/>
  <c r="AK204" i="13"/>
  <c r="AU185" i="13"/>
  <c r="BC185" i="13"/>
  <c r="AX195" i="13"/>
  <c r="AT196" i="13"/>
  <c r="BB198" i="13"/>
  <c r="AT199" i="13"/>
  <c r="BB199" i="13"/>
  <c r="AR200" i="13"/>
  <c r="AZ200" i="13"/>
  <c r="AT200" i="13"/>
  <c r="AD201" i="13"/>
  <c r="W202" i="13"/>
  <c r="Z243" i="13"/>
  <c r="AJ245" i="13"/>
  <c r="AY211" i="13"/>
  <c r="BM211" i="13"/>
  <c r="BF212" i="13"/>
  <c r="AZ212" i="13"/>
  <c r="AZ243" i="13" s="1"/>
  <c r="AR212" i="13"/>
  <c r="BI215" i="13"/>
  <c r="AU215" i="13"/>
  <c r="BL217" i="13"/>
  <c r="AX217" i="13"/>
  <c r="BO224" i="13"/>
  <c r="BA224" i="13"/>
  <c r="BO225" i="13"/>
  <c r="V244" i="13"/>
  <c r="AX225" i="13"/>
  <c r="AX244" i="13" s="1"/>
  <c r="AF244" i="13"/>
  <c r="AN244" i="13"/>
  <c r="AX236" i="13"/>
  <c r="Y250" i="13"/>
  <c r="AN281" i="13"/>
  <c r="AN285" i="13" s="1"/>
  <c r="P245" i="13"/>
  <c r="P243" i="13"/>
  <c r="P242" i="13"/>
  <c r="P241" i="13"/>
  <c r="X245" i="13"/>
  <c r="X243" i="13"/>
  <c r="AH245" i="13"/>
  <c r="AH243" i="13"/>
  <c r="AH242" i="13"/>
  <c r="AR210" i="13"/>
  <c r="AS216" i="13"/>
  <c r="AR222" i="13"/>
  <c r="B244" i="13"/>
  <c r="AI244" i="13"/>
  <c r="AZ226" i="13"/>
  <c r="BN226" i="13"/>
  <c r="AR226" i="13"/>
  <c r="Y261" i="13"/>
  <c r="Q245" i="13"/>
  <c r="Q243" i="13"/>
  <c r="Y245" i="13"/>
  <c r="Y243" i="13"/>
  <c r="Y242" i="13"/>
  <c r="Y241" i="13"/>
  <c r="AI245" i="13"/>
  <c r="AI243" i="13"/>
  <c r="AI241" i="13"/>
  <c r="AS210" i="13"/>
  <c r="AS211" i="13"/>
  <c r="BA211" i="13"/>
  <c r="BA243" i="13" s="1"/>
  <c r="AV211" i="13"/>
  <c r="AV212" i="13"/>
  <c r="BB214" i="13"/>
  <c r="BI216" i="13"/>
  <c r="AT216" i="13"/>
  <c r="AT217" i="13"/>
  <c r="BB217" i="13"/>
  <c r="AW217" i="13"/>
  <c r="AW218" i="13"/>
  <c r="AZ218" i="13"/>
  <c r="AZ245" i="13" s="1"/>
  <c r="AW220" i="13"/>
  <c r="AT221" i="13"/>
  <c r="BB221" i="13"/>
  <c r="AW221" i="13"/>
  <c r="AS222" i="13"/>
  <c r="AW224" i="13"/>
  <c r="AS226" i="13"/>
  <c r="BG226" i="13"/>
  <c r="BA226" i="13"/>
  <c r="BA244" i="13" s="1"/>
  <c r="BO226" i="13"/>
  <c r="AT226" i="13"/>
  <c r="AG244" i="13"/>
  <c r="R253" i="13"/>
  <c r="Z253" i="13"/>
  <c r="AL284" i="13"/>
  <c r="AH284" i="13"/>
  <c r="R242" i="13"/>
  <c r="R241" i="13"/>
  <c r="R243" i="13"/>
  <c r="Z242" i="13"/>
  <c r="Z241" i="13"/>
  <c r="Z245" i="13"/>
  <c r="AJ241" i="13"/>
  <c r="AJ242" i="13"/>
  <c r="AJ243" i="13"/>
  <c r="AT210" i="13"/>
  <c r="AT211" i="13"/>
  <c r="BB211" i="13"/>
  <c r="BB242" i="13" s="1"/>
  <c r="AW212" i="13"/>
  <c r="BC213" i="13"/>
  <c r="AR214" i="13"/>
  <c r="AR215" i="13"/>
  <c r="AZ215" i="13"/>
  <c r="AX218" i="13"/>
  <c r="AY219" i="13"/>
  <c r="AX220" i="13"/>
  <c r="AT222" i="13"/>
  <c r="AY223" i="13"/>
  <c r="AX224" i="13"/>
  <c r="S244" i="13"/>
  <c r="AA244" i="13"/>
  <c r="BI228" i="13"/>
  <c r="AU228" i="13"/>
  <c r="BP229" i="13"/>
  <c r="BB229" i="13"/>
  <c r="BI232" i="13"/>
  <c r="AU232" i="13"/>
  <c r="BP233" i="13"/>
  <c r="BB233" i="13"/>
  <c r="BI236" i="13"/>
  <c r="AU236" i="13"/>
  <c r="BP237" i="13"/>
  <c r="BB237" i="13"/>
  <c r="BI240" i="13"/>
  <c r="AU240" i="13"/>
  <c r="X241" i="13"/>
  <c r="X242" i="13"/>
  <c r="AH244" i="13"/>
  <c r="D282" i="13"/>
  <c r="D285" i="13" s="1"/>
  <c r="D283" i="13"/>
  <c r="D281" i="13"/>
  <c r="R250" i="13"/>
  <c r="L282" i="13"/>
  <c r="L281" i="13"/>
  <c r="L285" i="13" s="1"/>
  <c r="L283" i="13"/>
  <c r="Z250" i="13"/>
  <c r="AX283" i="13"/>
  <c r="AG285" i="13"/>
  <c r="W252" i="13"/>
  <c r="AW325" i="13"/>
  <c r="P315" i="13"/>
  <c r="X315" i="13"/>
  <c r="S242" i="13"/>
  <c r="S241" i="13"/>
  <c r="S243" i="13"/>
  <c r="AA242" i="13"/>
  <c r="AA241" i="13"/>
  <c r="AA245" i="13"/>
  <c r="AK241" i="13"/>
  <c r="AK242" i="13"/>
  <c r="AK243" i="13"/>
  <c r="AU210" i="13"/>
  <c r="AX212" i="13"/>
  <c r="AS214" i="13"/>
  <c r="AS215" i="13"/>
  <c r="BA215" i="13"/>
  <c r="AV216" i="13"/>
  <c r="AR219" i="13"/>
  <c r="AZ219" i="13"/>
  <c r="AZ241" i="13" s="1"/>
  <c r="BC221" i="13"/>
  <c r="AU222" i="13"/>
  <c r="BC222" i="13"/>
  <c r="AR223" i="13"/>
  <c r="AZ223" i="13"/>
  <c r="T244" i="13"/>
  <c r="BC225" i="13"/>
  <c r="AX227" i="13"/>
  <c r="BL227" i="13"/>
  <c r="BJ228" i="13"/>
  <c r="AV228" i="13"/>
  <c r="BJ232" i="13"/>
  <c r="AV232" i="13"/>
  <c r="BJ236" i="13"/>
  <c r="AV236" i="13"/>
  <c r="BJ240" i="13"/>
  <c r="AV240" i="13"/>
  <c r="AH241" i="13"/>
  <c r="AI242" i="13"/>
  <c r="S252" i="13"/>
  <c r="M285" i="13"/>
  <c r="AA252" i="13"/>
  <c r="AH285" i="13"/>
  <c r="X252" i="13"/>
  <c r="X282" i="13" s="1"/>
  <c r="U255" i="13"/>
  <c r="AX284" i="13"/>
  <c r="R267" i="13"/>
  <c r="Z267" i="13"/>
  <c r="L284" i="13"/>
  <c r="AE323" i="13"/>
  <c r="AE322" i="13"/>
  <c r="Q290" i="13"/>
  <c r="AM321" i="13"/>
  <c r="AM322" i="13"/>
  <c r="AM325" i="13" s="1"/>
  <c r="AM323" i="13"/>
  <c r="AW323" i="13"/>
  <c r="AW321" i="13"/>
  <c r="AW322" i="13"/>
  <c r="U290" i="13"/>
  <c r="K321" i="13"/>
  <c r="K325" i="13" s="1"/>
  <c r="K323" i="13"/>
  <c r="Y291" i="13"/>
  <c r="E324" i="13"/>
  <c r="S305" i="13"/>
  <c r="S324" i="13" s="1"/>
  <c r="AA305" i="13"/>
  <c r="M324" i="13"/>
  <c r="AT214" i="13"/>
  <c r="AT215" i="13"/>
  <c r="BB215" i="13"/>
  <c r="BB241" i="13" s="1"/>
  <c r="AW216" i="13"/>
  <c r="AR218" i="13"/>
  <c r="AS219" i="13"/>
  <c r="BA219" i="13"/>
  <c r="BA245" i="13" s="1"/>
  <c r="AR220" i="13"/>
  <c r="AV222" i="13"/>
  <c r="AZ222" i="13"/>
  <c r="AZ242" i="13" s="1"/>
  <c r="AS223" i="13"/>
  <c r="BA223" i="13"/>
  <c r="AR224" i="13"/>
  <c r="U244" i="13"/>
  <c r="BF225" i="13"/>
  <c r="BJ226" i="13"/>
  <c r="BM227" i="13"/>
  <c r="AY227" i="13"/>
  <c r="BK228" i="13"/>
  <c r="AW228" i="13"/>
  <c r="BM231" i="13"/>
  <c r="AY231" i="13"/>
  <c r="BK232" i="13"/>
  <c r="AW232" i="13"/>
  <c r="BM235" i="13"/>
  <c r="AY235" i="13"/>
  <c r="BK236" i="13"/>
  <c r="AW236" i="13"/>
  <c r="BM239" i="13"/>
  <c r="AY239" i="13"/>
  <c r="BK240" i="13"/>
  <c r="AW240" i="13"/>
  <c r="R245" i="13"/>
  <c r="T252" i="13"/>
  <c r="P252" i="13"/>
  <c r="Y254" i="13"/>
  <c r="K284" i="13"/>
  <c r="F283" i="13"/>
  <c r="AE321" i="13"/>
  <c r="AE325" i="13" s="1"/>
  <c r="AY225" i="13"/>
  <c r="AY228" i="13"/>
  <c r="AX229" i="13"/>
  <c r="AT231" i="13"/>
  <c r="AY232" i="13"/>
  <c r="AX233" i="13"/>
  <c r="AT235" i="13"/>
  <c r="AY236" i="13"/>
  <c r="AX237" i="13"/>
  <c r="AT239" i="13"/>
  <c r="AY240" i="13"/>
  <c r="AE243" i="13"/>
  <c r="Q244" i="13"/>
  <c r="E282" i="13"/>
  <c r="E283" i="13"/>
  <c r="E281" i="13"/>
  <c r="E285" i="13" s="1"/>
  <c r="S250" i="13"/>
  <c r="M282" i="13"/>
  <c r="M281" i="13"/>
  <c r="M283" i="13"/>
  <c r="AA250" i="13"/>
  <c r="AS285" i="13"/>
  <c r="V256" i="13"/>
  <c r="E284" i="13"/>
  <c r="AO284" i="13"/>
  <c r="AY284" i="13"/>
  <c r="AA266" i="13"/>
  <c r="M284" i="13"/>
  <c r="AR284" i="13"/>
  <c r="T267" i="13"/>
  <c r="V273" i="13"/>
  <c r="AM324" i="13"/>
  <c r="T242" i="13"/>
  <c r="T241" i="13"/>
  <c r="AD241" i="13"/>
  <c r="AD242" i="13"/>
  <c r="AL241" i="13"/>
  <c r="AL242" i="13"/>
  <c r="AV210" i="13"/>
  <c r="AZ225" i="13"/>
  <c r="AU227" i="13"/>
  <c r="BC227" i="13"/>
  <c r="AR228" i="13"/>
  <c r="AR244" i="13" s="1"/>
  <c r="AZ228" i="13"/>
  <c r="BC230" i="13"/>
  <c r="AU231" i="13"/>
  <c r="BC231" i="13"/>
  <c r="AR232" i="13"/>
  <c r="AZ232" i="13"/>
  <c r="BC234" i="13"/>
  <c r="AU235" i="13"/>
  <c r="BC235" i="13"/>
  <c r="AR236" i="13"/>
  <c r="AZ236" i="13"/>
  <c r="BC238" i="13"/>
  <c r="AU239" i="13"/>
  <c r="BC239" i="13"/>
  <c r="AR240" i="13"/>
  <c r="AZ240" i="13"/>
  <c r="AF242" i="13"/>
  <c r="F282" i="13"/>
  <c r="F281" i="13"/>
  <c r="F285" i="13" s="1"/>
  <c r="T250" i="13"/>
  <c r="AF281" i="13"/>
  <c r="AF285" i="13" s="1"/>
  <c r="AF282" i="13"/>
  <c r="AN282" i="13"/>
  <c r="AN283" i="13"/>
  <c r="AX281" i="13"/>
  <c r="W256" i="13"/>
  <c r="W282" i="13" s="1"/>
  <c r="T265" i="13"/>
  <c r="F284" i="13"/>
  <c r="P284" i="13"/>
  <c r="AZ284" i="13"/>
  <c r="P269" i="13"/>
  <c r="X269" i="13"/>
  <c r="AD363" i="13"/>
  <c r="AD362" i="13"/>
  <c r="AD361" i="13"/>
  <c r="AD365" i="13" s="1"/>
  <c r="AT363" i="13"/>
  <c r="AT362" i="13"/>
  <c r="AT361" i="13"/>
  <c r="U242" i="13"/>
  <c r="U241" i="13"/>
  <c r="AE242" i="13"/>
  <c r="AM242" i="13"/>
  <c r="AW210" i="13"/>
  <c r="AV227" i="13"/>
  <c r="AV244" i="13" s="1"/>
  <c r="AS228" i="13"/>
  <c r="BA228" i="13"/>
  <c r="AR229" i="13"/>
  <c r="AV231" i="13"/>
  <c r="AS232" i="13"/>
  <c r="BA232" i="13"/>
  <c r="AR233" i="13"/>
  <c r="AV235" i="13"/>
  <c r="AS236" i="13"/>
  <c r="BA236" i="13"/>
  <c r="AR237" i="13"/>
  <c r="AV239" i="13"/>
  <c r="AS240" i="13"/>
  <c r="BA240" i="13"/>
  <c r="G283" i="13"/>
  <c r="G281" i="13"/>
  <c r="G285" i="13" s="1"/>
  <c r="U250" i="13"/>
  <c r="AG283" i="13"/>
  <c r="AG281" i="13"/>
  <c r="AG282" i="13"/>
  <c r="AO282" i="13"/>
  <c r="AO283" i="13"/>
  <c r="AO281" i="13"/>
  <c r="AO285" i="13" s="1"/>
  <c r="AY282" i="13"/>
  <c r="AY281" i="13"/>
  <c r="AY285" i="13" s="1"/>
  <c r="AY283" i="13"/>
  <c r="S251" i="13"/>
  <c r="AA251" i="13"/>
  <c r="U254" i="13"/>
  <c r="S255" i="13"/>
  <c r="V260" i="13"/>
  <c r="G284" i="13"/>
  <c r="AI284" i="13"/>
  <c r="AS284" i="13"/>
  <c r="BA284" i="13"/>
  <c r="Y265" i="13"/>
  <c r="Y269" i="13"/>
  <c r="V321" i="13"/>
  <c r="V322" i="13"/>
  <c r="V323" i="13"/>
  <c r="Q299" i="13"/>
  <c r="P330" i="13"/>
  <c r="B361" i="13"/>
  <c r="B363" i="13"/>
  <c r="B362" i="13"/>
  <c r="B365" i="13" s="1"/>
  <c r="R334" i="13"/>
  <c r="D363" i="13"/>
  <c r="R358" i="13"/>
  <c r="V245" i="13"/>
  <c r="V243" i="13"/>
  <c r="AF245" i="13"/>
  <c r="AF243" i="13"/>
  <c r="AN245" i="13"/>
  <c r="AN243" i="13"/>
  <c r="AX210" i="13"/>
  <c r="R244" i="13"/>
  <c r="Z244" i="13"/>
  <c r="AJ244" i="13"/>
  <c r="AT225" i="13"/>
  <c r="BB225" i="13"/>
  <c r="BB244" i="13" s="1"/>
  <c r="AW227" i="13"/>
  <c r="AT228" i="13"/>
  <c r="BB228" i="13"/>
  <c r="AS229" i="13"/>
  <c r="AW231" i="13"/>
  <c r="AT232" i="13"/>
  <c r="BB232" i="13"/>
  <c r="AS233" i="13"/>
  <c r="AS244" i="13" s="1"/>
  <c r="AW235" i="13"/>
  <c r="AT236" i="13"/>
  <c r="BB236" i="13"/>
  <c r="AS237" i="13"/>
  <c r="AW239" i="13"/>
  <c r="AT240" i="13"/>
  <c r="BB240" i="13"/>
  <c r="T243" i="13"/>
  <c r="AL243" i="13"/>
  <c r="AD245" i="13"/>
  <c r="V250" i="13"/>
  <c r="AH283" i="13"/>
  <c r="AH281" i="13"/>
  <c r="AH282" i="13"/>
  <c r="AR283" i="13"/>
  <c r="AR282" i="13"/>
  <c r="AR281" i="13"/>
  <c r="AR285" i="13" s="1"/>
  <c r="AZ282" i="13"/>
  <c r="AZ281" i="13"/>
  <c r="AZ285" i="13" s="1"/>
  <c r="AZ283" i="13"/>
  <c r="T251" i="13"/>
  <c r="R252" i="13"/>
  <c r="Z252" i="13"/>
  <c r="V254" i="13"/>
  <c r="T255" i="13"/>
  <c r="P264" i="13"/>
  <c r="AX282" i="13"/>
  <c r="AX285" i="13" s="1"/>
  <c r="AD322" i="13"/>
  <c r="AD323" i="13"/>
  <c r="AL321" i="13"/>
  <c r="AL325" i="13" s="1"/>
  <c r="AL322" i="13"/>
  <c r="AV323" i="13"/>
  <c r="AV322" i="13"/>
  <c r="AV321" i="13"/>
  <c r="X292" i="13"/>
  <c r="AV325" i="13"/>
  <c r="AF321" i="13"/>
  <c r="AF325" i="13" s="1"/>
  <c r="V294" i="13"/>
  <c r="V325" i="13" s="1"/>
  <c r="AX321" i="13"/>
  <c r="R295" i="13"/>
  <c r="D323" i="13"/>
  <c r="Z295" i="13"/>
  <c r="L323" i="13"/>
  <c r="T314" i="13"/>
  <c r="AD321" i="13"/>
  <c r="AD325" i="13" s="1"/>
  <c r="T332" i="13"/>
  <c r="AH363" i="13"/>
  <c r="P333" i="13"/>
  <c r="H283" i="13"/>
  <c r="H282" i="13"/>
  <c r="H281" i="13"/>
  <c r="H285" i="13" s="1"/>
  <c r="AJ283" i="13"/>
  <c r="AJ282" i="13"/>
  <c r="AJ281" i="13"/>
  <c r="AT283" i="13"/>
  <c r="AT282" i="13"/>
  <c r="AT285" i="13" s="1"/>
  <c r="AT281" i="13"/>
  <c r="BB283" i="13"/>
  <c r="BB282" i="13"/>
  <c r="BB281" i="13"/>
  <c r="BB285" i="13" s="1"/>
  <c r="AJ285" i="13"/>
  <c r="U259" i="13"/>
  <c r="U261" i="13"/>
  <c r="X284" i="13"/>
  <c r="AJ284" i="13"/>
  <c r="AT284" i="13"/>
  <c r="BB284" i="13"/>
  <c r="V266" i="13"/>
  <c r="V284" i="13" s="1"/>
  <c r="P279" i="13"/>
  <c r="B323" i="13"/>
  <c r="B321" i="13"/>
  <c r="B325" i="13" s="1"/>
  <c r="P290" i="13"/>
  <c r="J321" i="13"/>
  <c r="J325" i="13" s="1"/>
  <c r="J323" i="13"/>
  <c r="X290" i="13"/>
  <c r="P298" i="13"/>
  <c r="X298" i="13"/>
  <c r="AD324" i="13"/>
  <c r="AL324" i="13"/>
  <c r="AV324" i="13"/>
  <c r="P306" i="13"/>
  <c r="X306" i="13"/>
  <c r="AN324" i="13"/>
  <c r="P314" i="13"/>
  <c r="X314" i="13"/>
  <c r="AY323" i="13"/>
  <c r="I283" i="13"/>
  <c r="I282" i="13"/>
  <c r="I281" i="13"/>
  <c r="I285" i="13" s="1"/>
  <c r="AK283" i="13"/>
  <c r="AK282" i="13"/>
  <c r="AK285" i="13" s="1"/>
  <c r="AK281" i="13"/>
  <c r="AU283" i="13"/>
  <c r="AU282" i="13"/>
  <c r="AU281" i="13"/>
  <c r="AU285" i="13" s="1"/>
  <c r="BC283" i="13"/>
  <c r="BC282" i="13"/>
  <c r="BC281" i="13"/>
  <c r="BC285" i="13" s="1"/>
  <c r="V259" i="13"/>
  <c r="V261" i="13"/>
  <c r="R264" i="13"/>
  <c r="Z264" i="13"/>
  <c r="B284" i="13"/>
  <c r="J284" i="13"/>
  <c r="R273" i="13"/>
  <c r="P278" i="13"/>
  <c r="Y279" i="13"/>
  <c r="AG323" i="13"/>
  <c r="T295" i="13"/>
  <c r="P297" i="13"/>
  <c r="X297" i="13"/>
  <c r="Y298" i="13"/>
  <c r="T303" i="13"/>
  <c r="B324" i="13"/>
  <c r="P305" i="13"/>
  <c r="J324" i="13"/>
  <c r="X305" i="13"/>
  <c r="AE324" i="13"/>
  <c r="Y306" i="13"/>
  <c r="Y324" i="13" s="1"/>
  <c r="T311" i="13"/>
  <c r="P313" i="13"/>
  <c r="X313" i="13"/>
  <c r="Y314" i="13"/>
  <c r="F364" i="13"/>
  <c r="B282" i="13"/>
  <c r="B281" i="13"/>
  <c r="B283" i="13"/>
  <c r="J283" i="13"/>
  <c r="J281" i="13"/>
  <c r="AD282" i="13"/>
  <c r="AD285" i="13" s="1"/>
  <c r="AL282" i="13"/>
  <c r="AL281" i="13"/>
  <c r="AL285" i="13" s="1"/>
  <c r="AV283" i="13"/>
  <c r="AV281" i="13"/>
  <c r="AV285" i="13" s="1"/>
  <c r="T258" i="13"/>
  <c r="W261" i="13"/>
  <c r="C284" i="13"/>
  <c r="Q265" i="13"/>
  <c r="AV284" i="13"/>
  <c r="P267" i="13"/>
  <c r="V269" i="13"/>
  <c r="T273" i="13"/>
  <c r="Q278" i="13"/>
  <c r="Y278" i="13"/>
  <c r="AR321" i="13"/>
  <c r="AR325" i="13" s="1"/>
  <c r="AZ323" i="13"/>
  <c r="Q305" i="13"/>
  <c r="Q324" i="13" s="1"/>
  <c r="C324" i="13"/>
  <c r="K324" i="13"/>
  <c r="AF324" i="13"/>
  <c r="B322" i="13"/>
  <c r="AR362" i="13"/>
  <c r="AH362" i="13"/>
  <c r="P338" i="13"/>
  <c r="AH364" i="13"/>
  <c r="T345" i="13"/>
  <c r="T364" i="13" s="1"/>
  <c r="P346" i="13"/>
  <c r="C282" i="13"/>
  <c r="C283" i="13"/>
  <c r="K283" i="13"/>
  <c r="K281" i="13"/>
  <c r="AE282" i="13"/>
  <c r="AE281" i="13"/>
  <c r="AE285" i="13" s="1"/>
  <c r="AM282" i="13"/>
  <c r="AM281" i="13"/>
  <c r="AM285" i="13" s="1"/>
  <c r="AM283" i="13"/>
  <c r="AW283" i="13"/>
  <c r="AW281" i="13"/>
  <c r="K285" i="13"/>
  <c r="AW285" i="13"/>
  <c r="U258" i="13"/>
  <c r="P261" i="13"/>
  <c r="P282" i="13" s="1"/>
  <c r="X261" i="13"/>
  <c r="V262" i="13"/>
  <c r="D284" i="13"/>
  <c r="R265" i="13"/>
  <c r="Z265" i="13"/>
  <c r="AW284" i="13"/>
  <c r="Q267" i="13"/>
  <c r="Y267" i="13"/>
  <c r="U273" i="13"/>
  <c r="R276" i="13"/>
  <c r="Z276" i="13"/>
  <c r="AD283" i="13"/>
  <c r="D324" i="13"/>
  <c r="R305" i="13"/>
  <c r="Z305" i="13"/>
  <c r="L324" i="13"/>
  <c r="F322" i="13"/>
  <c r="R342" i="13"/>
  <c r="W259" i="13"/>
  <c r="S267" i="13"/>
  <c r="S284" i="13" s="1"/>
  <c r="AA267" i="13"/>
  <c r="S272" i="13"/>
  <c r="AA272" i="13"/>
  <c r="Q274" i="13"/>
  <c r="Y274" i="13"/>
  <c r="E323" i="13"/>
  <c r="AF323" i="13"/>
  <c r="AN322" i="13"/>
  <c r="AN321" i="13"/>
  <c r="AX323" i="13"/>
  <c r="T297" i="13"/>
  <c r="T305" i="13"/>
  <c r="AY324" i="13"/>
  <c r="T313" i="13"/>
  <c r="E321" i="13"/>
  <c r="E325" i="13" s="1"/>
  <c r="AG321" i="13"/>
  <c r="M322" i="13"/>
  <c r="F363" i="13"/>
  <c r="F362" i="13"/>
  <c r="F361" i="13"/>
  <c r="F365" i="13" s="1"/>
  <c r="AI365" i="13"/>
  <c r="U332" i="13"/>
  <c r="Q333" i="13"/>
  <c r="P349" i="13"/>
  <c r="R354" i="13"/>
  <c r="P357" i="13"/>
  <c r="H284" i="13"/>
  <c r="AD284" i="13"/>
  <c r="P266" i="13"/>
  <c r="X277" i="13"/>
  <c r="X280" i="13"/>
  <c r="F321" i="13"/>
  <c r="F323" i="13"/>
  <c r="AO322" i="13"/>
  <c r="AO321" i="13"/>
  <c r="AO325" i="13" s="1"/>
  <c r="AO323" i="13"/>
  <c r="AY321" i="13"/>
  <c r="W290" i="13"/>
  <c r="L325" i="13"/>
  <c r="Q293" i="13"/>
  <c r="X294" i="13"/>
  <c r="Q301" i="13"/>
  <c r="X302" i="13"/>
  <c r="AH324" i="13"/>
  <c r="AZ324" i="13"/>
  <c r="Q309" i="13"/>
  <c r="X310" i="13"/>
  <c r="AX322" i="13"/>
  <c r="AX325" i="13" s="1"/>
  <c r="R333" i="13"/>
  <c r="AD364" i="13"/>
  <c r="AT364" i="13"/>
  <c r="Q349" i="13"/>
  <c r="D361" i="13"/>
  <c r="AH361" i="13"/>
  <c r="AH365" i="13" s="1"/>
  <c r="C362" i="13"/>
  <c r="I284" i="13"/>
  <c r="W265" i="13"/>
  <c r="W284" i="13" s="1"/>
  <c r="AE284" i="13"/>
  <c r="AM284" i="13"/>
  <c r="Y266" i="13"/>
  <c r="S269" i="13"/>
  <c r="AA269" i="13"/>
  <c r="R271" i="13"/>
  <c r="U272" i="13"/>
  <c r="S274" i="13"/>
  <c r="AA274" i="13"/>
  <c r="U276" i="13"/>
  <c r="U284" i="13" s="1"/>
  <c r="Y280" i="13"/>
  <c r="G323" i="13"/>
  <c r="G322" i="13"/>
  <c r="G321" i="13"/>
  <c r="G325" i="13" s="1"/>
  <c r="AH321" i="13"/>
  <c r="AH325" i="13" s="1"/>
  <c r="AR323" i="13"/>
  <c r="AR322" i="13"/>
  <c r="AZ321" i="13"/>
  <c r="AZ325" i="13" s="1"/>
  <c r="T291" i="13"/>
  <c r="AN325" i="13"/>
  <c r="Y294" i="13"/>
  <c r="T299" i="13"/>
  <c r="Y302" i="13"/>
  <c r="AI324" i="13"/>
  <c r="AS324" i="13"/>
  <c r="BA324" i="13"/>
  <c r="T307" i="13"/>
  <c r="Y310" i="13"/>
  <c r="T315" i="13"/>
  <c r="R319" i="13"/>
  <c r="Z319" i="13"/>
  <c r="L321" i="13"/>
  <c r="AY322" i="13"/>
  <c r="AY325" i="13" s="1"/>
  <c r="T330" i="13"/>
  <c r="AR361" i="13"/>
  <c r="AR365" i="13" s="1"/>
  <c r="P332" i="13"/>
  <c r="D364" i="13"/>
  <c r="R349" i="13"/>
  <c r="AX365" i="13"/>
  <c r="D362" i="13"/>
  <c r="D365" i="13"/>
  <c r="AN284" i="13"/>
  <c r="S271" i="13"/>
  <c r="AA271" i="13"/>
  <c r="R275" i="13"/>
  <c r="V276" i="13"/>
  <c r="T279" i="13"/>
  <c r="T290" i="13"/>
  <c r="U291" i="13"/>
  <c r="F325" i="13"/>
  <c r="AG325" i="13"/>
  <c r="W292" i="13"/>
  <c r="Q295" i="13"/>
  <c r="X296" i="13"/>
  <c r="U299" i="13"/>
  <c r="Q303" i="13"/>
  <c r="X304" i="13"/>
  <c r="U307" i="13"/>
  <c r="Q311" i="13"/>
  <c r="X312" i="13"/>
  <c r="U315" i="13"/>
  <c r="T317" i="13"/>
  <c r="M321" i="13"/>
  <c r="M325" i="13" s="1"/>
  <c r="AZ322" i="13"/>
  <c r="AH323" i="13"/>
  <c r="F324" i="13"/>
  <c r="U363" i="13"/>
  <c r="U362" i="13"/>
  <c r="U361" i="13"/>
  <c r="AS363" i="13"/>
  <c r="AS362" i="13"/>
  <c r="AS361" i="13"/>
  <c r="AS365" i="13" s="1"/>
  <c r="E364" i="13"/>
  <c r="P348" i="13"/>
  <c r="C363" i="13"/>
  <c r="AR363" i="13"/>
  <c r="C323" i="13"/>
  <c r="K322" i="13"/>
  <c r="AI323" i="13"/>
  <c r="AI322" i="13"/>
  <c r="AI321" i="13"/>
  <c r="AS323" i="13"/>
  <c r="AS322" i="13"/>
  <c r="AS321" i="13"/>
  <c r="AS325" i="13" s="1"/>
  <c r="BA323" i="13"/>
  <c r="BA322" i="13"/>
  <c r="BA321" i="13"/>
  <c r="BA325" i="13" s="1"/>
  <c r="AI325" i="13"/>
  <c r="G324" i="13"/>
  <c r="AW324" i="13"/>
  <c r="C322" i="13"/>
  <c r="Q330" i="13"/>
  <c r="P336" i="13"/>
  <c r="S364" i="13"/>
  <c r="AI364" i="13"/>
  <c r="Q346" i="13"/>
  <c r="P352" i="13"/>
  <c r="C364" i="13"/>
  <c r="AA265" i="13"/>
  <c r="R280" i="13"/>
  <c r="Z280" i="13"/>
  <c r="R290" i="13"/>
  <c r="L322" i="13"/>
  <c r="Z290" i="13"/>
  <c r="R292" i="13"/>
  <c r="Z292" i="13"/>
  <c r="R294" i="13"/>
  <c r="Z294" i="13"/>
  <c r="R296" i="13"/>
  <c r="Z296" i="13"/>
  <c r="R298" i="13"/>
  <c r="Z298" i="13"/>
  <c r="R300" i="13"/>
  <c r="Z300" i="13"/>
  <c r="R302" i="13"/>
  <c r="Z302" i="13"/>
  <c r="R304" i="13"/>
  <c r="Z304" i="13"/>
  <c r="AX324" i="13"/>
  <c r="R306" i="13"/>
  <c r="Z306" i="13"/>
  <c r="R308" i="13"/>
  <c r="Z308" i="13"/>
  <c r="R310" i="13"/>
  <c r="Z310" i="13"/>
  <c r="R312" i="13"/>
  <c r="Z312" i="13"/>
  <c r="R314" i="13"/>
  <c r="Z314" i="13"/>
  <c r="X319" i="13"/>
  <c r="D322" i="13"/>
  <c r="D325" i="13" s="1"/>
  <c r="R330" i="13"/>
  <c r="P334" i="13"/>
  <c r="T335" i="13"/>
  <c r="P345" i="13"/>
  <c r="R346" i="13"/>
  <c r="R364" i="13" s="1"/>
  <c r="P350" i="13"/>
  <c r="T351" i="13"/>
  <c r="S277" i="13"/>
  <c r="AA277" i="13"/>
  <c r="S280" i="13"/>
  <c r="AA280" i="13"/>
  <c r="S290" i="13"/>
  <c r="AA290" i="13"/>
  <c r="M323" i="13"/>
  <c r="Y290" i="13"/>
  <c r="S292" i="13"/>
  <c r="AA292" i="13"/>
  <c r="S294" i="13"/>
  <c r="AA294" i="13"/>
  <c r="S296" i="13"/>
  <c r="AA296" i="13"/>
  <c r="S298" i="13"/>
  <c r="AA298" i="13"/>
  <c r="S300" i="13"/>
  <c r="AA300" i="13"/>
  <c r="S302" i="13"/>
  <c r="AA302" i="13"/>
  <c r="S304" i="13"/>
  <c r="AA304" i="13"/>
  <c r="U305" i="13"/>
  <c r="U324" i="13" s="1"/>
  <c r="AG324" i="13"/>
  <c r="S306" i="13"/>
  <c r="AA306" i="13"/>
  <c r="S308" i="13"/>
  <c r="AA308" i="13"/>
  <c r="S310" i="13"/>
  <c r="AA310" i="13"/>
  <c r="S312" i="13"/>
  <c r="AA312" i="13"/>
  <c r="S314" i="13"/>
  <c r="AA314" i="13"/>
  <c r="C321" i="13"/>
  <c r="C325" i="13" s="1"/>
  <c r="E322" i="13"/>
  <c r="S330" i="13"/>
  <c r="E363" i="13"/>
  <c r="E362" i="13"/>
  <c r="E361" i="13"/>
  <c r="E365" i="13" s="1"/>
  <c r="Q364" i="13"/>
  <c r="U364" i="13"/>
  <c r="AS364" i="13"/>
  <c r="Q350" i="13"/>
  <c r="C361" i="13"/>
  <c r="C365" i="13" s="1"/>
  <c r="V365" i="13"/>
  <c r="H323" i="13"/>
  <c r="H322" i="13"/>
  <c r="H321" i="13"/>
  <c r="H325" i="13" s="1"/>
  <c r="AJ323" i="13"/>
  <c r="AJ322" i="13"/>
  <c r="AJ325" i="13" s="1"/>
  <c r="AJ321" i="13"/>
  <c r="AT323" i="13"/>
  <c r="AT322" i="13"/>
  <c r="AT321" i="13"/>
  <c r="AT325" i="13" s="1"/>
  <c r="BB323" i="13"/>
  <c r="BB322" i="13"/>
  <c r="BB321" i="13"/>
  <c r="BB325" i="13" s="1"/>
  <c r="R318" i="13"/>
  <c r="Z318" i="13"/>
  <c r="P331" i="13"/>
  <c r="AT365" i="13"/>
  <c r="P335" i="13"/>
  <c r="P339" i="13"/>
  <c r="P343" i="13"/>
  <c r="P347" i="13"/>
  <c r="P351" i="13"/>
  <c r="P355" i="13"/>
  <c r="P359" i="13"/>
  <c r="I323" i="13"/>
  <c r="I322" i="13"/>
  <c r="I321" i="13"/>
  <c r="I325" i="13" s="1"/>
  <c r="AK323" i="13"/>
  <c r="AK322" i="13"/>
  <c r="AK321" i="13"/>
  <c r="AK325" i="13" s="1"/>
  <c r="AU323" i="13"/>
  <c r="AU322" i="13"/>
  <c r="AU325" i="13" s="1"/>
  <c r="AU321" i="13"/>
  <c r="BC323" i="13"/>
  <c r="BC322" i="13"/>
  <c r="BC321" i="13"/>
  <c r="BC325" i="13"/>
  <c r="S318" i="13"/>
  <c r="AA318" i="13"/>
  <c r="Q319" i="13"/>
  <c r="Y319" i="13"/>
  <c r="AI363" i="13"/>
  <c r="AI362" i="13"/>
  <c r="AI361" i="13"/>
  <c r="AU365" i="13"/>
  <c r="G361" i="13"/>
  <c r="G362" i="13"/>
  <c r="AU361" i="13"/>
  <c r="AU362" i="13"/>
  <c r="X362" i="11"/>
  <c r="X365" i="11" s="1"/>
  <c r="Y361" i="11"/>
  <c r="Y365" i="11" s="1"/>
  <c r="AA362" i="11"/>
  <c r="AA365" i="11" s="1"/>
  <c r="V365" i="11"/>
  <c r="Z361" i="11"/>
  <c r="Z365" i="11" s="1"/>
  <c r="W365" i="11"/>
  <c r="Z321" i="11"/>
  <c r="AA321" i="11"/>
  <c r="R322" i="11"/>
  <c r="U283" i="11"/>
  <c r="T283" i="11"/>
  <c r="R283" i="11"/>
  <c r="T282" i="11"/>
  <c r="U282" i="11"/>
  <c r="AS362" i="11"/>
  <c r="AT362" i="11"/>
  <c r="AW363" i="11"/>
  <c r="AV362" i="11"/>
  <c r="AU322" i="11"/>
  <c r="AY323" i="11"/>
  <c r="AX323" i="11"/>
  <c r="BB321" i="11"/>
  <c r="BA323" i="11"/>
  <c r="AS323" i="11"/>
  <c r="AV323" i="11"/>
  <c r="AW321" i="11"/>
  <c r="AW325" i="11" s="1"/>
  <c r="AY282" i="11"/>
  <c r="BB283" i="11"/>
  <c r="AU282" i="11"/>
  <c r="AX283" i="11"/>
  <c r="AV283" i="11"/>
  <c r="AW283" i="11"/>
  <c r="AG363" i="11"/>
  <c r="AD363" i="11"/>
  <c r="AH362" i="11"/>
  <c r="AK322" i="11"/>
  <c r="AJ321" i="11"/>
  <c r="AG322" i="11"/>
  <c r="AG325" i="11" s="1"/>
  <c r="AH323" i="11"/>
  <c r="AI323" i="11"/>
  <c r="AO282" i="11"/>
  <c r="AG282" i="11"/>
  <c r="AK282" i="11"/>
  <c r="AJ283" i="11"/>
  <c r="AN281" i="11"/>
  <c r="AN285" i="11" s="1"/>
  <c r="AI283" i="11"/>
  <c r="AH283" i="11"/>
  <c r="BB325" i="11"/>
  <c r="BC325" i="11"/>
  <c r="BC285" i="11"/>
  <c r="AV285" i="11"/>
  <c r="AT281" i="11"/>
  <c r="AT285" i="11" s="1"/>
  <c r="AX322" i="11"/>
  <c r="BB323" i="11"/>
  <c r="AV361" i="11"/>
  <c r="AV363" i="11"/>
  <c r="AU281" i="11"/>
  <c r="AU285" i="11" s="1"/>
  <c r="BC283" i="11"/>
  <c r="AU321" i="11"/>
  <c r="AU325" i="11" s="1"/>
  <c r="AY322" i="11"/>
  <c r="BC323" i="11"/>
  <c r="AV321" i="11"/>
  <c r="AV325" i="11" s="1"/>
  <c r="AW281" i="11"/>
  <c r="AW285" i="11" s="1"/>
  <c r="BA282" i="11"/>
  <c r="AS322" i="11"/>
  <c r="AW323" i="11"/>
  <c r="AX281" i="11"/>
  <c r="AX285" i="11" s="1"/>
  <c r="AY281" i="11"/>
  <c r="AY285" i="11" s="1"/>
  <c r="AY283" i="11"/>
  <c r="AY321" i="11"/>
  <c r="AS361" i="11"/>
  <c r="AS365" i="11" s="1"/>
  <c r="AX282" i="11"/>
  <c r="AT321" i="11"/>
  <c r="AT325" i="11" s="1"/>
  <c r="AW361" i="11"/>
  <c r="AW365" i="11" s="1"/>
  <c r="AV281" i="11"/>
  <c r="AZ282" i="11"/>
  <c r="AR322" i="11"/>
  <c r="AS282" i="11"/>
  <c r="BA322" i="11"/>
  <c r="AU362" i="11"/>
  <c r="AU365" i="11" s="1"/>
  <c r="AX321" i="11"/>
  <c r="AR361" i="11"/>
  <c r="AR365" i="11" s="1"/>
  <c r="AR281" i="11"/>
  <c r="AR285" i="11" s="1"/>
  <c r="AZ281" i="11"/>
  <c r="AZ285" i="11" s="1"/>
  <c r="AR283" i="11"/>
  <c r="AR321" i="11"/>
  <c r="AZ321" i="11"/>
  <c r="AZ325" i="11" s="1"/>
  <c r="AZ323" i="11"/>
  <c r="AT361" i="11"/>
  <c r="AT365" i="11" s="1"/>
  <c r="BB281" i="11"/>
  <c r="BB285" i="11" s="1"/>
  <c r="AS281" i="11"/>
  <c r="BA281" i="11"/>
  <c r="AS321" i="11"/>
  <c r="AS325" i="11" s="1"/>
  <c r="BA321" i="11"/>
  <c r="BA325" i="11" s="1"/>
  <c r="AU361" i="11"/>
  <c r="AN325" i="11"/>
  <c r="AJ325" i="11"/>
  <c r="AO325" i="11"/>
  <c r="AH365" i="11"/>
  <c r="AD285" i="11"/>
  <c r="AF281" i="11"/>
  <c r="AF285" i="11" s="1"/>
  <c r="AN283" i="11"/>
  <c r="AJ322" i="11"/>
  <c r="AH361" i="11"/>
  <c r="AH363" i="11"/>
  <c r="AO281" i="11"/>
  <c r="AO285" i="11" s="1"/>
  <c r="AG323" i="11"/>
  <c r="AH281" i="11"/>
  <c r="AH285" i="11" s="1"/>
  <c r="AL322" i="11"/>
  <c r="AI281" i="11"/>
  <c r="AI285" i="11" s="1"/>
  <c r="AJ323" i="11"/>
  <c r="AD361" i="11"/>
  <c r="AD365" i="11" s="1"/>
  <c r="AK281" i="11"/>
  <c r="AK285" i="11" s="1"/>
  <c r="AK283" i="11"/>
  <c r="AK321" i="11"/>
  <c r="AK325" i="11" s="1"/>
  <c r="AK323" i="11"/>
  <c r="AE361" i="11"/>
  <c r="AE365" i="11" s="1"/>
  <c r="AJ282" i="11"/>
  <c r="AF321" i="11"/>
  <c r="AF325" i="11" s="1"/>
  <c r="AN323" i="11"/>
  <c r="AG281" i="11"/>
  <c r="AG285" i="11" s="1"/>
  <c r="AI361" i="11"/>
  <c r="AI365" i="11" s="1"/>
  <c r="AI363" i="11"/>
  <c r="AL282" i="11"/>
  <c r="AL285" i="11" s="1"/>
  <c r="AD322" i="11"/>
  <c r="AE282" i="11"/>
  <c r="AI321" i="11"/>
  <c r="AI325" i="11" s="1"/>
  <c r="AM322" i="11"/>
  <c r="AD281" i="11"/>
  <c r="AL281" i="11"/>
  <c r="AD283" i="11"/>
  <c r="AD321" i="11"/>
  <c r="AL321" i="11"/>
  <c r="AL325" i="11" s="1"/>
  <c r="AF361" i="11"/>
  <c r="AF365" i="11" s="1"/>
  <c r="AO321" i="11"/>
  <c r="AH321" i="11"/>
  <c r="AH325" i="11" s="1"/>
  <c r="AM282" i="11"/>
  <c r="AE322" i="11"/>
  <c r="AJ281" i="11"/>
  <c r="AE281" i="11"/>
  <c r="AM281" i="11"/>
  <c r="AM285" i="11" s="1"/>
  <c r="AE321" i="11"/>
  <c r="AM321" i="11"/>
  <c r="AG361" i="11"/>
  <c r="AG365" i="11" s="1"/>
  <c r="Z325" i="11"/>
  <c r="R325" i="11"/>
  <c r="P363" i="11"/>
  <c r="R361" i="11"/>
  <c r="AA325" i="11"/>
  <c r="T363" i="11"/>
  <c r="T361" i="11"/>
  <c r="T365" i="11" s="1"/>
  <c r="AA285" i="11"/>
  <c r="V283" i="11"/>
  <c r="V281" i="11"/>
  <c r="V282" i="11"/>
  <c r="V285" i="11" s="1"/>
  <c r="R282" i="11"/>
  <c r="R285" i="11" s="1"/>
  <c r="Z282" i="11"/>
  <c r="Z285" i="11" s="1"/>
  <c r="V323" i="11"/>
  <c r="V321" i="11"/>
  <c r="V322" i="11"/>
  <c r="V325" i="11" s="1"/>
  <c r="S281" i="11"/>
  <c r="S285" i="11" s="1"/>
  <c r="S321" i="11"/>
  <c r="S325" i="11" s="1"/>
  <c r="W322" i="11"/>
  <c r="W325" i="11" s="1"/>
  <c r="AA323" i="11"/>
  <c r="U361" i="11"/>
  <c r="U365" i="11" s="1"/>
  <c r="U363" i="11"/>
  <c r="T281" i="11"/>
  <c r="T285" i="11" s="1"/>
  <c r="P282" i="11"/>
  <c r="T321" i="11"/>
  <c r="T325" i="11" s="1"/>
  <c r="P322" i="11"/>
  <c r="X322" i="11"/>
  <c r="R362" i="11"/>
  <c r="U281" i="11"/>
  <c r="Q282" i="11"/>
  <c r="Y282" i="11"/>
  <c r="U321" i="11"/>
  <c r="U325" i="11" s="1"/>
  <c r="Q322" i="11"/>
  <c r="Y322" i="11"/>
  <c r="S362" i="11"/>
  <c r="P361" i="11"/>
  <c r="P365" i="11" s="1"/>
  <c r="W281" i="11"/>
  <c r="W285" i="11" s="1"/>
  <c r="W283" i="11"/>
  <c r="W321" i="11"/>
  <c r="Q361" i="11"/>
  <c r="Q365" i="11" s="1"/>
  <c r="AA283" i="11"/>
  <c r="X282" i="11"/>
  <c r="P281" i="11"/>
  <c r="X281" i="11"/>
  <c r="X285" i="11" s="1"/>
  <c r="P321" i="11"/>
  <c r="X321" i="11"/>
  <c r="R363" i="11"/>
  <c r="Q281" i="11"/>
  <c r="Q285" i="11" s="1"/>
  <c r="Y281" i="11"/>
  <c r="Y285" i="11" s="1"/>
  <c r="Q321" i="11"/>
  <c r="Q325" i="11" s="1"/>
  <c r="Y321" i="11"/>
  <c r="Y325" i="11" s="1"/>
  <c r="S361" i="11"/>
  <c r="S365" i="11" s="1"/>
  <c r="K364" i="11"/>
  <c r="M364" i="11"/>
  <c r="L364" i="11"/>
  <c r="D364" i="11"/>
  <c r="H364" i="11"/>
  <c r="D362" i="11"/>
  <c r="I364" i="11"/>
  <c r="C364" i="11"/>
  <c r="C362" i="11"/>
  <c r="G361" i="11"/>
  <c r="B364" i="11"/>
  <c r="I362" i="11"/>
  <c r="H362" i="11"/>
  <c r="G362" i="11"/>
  <c r="I363" i="11"/>
  <c r="I322" i="11"/>
  <c r="G322" i="11"/>
  <c r="H322" i="11"/>
  <c r="I323" i="11"/>
  <c r="G282" i="11"/>
  <c r="I282" i="11"/>
  <c r="H282" i="11"/>
  <c r="I283" i="11"/>
  <c r="G365" i="11"/>
  <c r="J363" i="11"/>
  <c r="C361" i="11"/>
  <c r="C365" i="11" s="1"/>
  <c r="K361" i="11"/>
  <c r="K365" i="11" s="1"/>
  <c r="C363" i="11"/>
  <c r="K363" i="11"/>
  <c r="F361" i="11"/>
  <c r="F365" i="11" s="1"/>
  <c r="J362" i="11"/>
  <c r="J365" i="11" s="1"/>
  <c r="G363" i="11"/>
  <c r="H361" i="11"/>
  <c r="L362" i="11"/>
  <c r="D361" i="11"/>
  <c r="L361" i="11"/>
  <c r="D363" i="11"/>
  <c r="B362" i="11"/>
  <c r="I361" i="11"/>
  <c r="I365" i="11" s="1"/>
  <c r="E362" i="11"/>
  <c r="M362" i="11"/>
  <c r="B361" i="11"/>
  <c r="E361" i="11"/>
  <c r="M361" i="11"/>
  <c r="C321" i="11"/>
  <c r="C325" i="11" s="1"/>
  <c r="K321" i="11"/>
  <c r="K325" i="11" s="1"/>
  <c r="C323" i="11"/>
  <c r="K323" i="11"/>
  <c r="F321" i="11"/>
  <c r="F325" i="11" s="1"/>
  <c r="B322" i="11"/>
  <c r="J322" i="11"/>
  <c r="G321" i="11"/>
  <c r="G325" i="11" s="1"/>
  <c r="H321" i="11"/>
  <c r="H325" i="11" s="1"/>
  <c r="D322" i="11"/>
  <c r="D325" i="11" s="1"/>
  <c r="L322" i="11"/>
  <c r="L325" i="11" s="1"/>
  <c r="I321" i="11"/>
  <c r="I325" i="11" s="1"/>
  <c r="E322" i="11"/>
  <c r="M322" i="11"/>
  <c r="B321" i="11"/>
  <c r="J321" i="11"/>
  <c r="J325" i="11" s="1"/>
  <c r="D321" i="11"/>
  <c r="L321" i="11"/>
  <c r="E321" i="11"/>
  <c r="M321" i="11"/>
  <c r="F285" i="11"/>
  <c r="I285" i="11"/>
  <c r="J282" i="11"/>
  <c r="H281" i="11"/>
  <c r="H285" i="11" s="1"/>
  <c r="D282" i="11"/>
  <c r="L282" i="11"/>
  <c r="H283" i="11"/>
  <c r="F283" i="11"/>
  <c r="I281" i="11"/>
  <c r="E282" i="11"/>
  <c r="M282" i="11"/>
  <c r="B282" i="11"/>
  <c r="B281" i="11"/>
  <c r="B285" i="11" s="1"/>
  <c r="J281" i="11"/>
  <c r="C282" i="11"/>
  <c r="C281" i="11"/>
  <c r="K281" i="11"/>
  <c r="K285" i="11" s="1"/>
  <c r="K283" i="11"/>
  <c r="G281" i="11"/>
  <c r="G285" i="11" s="1"/>
  <c r="D281" i="11"/>
  <c r="L281" i="11"/>
  <c r="L285" i="11" s="1"/>
  <c r="E281" i="11"/>
  <c r="M281" i="11"/>
  <c r="BG17" i="11"/>
  <c r="BG170" i="11"/>
  <c r="BL149" i="11"/>
  <c r="BO147" i="11"/>
  <c r="BP138" i="11"/>
  <c r="BO120" i="11"/>
  <c r="BH109" i="11"/>
  <c r="BO104" i="11"/>
  <c r="BO97" i="11"/>
  <c r="BP78" i="11"/>
  <c r="BO78" i="11"/>
  <c r="BK67" i="11"/>
  <c r="BO54" i="11"/>
  <c r="BF51" i="11"/>
  <c r="BH13" i="11"/>
  <c r="BF17" i="11"/>
  <c r="AT238" i="11"/>
  <c r="BB237" i="11"/>
  <c r="BA235" i="11"/>
  <c r="BC234" i="11"/>
  <c r="AX233" i="11"/>
  <c r="BB232" i="11"/>
  <c r="AT230" i="11"/>
  <c r="AY229" i="11"/>
  <c r="AT228" i="11"/>
  <c r="AX227" i="11"/>
  <c r="BC224" i="11"/>
  <c r="BB224" i="11"/>
  <c r="AU224" i="11"/>
  <c r="BB222" i="11"/>
  <c r="AT222" i="11"/>
  <c r="AY221" i="11"/>
  <c r="AY219" i="11"/>
  <c r="AX219" i="11"/>
  <c r="BC218" i="11"/>
  <c r="AX217" i="11"/>
  <c r="AV216" i="11"/>
  <c r="AU216" i="11"/>
  <c r="AU214" i="11"/>
  <c r="AT214" i="11"/>
  <c r="AY213" i="11"/>
  <c r="AT212" i="11"/>
  <c r="AR211" i="11"/>
  <c r="BC199" i="11"/>
  <c r="BB199" i="11"/>
  <c r="BA198" i="11"/>
  <c r="AZ196" i="11"/>
  <c r="AY196" i="11"/>
  <c r="AY194" i="11"/>
  <c r="AW193" i="11"/>
  <c r="BB191" i="11"/>
  <c r="AV191" i="11"/>
  <c r="AU191" i="11"/>
  <c r="AX188" i="11"/>
  <c r="AS188" i="11"/>
  <c r="AX186" i="11"/>
  <c r="AR186" i="11"/>
  <c r="AT185" i="11"/>
  <c r="AU183" i="11"/>
  <c r="AT183" i="11"/>
  <c r="BA182" i="11"/>
  <c r="AT181" i="11"/>
  <c r="BC179" i="11"/>
  <c r="BB179" i="11"/>
  <c r="AX178" i="11"/>
  <c r="BC177" i="11"/>
  <c r="BB177" i="11"/>
  <c r="AW177" i="11"/>
  <c r="BB175" i="11"/>
  <c r="AZ174" i="11"/>
  <c r="AY174" i="11"/>
  <c r="AX174" i="11"/>
  <c r="AT173" i="11"/>
  <c r="AY172" i="11"/>
  <c r="AX172" i="11"/>
  <c r="AV171" i="11"/>
  <c r="BC160" i="11"/>
  <c r="AV160" i="11"/>
  <c r="AU160" i="11"/>
  <c r="AT160" i="11"/>
  <c r="BB158" i="11"/>
  <c r="AU158" i="11"/>
  <c r="AT158" i="11"/>
  <c r="AS157" i="11"/>
  <c r="AR157" i="11"/>
  <c r="AY155" i="11"/>
  <c r="AR155" i="11"/>
  <c r="BC154" i="11"/>
  <c r="BB154" i="11"/>
  <c r="AX153" i="11"/>
  <c r="BC152" i="11"/>
  <c r="AV152" i="11"/>
  <c r="BA151" i="11"/>
  <c r="AZ151" i="11"/>
  <c r="AU150" i="11"/>
  <c r="AZ149" i="11"/>
  <c r="AY149" i="11"/>
  <c r="AT148" i="11"/>
  <c r="AR147" i="11"/>
  <c r="AW146" i="11"/>
  <c r="AV146" i="11"/>
  <c r="BC144" i="11"/>
  <c r="AV144" i="11"/>
  <c r="BA143" i="11"/>
  <c r="AZ141" i="11"/>
  <c r="AS141" i="11"/>
  <c r="AR141" i="11"/>
  <c r="AY139" i="11"/>
  <c r="AW138" i="11"/>
  <c r="AV136" i="11"/>
  <c r="BA135" i="11"/>
  <c r="AX133" i="11"/>
  <c r="AS133" i="11"/>
  <c r="AR131" i="11"/>
  <c r="AT130" i="11"/>
  <c r="BB120" i="11"/>
  <c r="AT119" i="11"/>
  <c r="BA118" i="11"/>
  <c r="BC115" i="11"/>
  <c r="BB115" i="11"/>
  <c r="BB113" i="11"/>
  <c r="AW113" i="11"/>
  <c r="AY112" i="11"/>
  <c r="AY110" i="11"/>
  <c r="AX110" i="11"/>
  <c r="AX108" i="11"/>
  <c r="AV107" i="11"/>
  <c r="AU107" i="11"/>
  <c r="AU105" i="11"/>
  <c r="AT105" i="11"/>
  <c r="AT103" i="11"/>
  <c r="AR102" i="11"/>
  <c r="BC101" i="11"/>
  <c r="BC99" i="11"/>
  <c r="BB99" i="11"/>
  <c r="BA98" i="11"/>
  <c r="AZ96" i="11"/>
  <c r="AY96" i="11"/>
  <c r="AY94" i="11"/>
  <c r="AW93" i="11"/>
  <c r="AV91" i="11"/>
  <c r="AU91" i="11"/>
  <c r="AX79" i="11"/>
  <c r="AS79" i="11"/>
  <c r="AR77" i="11"/>
  <c r="AT76" i="11"/>
  <c r="AV75" i="11"/>
  <c r="BC74" i="11"/>
  <c r="AW74" i="11"/>
  <c r="AV74" i="11"/>
  <c r="AW73" i="11"/>
  <c r="AR73" i="11"/>
  <c r="AW72" i="11"/>
  <c r="AV72" i="11"/>
  <c r="AX71" i="11"/>
  <c r="AW71" i="11"/>
  <c r="AR71" i="11"/>
  <c r="BC70" i="11"/>
  <c r="AS70" i="11"/>
  <c r="AW69" i="11"/>
  <c r="AS69" i="11"/>
  <c r="AR69" i="11"/>
  <c r="AT68" i="11"/>
  <c r="AS68" i="11"/>
  <c r="AZ67" i="11"/>
  <c r="AS67" i="11"/>
  <c r="BA66" i="11"/>
  <c r="AT66" i="11"/>
  <c r="AS66" i="11"/>
  <c r="BA65" i="11"/>
  <c r="AZ65" i="11"/>
  <c r="BB64" i="11"/>
  <c r="BA64" i="11"/>
  <c r="AS64" i="11"/>
  <c r="BA63" i="11"/>
  <c r="BB62" i="11"/>
  <c r="BA62" i="11"/>
  <c r="AW62" i="11"/>
  <c r="AV62" i="11"/>
  <c r="AX61" i="11"/>
  <c r="AW61" i="11"/>
  <c r="BB60" i="11"/>
  <c r="BA60" i="11"/>
  <c r="AW60" i="11"/>
  <c r="AX59" i="11"/>
  <c r="AW59" i="11"/>
  <c r="AS59" i="11"/>
  <c r="BA58" i="11"/>
  <c r="AT58" i="11"/>
  <c r="AY57" i="11"/>
  <c r="AX57" i="11"/>
  <c r="AW57" i="11"/>
  <c r="AS57" i="11"/>
  <c r="AT56" i="11"/>
  <c r="AS56" i="11"/>
  <c r="AX55" i="11"/>
  <c r="AW55" i="11"/>
  <c r="AU54" i="11"/>
  <c r="AT54" i="11"/>
  <c r="AS54" i="11"/>
  <c r="BA53" i="11"/>
  <c r="BB52" i="11"/>
  <c r="AU52" i="11"/>
  <c r="AT52" i="11"/>
  <c r="AS52" i="11"/>
  <c r="BA50" i="11"/>
  <c r="AT50" i="11"/>
  <c r="BC11" i="11"/>
  <c r="AR12" i="11"/>
  <c r="AS12" i="11"/>
  <c r="AR14" i="11"/>
  <c r="AS14" i="11"/>
  <c r="AT15" i="11"/>
  <c r="AU15" i="11"/>
  <c r="AV15" i="11"/>
  <c r="AW15" i="11"/>
  <c r="AU17" i="11"/>
  <c r="AV17" i="11"/>
  <c r="AW17" i="11"/>
  <c r="AX18" i="11"/>
  <c r="AY18" i="11"/>
  <c r="AZ18" i="11"/>
  <c r="BA18" i="11"/>
  <c r="AV19" i="11"/>
  <c r="AX20" i="11"/>
  <c r="AY20" i="11"/>
  <c r="AZ20" i="11"/>
  <c r="BA20" i="11"/>
  <c r="BB21" i="11"/>
  <c r="BC21" i="11"/>
  <c r="AR22" i="11"/>
  <c r="AY22" i="11"/>
  <c r="AZ22" i="11"/>
  <c r="BB23" i="11"/>
  <c r="BC23" i="11"/>
  <c r="AR24" i="11"/>
  <c r="AS24" i="11"/>
  <c r="AT25" i="11"/>
  <c r="AU25" i="11"/>
  <c r="BB25" i="11"/>
  <c r="BC25" i="11"/>
  <c r="AR26" i="11"/>
  <c r="AT27" i="11"/>
  <c r="AU27" i="11"/>
  <c r="AV27" i="11"/>
  <c r="BC27" i="11"/>
  <c r="AX28" i="11"/>
  <c r="AT29" i="11"/>
  <c r="AU29" i="11"/>
  <c r="AV29" i="11"/>
  <c r="AX30" i="11"/>
  <c r="AY30" i="11"/>
  <c r="AT31" i="11"/>
  <c r="AU31" i="11"/>
  <c r="AX32" i="11"/>
  <c r="AY32" i="11"/>
  <c r="AZ32" i="11"/>
  <c r="BB33" i="11"/>
  <c r="AX34" i="11"/>
  <c r="AY34" i="11"/>
  <c r="BB35" i="11"/>
  <c r="BC35" i="11"/>
  <c r="AX36" i="11"/>
  <c r="BB37" i="11"/>
  <c r="BC37" i="11"/>
  <c r="AT39" i="11"/>
  <c r="BB39" i="11"/>
  <c r="BC10" i="11"/>
  <c r="L240" i="11"/>
  <c r="BP240" i="11" s="1"/>
  <c r="I239" i="11"/>
  <c r="BM239" i="11" s="1"/>
  <c r="B239" i="11"/>
  <c r="BF239" i="11" s="1"/>
  <c r="D238" i="11"/>
  <c r="BH238" i="11" s="1"/>
  <c r="K237" i="11"/>
  <c r="BO237" i="11" s="1"/>
  <c r="M236" i="11"/>
  <c r="BQ236" i="11" s="1"/>
  <c r="L236" i="11"/>
  <c r="BP236" i="11" s="1"/>
  <c r="F236" i="11"/>
  <c r="BJ236" i="11" s="1"/>
  <c r="E236" i="11"/>
  <c r="BI236" i="11" s="1"/>
  <c r="C235" i="11"/>
  <c r="BG235" i="11" s="1"/>
  <c r="B235" i="11"/>
  <c r="BF235" i="11" s="1"/>
  <c r="D234" i="11"/>
  <c r="BH234" i="11" s="1"/>
  <c r="J233" i="11"/>
  <c r="BN233" i="11" s="1"/>
  <c r="I233" i="11"/>
  <c r="BM233" i="11" s="1"/>
  <c r="F232" i="11"/>
  <c r="BJ232" i="11" s="1"/>
  <c r="M230" i="11"/>
  <c r="BQ230" i="11" s="1"/>
  <c r="L230" i="11"/>
  <c r="BP230" i="11" s="1"/>
  <c r="I230" i="11"/>
  <c r="BM230" i="11" s="1"/>
  <c r="J229" i="11"/>
  <c r="BN229" i="11" s="1"/>
  <c r="C229" i="11"/>
  <c r="BG229" i="11" s="1"/>
  <c r="E228" i="11"/>
  <c r="BI228" i="11" s="1"/>
  <c r="D228" i="11"/>
  <c r="BH228" i="11" s="1"/>
  <c r="G226" i="11"/>
  <c r="BK226" i="11" s="1"/>
  <c r="F226" i="11"/>
  <c r="BJ226" i="11" s="1"/>
  <c r="L224" i="11"/>
  <c r="BP224" i="11" s="1"/>
  <c r="J223" i="11"/>
  <c r="BN223" i="11" s="1"/>
  <c r="I223" i="11"/>
  <c r="BM223" i="11" s="1"/>
  <c r="L222" i="11"/>
  <c r="BP222" i="11" s="1"/>
  <c r="D222" i="11"/>
  <c r="BH222" i="11" s="1"/>
  <c r="M221" i="11"/>
  <c r="BQ221" i="11" s="1"/>
  <c r="B221" i="11"/>
  <c r="BF221" i="11" s="1"/>
  <c r="M220" i="11"/>
  <c r="BQ220" i="11" s="1"/>
  <c r="L220" i="11"/>
  <c r="BP220" i="11" s="1"/>
  <c r="D219" i="11"/>
  <c r="BH219" i="11" s="1"/>
  <c r="E218" i="11"/>
  <c r="BI218" i="11" s="1"/>
  <c r="D218" i="11"/>
  <c r="BH218" i="11" s="1"/>
  <c r="J217" i="11"/>
  <c r="BN217" i="11" s="1"/>
  <c r="L216" i="11"/>
  <c r="BP216" i="11" s="1"/>
  <c r="G216" i="11"/>
  <c r="BK216" i="11" s="1"/>
  <c r="I215" i="11"/>
  <c r="BM215" i="11" s="1"/>
  <c r="B215" i="11"/>
  <c r="BF215" i="11" s="1"/>
  <c r="M214" i="11"/>
  <c r="BQ214" i="11" s="1"/>
  <c r="D214" i="11"/>
  <c r="BH214" i="11" s="1"/>
  <c r="K213" i="11"/>
  <c r="BO213" i="11" s="1"/>
  <c r="J213" i="11"/>
  <c r="BN213" i="11" s="1"/>
  <c r="L212" i="11"/>
  <c r="BP212" i="11" s="1"/>
  <c r="F212" i="11"/>
  <c r="BJ212" i="11" s="1"/>
  <c r="E212" i="11"/>
  <c r="BI212" i="11" s="1"/>
  <c r="D212" i="11"/>
  <c r="BH212" i="11" s="1"/>
  <c r="B211" i="11"/>
  <c r="BF211" i="11" s="1"/>
  <c r="I210" i="11"/>
  <c r="BM210" i="11" s="1"/>
  <c r="J200" i="11"/>
  <c r="BN200" i="11" s="1"/>
  <c r="I200" i="11"/>
  <c r="BM200" i="11" s="1"/>
  <c r="M199" i="11"/>
  <c r="BQ199" i="11" s="1"/>
  <c r="L199" i="11"/>
  <c r="BP199" i="11" s="1"/>
  <c r="G199" i="11"/>
  <c r="BK199" i="11" s="1"/>
  <c r="J198" i="11"/>
  <c r="BN198" i="11" s="1"/>
  <c r="I198" i="11"/>
  <c r="BM198" i="11" s="1"/>
  <c r="H198" i="11"/>
  <c r="BL198" i="11" s="1"/>
  <c r="L197" i="11"/>
  <c r="BP197" i="11" s="1"/>
  <c r="G197" i="11"/>
  <c r="BK197" i="11" s="1"/>
  <c r="F197" i="11"/>
  <c r="BJ197" i="11" s="1"/>
  <c r="I196" i="11"/>
  <c r="BM196" i="11" s="1"/>
  <c r="H196" i="11"/>
  <c r="BL196" i="11" s="1"/>
  <c r="D196" i="11"/>
  <c r="BH196" i="11" s="1"/>
  <c r="L195" i="11"/>
  <c r="BP195" i="11" s="1"/>
  <c r="F195" i="11"/>
  <c r="BJ195" i="11" s="1"/>
  <c r="E195" i="11"/>
  <c r="BI195" i="11" s="1"/>
  <c r="I194" i="11"/>
  <c r="BM194" i="11" s="1"/>
  <c r="H194" i="11"/>
  <c r="BL194" i="11" s="1"/>
  <c r="C194" i="11"/>
  <c r="BG194" i="11" s="1"/>
  <c r="F193" i="11"/>
  <c r="BJ193" i="11" s="1"/>
  <c r="E193" i="11"/>
  <c r="BI193" i="11" s="1"/>
  <c r="D193" i="11"/>
  <c r="BH193" i="11" s="1"/>
  <c r="H192" i="11"/>
  <c r="BL192" i="11" s="1"/>
  <c r="C192" i="11"/>
  <c r="BG192" i="11" s="1"/>
  <c r="B192" i="11"/>
  <c r="BF192" i="11" s="1"/>
  <c r="E191" i="11"/>
  <c r="BI191" i="11" s="1"/>
  <c r="D191" i="11"/>
  <c r="BH191" i="11" s="1"/>
  <c r="H190" i="11"/>
  <c r="BL190" i="11" s="1"/>
  <c r="B190" i="11"/>
  <c r="BF190" i="11" s="1"/>
  <c r="M189" i="11"/>
  <c r="BQ189" i="11" s="1"/>
  <c r="E189" i="11"/>
  <c r="BI189" i="11" s="1"/>
  <c r="D189" i="11"/>
  <c r="BH189" i="11" s="1"/>
  <c r="K188" i="11"/>
  <c r="BO188" i="11" s="1"/>
  <c r="B188" i="11"/>
  <c r="BF188" i="11" s="1"/>
  <c r="M187" i="11"/>
  <c r="BQ187" i="11" s="1"/>
  <c r="L187" i="11"/>
  <c r="BP187" i="11" s="1"/>
  <c r="D187" i="11"/>
  <c r="BH187" i="11" s="1"/>
  <c r="K186" i="11"/>
  <c r="BO186" i="11" s="1"/>
  <c r="J186" i="11"/>
  <c r="BN186" i="11" s="1"/>
  <c r="M185" i="11"/>
  <c r="BQ185" i="11" s="1"/>
  <c r="L185" i="11"/>
  <c r="BP185" i="11" s="1"/>
  <c r="D185" i="11"/>
  <c r="BH185" i="11" s="1"/>
  <c r="J184" i="11"/>
  <c r="BN184" i="11" s="1"/>
  <c r="I184" i="11"/>
  <c r="BM184" i="11" s="1"/>
  <c r="M183" i="11"/>
  <c r="BQ183" i="11" s="1"/>
  <c r="L183" i="11"/>
  <c r="BP183" i="11" s="1"/>
  <c r="G183" i="11"/>
  <c r="BK183" i="11" s="1"/>
  <c r="J182" i="11"/>
  <c r="BN182" i="11" s="1"/>
  <c r="I182" i="11"/>
  <c r="BM182" i="11" s="1"/>
  <c r="H182" i="11"/>
  <c r="BL182" i="11" s="1"/>
  <c r="L181" i="11"/>
  <c r="BP181" i="11" s="1"/>
  <c r="G181" i="11"/>
  <c r="BK181" i="11" s="1"/>
  <c r="F181" i="11"/>
  <c r="BJ181" i="11" s="1"/>
  <c r="I180" i="11"/>
  <c r="BM180" i="11" s="1"/>
  <c r="H180" i="11"/>
  <c r="BL180" i="11" s="1"/>
  <c r="L179" i="11"/>
  <c r="BP179" i="11" s="1"/>
  <c r="F179" i="11"/>
  <c r="BJ179" i="11" s="1"/>
  <c r="E179" i="11"/>
  <c r="BI179" i="11" s="1"/>
  <c r="I178" i="11"/>
  <c r="BM178" i="11" s="1"/>
  <c r="H178" i="11"/>
  <c r="BL178" i="11" s="1"/>
  <c r="C178" i="11"/>
  <c r="BG178" i="11" s="1"/>
  <c r="F177" i="11"/>
  <c r="BJ177" i="11" s="1"/>
  <c r="E177" i="11"/>
  <c r="BI177" i="11" s="1"/>
  <c r="D177" i="11"/>
  <c r="BH177" i="11" s="1"/>
  <c r="H176" i="11"/>
  <c r="BL176" i="11" s="1"/>
  <c r="C176" i="11"/>
  <c r="BG176" i="11" s="1"/>
  <c r="B176" i="11"/>
  <c r="BF176" i="11" s="1"/>
  <c r="E175" i="11"/>
  <c r="BI175" i="11" s="1"/>
  <c r="D175" i="11"/>
  <c r="BH175" i="11" s="1"/>
  <c r="H174" i="11"/>
  <c r="BL174" i="11" s="1"/>
  <c r="B174" i="11"/>
  <c r="BF174" i="11" s="1"/>
  <c r="M173" i="11"/>
  <c r="BQ173" i="11" s="1"/>
  <c r="E173" i="11"/>
  <c r="BI173" i="11" s="1"/>
  <c r="D173" i="11"/>
  <c r="BH173" i="11" s="1"/>
  <c r="K172" i="11"/>
  <c r="BO172" i="11" s="1"/>
  <c r="B172" i="11"/>
  <c r="BF172" i="11" s="1"/>
  <c r="M171" i="11"/>
  <c r="BQ171" i="11" s="1"/>
  <c r="L171" i="11"/>
  <c r="BP171" i="11" s="1"/>
  <c r="D171" i="11"/>
  <c r="BH171" i="11" s="1"/>
  <c r="L170" i="11"/>
  <c r="BP170" i="11" s="1"/>
  <c r="K170" i="11"/>
  <c r="BO170" i="11" s="1"/>
  <c r="C170" i="11"/>
  <c r="B170" i="11"/>
  <c r="BF170" i="11" s="1"/>
  <c r="M160" i="11"/>
  <c r="BQ160" i="11" s="1"/>
  <c r="L160" i="11"/>
  <c r="BP160" i="11" s="1"/>
  <c r="D160" i="11"/>
  <c r="BH160" i="11" s="1"/>
  <c r="J159" i="11"/>
  <c r="BN159" i="11" s="1"/>
  <c r="I159" i="11"/>
  <c r="BM159" i="11" s="1"/>
  <c r="M158" i="11"/>
  <c r="BQ158" i="11" s="1"/>
  <c r="L158" i="11"/>
  <c r="BP158" i="11" s="1"/>
  <c r="G158" i="11"/>
  <c r="BK158" i="11" s="1"/>
  <c r="J157" i="11"/>
  <c r="BN157" i="11" s="1"/>
  <c r="I157" i="11"/>
  <c r="BM157" i="11" s="1"/>
  <c r="H157" i="11"/>
  <c r="BL157" i="11" s="1"/>
  <c r="L156" i="11"/>
  <c r="BP156" i="11" s="1"/>
  <c r="G156" i="11"/>
  <c r="BK156" i="11" s="1"/>
  <c r="F156" i="11"/>
  <c r="BJ156" i="11" s="1"/>
  <c r="I155" i="11"/>
  <c r="BM155" i="11" s="1"/>
  <c r="H155" i="11"/>
  <c r="BL155" i="11" s="1"/>
  <c r="L154" i="11"/>
  <c r="BP154" i="11" s="1"/>
  <c r="F154" i="11"/>
  <c r="BJ154" i="11" s="1"/>
  <c r="E154" i="11"/>
  <c r="BI154" i="11" s="1"/>
  <c r="I153" i="11"/>
  <c r="BM153" i="11" s="1"/>
  <c r="H153" i="11"/>
  <c r="BL153" i="11" s="1"/>
  <c r="C153" i="11"/>
  <c r="BG153" i="11" s="1"/>
  <c r="F152" i="11"/>
  <c r="BJ152" i="11" s="1"/>
  <c r="E152" i="11"/>
  <c r="BI152" i="11" s="1"/>
  <c r="D152" i="11"/>
  <c r="BH152" i="11" s="1"/>
  <c r="H151" i="11"/>
  <c r="BL151" i="11" s="1"/>
  <c r="C151" i="11"/>
  <c r="BG151" i="11" s="1"/>
  <c r="B151" i="11"/>
  <c r="BF151" i="11" s="1"/>
  <c r="E150" i="11"/>
  <c r="BI150" i="11" s="1"/>
  <c r="D150" i="11"/>
  <c r="BH150" i="11" s="1"/>
  <c r="H149" i="11"/>
  <c r="B149" i="11"/>
  <c r="BF149" i="11" s="1"/>
  <c r="M148" i="11"/>
  <c r="BQ148" i="11" s="1"/>
  <c r="E148" i="11"/>
  <c r="BI148" i="11" s="1"/>
  <c r="D148" i="11"/>
  <c r="BH148" i="11" s="1"/>
  <c r="K147" i="11"/>
  <c r="B147" i="11"/>
  <c r="BF147" i="11" s="1"/>
  <c r="M146" i="11"/>
  <c r="BQ146" i="11" s="1"/>
  <c r="L146" i="11"/>
  <c r="BP146" i="11" s="1"/>
  <c r="D146" i="11"/>
  <c r="BH146" i="11" s="1"/>
  <c r="K145" i="11"/>
  <c r="BO145" i="11" s="1"/>
  <c r="J145" i="11"/>
  <c r="BN145" i="11" s="1"/>
  <c r="M144" i="11"/>
  <c r="BQ144" i="11" s="1"/>
  <c r="L144" i="11"/>
  <c r="BP144" i="11" s="1"/>
  <c r="H144" i="11"/>
  <c r="BL144" i="11" s="1"/>
  <c r="D144" i="11"/>
  <c r="BH144" i="11" s="1"/>
  <c r="J143" i="11"/>
  <c r="BN143" i="11" s="1"/>
  <c r="I143" i="11"/>
  <c r="BM143" i="11" s="1"/>
  <c r="M142" i="11"/>
  <c r="BQ142" i="11" s="1"/>
  <c r="L142" i="11"/>
  <c r="BP142" i="11" s="1"/>
  <c r="G142" i="11"/>
  <c r="BK142" i="11" s="1"/>
  <c r="J141" i="11"/>
  <c r="BN141" i="11" s="1"/>
  <c r="I141" i="11"/>
  <c r="BM141" i="11" s="1"/>
  <c r="H141" i="11"/>
  <c r="BL141" i="11" s="1"/>
  <c r="L140" i="11"/>
  <c r="BP140" i="11" s="1"/>
  <c r="G140" i="11"/>
  <c r="BK140" i="11" s="1"/>
  <c r="F140" i="11"/>
  <c r="BJ140" i="11" s="1"/>
  <c r="I139" i="11"/>
  <c r="BM139" i="11" s="1"/>
  <c r="H139" i="11"/>
  <c r="BL139" i="11" s="1"/>
  <c r="L138" i="11"/>
  <c r="F138" i="11"/>
  <c r="BJ138" i="11" s="1"/>
  <c r="E138" i="11"/>
  <c r="BI138" i="11" s="1"/>
  <c r="I137" i="11"/>
  <c r="BM137" i="11" s="1"/>
  <c r="H137" i="11"/>
  <c r="BL137" i="11" s="1"/>
  <c r="C137" i="11"/>
  <c r="BG137" i="11" s="1"/>
  <c r="F136" i="11"/>
  <c r="BJ136" i="11" s="1"/>
  <c r="E136" i="11"/>
  <c r="BI136" i="11" s="1"/>
  <c r="D136" i="11"/>
  <c r="BH136" i="11" s="1"/>
  <c r="H135" i="11"/>
  <c r="BL135" i="11" s="1"/>
  <c r="C135" i="11"/>
  <c r="BG135" i="11" s="1"/>
  <c r="B135" i="11"/>
  <c r="BF135" i="11" s="1"/>
  <c r="E134" i="11"/>
  <c r="BI134" i="11" s="1"/>
  <c r="D134" i="11"/>
  <c r="BH134" i="11" s="1"/>
  <c r="H133" i="11"/>
  <c r="BL133" i="11" s="1"/>
  <c r="B133" i="11"/>
  <c r="BF133" i="11" s="1"/>
  <c r="M132" i="11"/>
  <c r="BQ132" i="11" s="1"/>
  <c r="E132" i="11"/>
  <c r="BI132" i="11" s="1"/>
  <c r="D132" i="11"/>
  <c r="BH132" i="11" s="1"/>
  <c r="K131" i="11"/>
  <c r="BO131" i="11" s="1"/>
  <c r="B131" i="11"/>
  <c r="BF131" i="11" s="1"/>
  <c r="L130" i="11"/>
  <c r="BP130" i="11" s="1"/>
  <c r="K120" i="11"/>
  <c r="J120" i="11"/>
  <c r="BN120" i="11" s="1"/>
  <c r="M119" i="11"/>
  <c r="BQ119" i="11" s="1"/>
  <c r="L119" i="11"/>
  <c r="BP119" i="11" s="1"/>
  <c r="D119" i="11"/>
  <c r="BH119" i="11" s="1"/>
  <c r="J118" i="11"/>
  <c r="BN118" i="11" s="1"/>
  <c r="I118" i="11"/>
  <c r="BM118" i="11" s="1"/>
  <c r="M117" i="11"/>
  <c r="BQ117" i="11" s="1"/>
  <c r="L117" i="11"/>
  <c r="BP117" i="11" s="1"/>
  <c r="G117" i="11"/>
  <c r="BK117" i="11" s="1"/>
  <c r="J116" i="11"/>
  <c r="BN116" i="11" s="1"/>
  <c r="I116" i="11"/>
  <c r="BM116" i="11" s="1"/>
  <c r="H116" i="11"/>
  <c r="BL116" i="11" s="1"/>
  <c r="L115" i="11"/>
  <c r="BP115" i="11" s="1"/>
  <c r="G115" i="11"/>
  <c r="BK115" i="11" s="1"/>
  <c r="F115" i="11"/>
  <c r="BJ115" i="11" s="1"/>
  <c r="I114" i="11"/>
  <c r="BM114" i="11" s="1"/>
  <c r="H114" i="11"/>
  <c r="BL114" i="11" s="1"/>
  <c r="D114" i="11"/>
  <c r="BH114" i="11" s="1"/>
  <c r="L113" i="11"/>
  <c r="BP113" i="11" s="1"/>
  <c r="F113" i="11"/>
  <c r="BJ113" i="11" s="1"/>
  <c r="E113" i="11"/>
  <c r="BI113" i="11" s="1"/>
  <c r="I112" i="11"/>
  <c r="BM112" i="11" s="1"/>
  <c r="H112" i="11"/>
  <c r="BL112" i="11" s="1"/>
  <c r="C112" i="11"/>
  <c r="BG112" i="11" s="1"/>
  <c r="F111" i="11"/>
  <c r="BJ111" i="11" s="1"/>
  <c r="E111" i="11"/>
  <c r="BI111" i="11" s="1"/>
  <c r="D111" i="11"/>
  <c r="BH111" i="11" s="1"/>
  <c r="H110" i="11"/>
  <c r="BL110" i="11" s="1"/>
  <c r="C110" i="11"/>
  <c r="BG110" i="11" s="1"/>
  <c r="B110" i="11"/>
  <c r="BF110" i="11" s="1"/>
  <c r="E109" i="11"/>
  <c r="BI109" i="11" s="1"/>
  <c r="D109" i="11"/>
  <c r="H108" i="11"/>
  <c r="BL108" i="11" s="1"/>
  <c r="B108" i="11"/>
  <c r="BF108" i="11" s="1"/>
  <c r="M107" i="11"/>
  <c r="BQ107" i="11" s="1"/>
  <c r="E107" i="11"/>
  <c r="BI107" i="11" s="1"/>
  <c r="D107" i="11"/>
  <c r="BH107" i="11" s="1"/>
  <c r="K106" i="11"/>
  <c r="BO106" i="11" s="1"/>
  <c r="B106" i="11"/>
  <c r="BF106" i="11" s="1"/>
  <c r="M105" i="11"/>
  <c r="BQ105" i="11" s="1"/>
  <c r="L105" i="11"/>
  <c r="BP105" i="11" s="1"/>
  <c r="D105" i="11"/>
  <c r="BH105" i="11" s="1"/>
  <c r="K104" i="11"/>
  <c r="J104" i="11"/>
  <c r="BN104" i="11" s="1"/>
  <c r="M103" i="11"/>
  <c r="BQ103" i="11" s="1"/>
  <c r="L103" i="11"/>
  <c r="BP103" i="11" s="1"/>
  <c r="D103" i="11"/>
  <c r="BH103" i="11" s="1"/>
  <c r="J102" i="11"/>
  <c r="BN102" i="11" s="1"/>
  <c r="I102" i="11"/>
  <c r="BM102" i="11" s="1"/>
  <c r="M101" i="11"/>
  <c r="BQ101" i="11" s="1"/>
  <c r="L101" i="11"/>
  <c r="BP101" i="11" s="1"/>
  <c r="K101" i="11"/>
  <c r="BO101" i="11" s="1"/>
  <c r="D101" i="11"/>
  <c r="BH101" i="11" s="1"/>
  <c r="C101" i="11"/>
  <c r="BG101" i="11" s="1"/>
  <c r="K100" i="11"/>
  <c r="BO100" i="11" s="1"/>
  <c r="G100" i="11"/>
  <c r="BK100" i="11" s="1"/>
  <c r="B100" i="11"/>
  <c r="BF100" i="11" s="1"/>
  <c r="M99" i="11"/>
  <c r="BQ99" i="11" s="1"/>
  <c r="E99" i="11"/>
  <c r="BI99" i="11" s="1"/>
  <c r="D99" i="11"/>
  <c r="BH99" i="11" s="1"/>
  <c r="C99" i="11"/>
  <c r="BG99" i="11" s="1"/>
  <c r="H98" i="11"/>
  <c r="BL98" i="11" s="1"/>
  <c r="G98" i="11"/>
  <c r="BK98" i="11" s="1"/>
  <c r="C98" i="11"/>
  <c r="BG98" i="11" s="1"/>
  <c r="K97" i="11"/>
  <c r="F97" i="11"/>
  <c r="BJ97" i="11" s="1"/>
  <c r="E97" i="11"/>
  <c r="BI97" i="11" s="1"/>
  <c r="I96" i="11"/>
  <c r="BM96" i="11" s="1"/>
  <c r="H96" i="11"/>
  <c r="BL96" i="11" s="1"/>
  <c r="G96" i="11"/>
  <c r="BK96" i="11" s="1"/>
  <c r="L95" i="11"/>
  <c r="BP95" i="11" s="1"/>
  <c r="K95" i="11"/>
  <c r="BO95" i="11" s="1"/>
  <c r="G95" i="11"/>
  <c r="BK95" i="11" s="1"/>
  <c r="C95" i="11"/>
  <c r="BG95" i="11" s="1"/>
  <c r="J94" i="11"/>
  <c r="BN94" i="11" s="1"/>
  <c r="I94" i="11"/>
  <c r="BM94" i="11" s="1"/>
  <c r="M93" i="11"/>
  <c r="BQ93" i="11" s="1"/>
  <c r="L93" i="11"/>
  <c r="BP93" i="11" s="1"/>
  <c r="K93" i="11"/>
  <c r="BO93" i="11" s="1"/>
  <c r="D93" i="11"/>
  <c r="BH93" i="11" s="1"/>
  <c r="C93" i="11"/>
  <c r="BG93" i="11" s="1"/>
  <c r="K92" i="11"/>
  <c r="BO92" i="11" s="1"/>
  <c r="G92" i="11"/>
  <c r="BK92" i="11" s="1"/>
  <c r="B92" i="11"/>
  <c r="BF92" i="11" s="1"/>
  <c r="M91" i="11"/>
  <c r="BQ91" i="11" s="1"/>
  <c r="E91" i="11"/>
  <c r="BI91" i="11" s="1"/>
  <c r="D91" i="11"/>
  <c r="BH91" i="11" s="1"/>
  <c r="C91" i="11"/>
  <c r="BG91" i="11" s="1"/>
  <c r="G90" i="11"/>
  <c r="BK90" i="11" s="1"/>
  <c r="D90" i="11"/>
  <c r="BH90" i="11" s="1"/>
  <c r="C90" i="11"/>
  <c r="BG90" i="11" s="1"/>
  <c r="K80" i="11"/>
  <c r="BO80" i="11" s="1"/>
  <c r="F80" i="11"/>
  <c r="BJ80" i="11" s="1"/>
  <c r="E80" i="11"/>
  <c r="BI80" i="11" s="1"/>
  <c r="I79" i="11"/>
  <c r="BM79" i="11" s="1"/>
  <c r="H79" i="11"/>
  <c r="BL79" i="11" s="1"/>
  <c r="G79" i="11"/>
  <c r="BK79" i="11" s="1"/>
  <c r="L78" i="11"/>
  <c r="K78" i="11"/>
  <c r="G78" i="11"/>
  <c r="BK78" i="11" s="1"/>
  <c r="C78" i="11"/>
  <c r="BG78" i="11" s="1"/>
  <c r="J77" i="11"/>
  <c r="BN77" i="11" s="1"/>
  <c r="I77" i="11"/>
  <c r="BM77" i="11" s="1"/>
  <c r="M76" i="11"/>
  <c r="BQ76" i="11" s="1"/>
  <c r="L76" i="11"/>
  <c r="BP76" i="11" s="1"/>
  <c r="K76" i="11"/>
  <c r="BO76" i="11" s="1"/>
  <c r="D76" i="11"/>
  <c r="BH76" i="11" s="1"/>
  <c r="C76" i="11"/>
  <c r="BG76" i="11" s="1"/>
  <c r="K75" i="11"/>
  <c r="BO75" i="11" s="1"/>
  <c r="G75" i="11"/>
  <c r="BK75" i="11" s="1"/>
  <c r="B75" i="11"/>
  <c r="BF75" i="11" s="1"/>
  <c r="M74" i="11"/>
  <c r="BQ74" i="11" s="1"/>
  <c r="E74" i="11"/>
  <c r="BI74" i="11" s="1"/>
  <c r="D74" i="11"/>
  <c r="BH74" i="11" s="1"/>
  <c r="C74" i="11"/>
  <c r="BG74" i="11" s="1"/>
  <c r="H73" i="11"/>
  <c r="BL73" i="11" s="1"/>
  <c r="G73" i="11"/>
  <c r="BK73" i="11" s="1"/>
  <c r="C73" i="11"/>
  <c r="BG73" i="11" s="1"/>
  <c r="K72" i="11"/>
  <c r="BO72" i="11" s="1"/>
  <c r="F72" i="11"/>
  <c r="BJ72" i="11" s="1"/>
  <c r="E72" i="11"/>
  <c r="BI72" i="11" s="1"/>
  <c r="I71" i="11"/>
  <c r="BM71" i="11" s="1"/>
  <c r="H71" i="11"/>
  <c r="BL71" i="11" s="1"/>
  <c r="G71" i="11"/>
  <c r="BK71" i="11" s="1"/>
  <c r="L70" i="11"/>
  <c r="BP70" i="11" s="1"/>
  <c r="K70" i="11"/>
  <c r="BO70" i="11" s="1"/>
  <c r="G70" i="11"/>
  <c r="BK70" i="11" s="1"/>
  <c r="C70" i="11"/>
  <c r="BG70" i="11" s="1"/>
  <c r="J69" i="11"/>
  <c r="BN69" i="11" s="1"/>
  <c r="I69" i="11"/>
  <c r="BM69" i="11" s="1"/>
  <c r="M68" i="11"/>
  <c r="BQ68" i="11" s="1"/>
  <c r="L68" i="11"/>
  <c r="BP68" i="11" s="1"/>
  <c r="K68" i="11"/>
  <c r="BO68" i="11" s="1"/>
  <c r="D68" i="11"/>
  <c r="BH68" i="11" s="1"/>
  <c r="C68" i="11"/>
  <c r="BG68" i="11" s="1"/>
  <c r="K67" i="11"/>
  <c r="BO67" i="11" s="1"/>
  <c r="G67" i="11"/>
  <c r="B67" i="11"/>
  <c r="BF67" i="11" s="1"/>
  <c r="M66" i="11"/>
  <c r="BQ66" i="11" s="1"/>
  <c r="E66" i="11"/>
  <c r="BI66" i="11" s="1"/>
  <c r="D66" i="11"/>
  <c r="BH66" i="11" s="1"/>
  <c r="C66" i="11"/>
  <c r="BG66" i="11" s="1"/>
  <c r="H65" i="11"/>
  <c r="BL65" i="11" s="1"/>
  <c r="G65" i="11"/>
  <c r="BK65" i="11" s="1"/>
  <c r="C65" i="11"/>
  <c r="BG65" i="11" s="1"/>
  <c r="K64" i="11"/>
  <c r="BO64" i="11" s="1"/>
  <c r="F64" i="11"/>
  <c r="BJ64" i="11" s="1"/>
  <c r="E64" i="11"/>
  <c r="BI64" i="11" s="1"/>
  <c r="I63" i="11"/>
  <c r="BM63" i="11" s="1"/>
  <c r="H63" i="11"/>
  <c r="BL63" i="11" s="1"/>
  <c r="G63" i="11"/>
  <c r="BK63" i="11" s="1"/>
  <c r="L62" i="11"/>
  <c r="BP62" i="11" s="1"/>
  <c r="K62" i="11"/>
  <c r="BO62" i="11" s="1"/>
  <c r="G62" i="11"/>
  <c r="BK62" i="11" s="1"/>
  <c r="C62" i="11"/>
  <c r="BG62" i="11" s="1"/>
  <c r="J61" i="11"/>
  <c r="BN61" i="11" s="1"/>
  <c r="I61" i="11"/>
  <c r="BM61" i="11" s="1"/>
  <c r="M60" i="11"/>
  <c r="BQ60" i="11" s="1"/>
  <c r="L60" i="11"/>
  <c r="BP60" i="11" s="1"/>
  <c r="K60" i="11"/>
  <c r="BO60" i="11" s="1"/>
  <c r="D60" i="11"/>
  <c r="BH60" i="11" s="1"/>
  <c r="C60" i="11"/>
  <c r="BG60" i="11" s="1"/>
  <c r="K59" i="11"/>
  <c r="BO59" i="11" s="1"/>
  <c r="G59" i="11"/>
  <c r="BK59" i="11" s="1"/>
  <c r="B59" i="11"/>
  <c r="BF59" i="11" s="1"/>
  <c r="M58" i="11"/>
  <c r="BQ58" i="11" s="1"/>
  <c r="E58" i="11"/>
  <c r="BI58" i="11" s="1"/>
  <c r="D58" i="11"/>
  <c r="BH58" i="11" s="1"/>
  <c r="C58" i="11"/>
  <c r="BG58" i="11" s="1"/>
  <c r="H57" i="11"/>
  <c r="BL57" i="11" s="1"/>
  <c r="G57" i="11"/>
  <c r="BK57" i="11" s="1"/>
  <c r="C57" i="11"/>
  <c r="BG57" i="11" s="1"/>
  <c r="K56" i="11"/>
  <c r="BO56" i="11" s="1"/>
  <c r="F56" i="11"/>
  <c r="BJ56" i="11" s="1"/>
  <c r="E56" i="11"/>
  <c r="BI56" i="11" s="1"/>
  <c r="I55" i="11"/>
  <c r="BM55" i="11" s="1"/>
  <c r="H55" i="11"/>
  <c r="BL55" i="11" s="1"/>
  <c r="G55" i="11"/>
  <c r="BK55" i="11" s="1"/>
  <c r="L54" i="11"/>
  <c r="BP54" i="11" s="1"/>
  <c r="K54" i="11"/>
  <c r="G54" i="11"/>
  <c r="BK54" i="11" s="1"/>
  <c r="C54" i="11"/>
  <c r="BG54" i="11" s="1"/>
  <c r="J53" i="11"/>
  <c r="BN53" i="11" s="1"/>
  <c r="I53" i="11"/>
  <c r="BM53" i="11" s="1"/>
  <c r="B53" i="11"/>
  <c r="BF53" i="11" s="1"/>
  <c r="M52" i="11"/>
  <c r="BQ52" i="11" s="1"/>
  <c r="L52" i="11"/>
  <c r="BP52" i="11" s="1"/>
  <c r="E52" i="11"/>
  <c r="BI52" i="11" s="1"/>
  <c r="D52" i="11"/>
  <c r="BH52" i="11" s="1"/>
  <c r="C52" i="11"/>
  <c r="BG52" i="11" s="1"/>
  <c r="I51" i="11"/>
  <c r="BM51" i="11" s="1"/>
  <c r="H51" i="11"/>
  <c r="BL51" i="11" s="1"/>
  <c r="G51" i="11"/>
  <c r="BK51" i="11" s="1"/>
  <c r="F51" i="11"/>
  <c r="BJ51" i="11" s="1"/>
  <c r="K50" i="11"/>
  <c r="BO50" i="11" s="1"/>
  <c r="J50" i="11"/>
  <c r="BN50" i="11" s="1"/>
  <c r="H50" i="11"/>
  <c r="BL50" i="11" s="1"/>
  <c r="B11" i="11"/>
  <c r="D11" i="11"/>
  <c r="BH11" i="11" s="1"/>
  <c r="E11" i="11"/>
  <c r="BI11" i="11" s="1"/>
  <c r="J11" i="11"/>
  <c r="BN11" i="11" s="1"/>
  <c r="L11" i="11"/>
  <c r="BP11" i="11" s="1"/>
  <c r="M11" i="11"/>
  <c r="BQ11" i="11" s="1"/>
  <c r="B12" i="11"/>
  <c r="BF12" i="11" s="1"/>
  <c r="F12" i="11"/>
  <c r="BJ12" i="11" s="1"/>
  <c r="H12" i="11"/>
  <c r="BL12" i="11" s="1"/>
  <c r="I12" i="11"/>
  <c r="BM12" i="11" s="1"/>
  <c r="J12" i="11"/>
  <c r="BN12" i="11" s="1"/>
  <c r="K12" i="11"/>
  <c r="BO12" i="11" s="1"/>
  <c r="D13" i="11"/>
  <c r="E13" i="11"/>
  <c r="BI13" i="11" s="1"/>
  <c r="F13" i="11"/>
  <c r="BJ13" i="11" s="1"/>
  <c r="G13" i="11"/>
  <c r="BK13" i="11" s="1"/>
  <c r="B15" i="11"/>
  <c r="BF15" i="11" s="1"/>
  <c r="J15" i="11"/>
  <c r="BN15" i="11" s="1"/>
  <c r="L15" i="11"/>
  <c r="BP15" i="11" s="1"/>
  <c r="F16" i="11"/>
  <c r="BJ16" i="11" s="1"/>
  <c r="H16" i="11"/>
  <c r="BL16" i="11" s="1"/>
  <c r="I16" i="11"/>
  <c r="BM16" i="11" s="1"/>
  <c r="B17" i="11"/>
  <c r="D17" i="11"/>
  <c r="BH17" i="11" s="1"/>
  <c r="E17" i="11"/>
  <c r="BI17" i="11" s="1"/>
  <c r="F17" i="11"/>
  <c r="BJ17" i="11" s="1"/>
  <c r="J17" i="11"/>
  <c r="BN17" i="11" s="1"/>
  <c r="L17" i="11"/>
  <c r="BP17" i="11" s="1"/>
  <c r="M17" i="11"/>
  <c r="BQ17" i="11" s="1"/>
  <c r="B18" i="11"/>
  <c r="BF18" i="11" s="1"/>
  <c r="C18" i="11"/>
  <c r="BG18" i="11" s="1"/>
  <c r="H18" i="11"/>
  <c r="BL18" i="11" s="1"/>
  <c r="I18" i="11"/>
  <c r="BM18" i="11" s="1"/>
  <c r="J18" i="11"/>
  <c r="BN18" i="11" s="1"/>
  <c r="K18" i="11"/>
  <c r="BO18" i="11" s="1"/>
  <c r="F20" i="11"/>
  <c r="BJ20" i="11" s="1"/>
  <c r="B21" i="11"/>
  <c r="BF21" i="11" s="1"/>
  <c r="D21" i="11"/>
  <c r="BH21" i="11" s="1"/>
  <c r="J21" i="11"/>
  <c r="BN21" i="11" s="1"/>
  <c r="L21" i="11"/>
  <c r="BP21" i="11" s="1"/>
  <c r="M21" i="11"/>
  <c r="BQ21" i="11" s="1"/>
  <c r="F22" i="11"/>
  <c r="BJ22" i="11" s="1"/>
  <c r="H22" i="11"/>
  <c r="BL22" i="11" s="1"/>
  <c r="I22" i="11"/>
  <c r="BM22" i="11" s="1"/>
  <c r="J22" i="11"/>
  <c r="BN22" i="11" s="1"/>
  <c r="B23" i="11"/>
  <c r="BF23" i="11" s="1"/>
  <c r="D23" i="11"/>
  <c r="BH23" i="11" s="1"/>
  <c r="E23" i="11"/>
  <c r="BI23" i="11" s="1"/>
  <c r="F23" i="11"/>
  <c r="BJ23" i="11" s="1"/>
  <c r="G23" i="11"/>
  <c r="BK23" i="11" s="1"/>
  <c r="L23" i="11"/>
  <c r="BP23" i="11" s="1"/>
  <c r="M23" i="11"/>
  <c r="BQ23" i="11" s="1"/>
  <c r="B24" i="11"/>
  <c r="BF24" i="11" s="1"/>
  <c r="C24" i="11"/>
  <c r="BG24" i="11" s="1"/>
  <c r="D40" i="11"/>
  <c r="BH40" i="11" s="1"/>
  <c r="AD211" i="11"/>
  <c r="AE211" i="11"/>
  <c r="AE241" i="11" s="1"/>
  <c r="AF211" i="11"/>
  <c r="AG211" i="11"/>
  <c r="AH211" i="11"/>
  <c r="AI211" i="11"/>
  <c r="AJ211" i="11"/>
  <c r="AK211" i="11"/>
  <c r="AL211" i="11"/>
  <c r="AM211" i="11"/>
  <c r="AM243" i="11" s="1"/>
  <c r="AN211" i="11"/>
  <c r="AO211" i="11"/>
  <c r="AD212" i="11"/>
  <c r="AE212" i="11"/>
  <c r="AF212" i="11"/>
  <c r="AG212" i="11"/>
  <c r="AH212" i="11"/>
  <c r="AI212" i="11"/>
  <c r="AJ212" i="11"/>
  <c r="AK212" i="11"/>
  <c r="AL212" i="11"/>
  <c r="AM212" i="11"/>
  <c r="AN212" i="11"/>
  <c r="AO212" i="11"/>
  <c r="AD213" i="11"/>
  <c r="AE213" i="11"/>
  <c r="AF213" i="11"/>
  <c r="AG213" i="11"/>
  <c r="AH213" i="11"/>
  <c r="AI213" i="11"/>
  <c r="AJ213" i="11"/>
  <c r="AK213" i="11"/>
  <c r="AL213" i="11"/>
  <c r="AM213" i="11"/>
  <c r="AN213" i="11"/>
  <c r="AO213" i="11"/>
  <c r="AD214" i="11"/>
  <c r="AE214" i="11"/>
  <c r="AF214" i="11"/>
  <c r="AG214" i="11"/>
  <c r="AH214" i="11"/>
  <c r="AI214" i="11"/>
  <c r="AJ214" i="11"/>
  <c r="AK214" i="11"/>
  <c r="AL214" i="11"/>
  <c r="AM214" i="11"/>
  <c r="AN214" i="11"/>
  <c r="AO214" i="11"/>
  <c r="AD215" i="11"/>
  <c r="AE215" i="11"/>
  <c r="AF215" i="11"/>
  <c r="AG215" i="11"/>
  <c r="AH215" i="11"/>
  <c r="AI215" i="11"/>
  <c r="AJ215" i="11"/>
  <c r="AK215" i="11"/>
  <c r="AL215" i="11"/>
  <c r="AM215" i="11"/>
  <c r="AN215" i="11"/>
  <c r="AO215" i="11"/>
  <c r="AD216" i="11"/>
  <c r="AE216" i="11"/>
  <c r="AF216" i="11"/>
  <c r="AG216" i="11"/>
  <c r="AH216" i="11"/>
  <c r="AI216" i="11"/>
  <c r="AJ216" i="11"/>
  <c r="AK216" i="11"/>
  <c r="AL216" i="11"/>
  <c r="AM216" i="11"/>
  <c r="AN216" i="11"/>
  <c r="AO216" i="11"/>
  <c r="AD217" i="11"/>
  <c r="AE217" i="11"/>
  <c r="AF217" i="11"/>
  <c r="AG217" i="11"/>
  <c r="AH217" i="11"/>
  <c r="AI217" i="11"/>
  <c r="AJ217" i="11"/>
  <c r="AK217" i="11"/>
  <c r="AL217" i="11"/>
  <c r="AM217" i="11"/>
  <c r="AN217" i="11"/>
  <c r="AO217" i="11"/>
  <c r="AD218" i="11"/>
  <c r="AE218" i="11"/>
  <c r="AF218" i="11"/>
  <c r="AG218" i="11"/>
  <c r="AH218" i="11"/>
  <c r="AI218" i="11"/>
  <c r="AJ218" i="11"/>
  <c r="AK218" i="11"/>
  <c r="AL218" i="11"/>
  <c r="AM218" i="11"/>
  <c r="AN218" i="11"/>
  <c r="AO218" i="11"/>
  <c r="AD219" i="11"/>
  <c r="AE219" i="11"/>
  <c r="AF219" i="11"/>
  <c r="AG219" i="11"/>
  <c r="AH219" i="11"/>
  <c r="AI219" i="11"/>
  <c r="AJ219" i="11"/>
  <c r="AK219" i="11"/>
  <c r="AL219" i="11"/>
  <c r="AM219" i="11"/>
  <c r="AN219" i="11"/>
  <c r="AO219" i="11"/>
  <c r="AD220" i="11"/>
  <c r="AE220" i="11"/>
  <c r="AF220" i="11"/>
  <c r="AG220" i="11"/>
  <c r="AH220" i="11"/>
  <c r="AI220" i="11"/>
  <c r="AJ220" i="11"/>
  <c r="AK220" i="11"/>
  <c r="AL220" i="11"/>
  <c r="AM220" i="11"/>
  <c r="AN220" i="11"/>
  <c r="AO220" i="11"/>
  <c r="AD221" i="11"/>
  <c r="AE221" i="11"/>
  <c r="AF221" i="11"/>
  <c r="AG221" i="11"/>
  <c r="AH221" i="11"/>
  <c r="AI221" i="11"/>
  <c r="AJ221" i="11"/>
  <c r="AK221" i="11"/>
  <c r="AL221" i="11"/>
  <c r="AM221" i="11"/>
  <c r="AN221" i="11"/>
  <c r="AO221" i="11"/>
  <c r="AD222" i="11"/>
  <c r="AE222" i="11"/>
  <c r="AF222" i="11"/>
  <c r="AG222" i="11"/>
  <c r="AH222" i="11"/>
  <c r="AI222" i="11"/>
  <c r="AJ222" i="11"/>
  <c r="AK222" i="11"/>
  <c r="AL222" i="11"/>
  <c r="AM222" i="11"/>
  <c r="AN222" i="11"/>
  <c r="AO222" i="11"/>
  <c r="AD223" i="11"/>
  <c r="AE223" i="11"/>
  <c r="AF223" i="11"/>
  <c r="AG223" i="11"/>
  <c r="AH223" i="11"/>
  <c r="AI223" i="11"/>
  <c r="AJ223" i="11"/>
  <c r="AK223" i="11"/>
  <c r="AL223" i="11"/>
  <c r="AM223" i="11"/>
  <c r="AN223" i="11"/>
  <c r="AO223" i="11"/>
  <c r="AD224" i="11"/>
  <c r="AE224" i="11"/>
  <c r="AF224" i="11"/>
  <c r="AG224" i="11"/>
  <c r="AH224" i="11"/>
  <c r="AI224" i="11"/>
  <c r="AJ224" i="11"/>
  <c r="AK224" i="11"/>
  <c r="AL224" i="11"/>
  <c r="AM224" i="11"/>
  <c r="AN224" i="11"/>
  <c r="AO224" i="11"/>
  <c r="AD225" i="11"/>
  <c r="AD244" i="11" s="1"/>
  <c r="AE225" i="11"/>
  <c r="AE244" i="11" s="1"/>
  <c r="AF225" i="11"/>
  <c r="AG225" i="11"/>
  <c r="AH225" i="11"/>
  <c r="AI225" i="11"/>
  <c r="AJ225" i="11"/>
  <c r="AK225" i="11"/>
  <c r="AK244" i="11" s="1"/>
  <c r="AL225" i="11"/>
  <c r="AL244" i="11" s="1"/>
  <c r="AM225" i="11"/>
  <c r="AN225" i="11"/>
  <c r="AO225" i="11"/>
  <c r="AD226" i="11"/>
  <c r="AE226" i="11"/>
  <c r="AF226" i="11"/>
  <c r="AG226" i="11"/>
  <c r="AH226" i="11"/>
  <c r="AI226" i="11"/>
  <c r="AJ226" i="11"/>
  <c r="AK226" i="11"/>
  <c r="AL226" i="11"/>
  <c r="AM226" i="11"/>
  <c r="AN226" i="11"/>
  <c r="AO226" i="11"/>
  <c r="AD227" i="11"/>
  <c r="AE227" i="11"/>
  <c r="AF227" i="11"/>
  <c r="AG227" i="11"/>
  <c r="AH227" i="11"/>
  <c r="AI227" i="11"/>
  <c r="AJ227" i="11"/>
  <c r="AK227" i="11"/>
  <c r="AL227" i="11"/>
  <c r="AM227" i="11"/>
  <c r="AN227" i="11"/>
  <c r="AO227" i="11"/>
  <c r="AD228" i="11"/>
  <c r="AE228" i="11"/>
  <c r="AF228" i="11"/>
  <c r="AG228" i="11"/>
  <c r="AH228" i="11"/>
  <c r="AI228" i="11"/>
  <c r="AJ228" i="11"/>
  <c r="AK228" i="11"/>
  <c r="AL228" i="11"/>
  <c r="AM228" i="11"/>
  <c r="AN228" i="11"/>
  <c r="AO228" i="11"/>
  <c r="AD229" i="11"/>
  <c r="AE229" i="11"/>
  <c r="AF229" i="11"/>
  <c r="AG229" i="11"/>
  <c r="AH229" i="11"/>
  <c r="AI229" i="11"/>
  <c r="AJ229" i="11"/>
  <c r="AK229" i="11"/>
  <c r="AL229" i="11"/>
  <c r="AM229" i="11"/>
  <c r="AN229" i="11"/>
  <c r="AO229" i="11"/>
  <c r="AD230" i="11"/>
  <c r="AE230" i="11"/>
  <c r="AF230" i="11"/>
  <c r="AG230" i="11"/>
  <c r="AH230" i="11"/>
  <c r="AI230" i="11"/>
  <c r="AJ230" i="11"/>
  <c r="AK230" i="11"/>
  <c r="AL230" i="11"/>
  <c r="AM230" i="11"/>
  <c r="AN230" i="11"/>
  <c r="AO230" i="11"/>
  <c r="AD231" i="11"/>
  <c r="AE231" i="11"/>
  <c r="AF231" i="11"/>
  <c r="AG231" i="11"/>
  <c r="AH231" i="11"/>
  <c r="AI231" i="11"/>
  <c r="AJ231" i="11"/>
  <c r="AK231" i="11"/>
  <c r="AL231" i="11"/>
  <c r="AM231" i="11"/>
  <c r="AN231" i="11"/>
  <c r="AO231" i="11"/>
  <c r="AD232" i="11"/>
  <c r="AE232" i="11"/>
  <c r="AF232" i="11"/>
  <c r="AG232" i="11"/>
  <c r="AH232" i="11"/>
  <c r="AI232" i="11"/>
  <c r="AJ232" i="11"/>
  <c r="AK232" i="11"/>
  <c r="AL232" i="11"/>
  <c r="AM232" i="11"/>
  <c r="AN232" i="11"/>
  <c r="AO232" i="11"/>
  <c r="AD233" i="11"/>
  <c r="AE233" i="11"/>
  <c r="AF233" i="11"/>
  <c r="AG233" i="11"/>
  <c r="AH233" i="11"/>
  <c r="AI233" i="11"/>
  <c r="AJ233" i="11"/>
  <c r="AK233" i="11"/>
  <c r="AL233" i="11"/>
  <c r="AM233" i="11"/>
  <c r="AN233" i="11"/>
  <c r="AO233" i="11"/>
  <c r="AD234" i="11"/>
  <c r="AE234" i="11"/>
  <c r="AF234" i="11"/>
  <c r="AG234" i="11"/>
  <c r="AH234" i="11"/>
  <c r="AI234" i="11"/>
  <c r="AJ234" i="11"/>
  <c r="AK234" i="11"/>
  <c r="AL234" i="11"/>
  <c r="AM234" i="11"/>
  <c r="AN234" i="11"/>
  <c r="AO234" i="11"/>
  <c r="AD235" i="11"/>
  <c r="AE235" i="11"/>
  <c r="AF235" i="11"/>
  <c r="AG235" i="11"/>
  <c r="AH235" i="11"/>
  <c r="AI235" i="11"/>
  <c r="AJ235" i="11"/>
  <c r="AK235" i="11"/>
  <c r="AL235" i="11"/>
  <c r="AM235" i="11"/>
  <c r="AN235" i="11"/>
  <c r="AO235" i="11"/>
  <c r="AD236" i="11"/>
  <c r="AE236" i="11"/>
  <c r="AF236" i="11"/>
  <c r="AG236" i="11"/>
  <c r="AH236" i="11"/>
  <c r="AI236" i="11"/>
  <c r="AJ236" i="11"/>
  <c r="AK236" i="11"/>
  <c r="AL236" i="11"/>
  <c r="AM236" i="11"/>
  <c r="AN236" i="11"/>
  <c r="AO236" i="11"/>
  <c r="AD237" i="11"/>
  <c r="AE237" i="11"/>
  <c r="AF237" i="11"/>
  <c r="AG237" i="11"/>
  <c r="AH237" i="11"/>
  <c r="AI237" i="11"/>
  <c r="AJ237" i="11"/>
  <c r="AK237" i="11"/>
  <c r="AL237" i="11"/>
  <c r="AM237" i="11"/>
  <c r="AN237" i="11"/>
  <c r="AO237" i="11"/>
  <c r="AD238" i="11"/>
  <c r="AE238" i="11"/>
  <c r="AF238" i="11"/>
  <c r="AG238" i="11"/>
  <c r="AH238" i="11"/>
  <c r="AI238" i="11"/>
  <c r="AJ238" i="11"/>
  <c r="AK238" i="11"/>
  <c r="AL238" i="11"/>
  <c r="AM238" i="11"/>
  <c r="AN238" i="11"/>
  <c r="AO238" i="11"/>
  <c r="AD239" i="11"/>
  <c r="AE239" i="11"/>
  <c r="AF239" i="11"/>
  <c r="AG239" i="11"/>
  <c r="AH239" i="11"/>
  <c r="AI239" i="11"/>
  <c r="AJ239" i="11"/>
  <c r="AK239" i="11"/>
  <c r="AL239" i="11"/>
  <c r="AM239" i="11"/>
  <c r="AN239" i="11"/>
  <c r="AO239" i="11"/>
  <c r="AD240" i="11"/>
  <c r="AE240" i="11"/>
  <c r="AF240" i="11"/>
  <c r="AG240" i="11"/>
  <c r="AH240" i="11"/>
  <c r="AI240" i="11"/>
  <c r="AJ240" i="11"/>
  <c r="AK240" i="11"/>
  <c r="AL240" i="11"/>
  <c r="AM240" i="11"/>
  <c r="AN240" i="11"/>
  <c r="AO240" i="11"/>
  <c r="AE210" i="11"/>
  <c r="AE242" i="11" s="1"/>
  <c r="AF210" i="11"/>
  <c r="AG210" i="11"/>
  <c r="AH210" i="11"/>
  <c r="AI210" i="11"/>
  <c r="AJ210" i="11"/>
  <c r="AK210" i="11"/>
  <c r="AL210" i="11"/>
  <c r="AM210" i="11"/>
  <c r="AN210" i="11"/>
  <c r="AO210" i="11"/>
  <c r="AO241" i="11" s="1"/>
  <c r="AD210" i="11"/>
  <c r="AD241" i="11" s="1"/>
  <c r="AD171" i="11"/>
  <c r="AE171" i="11"/>
  <c r="AF171" i="11"/>
  <c r="AG171" i="11"/>
  <c r="AH171" i="11"/>
  <c r="AI171" i="11"/>
  <c r="AJ171" i="11"/>
  <c r="AK171" i="11"/>
  <c r="AL171" i="11"/>
  <c r="AM171" i="11"/>
  <c r="AN171" i="11"/>
  <c r="AO171" i="11"/>
  <c r="AD172" i="11"/>
  <c r="AE172" i="11"/>
  <c r="AE203" i="11" s="1"/>
  <c r="AF172" i="11"/>
  <c r="AG172" i="11"/>
  <c r="AH172" i="11"/>
  <c r="AI172" i="11"/>
  <c r="AJ172" i="11"/>
  <c r="AK172" i="11"/>
  <c r="AL172" i="11"/>
  <c r="AM172" i="11"/>
  <c r="AN172" i="11"/>
  <c r="AO172" i="11"/>
  <c r="AD173" i="11"/>
  <c r="AE173" i="11"/>
  <c r="AF173" i="11"/>
  <c r="AG173" i="11"/>
  <c r="AH173" i="11"/>
  <c r="AI173" i="11"/>
  <c r="AJ173" i="11"/>
  <c r="AK173" i="11"/>
  <c r="AL173" i="11"/>
  <c r="AM173" i="11"/>
  <c r="AN173" i="11"/>
  <c r="AO173" i="11"/>
  <c r="AD174" i="11"/>
  <c r="AE174" i="11"/>
  <c r="AF174" i="11"/>
  <c r="AG174" i="11"/>
  <c r="AH174" i="11"/>
  <c r="AI174" i="11"/>
  <c r="AJ174" i="11"/>
  <c r="AK174" i="11"/>
  <c r="AL174" i="11"/>
  <c r="AM174" i="11"/>
  <c r="AN174" i="11"/>
  <c r="AO174" i="11"/>
  <c r="AD175" i="11"/>
  <c r="AE175" i="11"/>
  <c r="AF175" i="11"/>
  <c r="AG175" i="11"/>
  <c r="AH175" i="11"/>
  <c r="AI175" i="11"/>
  <c r="AJ175" i="11"/>
  <c r="AK175" i="11"/>
  <c r="AL175" i="11"/>
  <c r="AM175" i="11"/>
  <c r="AN175" i="11"/>
  <c r="AO175" i="11"/>
  <c r="AD176" i="11"/>
  <c r="AE176" i="11"/>
  <c r="AF176" i="11"/>
  <c r="AG176" i="11"/>
  <c r="AH176" i="11"/>
  <c r="AI176" i="11"/>
  <c r="AJ176" i="11"/>
  <c r="AK176" i="11"/>
  <c r="AL176" i="11"/>
  <c r="AM176" i="11"/>
  <c r="AN176" i="11"/>
  <c r="AO176" i="11"/>
  <c r="AD177" i="11"/>
  <c r="AE177" i="11"/>
  <c r="AF177" i="11"/>
  <c r="AG177" i="11"/>
  <c r="AH177" i="11"/>
  <c r="AI177" i="11"/>
  <c r="AJ177" i="11"/>
  <c r="AK177" i="11"/>
  <c r="AL177" i="11"/>
  <c r="AM177" i="11"/>
  <c r="AN177" i="11"/>
  <c r="AO177" i="11"/>
  <c r="AD178" i="11"/>
  <c r="AE178" i="11"/>
  <c r="AF178" i="11"/>
  <c r="AG178" i="11"/>
  <c r="AH178" i="11"/>
  <c r="AI178" i="11"/>
  <c r="AJ178" i="11"/>
  <c r="AK178" i="11"/>
  <c r="AL178" i="11"/>
  <c r="AM178" i="11"/>
  <c r="AN178" i="11"/>
  <c r="AO178" i="11"/>
  <c r="AD179" i="11"/>
  <c r="AE179" i="11"/>
  <c r="AF179" i="11"/>
  <c r="AG179" i="11"/>
  <c r="AH179" i="11"/>
  <c r="AI179" i="11"/>
  <c r="AJ179" i="11"/>
  <c r="AK179" i="11"/>
  <c r="AL179" i="11"/>
  <c r="AM179" i="11"/>
  <c r="AN179" i="11"/>
  <c r="AO179" i="11"/>
  <c r="AD180" i="11"/>
  <c r="AE180" i="11"/>
  <c r="AF180" i="11"/>
  <c r="AG180" i="11"/>
  <c r="AH180" i="11"/>
  <c r="AI180" i="11"/>
  <c r="AJ180" i="11"/>
  <c r="AK180" i="11"/>
  <c r="AL180" i="11"/>
  <c r="AM180" i="11"/>
  <c r="AN180" i="11"/>
  <c r="AO180" i="11"/>
  <c r="AD181" i="11"/>
  <c r="AE181" i="11"/>
  <c r="AF181" i="11"/>
  <c r="AG181" i="11"/>
  <c r="AH181" i="11"/>
  <c r="AI181" i="11"/>
  <c r="AJ181" i="11"/>
  <c r="AK181" i="11"/>
  <c r="AL181" i="11"/>
  <c r="AM181" i="11"/>
  <c r="AN181" i="11"/>
  <c r="AO181" i="11"/>
  <c r="AD182" i="11"/>
  <c r="AE182" i="11"/>
  <c r="AF182" i="11"/>
  <c r="AG182" i="11"/>
  <c r="AH182" i="11"/>
  <c r="AI182" i="11"/>
  <c r="AJ182" i="11"/>
  <c r="AK182" i="11"/>
  <c r="AL182" i="11"/>
  <c r="AM182" i="11"/>
  <c r="AN182" i="11"/>
  <c r="AO182" i="11"/>
  <c r="AD183" i="11"/>
  <c r="AE183" i="11"/>
  <c r="AF183" i="11"/>
  <c r="AG183" i="11"/>
  <c r="AH183" i="11"/>
  <c r="AI183" i="11"/>
  <c r="AJ183" i="11"/>
  <c r="AK183" i="11"/>
  <c r="AL183" i="11"/>
  <c r="AM183" i="11"/>
  <c r="AN183" i="11"/>
  <c r="AO183" i="11"/>
  <c r="AD184" i="11"/>
  <c r="AE184" i="11"/>
  <c r="AF184" i="11"/>
  <c r="AG184" i="11"/>
  <c r="AH184" i="11"/>
  <c r="AI184" i="11"/>
  <c r="AJ184" i="11"/>
  <c r="AK184" i="11"/>
  <c r="AL184" i="11"/>
  <c r="AM184" i="11"/>
  <c r="AN184" i="11"/>
  <c r="AO184" i="11"/>
  <c r="AD185" i="11"/>
  <c r="AE185" i="11"/>
  <c r="AF185" i="11"/>
  <c r="AG185" i="11"/>
  <c r="AH185" i="11"/>
  <c r="AI185" i="11"/>
  <c r="AJ185" i="11"/>
  <c r="AK185" i="11"/>
  <c r="AL185" i="11"/>
  <c r="AM185" i="11"/>
  <c r="AN185" i="11"/>
  <c r="AO185" i="11"/>
  <c r="AD186" i="11"/>
  <c r="AD204" i="11" s="1"/>
  <c r="AE186" i="11"/>
  <c r="AE204" i="11" s="1"/>
  <c r="AF186" i="11"/>
  <c r="AG186" i="11"/>
  <c r="AH186" i="11"/>
  <c r="AI186" i="11"/>
  <c r="AJ186" i="11"/>
  <c r="AK186" i="11"/>
  <c r="AL186" i="11"/>
  <c r="AL204" i="11" s="1"/>
  <c r="AM186" i="11"/>
  <c r="AM204" i="11" s="1"/>
  <c r="AN186" i="11"/>
  <c r="AO186" i="11"/>
  <c r="AD187" i="11"/>
  <c r="AE187" i="11"/>
  <c r="AF187" i="11"/>
  <c r="AG187" i="11"/>
  <c r="AH187" i="11"/>
  <c r="AI187" i="11"/>
  <c r="AJ187" i="11"/>
  <c r="AK187" i="11"/>
  <c r="AL187" i="11"/>
  <c r="AM187" i="11"/>
  <c r="AN187" i="11"/>
  <c r="AO187" i="11"/>
  <c r="AD188" i="11"/>
  <c r="AE188" i="11"/>
  <c r="AF188" i="11"/>
  <c r="AG188" i="11"/>
  <c r="AH188" i="11"/>
  <c r="AI188" i="11"/>
  <c r="AJ188" i="11"/>
  <c r="AK188" i="11"/>
  <c r="AL188" i="11"/>
  <c r="AM188" i="11"/>
  <c r="AN188" i="11"/>
  <c r="AO188" i="11"/>
  <c r="AD189" i="11"/>
  <c r="AE189" i="11"/>
  <c r="AF189" i="11"/>
  <c r="AG189" i="11"/>
  <c r="AH189" i="11"/>
  <c r="AI189" i="11"/>
  <c r="AJ189" i="11"/>
  <c r="AK189" i="11"/>
  <c r="AL189" i="11"/>
  <c r="AM189" i="11"/>
  <c r="AN189" i="11"/>
  <c r="AO189" i="11"/>
  <c r="AD190" i="11"/>
  <c r="AE190" i="11"/>
  <c r="AF190" i="11"/>
  <c r="AG190" i="11"/>
  <c r="AH190" i="11"/>
  <c r="AI190" i="11"/>
  <c r="AJ190" i="11"/>
  <c r="AK190" i="11"/>
  <c r="AL190" i="11"/>
  <c r="AM190" i="11"/>
  <c r="AN190" i="11"/>
  <c r="AO190" i="11"/>
  <c r="AD191" i="11"/>
  <c r="AE191" i="11"/>
  <c r="AF191" i="11"/>
  <c r="AG191" i="11"/>
  <c r="AH191" i="11"/>
  <c r="AI191" i="11"/>
  <c r="AJ191" i="11"/>
  <c r="AK191" i="11"/>
  <c r="AL191" i="11"/>
  <c r="AM191" i="11"/>
  <c r="AN191" i="11"/>
  <c r="AO191" i="11"/>
  <c r="AD192" i="11"/>
  <c r="AE192" i="11"/>
  <c r="AF192" i="11"/>
  <c r="AG192" i="11"/>
  <c r="AH192" i="11"/>
  <c r="AI192" i="11"/>
  <c r="AJ192" i="11"/>
  <c r="AK192" i="11"/>
  <c r="AL192" i="11"/>
  <c r="AM192" i="11"/>
  <c r="AN192" i="11"/>
  <c r="AO192" i="11"/>
  <c r="AD193" i="11"/>
  <c r="AE193" i="11"/>
  <c r="AF193" i="11"/>
  <c r="AG193" i="11"/>
  <c r="AH193" i="11"/>
  <c r="AI193" i="11"/>
  <c r="AJ193" i="11"/>
  <c r="AK193" i="11"/>
  <c r="AL193" i="11"/>
  <c r="AM193" i="11"/>
  <c r="AN193" i="11"/>
  <c r="AO193" i="11"/>
  <c r="AD194" i="11"/>
  <c r="AE194" i="11"/>
  <c r="AF194" i="11"/>
  <c r="AG194" i="11"/>
  <c r="AH194" i="11"/>
  <c r="AI194" i="11"/>
  <c r="AJ194" i="11"/>
  <c r="AK194" i="11"/>
  <c r="AL194" i="11"/>
  <c r="AM194" i="11"/>
  <c r="AN194" i="11"/>
  <c r="AO194" i="11"/>
  <c r="AD195" i="11"/>
  <c r="AE195" i="11"/>
  <c r="AF195" i="11"/>
  <c r="AG195" i="11"/>
  <c r="AH195" i="11"/>
  <c r="AI195" i="11"/>
  <c r="AJ195" i="11"/>
  <c r="AK195" i="11"/>
  <c r="AL195" i="11"/>
  <c r="AM195" i="11"/>
  <c r="AN195" i="11"/>
  <c r="AO195" i="11"/>
  <c r="AD196" i="11"/>
  <c r="AE196" i="11"/>
  <c r="AF196" i="11"/>
  <c r="AG196" i="11"/>
  <c r="AH196" i="11"/>
  <c r="AI196" i="11"/>
  <c r="AJ196" i="11"/>
  <c r="AK196" i="11"/>
  <c r="AL196" i="11"/>
  <c r="AM196" i="11"/>
  <c r="AN196" i="11"/>
  <c r="AO196" i="11"/>
  <c r="AD197" i="11"/>
  <c r="AE197" i="11"/>
  <c r="AF197" i="11"/>
  <c r="AG197" i="11"/>
  <c r="AH197" i="11"/>
  <c r="AI197" i="11"/>
  <c r="AJ197" i="11"/>
  <c r="AK197" i="11"/>
  <c r="AL197" i="11"/>
  <c r="AM197" i="11"/>
  <c r="AN197" i="11"/>
  <c r="AO197" i="11"/>
  <c r="AD198" i="11"/>
  <c r="AE198" i="11"/>
  <c r="AF198" i="11"/>
  <c r="AG198" i="11"/>
  <c r="AH198" i="11"/>
  <c r="AI198" i="11"/>
  <c r="AJ198" i="11"/>
  <c r="AK198" i="11"/>
  <c r="AL198" i="11"/>
  <c r="AM198" i="11"/>
  <c r="AN198" i="11"/>
  <c r="AO198" i="11"/>
  <c r="AD199" i="11"/>
  <c r="AE199" i="11"/>
  <c r="AF199" i="11"/>
  <c r="AG199" i="11"/>
  <c r="AH199" i="11"/>
  <c r="AI199" i="11"/>
  <c r="AJ199" i="11"/>
  <c r="AK199" i="11"/>
  <c r="AL199" i="11"/>
  <c r="AM199" i="11"/>
  <c r="AN199" i="11"/>
  <c r="AO199" i="11"/>
  <c r="AD200" i="11"/>
  <c r="AE200" i="11"/>
  <c r="AF200" i="11"/>
  <c r="AG200" i="11"/>
  <c r="AH200" i="11"/>
  <c r="AI200" i="11"/>
  <c r="AJ200" i="11"/>
  <c r="AK200" i="11"/>
  <c r="AL200" i="11"/>
  <c r="AM200" i="11"/>
  <c r="AN200" i="11"/>
  <c r="AO200" i="11"/>
  <c r="AE170" i="11"/>
  <c r="AF170" i="11"/>
  <c r="AG170" i="11"/>
  <c r="AH170" i="11"/>
  <c r="AH201" i="11" s="1"/>
  <c r="AI170" i="11"/>
  <c r="AJ170" i="11"/>
  <c r="AK170" i="11"/>
  <c r="AL170" i="11"/>
  <c r="AM170" i="11"/>
  <c r="AN170" i="11"/>
  <c r="AO170" i="11"/>
  <c r="AD170" i="11"/>
  <c r="AD131" i="11"/>
  <c r="AE131" i="11"/>
  <c r="AE163" i="11" s="1"/>
  <c r="AF131" i="11"/>
  <c r="AG131" i="11"/>
  <c r="AH131" i="11"/>
  <c r="AI131" i="11"/>
  <c r="AJ131" i="11"/>
  <c r="AK131" i="11"/>
  <c r="AL131" i="11"/>
  <c r="AM131" i="11"/>
  <c r="AM165" i="11" s="1"/>
  <c r="AN131" i="11"/>
  <c r="AO131" i="11"/>
  <c r="AD132" i="11"/>
  <c r="AE132" i="11"/>
  <c r="AF132" i="11"/>
  <c r="AG132" i="11"/>
  <c r="AH132" i="11"/>
  <c r="AI132" i="11"/>
  <c r="AJ132" i="11"/>
  <c r="AK132" i="11"/>
  <c r="AL132" i="11"/>
  <c r="AM132" i="11"/>
  <c r="AN132" i="11"/>
  <c r="AO132" i="11"/>
  <c r="AD133" i="11"/>
  <c r="AE133" i="11"/>
  <c r="AF133" i="11"/>
  <c r="AG133" i="11"/>
  <c r="AH133" i="11"/>
  <c r="AI133" i="11"/>
  <c r="AJ133" i="11"/>
  <c r="AK133" i="11"/>
  <c r="AL133" i="11"/>
  <c r="AM133" i="11"/>
  <c r="AN133" i="11"/>
  <c r="AO133" i="11"/>
  <c r="AD134" i="11"/>
  <c r="AE134" i="11"/>
  <c r="AF134" i="11"/>
  <c r="AG134" i="11"/>
  <c r="AH134" i="11"/>
  <c r="AI134" i="11"/>
  <c r="AJ134" i="11"/>
  <c r="AK134" i="11"/>
  <c r="AL134" i="11"/>
  <c r="AM134" i="11"/>
  <c r="AN134" i="11"/>
  <c r="AO134" i="11"/>
  <c r="AD135" i="11"/>
  <c r="AE135" i="11"/>
  <c r="AF135" i="11"/>
  <c r="AG135" i="11"/>
  <c r="AH135" i="11"/>
  <c r="AI135" i="11"/>
  <c r="AJ135" i="11"/>
  <c r="AK135" i="11"/>
  <c r="AL135" i="11"/>
  <c r="AM135" i="11"/>
  <c r="AN135" i="11"/>
  <c r="AO135" i="11"/>
  <c r="AD136" i="11"/>
  <c r="AE136" i="11"/>
  <c r="AF136" i="11"/>
  <c r="AG136" i="11"/>
  <c r="AH136" i="11"/>
  <c r="AI136" i="11"/>
  <c r="AJ136" i="11"/>
  <c r="AK136" i="11"/>
  <c r="AL136" i="11"/>
  <c r="AM136" i="11"/>
  <c r="AN136" i="11"/>
  <c r="AO136" i="11"/>
  <c r="AD137" i="11"/>
  <c r="AE137" i="11"/>
  <c r="AF137" i="11"/>
  <c r="AG137" i="11"/>
  <c r="AH137" i="11"/>
  <c r="AI137" i="11"/>
  <c r="AJ137" i="11"/>
  <c r="AK137" i="11"/>
  <c r="AL137" i="11"/>
  <c r="AM137" i="11"/>
  <c r="AN137" i="11"/>
  <c r="AO137" i="11"/>
  <c r="AD138" i="11"/>
  <c r="AE138" i="11"/>
  <c r="AF138" i="11"/>
  <c r="AG138" i="11"/>
  <c r="AH138" i="11"/>
  <c r="AI138" i="11"/>
  <c r="AJ138" i="11"/>
  <c r="AK138" i="11"/>
  <c r="AL138" i="11"/>
  <c r="AM138" i="11"/>
  <c r="AN138" i="11"/>
  <c r="AO138" i="11"/>
  <c r="AD139" i="11"/>
  <c r="AE139" i="11"/>
  <c r="AF139" i="11"/>
  <c r="AG139" i="11"/>
  <c r="AH139" i="11"/>
  <c r="AI139" i="11"/>
  <c r="AJ139" i="11"/>
  <c r="AK139" i="11"/>
  <c r="AL139" i="11"/>
  <c r="AM139" i="11"/>
  <c r="AN139" i="11"/>
  <c r="AO139" i="11"/>
  <c r="AD140" i="11"/>
  <c r="AE140" i="11"/>
  <c r="AF140" i="11"/>
  <c r="AG140" i="11"/>
  <c r="AH140" i="11"/>
  <c r="AI140" i="11"/>
  <c r="AJ140" i="11"/>
  <c r="AK140" i="11"/>
  <c r="AL140" i="11"/>
  <c r="AM140" i="11"/>
  <c r="AN140" i="11"/>
  <c r="AO140" i="11"/>
  <c r="AD141" i="11"/>
  <c r="AE141" i="11"/>
  <c r="AF141" i="11"/>
  <c r="AG141" i="11"/>
  <c r="AH141" i="11"/>
  <c r="AI141" i="11"/>
  <c r="AJ141" i="11"/>
  <c r="AK141" i="11"/>
  <c r="AL141" i="11"/>
  <c r="AM141" i="11"/>
  <c r="AN141" i="11"/>
  <c r="AO141" i="11"/>
  <c r="AD142" i="11"/>
  <c r="AE142" i="11"/>
  <c r="AF142" i="11"/>
  <c r="AG142" i="11"/>
  <c r="AH142" i="11"/>
  <c r="AI142" i="11"/>
  <c r="AJ142" i="11"/>
  <c r="AK142" i="11"/>
  <c r="AL142" i="11"/>
  <c r="AM142" i="11"/>
  <c r="AN142" i="11"/>
  <c r="AO142" i="11"/>
  <c r="AD143" i="11"/>
  <c r="AE143" i="11"/>
  <c r="AF143" i="11"/>
  <c r="AG143" i="11"/>
  <c r="AH143" i="11"/>
  <c r="AI143" i="11"/>
  <c r="AJ143" i="11"/>
  <c r="AK143" i="11"/>
  <c r="AL143" i="11"/>
  <c r="AM143" i="11"/>
  <c r="AN143" i="11"/>
  <c r="AO143" i="11"/>
  <c r="AD144" i="11"/>
  <c r="AE144" i="11"/>
  <c r="AF144" i="11"/>
  <c r="AG144" i="11"/>
  <c r="AH144" i="11"/>
  <c r="AI144" i="11"/>
  <c r="AJ144" i="11"/>
  <c r="AK144" i="11"/>
  <c r="AL144" i="11"/>
  <c r="AM144" i="11"/>
  <c r="AN144" i="11"/>
  <c r="AO144" i="11"/>
  <c r="AD145" i="11"/>
  <c r="AD164" i="11" s="1"/>
  <c r="AE145" i="11"/>
  <c r="AE164" i="11" s="1"/>
  <c r="AF145" i="11"/>
  <c r="AG145" i="11"/>
  <c r="AH145" i="11"/>
  <c r="AI145" i="11"/>
  <c r="AJ145" i="11"/>
  <c r="AK145" i="11"/>
  <c r="AK164" i="11" s="1"/>
  <c r="AL145" i="11"/>
  <c r="AM145" i="11"/>
  <c r="AN145" i="11"/>
  <c r="AO145" i="11"/>
  <c r="AD146" i="11"/>
  <c r="AE146" i="11"/>
  <c r="AF146" i="11"/>
  <c r="AG146" i="11"/>
  <c r="AH146" i="11"/>
  <c r="AI146" i="11"/>
  <c r="AJ146" i="11"/>
  <c r="AK146" i="11"/>
  <c r="AL146" i="11"/>
  <c r="AM146" i="11"/>
  <c r="AN146" i="11"/>
  <c r="AO146" i="11"/>
  <c r="AD147" i="11"/>
  <c r="AE147" i="11"/>
  <c r="AF147" i="11"/>
  <c r="AG147" i="11"/>
  <c r="AH147" i="11"/>
  <c r="AI147" i="11"/>
  <c r="AJ147" i="11"/>
  <c r="AK147" i="11"/>
  <c r="AL147" i="11"/>
  <c r="AM147" i="11"/>
  <c r="AN147" i="11"/>
  <c r="AO147" i="11"/>
  <c r="AD148" i="11"/>
  <c r="AE148" i="11"/>
  <c r="AF148" i="11"/>
  <c r="AG148" i="11"/>
  <c r="AH148" i="11"/>
  <c r="AI148" i="11"/>
  <c r="AJ148" i="11"/>
  <c r="AK148" i="11"/>
  <c r="AL148" i="11"/>
  <c r="AM148" i="11"/>
  <c r="AN148" i="11"/>
  <c r="AO148" i="11"/>
  <c r="AD149" i="11"/>
  <c r="AE149" i="11"/>
  <c r="AF149" i="11"/>
  <c r="AG149" i="11"/>
  <c r="AH149" i="11"/>
  <c r="AI149" i="11"/>
  <c r="AJ149" i="11"/>
  <c r="AK149" i="11"/>
  <c r="AL149" i="11"/>
  <c r="AM149" i="11"/>
  <c r="AN149" i="11"/>
  <c r="AO149" i="11"/>
  <c r="AD150" i="11"/>
  <c r="AE150" i="11"/>
  <c r="AF150" i="11"/>
  <c r="AG150" i="11"/>
  <c r="AH150" i="11"/>
  <c r="AI150" i="11"/>
  <c r="AJ150" i="11"/>
  <c r="AK150" i="11"/>
  <c r="AL150" i="11"/>
  <c r="AM150" i="11"/>
  <c r="AN150" i="11"/>
  <c r="AO150" i="11"/>
  <c r="AD151" i="11"/>
  <c r="AE151" i="11"/>
  <c r="AF151" i="11"/>
  <c r="AG151" i="11"/>
  <c r="AH151" i="11"/>
  <c r="AI151" i="11"/>
  <c r="AJ151" i="11"/>
  <c r="AK151" i="11"/>
  <c r="AL151" i="11"/>
  <c r="AM151" i="11"/>
  <c r="AN151" i="11"/>
  <c r="AO151" i="11"/>
  <c r="AD152" i="11"/>
  <c r="AE152" i="11"/>
  <c r="AF152" i="11"/>
  <c r="AG152" i="11"/>
  <c r="AH152" i="11"/>
  <c r="AI152" i="11"/>
  <c r="AJ152" i="11"/>
  <c r="AK152" i="11"/>
  <c r="AL152" i="11"/>
  <c r="AM152" i="11"/>
  <c r="AN152" i="11"/>
  <c r="AO152" i="11"/>
  <c r="AD153" i="11"/>
  <c r="AE153" i="11"/>
  <c r="AF153" i="11"/>
  <c r="AG153" i="11"/>
  <c r="AH153" i="11"/>
  <c r="AI153" i="11"/>
  <c r="AJ153" i="11"/>
  <c r="AK153" i="11"/>
  <c r="AL153" i="11"/>
  <c r="AM153" i="11"/>
  <c r="AN153" i="11"/>
  <c r="AO153" i="11"/>
  <c r="AD154" i="11"/>
  <c r="AE154" i="11"/>
  <c r="AF154" i="11"/>
  <c r="AG154" i="11"/>
  <c r="AH154" i="11"/>
  <c r="AI154" i="11"/>
  <c r="AJ154" i="11"/>
  <c r="AK154" i="11"/>
  <c r="AL154" i="11"/>
  <c r="AM154" i="11"/>
  <c r="AN154" i="11"/>
  <c r="AO154" i="11"/>
  <c r="AD155" i="11"/>
  <c r="AE155" i="11"/>
  <c r="AF155" i="11"/>
  <c r="AG155" i="11"/>
  <c r="AH155" i="11"/>
  <c r="AI155" i="11"/>
  <c r="AJ155" i="11"/>
  <c r="AK155" i="11"/>
  <c r="AL155" i="11"/>
  <c r="AM155" i="11"/>
  <c r="AN155" i="11"/>
  <c r="AO155" i="11"/>
  <c r="AD156" i="11"/>
  <c r="AE156" i="11"/>
  <c r="AF156" i="11"/>
  <c r="AG156" i="11"/>
  <c r="AH156" i="11"/>
  <c r="AI156" i="11"/>
  <c r="AJ156" i="11"/>
  <c r="AK156" i="11"/>
  <c r="AL156" i="11"/>
  <c r="AM156" i="11"/>
  <c r="AN156" i="11"/>
  <c r="AO156" i="11"/>
  <c r="AD157" i="11"/>
  <c r="AE157" i="11"/>
  <c r="AF157" i="11"/>
  <c r="AG157" i="11"/>
  <c r="AH157" i="11"/>
  <c r="AI157" i="11"/>
  <c r="AJ157" i="11"/>
  <c r="AK157" i="11"/>
  <c r="AL157" i="11"/>
  <c r="AM157" i="11"/>
  <c r="AN157" i="11"/>
  <c r="AO157" i="11"/>
  <c r="AD158" i="11"/>
  <c r="AE158" i="11"/>
  <c r="AF158" i="11"/>
  <c r="AG158" i="11"/>
  <c r="AH158" i="11"/>
  <c r="AI158" i="11"/>
  <c r="AJ158" i="11"/>
  <c r="AK158" i="11"/>
  <c r="AL158" i="11"/>
  <c r="AM158" i="11"/>
  <c r="AN158" i="11"/>
  <c r="AO158" i="11"/>
  <c r="AD159" i="11"/>
  <c r="AE159" i="11"/>
  <c r="AF159" i="11"/>
  <c r="AG159" i="11"/>
  <c r="AH159" i="11"/>
  <c r="AI159" i="11"/>
  <c r="AJ159" i="11"/>
  <c r="AK159" i="11"/>
  <c r="AL159" i="11"/>
  <c r="AM159" i="11"/>
  <c r="AN159" i="11"/>
  <c r="AO159" i="11"/>
  <c r="AD160" i="11"/>
  <c r="AE160" i="11"/>
  <c r="AF160" i="11"/>
  <c r="AG160" i="11"/>
  <c r="AH160" i="11"/>
  <c r="AI160" i="11"/>
  <c r="AJ160" i="11"/>
  <c r="AK160" i="11"/>
  <c r="AL160" i="11"/>
  <c r="AM160" i="11"/>
  <c r="AN160" i="11"/>
  <c r="AO160" i="11"/>
  <c r="AE130" i="11"/>
  <c r="AF130" i="11"/>
  <c r="AG130" i="11"/>
  <c r="AG165" i="11" s="1"/>
  <c r="AH130" i="11"/>
  <c r="AH161" i="11" s="1"/>
  <c r="AI130" i="11"/>
  <c r="AJ130" i="11"/>
  <c r="AK130" i="11"/>
  <c r="AL130" i="11"/>
  <c r="AM130" i="11"/>
  <c r="AN130" i="11"/>
  <c r="AO130" i="11"/>
  <c r="AO163" i="11" s="1"/>
  <c r="AD130" i="11"/>
  <c r="AD163" i="11" s="1"/>
  <c r="AD91" i="11"/>
  <c r="AE91" i="11"/>
  <c r="AF91" i="11"/>
  <c r="AG91" i="11"/>
  <c r="AH91" i="11"/>
  <c r="AI91" i="11"/>
  <c r="AJ91" i="11"/>
  <c r="AK91" i="11"/>
  <c r="AL91" i="11"/>
  <c r="AM91" i="11"/>
  <c r="AN91" i="11"/>
  <c r="AO91" i="11"/>
  <c r="AD92" i="11"/>
  <c r="AE92" i="11"/>
  <c r="AF92" i="11"/>
  <c r="AG92" i="11"/>
  <c r="AH92" i="11"/>
  <c r="AI92" i="11"/>
  <c r="AJ92" i="11"/>
  <c r="AK92" i="11"/>
  <c r="AL92" i="11"/>
  <c r="AM92" i="11"/>
  <c r="AN92" i="11"/>
  <c r="AO92" i="11"/>
  <c r="AD93" i="11"/>
  <c r="AE93" i="11"/>
  <c r="AF93" i="11"/>
  <c r="AG93" i="11"/>
  <c r="AH93" i="11"/>
  <c r="AI93" i="11"/>
  <c r="AJ93" i="11"/>
  <c r="AK93" i="11"/>
  <c r="AL93" i="11"/>
  <c r="AM93" i="11"/>
  <c r="AN93" i="11"/>
  <c r="AO93" i="11"/>
  <c r="AD94" i="11"/>
  <c r="AE94" i="11"/>
  <c r="AF94" i="11"/>
  <c r="AG94" i="11"/>
  <c r="AH94" i="11"/>
  <c r="AI94" i="11"/>
  <c r="AJ94" i="11"/>
  <c r="AK94" i="11"/>
  <c r="AL94" i="11"/>
  <c r="AM94" i="11"/>
  <c r="AN94" i="11"/>
  <c r="AO94" i="11"/>
  <c r="AD95" i="11"/>
  <c r="AE95" i="11"/>
  <c r="AF95" i="11"/>
  <c r="AG95" i="11"/>
  <c r="AH95" i="11"/>
  <c r="AI95" i="11"/>
  <c r="AJ95" i="11"/>
  <c r="AK95" i="11"/>
  <c r="AL95" i="11"/>
  <c r="AM95" i="11"/>
  <c r="AN95" i="11"/>
  <c r="AO95" i="11"/>
  <c r="AD96" i="11"/>
  <c r="AE96" i="11"/>
  <c r="AF96" i="11"/>
  <c r="AG96" i="11"/>
  <c r="AH96" i="11"/>
  <c r="AI96" i="11"/>
  <c r="AJ96" i="11"/>
  <c r="AK96" i="11"/>
  <c r="AL96" i="11"/>
  <c r="AM96" i="11"/>
  <c r="AN96" i="11"/>
  <c r="AO96" i="11"/>
  <c r="AD97" i="11"/>
  <c r="AE97" i="11"/>
  <c r="AF97" i="11"/>
  <c r="AG97" i="11"/>
  <c r="AH97" i="11"/>
  <c r="AI97" i="11"/>
  <c r="AJ97" i="11"/>
  <c r="AK97" i="11"/>
  <c r="AL97" i="11"/>
  <c r="AM97" i="11"/>
  <c r="AN97" i="11"/>
  <c r="AO97" i="11"/>
  <c r="AD98" i="11"/>
  <c r="AE98" i="11"/>
  <c r="AF98" i="11"/>
  <c r="AG98" i="11"/>
  <c r="AH98" i="11"/>
  <c r="AI98" i="11"/>
  <c r="AJ98" i="11"/>
  <c r="AK98" i="11"/>
  <c r="AL98" i="11"/>
  <c r="AM98" i="11"/>
  <c r="AN98" i="11"/>
  <c r="AO98" i="11"/>
  <c r="AD99" i="11"/>
  <c r="AE99" i="11"/>
  <c r="AF99" i="11"/>
  <c r="AG99" i="11"/>
  <c r="AH99" i="11"/>
  <c r="AI99" i="11"/>
  <c r="AJ99" i="11"/>
  <c r="AK99" i="11"/>
  <c r="AL99" i="11"/>
  <c r="AM99" i="11"/>
  <c r="AN99" i="11"/>
  <c r="AO99" i="11"/>
  <c r="AD100" i="11"/>
  <c r="AE100" i="11"/>
  <c r="AF100" i="11"/>
  <c r="AG100" i="11"/>
  <c r="AH100" i="11"/>
  <c r="AI100" i="11"/>
  <c r="AJ100" i="11"/>
  <c r="AK100" i="11"/>
  <c r="AL100" i="11"/>
  <c r="AM100" i="11"/>
  <c r="AN100" i="11"/>
  <c r="AO100" i="11"/>
  <c r="AD101" i="11"/>
  <c r="AE101" i="11"/>
  <c r="AF101" i="11"/>
  <c r="AG101" i="11"/>
  <c r="AH101" i="11"/>
  <c r="AI101" i="11"/>
  <c r="AJ101" i="11"/>
  <c r="AK101" i="11"/>
  <c r="AL101" i="11"/>
  <c r="AM101" i="11"/>
  <c r="AN101" i="11"/>
  <c r="AO101" i="11"/>
  <c r="AD102" i="11"/>
  <c r="AE102" i="11"/>
  <c r="AF102" i="11"/>
  <c r="AG102" i="11"/>
  <c r="AH102" i="11"/>
  <c r="AI102" i="11"/>
  <c r="AJ102" i="11"/>
  <c r="AK102" i="11"/>
  <c r="AL102" i="11"/>
  <c r="AM102" i="11"/>
  <c r="AN102" i="11"/>
  <c r="AO102" i="11"/>
  <c r="AD103" i="11"/>
  <c r="AE103" i="11"/>
  <c r="AF103" i="11"/>
  <c r="AG103" i="11"/>
  <c r="AH103" i="11"/>
  <c r="AI103" i="11"/>
  <c r="AJ103" i="11"/>
  <c r="AK103" i="11"/>
  <c r="AL103" i="11"/>
  <c r="AM103" i="11"/>
  <c r="AN103" i="11"/>
  <c r="AO103" i="11"/>
  <c r="AD104" i="11"/>
  <c r="AE104" i="11"/>
  <c r="AF104" i="11"/>
  <c r="AG104" i="11"/>
  <c r="AH104" i="11"/>
  <c r="AI104" i="11"/>
  <c r="AJ104" i="11"/>
  <c r="AK104" i="11"/>
  <c r="AL104" i="11"/>
  <c r="AM104" i="11"/>
  <c r="AN104" i="11"/>
  <c r="AO104" i="11"/>
  <c r="AD105" i="11"/>
  <c r="AE105" i="11"/>
  <c r="AF105" i="11"/>
  <c r="AG105" i="11"/>
  <c r="AH105" i="11"/>
  <c r="AI105" i="11"/>
  <c r="AJ105" i="11"/>
  <c r="AK105" i="11"/>
  <c r="AL105" i="11"/>
  <c r="AM105" i="11"/>
  <c r="AN105" i="11"/>
  <c r="AO105" i="11"/>
  <c r="AD106" i="11"/>
  <c r="AE106" i="11"/>
  <c r="AF106" i="11"/>
  <c r="AG106" i="11"/>
  <c r="AH106" i="11"/>
  <c r="AI106" i="11"/>
  <c r="AJ106" i="11"/>
  <c r="AK106" i="11"/>
  <c r="AL106" i="11"/>
  <c r="AM106" i="11"/>
  <c r="AN106" i="11"/>
  <c r="AO106" i="11"/>
  <c r="AD107" i="11"/>
  <c r="AE107" i="11"/>
  <c r="AF107" i="11"/>
  <c r="AG107" i="11"/>
  <c r="AH107" i="11"/>
  <c r="AI107" i="11"/>
  <c r="AJ107" i="11"/>
  <c r="AK107" i="11"/>
  <c r="AL107" i="11"/>
  <c r="AM107" i="11"/>
  <c r="AN107" i="11"/>
  <c r="AO107" i="11"/>
  <c r="AD108" i="11"/>
  <c r="AE108" i="11"/>
  <c r="AF108" i="11"/>
  <c r="AG108" i="11"/>
  <c r="AH108" i="11"/>
  <c r="AI108" i="11"/>
  <c r="AJ108" i="11"/>
  <c r="AK108" i="11"/>
  <c r="AL108" i="11"/>
  <c r="AM108" i="11"/>
  <c r="AN108" i="11"/>
  <c r="AO108" i="11"/>
  <c r="AD109" i="11"/>
  <c r="AE109" i="11"/>
  <c r="AF109" i="11"/>
  <c r="AG109" i="11"/>
  <c r="AH109" i="11"/>
  <c r="AI109" i="11"/>
  <c r="AJ109" i="11"/>
  <c r="AK109" i="11"/>
  <c r="AL109" i="11"/>
  <c r="AM109" i="11"/>
  <c r="AN109" i="11"/>
  <c r="AO109" i="11"/>
  <c r="AD110" i="11"/>
  <c r="AE110" i="11"/>
  <c r="AF110" i="11"/>
  <c r="AG110" i="11"/>
  <c r="AH110" i="11"/>
  <c r="AI110" i="11"/>
  <c r="AJ110" i="11"/>
  <c r="AK110" i="11"/>
  <c r="AL110" i="11"/>
  <c r="AM110" i="11"/>
  <c r="AN110" i="11"/>
  <c r="AO110" i="11"/>
  <c r="AD111" i="11"/>
  <c r="AE111" i="11"/>
  <c r="AF111" i="11"/>
  <c r="AG111" i="11"/>
  <c r="AH111" i="11"/>
  <c r="AI111" i="11"/>
  <c r="AJ111" i="11"/>
  <c r="AK111" i="11"/>
  <c r="AL111" i="11"/>
  <c r="AM111" i="11"/>
  <c r="AN111" i="11"/>
  <c r="AO111" i="11"/>
  <c r="AD112" i="11"/>
  <c r="AE112" i="11"/>
  <c r="AF112" i="11"/>
  <c r="AG112" i="11"/>
  <c r="AH112" i="11"/>
  <c r="AI112" i="11"/>
  <c r="AJ112" i="11"/>
  <c r="AK112" i="11"/>
  <c r="AL112" i="11"/>
  <c r="AM112" i="11"/>
  <c r="AN112" i="11"/>
  <c r="AO112" i="11"/>
  <c r="AD113" i="11"/>
  <c r="AE113" i="11"/>
  <c r="AF113" i="11"/>
  <c r="AG113" i="11"/>
  <c r="AH113" i="11"/>
  <c r="AI113" i="11"/>
  <c r="AJ113" i="11"/>
  <c r="AK113" i="11"/>
  <c r="AL113" i="11"/>
  <c r="AM113" i="11"/>
  <c r="AN113" i="11"/>
  <c r="AO113" i="11"/>
  <c r="AD114" i="11"/>
  <c r="AE114" i="11"/>
  <c r="AF114" i="11"/>
  <c r="AG114" i="11"/>
  <c r="AH114" i="11"/>
  <c r="AI114" i="11"/>
  <c r="AJ114" i="11"/>
  <c r="AK114" i="11"/>
  <c r="AL114" i="11"/>
  <c r="AM114" i="11"/>
  <c r="AN114" i="11"/>
  <c r="AO114" i="11"/>
  <c r="AD115" i="11"/>
  <c r="AE115" i="11"/>
  <c r="AF115" i="11"/>
  <c r="AG115" i="11"/>
  <c r="AH115" i="11"/>
  <c r="AI115" i="11"/>
  <c r="AJ115" i="11"/>
  <c r="AK115" i="11"/>
  <c r="AL115" i="11"/>
  <c r="AM115" i="11"/>
  <c r="AN115" i="11"/>
  <c r="AO115" i="11"/>
  <c r="AD116" i="11"/>
  <c r="AE116" i="11"/>
  <c r="AF116" i="11"/>
  <c r="AG116" i="11"/>
  <c r="AH116" i="11"/>
  <c r="AI116" i="11"/>
  <c r="AJ116" i="11"/>
  <c r="AK116" i="11"/>
  <c r="AL116" i="11"/>
  <c r="AM116" i="11"/>
  <c r="AN116" i="11"/>
  <c r="AO116" i="11"/>
  <c r="AD117" i="11"/>
  <c r="AE117" i="11"/>
  <c r="AF117" i="11"/>
  <c r="AG117" i="11"/>
  <c r="AH117" i="11"/>
  <c r="AI117" i="11"/>
  <c r="AJ117" i="11"/>
  <c r="AK117" i="11"/>
  <c r="AL117" i="11"/>
  <c r="AM117" i="11"/>
  <c r="AN117" i="11"/>
  <c r="AO117" i="11"/>
  <c r="AD118" i="11"/>
  <c r="AE118" i="11"/>
  <c r="AF118" i="11"/>
  <c r="AG118" i="11"/>
  <c r="AH118" i="11"/>
  <c r="AI118" i="11"/>
  <c r="AJ118" i="11"/>
  <c r="AK118" i="11"/>
  <c r="AL118" i="11"/>
  <c r="AM118" i="11"/>
  <c r="AN118" i="11"/>
  <c r="AO118" i="11"/>
  <c r="AD119" i="11"/>
  <c r="AE119" i="11"/>
  <c r="AF119" i="11"/>
  <c r="AG119" i="11"/>
  <c r="AH119" i="11"/>
  <c r="AI119" i="11"/>
  <c r="AJ119" i="11"/>
  <c r="AK119" i="11"/>
  <c r="AL119" i="11"/>
  <c r="AM119" i="11"/>
  <c r="AN119" i="11"/>
  <c r="AO119" i="11"/>
  <c r="AD120" i="11"/>
  <c r="AE120" i="11"/>
  <c r="AF120" i="11"/>
  <c r="AG120" i="11"/>
  <c r="AH120" i="11"/>
  <c r="AI120" i="11"/>
  <c r="AJ120" i="11"/>
  <c r="AK120" i="11"/>
  <c r="AL120" i="11"/>
  <c r="AM120" i="11"/>
  <c r="AN120" i="11"/>
  <c r="AO120" i="11"/>
  <c r="AE90" i="11"/>
  <c r="AF90" i="11"/>
  <c r="AG90" i="11"/>
  <c r="AH90" i="11"/>
  <c r="AI90" i="11"/>
  <c r="AI123" i="11" s="1"/>
  <c r="AJ90" i="11"/>
  <c r="AK90" i="11"/>
  <c r="AL90" i="11"/>
  <c r="AL123" i="11" s="1"/>
  <c r="AM90" i="11"/>
  <c r="AN90" i="11"/>
  <c r="AO90" i="11"/>
  <c r="AD90" i="11"/>
  <c r="AD51" i="11"/>
  <c r="AE51" i="11"/>
  <c r="AF51" i="11"/>
  <c r="AG51" i="11"/>
  <c r="AH51" i="11"/>
  <c r="AI51" i="11"/>
  <c r="AJ51" i="11"/>
  <c r="AK51" i="11"/>
  <c r="AL51" i="11"/>
  <c r="AM51" i="11"/>
  <c r="AN51" i="11"/>
  <c r="AO51" i="11"/>
  <c r="AD52" i="11"/>
  <c r="AE52" i="11"/>
  <c r="AF52" i="11"/>
  <c r="AG52" i="11"/>
  <c r="AH52" i="11"/>
  <c r="AI52" i="11"/>
  <c r="AJ52" i="11"/>
  <c r="AK52" i="11"/>
  <c r="AL52" i="11"/>
  <c r="AM52" i="11"/>
  <c r="AN52" i="11"/>
  <c r="AO52" i="11"/>
  <c r="AD53" i="11"/>
  <c r="AE53" i="11"/>
  <c r="AF53" i="11"/>
  <c r="AG53" i="11"/>
  <c r="AH53" i="11"/>
  <c r="AI53" i="11"/>
  <c r="AJ53" i="11"/>
  <c r="AK53" i="11"/>
  <c r="AL53" i="11"/>
  <c r="AM53" i="11"/>
  <c r="AN53" i="11"/>
  <c r="AO53" i="11"/>
  <c r="AD54" i="11"/>
  <c r="AE54" i="11"/>
  <c r="AF54" i="11"/>
  <c r="AG54" i="11"/>
  <c r="AH54" i="11"/>
  <c r="AI54" i="11"/>
  <c r="AJ54" i="11"/>
  <c r="AK54" i="11"/>
  <c r="AL54" i="11"/>
  <c r="AM54" i="11"/>
  <c r="AN54" i="11"/>
  <c r="AO54" i="11"/>
  <c r="AD55" i="11"/>
  <c r="AE55" i="11"/>
  <c r="AF55" i="11"/>
  <c r="AG55" i="11"/>
  <c r="AH55" i="11"/>
  <c r="AI55" i="11"/>
  <c r="AJ55" i="11"/>
  <c r="AK55" i="11"/>
  <c r="AL55" i="11"/>
  <c r="AM55" i="11"/>
  <c r="AN55" i="11"/>
  <c r="AO55" i="11"/>
  <c r="AD56" i="11"/>
  <c r="AE56" i="11"/>
  <c r="AF56" i="11"/>
  <c r="AG56" i="11"/>
  <c r="AH56" i="11"/>
  <c r="AI56" i="11"/>
  <c r="AJ56" i="11"/>
  <c r="AK56" i="11"/>
  <c r="AL56" i="11"/>
  <c r="AM56" i="11"/>
  <c r="AN56" i="11"/>
  <c r="AO56" i="11"/>
  <c r="AD57" i="11"/>
  <c r="AE57" i="11"/>
  <c r="AF57" i="11"/>
  <c r="AG57" i="11"/>
  <c r="AH57" i="11"/>
  <c r="AI57" i="11"/>
  <c r="AJ57" i="11"/>
  <c r="AK57" i="11"/>
  <c r="AL57" i="11"/>
  <c r="AM57" i="11"/>
  <c r="AN57" i="11"/>
  <c r="AO57" i="11"/>
  <c r="AD58" i="11"/>
  <c r="AE58" i="11"/>
  <c r="AF58" i="11"/>
  <c r="AG58" i="11"/>
  <c r="AH58" i="11"/>
  <c r="AI58" i="11"/>
  <c r="AJ58" i="11"/>
  <c r="AK58" i="11"/>
  <c r="AL58" i="11"/>
  <c r="AM58" i="11"/>
  <c r="AN58" i="11"/>
  <c r="AO58" i="11"/>
  <c r="AD59" i="11"/>
  <c r="AE59" i="11"/>
  <c r="AF59" i="11"/>
  <c r="AG59" i="11"/>
  <c r="AH59" i="11"/>
  <c r="AI59" i="11"/>
  <c r="AJ59" i="11"/>
  <c r="AK59" i="11"/>
  <c r="AL59" i="11"/>
  <c r="AM59" i="11"/>
  <c r="AN59" i="11"/>
  <c r="AO59" i="11"/>
  <c r="AD60" i="11"/>
  <c r="AE60" i="11"/>
  <c r="AF60" i="11"/>
  <c r="AG60" i="11"/>
  <c r="AH60" i="11"/>
  <c r="AI60" i="11"/>
  <c r="AJ60" i="11"/>
  <c r="AK60" i="11"/>
  <c r="AL60" i="11"/>
  <c r="AM60" i="11"/>
  <c r="AN60" i="11"/>
  <c r="AO60" i="11"/>
  <c r="AD61" i="11"/>
  <c r="AE61" i="11"/>
  <c r="AF61" i="11"/>
  <c r="AG61" i="11"/>
  <c r="AH61" i="11"/>
  <c r="AI61" i="11"/>
  <c r="AJ61" i="11"/>
  <c r="AK61" i="11"/>
  <c r="AL61" i="11"/>
  <c r="AM61" i="11"/>
  <c r="AN61" i="11"/>
  <c r="AO61" i="11"/>
  <c r="AD62" i="11"/>
  <c r="AE62" i="11"/>
  <c r="AF62" i="11"/>
  <c r="AG62" i="11"/>
  <c r="AH62" i="11"/>
  <c r="AI62" i="11"/>
  <c r="AJ62" i="11"/>
  <c r="AK62" i="11"/>
  <c r="AL62" i="11"/>
  <c r="AM62" i="11"/>
  <c r="AN62" i="11"/>
  <c r="AO62" i="11"/>
  <c r="AD63" i="11"/>
  <c r="AE63" i="11"/>
  <c r="AF63" i="11"/>
  <c r="AG63" i="11"/>
  <c r="AH63" i="11"/>
  <c r="AI63" i="11"/>
  <c r="AJ63" i="11"/>
  <c r="AK63" i="11"/>
  <c r="AL63" i="11"/>
  <c r="AM63" i="11"/>
  <c r="AN63" i="11"/>
  <c r="AO63" i="11"/>
  <c r="AD64" i="11"/>
  <c r="AE64" i="11"/>
  <c r="AF64" i="11"/>
  <c r="AG64" i="11"/>
  <c r="AH64" i="11"/>
  <c r="AI64" i="11"/>
  <c r="AJ64" i="11"/>
  <c r="AK64" i="11"/>
  <c r="AL64" i="11"/>
  <c r="AM64" i="11"/>
  <c r="AN64" i="11"/>
  <c r="AO64" i="11"/>
  <c r="AD65" i="11"/>
  <c r="AE65" i="11"/>
  <c r="AF65" i="11"/>
  <c r="AG65" i="11"/>
  <c r="AH65" i="11"/>
  <c r="AI65" i="11"/>
  <c r="AJ65" i="11"/>
  <c r="AK65" i="11"/>
  <c r="AL65" i="11"/>
  <c r="AM65" i="11"/>
  <c r="AM84" i="11" s="1"/>
  <c r="AN65" i="11"/>
  <c r="AO65" i="11"/>
  <c r="AD66" i="11"/>
  <c r="AE66" i="11"/>
  <c r="AF66" i="11"/>
  <c r="AG66" i="11"/>
  <c r="AH66" i="11"/>
  <c r="AI66" i="11"/>
  <c r="AJ66" i="11"/>
  <c r="AK66" i="11"/>
  <c r="AL66" i="11"/>
  <c r="AM66" i="11"/>
  <c r="AN66" i="11"/>
  <c r="AO66" i="11"/>
  <c r="AD67" i="11"/>
  <c r="AE67" i="11"/>
  <c r="AF67" i="11"/>
  <c r="AG67" i="11"/>
  <c r="AH67" i="11"/>
  <c r="AI67" i="11"/>
  <c r="AJ67" i="11"/>
  <c r="AK67" i="11"/>
  <c r="AL67" i="11"/>
  <c r="AM67" i="11"/>
  <c r="AN67" i="11"/>
  <c r="AO67" i="11"/>
  <c r="AD68" i="11"/>
  <c r="AE68" i="11"/>
  <c r="AF68" i="11"/>
  <c r="AG68" i="11"/>
  <c r="AH68" i="11"/>
  <c r="AI68" i="11"/>
  <c r="AJ68" i="11"/>
  <c r="AK68" i="11"/>
  <c r="AL68" i="11"/>
  <c r="AM68" i="11"/>
  <c r="AN68" i="11"/>
  <c r="AO68" i="11"/>
  <c r="AD69" i="11"/>
  <c r="AE69" i="11"/>
  <c r="AF69" i="11"/>
  <c r="AG69" i="11"/>
  <c r="AH69" i="11"/>
  <c r="AI69" i="11"/>
  <c r="AJ69" i="11"/>
  <c r="AK69" i="11"/>
  <c r="AL69" i="11"/>
  <c r="AM69" i="11"/>
  <c r="AN69" i="11"/>
  <c r="AO69" i="11"/>
  <c r="AD70" i="11"/>
  <c r="AE70" i="11"/>
  <c r="AF70" i="11"/>
  <c r="AG70" i="11"/>
  <c r="AH70" i="11"/>
  <c r="AI70" i="11"/>
  <c r="AJ70" i="11"/>
  <c r="AK70" i="11"/>
  <c r="AL70" i="11"/>
  <c r="AM70" i="11"/>
  <c r="AN70" i="11"/>
  <c r="AO70" i="11"/>
  <c r="AD71" i="11"/>
  <c r="AE71" i="11"/>
  <c r="AF71" i="11"/>
  <c r="AG71" i="11"/>
  <c r="AH71" i="11"/>
  <c r="AI71" i="11"/>
  <c r="AJ71" i="11"/>
  <c r="AK71" i="11"/>
  <c r="AL71" i="11"/>
  <c r="AM71" i="11"/>
  <c r="AN71" i="11"/>
  <c r="AO71" i="11"/>
  <c r="AD72" i="11"/>
  <c r="AE72" i="11"/>
  <c r="AF72" i="11"/>
  <c r="AG72" i="11"/>
  <c r="AH72" i="11"/>
  <c r="AI72" i="11"/>
  <c r="AJ72" i="11"/>
  <c r="AK72" i="11"/>
  <c r="AL72" i="11"/>
  <c r="AM72" i="11"/>
  <c r="AN72" i="11"/>
  <c r="AO72" i="11"/>
  <c r="AD73" i="11"/>
  <c r="AE73" i="11"/>
  <c r="AF73" i="11"/>
  <c r="AG73" i="11"/>
  <c r="AH73" i="11"/>
  <c r="AI73" i="11"/>
  <c r="AJ73" i="11"/>
  <c r="AK73" i="11"/>
  <c r="AL73" i="11"/>
  <c r="AM73" i="11"/>
  <c r="AN73" i="11"/>
  <c r="AO73" i="11"/>
  <c r="AD74" i="11"/>
  <c r="AE74" i="11"/>
  <c r="AF74" i="11"/>
  <c r="AG74" i="11"/>
  <c r="AH74" i="11"/>
  <c r="AI74" i="11"/>
  <c r="AJ74" i="11"/>
  <c r="AK74" i="11"/>
  <c r="AL74" i="11"/>
  <c r="AM74" i="11"/>
  <c r="AN74" i="11"/>
  <c r="AO74" i="11"/>
  <c r="AD75" i="11"/>
  <c r="AE75" i="11"/>
  <c r="AF75" i="11"/>
  <c r="AG75" i="11"/>
  <c r="AH75" i="11"/>
  <c r="AI75" i="11"/>
  <c r="AJ75" i="11"/>
  <c r="AK75" i="11"/>
  <c r="AL75" i="11"/>
  <c r="AM75" i="11"/>
  <c r="AN75" i="11"/>
  <c r="AO75" i="11"/>
  <c r="AD76" i="11"/>
  <c r="AE76" i="11"/>
  <c r="AF76" i="11"/>
  <c r="AG76" i="11"/>
  <c r="AH76" i="11"/>
  <c r="AI76" i="11"/>
  <c r="AJ76" i="11"/>
  <c r="AK76" i="11"/>
  <c r="AL76" i="11"/>
  <c r="AM76" i="11"/>
  <c r="AN76" i="11"/>
  <c r="AO76" i="11"/>
  <c r="AD77" i="11"/>
  <c r="AE77" i="11"/>
  <c r="AF77" i="11"/>
  <c r="AG77" i="11"/>
  <c r="AH77" i="11"/>
  <c r="AI77" i="11"/>
  <c r="AJ77" i="11"/>
  <c r="AK77" i="11"/>
  <c r="AL77" i="11"/>
  <c r="AM77" i="11"/>
  <c r="AN77" i="11"/>
  <c r="AO77" i="11"/>
  <c r="AD78" i="11"/>
  <c r="AE78" i="11"/>
  <c r="AF78" i="11"/>
  <c r="AG78" i="11"/>
  <c r="AH78" i="11"/>
  <c r="AI78" i="11"/>
  <c r="AJ78" i="11"/>
  <c r="AK78" i="11"/>
  <c r="AL78" i="11"/>
  <c r="AM78" i="11"/>
  <c r="AN78" i="11"/>
  <c r="AO78" i="11"/>
  <c r="AD79" i="11"/>
  <c r="AE79" i="11"/>
  <c r="AF79" i="11"/>
  <c r="AG79" i="11"/>
  <c r="AH79" i="11"/>
  <c r="AI79" i="11"/>
  <c r="AJ79" i="11"/>
  <c r="AK79" i="11"/>
  <c r="AL79" i="11"/>
  <c r="AM79" i="11"/>
  <c r="AN79" i="11"/>
  <c r="AO79" i="11"/>
  <c r="AD80" i="11"/>
  <c r="AE80" i="11"/>
  <c r="AF80" i="11"/>
  <c r="AG80" i="11"/>
  <c r="AH80" i="11"/>
  <c r="AI80" i="11"/>
  <c r="AJ80" i="11"/>
  <c r="AK80" i="11"/>
  <c r="AL80" i="11"/>
  <c r="AM80" i="11"/>
  <c r="AN80" i="11"/>
  <c r="AO80" i="11"/>
  <c r="AE50" i="11"/>
  <c r="AE83" i="11" s="1"/>
  <c r="AF50" i="11"/>
  <c r="AG50" i="11"/>
  <c r="AH50" i="11"/>
  <c r="AI50" i="11"/>
  <c r="AJ50" i="11"/>
  <c r="AK50" i="11"/>
  <c r="AL50" i="11"/>
  <c r="AM50" i="11"/>
  <c r="AN50" i="11"/>
  <c r="AO50" i="11"/>
  <c r="AO83" i="11" s="1"/>
  <c r="AD50" i="11"/>
  <c r="AD83" i="11" s="1"/>
  <c r="AD11" i="11"/>
  <c r="AE11" i="11"/>
  <c r="AF11" i="11"/>
  <c r="AG11" i="11"/>
  <c r="AH11" i="11"/>
  <c r="AH42" i="11" s="1"/>
  <c r="AI11" i="11"/>
  <c r="AJ11" i="11"/>
  <c r="AK11" i="11"/>
  <c r="AL11" i="11"/>
  <c r="AM11" i="11"/>
  <c r="AN11" i="11"/>
  <c r="AO11" i="11"/>
  <c r="AD12" i="11"/>
  <c r="AE12" i="11"/>
  <c r="AF12" i="11"/>
  <c r="AG12" i="11"/>
  <c r="AH12" i="11"/>
  <c r="AI12" i="11"/>
  <c r="AJ12" i="11"/>
  <c r="AK12" i="11"/>
  <c r="AL12" i="11"/>
  <c r="AM12" i="11"/>
  <c r="AN12" i="11"/>
  <c r="AO12" i="11"/>
  <c r="AD13" i="11"/>
  <c r="AE13" i="11"/>
  <c r="AF13" i="11"/>
  <c r="AG13" i="11"/>
  <c r="AH13" i="11"/>
  <c r="AI13" i="11"/>
  <c r="AJ13" i="11"/>
  <c r="AK13" i="11"/>
  <c r="AL13" i="11"/>
  <c r="AM13" i="11"/>
  <c r="AN13" i="11"/>
  <c r="AO13" i="11"/>
  <c r="AD14" i="11"/>
  <c r="AE14" i="11"/>
  <c r="AF14" i="11"/>
  <c r="AG14" i="11"/>
  <c r="AH14" i="11"/>
  <c r="AI14" i="11"/>
  <c r="AJ14" i="11"/>
  <c r="AK14" i="11"/>
  <c r="AL14" i="11"/>
  <c r="AM14" i="11"/>
  <c r="AN14" i="11"/>
  <c r="AO14" i="11"/>
  <c r="AD15" i="11"/>
  <c r="AE15" i="11"/>
  <c r="AF15" i="11"/>
  <c r="AG15" i="11"/>
  <c r="AH15" i="11"/>
  <c r="AI15" i="11"/>
  <c r="AJ15" i="11"/>
  <c r="AK15" i="11"/>
  <c r="AL15" i="11"/>
  <c r="AM15" i="11"/>
  <c r="AN15" i="11"/>
  <c r="AO15" i="11"/>
  <c r="AD16" i="11"/>
  <c r="AE16" i="11"/>
  <c r="AF16" i="11"/>
  <c r="AG16" i="11"/>
  <c r="AH16" i="11"/>
  <c r="AI16" i="11"/>
  <c r="AJ16" i="11"/>
  <c r="AK16" i="11"/>
  <c r="AL16" i="11"/>
  <c r="AM16" i="11"/>
  <c r="AN16" i="11"/>
  <c r="AO16" i="11"/>
  <c r="AD17" i="11"/>
  <c r="AE17" i="11"/>
  <c r="AF17" i="11"/>
  <c r="AG17" i="11"/>
  <c r="AH17" i="11"/>
  <c r="AI17" i="11"/>
  <c r="AJ17" i="11"/>
  <c r="AK17" i="11"/>
  <c r="AL17" i="11"/>
  <c r="AM17" i="11"/>
  <c r="AN17" i="11"/>
  <c r="AO17" i="11"/>
  <c r="AD18" i="11"/>
  <c r="AE18" i="11"/>
  <c r="AF18" i="11"/>
  <c r="AG18" i="11"/>
  <c r="AH18" i="11"/>
  <c r="AI18" i="11"/>
  <c r="AJ18" i="11"/>
  <c r="AK18" i="11"/>
  <c r="AL18" i="11"/>
  <c r="AM18" i="11"/>
  <c r="AN18" i="11"/>
  <c r="AO18" i="11"/>
  <c r="AD19" i="11"/>
  <c r="AE19" i="11"/>
  <c r="AF19" i="11"/>
  <c r="AG19" i="11"/>
  <c r="AH19" i="11"/>
  <c r="AI19" i="11"/>
  <c r="AJ19" i="11"/>
  <c r="AK19" i="11"/>
  <c r="AL19" i="11"/>
  <c r="AM19" i="11"/>
  <c r="AN19" i="11"/>
  <c r="AO19" i="11"/>
  <c r="AD20" i="11"/>
  <c r="AE20" i="11"/>
  <c r="AF20" i="11"/>
  <c r="AG20" i="11"/>
  <c r="AH20" i="11"/>
  <c r="AI20" i="11"/>
  <c r="AJ20" i="11"/>
  <c r="AK20" i="11"/>
  <c r="AL20" i="11"/>
  <c r="AM20" i="11"/>
  <c r="AN20" i="11"/>
  <c r="AO20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D30" i="11"/>
  <c r="AE30" i="11"/>
  <c r="AF30" i="11"/>
  <c r="AG30" i="11"/>
  <c r="AH30" i="11"/>
  <c r="AI30" i="11"/>
  <c r="AJ30" i="11"/>
  <c r="AK30" i="11"/>
  <c r="AL30" i="11"/>
  <c r="AM30" i="11"/>
  <c r="AN30" i="11"/>
  <c r="AO30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D34" i="11"/>
  <c r="AE34" i="11"/>
  <c r="AF34" i="11"/>
  <c r="AG34" i="11"/>
  <c r="AH34" i="11"/>
  <c r="AI34" i="11"/>
  <c r="AJ34" i="11"/>
  <c r="AK34" i="11"/>
  <c r="AL34" i="11"/>
  <c r="AM34" i="11"/>
  <c r="AN34" i="11"/>
  <c r="AO34" i="11"/>
  <c r="AD35" i="11"/>
  <c r="AE35" i="11"/>
  <c r="AF35" i="11"/>
  <c r="AG35" i="11"/>
  <c r="AH35" i="11"/>
  <c r="AI35" i="11"/>
  <c r="AJ35" i="11"/>
  <c r="AK35" i="11"/>
  <c r="AL35" i="11"/>
  <c r="AM35" i="11"/>
  <c r="AN35" i="11"/>
  <c r="AO35" i="11"/>
  <c r="AD36" i="11"/>
  <c r="AE36" i="11"/>
  <c r="AF36" i="11"/>
  <c r="AG36" i="11"/>
  <c r="AH36" i="11"/>
  <c r="AI36" i="11"/>
  <c r="AJ36" i="11"/>
  <c r="AK36" i="11"/>
  <c r="AL36" i="11"/>
  <c r="AM36" i="11"/>
  <c r="AN36" i="11"/>
  <c r="AO36" i="11"/>
  <c r="AD37" i="11"/>
  <c r="AE37" i="11"/>
  <c r="AF37" i="11"/>
  <c r="AG37" i="11"/>
  <c r="AH37" i="11"/>
  <c r="AI37" i="11"/>
  <c r="AJ37" i="11"/>
  <c r="AK37" i="11"/>
  <c r="AL37" i="11"/>
  <c r="AM37" i="11"/>
  <c r="AN37" i="11"/>
  <c r="AO37" i="11"/>
  <c r="AD38" i="11"/>
  <c r="AE38" i="11"/>
  <c r="AF38" i="11"/>
  <c r="AG38" i="11"/>
  <c r="AH38" i="11"/>
  <c r="AI38" i="11"/>
  <c r="AJ38" i="11"/>
  <c r="AK38" i="11"/>
  <c r="AL38" i="11"/>
  <c r="AM38" i="11"/>
  <c r="AN38" i="11"/>
  <c r="AO38" i="11"/>
  <c r="AD39" i="11"/>
  <c r="AE39" i="11"/>
  <c r="AF39" i="11"/>
  <c r="AG39" i="11"/>
  <c r="AH39" i="11"/>
  <c r="AI39" i="11"/>
  <c r="AJ39" i="11"/>
  <c r="AK39" i="11"/>
  <c r="AL39" i="11"/>
  <c r="AM39" i="11"/>
  <c r="AN39" i="11"/>
  <c r="AO39" i="11"/>
  <c r="AD40" i="11"/>
  <c r="AE40" i="11"/>
  <c r="AF40" i="11"/>
  <c r="AG40" i="11"/>
  <c r="AH40" i="11"/>
  <c r="AI40" i="11"/>
  <c r="AJ40" i="11"/>
  <c r="AK40" i="11"/>
  <c r="AL40" i="11"/>
  <c r="AM40" i="11"/>
  <c r="AN40" i="11"/>
  <c r="AO40" i="11"/>
  <c r="AE10" i="11"/>
  <c r="AF10" i="11"/>
  <c r="AG10" i="11"/>
  <c r="AH10" i="11"/>
  <c r="AH45" i="11" s="1"/>
  <c r="AI10" i="11"/>
  <c r="AJ10" i="11"/>
  <c r="AK10" i="11"/>
  <c r="AL10" i="11"/>
  <c r="AL42" i="11" s="1"/>
  <c r="AM10" i="11"/>
  <c r="AN10" i="11"/>
  <c r="AO10" i="11"/>
  <c r="AD10" i="11"/>
  <c r="P211" i="11"/>
  <c r="Q211" i="11"/>
  <c r="C211" i="11" s="1"/>
  <c r="BG211" i="11" s="1"/>
  <c r="R211" i="11"/>
  <c r="S211" i="11"/>
  <c r="T211" i="11"/>
  <c r="U211" i="11"/>
  <c r="V211" i="11"/>
  <c r="AX211" i="11" s="1"/>
  <c r="W211" i="11"/>
  <c r="X211" i="11"/>
  <c r="Y211" i="11"/>
  <c r="Z211" i="11"/>
  <c r="AA211" i="11"/>
  <c r="P212" i="11"/>
  <c r="Q212" i="11"/>
  <c r="R212" i="11"/>
  <c r="S212" i="11"/>
  <c r="AU212" i="11" s="1"/>
  <c r="T212" i="11"/>
  <c r="AV212" i="11" s="1"/>
  <c r="U212" i="11"/>
  <c r="G212" i="11" s="1"/>
  <c r="BK212" i="11" s="1"/>
  <c r="V212" i="11"/>
  <c r="W212" i="11"/>
  <c r="X212" i="11"/>
  <c r="Y212" i="11"/>
  <c r="Z212" i="11"/>
  <c r="BB212" i="11" s="1"/>
  <c r="AA212" i="11"/>
  <c r="BC212" i="11" s="1"/>
  <c r="P213" i="11"/>
  <c r="AR213" i="11" s="1"/>
  <c r="Q213" i="11"/>
  <c r="AS213" i="11" s="1"/>
  <c r="R213" i="11"/>
  <c r="S213" i="11"/>
  <c r="T213" i="11"/>
  <c r="U213" i="11"/>
  <c r="V213" i="11"/>
  <c r="W213" i="11"/>
  <c r="I213" i="11" s="1"/>
  <c r="BM213" i="11" s="1"/>
  <c r="X213" i="11"/>
  <c r="AZ213" i="11" s="1"/>
  <c r="Y213" i="11"/>
  <c r="BA213" i="11" s="1"/>
  <c r="Z213" i="11"/>
  <c r="AA213" i="11"/>
  <c r="P214" i="11"/>
  <c r="Q214" i="11"/>
  <c r="R214" i="11"/>
  <c r="S214" i="11"/>
  <c r="E214" i="11" s="1"/>
  <c r="BI214" i="11" s="1"/>
  <c r="T214" i="11"/>
  <c r="F214" i="11" s="1"/>
  <c r="BJ214" i="11" s="1"/>
  <c r="U214" i="11"/>
  <c r="G214" i="11" s="1"/>
  <c r="BK214" i="11" s="1"/>
  <c r="V214" i="11"/>
  <c r="W214" i="11"/>
  <c r="X214" i="11"/>
  <c r="Y214" i="11"/>
  <c r="Z214" i="11"/>
  <c r="BB214" i="11" s="1"/>
  <c r="AA214" i="11"/>
  <c r="BC214" i="11" s="1"/>
  <c r="P215" i="11"/>
  <c r="AR215" i="11" s="1"/>
  <c r="Q215" i="11"/>
  <c r="R215" i="11"/>
  <c r="S215" i="11"/>
  <c r="T215" i="11"/>
  <c r="U215" i="11"/>
  <c r="V215" i="11"/>
  <c r="AX215" i="11" s="1"/>
  <c r="W215" i="11"/>
  <c r="AY215" i="11" s="1"/>
  <c r="X215" i="11"/>
  <c r="AZ215" i="11" s="1"/>
  <c r="Y215" i="11"/>
  <c r="BA215" i="11" s="1"/>
  <c r="Z215" i="11"/>
  <c r="AA215" i="11"/>
  <c r="P216" i="11"/>
  <c r="Q216" i="11"/>
  <c r="R216" i="11"/>
  <c r="S216" i="11"/>
  <c r="E216" i="11" s="1"/>
  <c r="BI216" i="11" s="1"/>
  <c r="T216" i="11"/>
  <c r="F216" i="11" s="1"/>
  <c r="BJ216" i="11" s="1"/>
  <c r="U216" i="11"/>
  <c r="AW216" i="11" s="1"/>
  <c r="V216" i="11"/>
  <c r="W216" i="11"/>
  <c r="X216" i="11"/>
  <c r="Y216" i="11"/>
  <c r="Z216" i="11"/>
  <c r="BB216" i="11" s="1"/>
  <c r="AA216" i="11"/>
  <c r="P217" i="11"/>
  <c r="Q217" i="11"/>
  <c r="R217" i="11"/>
  <c r="S217" i="11"/>
  <c r="T217" i="11"/>
  <c r="U217" i="11"/>
  <c r="V217" i="11"/>
  <c r="W217" i="11"/>
  <c r="I217" i="11" s="1"/>
  <c r="BM217" i="11" s="1"/>
  <c r="X217" i="11"/>
  <c r="AZ217" i="11" s="1"/>
  <c r="Y217" i="11"/>
  <c r="K217" i="11" s="1"/>
  <c r="BO217" i="11" s="1"/>
  <c r="Z217" i="11"/>
  <c r="AA217" i="11"/>
  <c r="P218" i="11"/>
  <c r="Q218" i="11"/>
  <c r="R218" i="11"/>
  <c r="AT218" i="11" s="1"/>
  <c r="S218" i="11"/>
  <c r="AU218" i="11" s="1"/>
  <c r="T218" i="11"/>
  <c r="AV218" i="11" s="1"/>
  <c r="U218" i="11"/>
  <c r="AW218" i="11" s="1"/>
  <c r="V218" i="11"/>
  <c r="W218" i="11"/>
  <c r="X218" i="11"/>
  <c r="Y218" i="11"/>
  <c r="Z218" i="11"/>
  <c r="L218" i="11" s="1"/>
  <c r="BP218" i="11" s="1"/>
  <c r="AA218" i="11"/>
  <c r="M218" i="11" s="1"/>
  <c r="BQ218" i="11" s="1"/>
  <c r="P219" i="11"/>
  <c r="AR219" i="11" s="1"/>
  <c r="Q219" i="11"/>
  <c r="AS219" i="11" s="1"/>
  <c r="R219" i="11"/>
  <c r="AT219" i="11" s="1"/>
  <c r="S219" i="11"/>
  <c r="T219" i="11"/>
  <c r="U219" i="11"/>
  <c r="V219" i="11"/>
  <c r="W219" i="11"/>
  <c r="I219" i="11" s="1"/>
  <c r="BM219" i="11" s="1"/>
  <c r="X219" i="11"/>
  <c r="J219" i="11" s="1"/>
  <c r="BN219" i="11" s="1"/>
  <c r="Y219" i="11"/>
  <c r="Z219" i="11"/>
  <c r="AA219" i="11"/>
  <c r="P220" i="11"/>
  <c r="Q220" i="11"/>
  <c r="R220" i="11"/>
  <c r="AT220" i="11" s="1"/>
  <c r="S220" i="11"/>
  <c r="AU220" i="11" s="1"/>
  <c r="T220" i="11"/>
  <c r="AV220" i="11" s="1"/>
  <c r="U220" i="11"/>
  <c r="V220" i="11"/>
  <c r="W220" i="11"/>
  <c r="X220" i="11"/>
  <c r="Y220" i="11"/>
  <c r="Z220" i="11"/>
  <c r="BB220" i="11" s="1"/>
  <c r="AA220" i="11"/>
  <c r="BC220" i="11" s="1"/>
  <c r="P221" i="11"/>
  <c r="AR221" i="11" s="1"/>
  <c r="Q221" i="11"/>
  <c r="AS221" i="11" s="1"/>
  <c r="R221" i="11"/>
  <c r="S221" i="11"/>
  <c r="T221" i="11"/>
  <c r="U221" i="11"/>
  <c r="V221" i="11"/>
  <c r="W221" i="11"/>
  <c r="I221" i="11" s="1"/>
  <c r="BM221" i="11" s="1"/>
  <c r="X221" i="11"/>
  <c r="AZ221" i="11" s="1"/>
  <c r="Y221" i="11"/>
  <c r="BA221" i="11" s="1"/>
  <c r="Z221" i="11"/>
  <c r="AA221" i="11"/>
  <c r="BC221" i="11" s="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M222" i="11" s="1"/>
  <c r="BQ222" i="11" s="1"/>
  <c r="P223" i="11"/>
  <c r="B223" i="11" s="1"/>
  <c r="BF223" i="11" s="1"/>
  <c r="Q223" i="11"/>
  <c r="R223" i="11"/>
  <c r="S223" i="11"/>
  <c r="T223" i="11"/>
  <c r="U223" i="11"/>
  <c r="V223" i="11"/>
  <c r="AX223" i="11" s="1"/>
  <c r="W223" i="11"/>
  <c r="AY223" i="11" s="1"/>
  <c r="X223" i="11"/>
  <c r="AZ223" i="11" s="1"/>
  <c r="Y223" i="11"/>
  <c r="BA223" i="11" s="1"/>
  <c r="Z223" i="11"/>
  <c r="AA223" i="11"/>
  <c r="P224" i="11"/>
  <c r="Q224" i="11"/>
  <c r="R224" i="11"/>
  <c r="D224" i="11" s="1"/>
  <c r="BH224" i="11" s="1"/>
  <c r="S224" i="11"/>
  <c r="E224" i="11" s="1"/>
  <c r="BI224" i="11" s="1"/>
  <c r="T224" i="11"/>
  <c r="AV224" i="11" s="1"/>
  <c r="U224" i="11"/>
  <c r="AW224" i="11" s="1"/>
  <c r="V224" i="11"/>
  <c r="W224" i="11"/>
  <c r="X224" i="11"/>
  <c r="Y224" i="11"/>
  <c r="Z224" i="11"/>
  <c r="AA224" i="11"/>
  <c r="M224" i="11" s="1"/>
  <c r="BQ224" i="11" s="1"/>
  <c r="P225" i="11"/>
  <c r="Q225" i="11"/>
  <c r="R225" i="11"/>
  <c r="S225" i="11"/>
  <c r="T225" i="11"/>
  <c r="U225" i="11"/>
  <c r="V225" i="11"/>
  <c r="AX225" i="11" s="1"/>
  <c r="W225" i="11"/>
  <c r="AY225" i="11" s="1"/>
  <c r="X225" i="11"/>
  <c r="AZ225" i="11" s="1"/>
  <c r="Y225" i="11"/>
  <c r="K225" i="11" s="1"/>
  <c r="BO225" i="11" s="1"/>
  <c r="Z225" i="11"/>
  <c r="AA225" i="11"/>
  <c r="P226" i="11"/>
  <c r="Q226" i="11"/>
  <c r="R226" i="11"/>
  <c r="D226" i="11" s="1"/>
  <c r="BH226" i="11" s="1"/>
  <c r="S226" i="11"/>
  <c r="E226" i="11" s="1"/>
  <c r="BI226" i="11" s="1"/>
  <c r="T226" i="11"/>
  <c r="AV226" i="11" s="1"/>
  <c r="U226" i="11"/>
  <c r="AW226" i="11" s="1"/>
  <c r="V226" i="11"/>
  <c r="W226" i="11"/>
  <c r="X226" i="11"/>
  <c r="Y226" i="11"/>
  <c r="Z226" i="11"/>
  <c r="AA226" i="11"/>
  <c r="P227" i="11"/>
  <c r="AR227" i="11" s="1"/>
  <c r="Q227" i="11"/>
  <c r="AS227" i="11" s="1"/>
  <c r="R227" i="11"/>
  <c r="D227" i="11" s="1"/>
  <c r="BH227" i="11" s="1"/>
  <c r="S227" i="11"/>
  <c r="T227" i="11"/>
  <c r="U227" i="11"/>
  <c r="V227" i="11"/>
  <c r="W227" i="11"/>
  <c r="X227" i="11"/>
  <c r="Y227" i="11"/>
  <c r="Z227" i="11"/>
  <c r="AA227" i="11"/>
  <c r="P228" i="11"/>
  <c r="Q228" i="11"/>
  <c r="R228" i="11"/>
  <c r="S228" i="11"/>
  <c r="AU228" i="11" s="1"/>
  <c r="T228" i="11"/>
  <c r="AV228" i="11" s="1"/>
  <c r="U228" i="11"/>
  <c r="V228" i="11"/>
  <c r="W228" i="11"/>
  <c r="X228" i="11"/>
  <c r="Y228" i="11"/>
  <c r="Z228" i="11"/>
  <c r="BB228" i="11" s="1"/>
  <c r="AA228" i="11"/>
  <c r="BC228" i="11" s="1"/>
  <c r="P229" i="11"/>
  <c r="AR229" i="11" s="1"/>
  <c r="Q229" i="11"/>
  <c r="AS229" i="11" s="1"/>
  <c r="R229" i="11"/>
  <c r="S229" i="11"/>
  <c r="T229" i="11"/>
  <c r="U229" i="11"/>
  <c r="V229" i="11"/>
  <c r="W229" i="11"/>
  <c r="I229" i="11" s="1"/>
  <c r="BM229" i="11" s="1"/>
  <c r="X229" i="11"/>
  <c r="AZ229" i="11" s="1"/>
  <c r="Y229" i="11"/>
  <c r="BA229" i="11" s="1"/>
  <c r="Z229" i="11"/>
  <c r="AA229" i="11"/>
  <c r="P230" i="11"/>
  <c r="Q230" i="11"/>
  <c r="R230" i="11"/>
  <c r="D230" i="11" s="1"/>
  <c r="BH230" i="11" s="1"/>
  <c r="S230" i="11"/>
  <c r="T230" i="11"/>
  <c r="U230" i="11"/>
  <c r="V230" i="11"/>
  <c r="W230" i="11"/>
  <c r="AY230" i="11" s="1"/>
  <c r="X230" i="11"/>
  <c r="Y230" i="11"/>
  <c r="Z230" i="11"/>
  <c r="BB230" i="11" s="1"/>
  <c r="AA230" i="11"/>
  <c r="BC230" i="11" s="1"/>
  <c r="P231" i="11"/>
  <c r="AR231" i="11" s="1"/>
  <c r="Q231" i="11"/>
  <c r="C231" i="11" s="1"/>
  <c r="BG231" i="11" s="1"/>
  <c r="R231" i="11"/>
  <c r="S231" i="11"/>
  <c r="T231" i="11"/>
  <c r="U231" i="11"/>
  <c r="V231" i="11"/>
  <c r="AX231" i="11" s="1"/>
  <c r="W231" i="11"/>
  <c r="AY231" i="11" s="1"/>
  <c r="X231" i="11"/>
  <c r="AZ231" i="11" s="1"/>
  <c r="Y231" i="11"/>
  <c r="BA231" i="11" s="1"/>
  <c r="Z231" i="11"/>
  <c r="AA231" i="11"/>
  <c r="P232" i="11"/>
  <c r="Q232" i="11"/>
  <c r="R232" i="11"/>
  <c r="S232" i="11"/>
  <c r="T232" i="11"/>
  <c r="AV232" i="11" s="1"/>
  <c r="U232" i="11"/>
  <c r="AW232" i="11" s="1"/>
  <c r="V232" i="11"/>
  <c r="W232" i="11"/>
  <c r="X232" i="11"/>
  <c r="Y232" i="11"/>
  <c r="Z232" i="11"/>
  <c r="L232" i="11" s="1"/>
  <c r="BP232" i="11" s="1"/>
  <c r="AA232" i="11"/>
  <c r="P233" i="11"/>
  <c r="Q233" i="11"/>
  <c r="R233" i="11"/>
  <c r="S233" i="11"/>
  <c r="T233" i="11"/>
  <c r="U233" i="11"/>
  <c r="V233" i="11"/>
  <c r="W233" i="11"/>
  <c r="AY233" i="11" s="1"/>
  <c r="X233" i="11"/>
  <c r="AZ233" i="11" s="1"/>
  <c r="Y233" i="11"/>
  <c r="Z233" i="11"/>
  <c r="AA233" i="11"/>
  <c r="P234" i="11"/>
  <c r="Q234" i="11"/>
  <c r="R234" i="11"/>
  <c r="AT234" i="11" s="1"/>
  <c r="S234" i="11"/>
  <c r="AU234" i="11" s="1"/>
  <c r="T234" i="11"/>
  <c r="F234" i="11" s="1"/>
  <c r="BJ234" i="11" s="1"/>
  <c r="U234" i="11"/>
  <c r="G234" i="11" s="1"/>
  <c r="BK234" i="11" s="1"/>
  <c r="V234" i="11"/>
  <c r="W234" i="11"/>
  <c r="X234" i="11"/>
  <c r="Y234" i="11"/>
  <c r="Z234" i="11"/>
  <c r="L234" i="11" s="1"/>
  <c r="BP234" i="11" s="1"/>
  <c r="AA234" i="11"/>
  <c r="M234" i="11" s="1"/>
  <c r="BQ234" i="11" s="1"/>
  <c r="P235" i="11"/>
  <c r="AR235" i="11" s="1"/>
  <c r="Q235" i="11"/>
  <c r="AS235" i="11" s="1"/>
  <c r="R235" i="11"/>
  <c r="S235" i="11"/>
  <c r="T235" i="11"/>
  <c r="U235" i="11"/>
  <c r="V235" i="11"/>
  <c r="AX235" i="11" s="1"/>
  <c r="W235" i="11"/>
  <c r="X235" i="11"/>
  <c r="Y235" i="11"/>
  <c r="K235" i="11" s="1"/>
  <c r="BO235" i="11" s="1"/>
  <c r="Z235" i="11"/>
  <c r="AA235" i="11"/>
  <c r="P236" i="11"/>
  <c r="Q236" i="11"/>
  <c r="R236" i="11"/>
  <c r="AT236" i="11" s="1"/>
  <c r="S236" i="11"/>
  <c r="AU236" i="11" s="1"/>
  <c r="T236" i="11"/>
  <c r="AV236" i="11" s="1"/>
  <c r="U236" i="11"/>
  <c r="G236" i="11" s="1"/>
  <c r="BK236" i="11" s="1"/>
  <c r="V236" i="11"/>
  <c r="W236" i="11"/>
  <c r="X236" i="11"/>
  <c r="Y236" i="11"/>
  <c r="Z236" i="11"/>
  <c r="BB236" i="11" s="1"/>
  <c r="AA236" i="11"/>
  <c r="BC236" i="11" s="1"/>
  <c r="P237" i="11"/>
  <c r="AR237" i="11" s="1"/>
  <c r="Q237" i="11"/>
  <c r="AS237" i="11" s="1"/>
  <c r="R237" i="11"/>
  <c r="S237" i="11"/>
  <c r="T237" i="11"/>
  <c r="U237" i="11"/>
  <c r="V237" i="11"/>
  <c r="W237" i="11"/>
  <c r="X237" i="11"/>
  <c r="J237" i="11" s="1"/>
  <c r="BN237" i="11" s="1"/>
  <c r="Y237" i="11"/>
  <c r="BA237" i="11" s="1"/>
  <c r="Z237" i="11"/>
  <c r="L237" i="11" s="1"/>
  <c r="BP237" i="11" s="1"/>
  <c r="AA237" i="11"/>
  <c r="P238" i="11"/>
  <c r="Q238" i="11"/>
  <c r="R238" i="11"/>
  <c r="S238" i="11"/>
  <c r="T238" i="11"/>
  <c r="U238" i="11"/>
  <c r="V238" i="11"/>
  <c r="W238" i="11"/>
  <c r="X238" i="11"/>
  <c r="Y238" i="11"/>
  <c r="Z238" i="11"/>
  <c r="BB238" i="11" s="1"/>
  <c r="AA238" i="11"/>
  <c r="BC238" i="11" s="1"/>
  <c r="P239" i="11"/>
  <c r="AR239" i="11" s="1"/>
  <c r="Q239" i="11"/>
  <c r="C239" i="11" s="1"/>
  <c r="BG239" i="11" s="1"/>
  <c r="R239" i="11"/>
  <c r="S239" i="11"/>
  <c r="T239" i="11"/>
  <c r="U239" i="11"/>
  <c r="V239" i="11"/>
  <c r="AX239" i="11" s="1"/>
  <c r="W239" i="11"/>
  <c r="AY239" i="11" s="1"/>
  <c r="X239" i="11"/>
  <c r="AZ239" i="11" s="1"/>
  <c r="Y239" i="11"/>
  <c r="K239" i="11" s="1"/>
  <c r="BO239" i="11" s="1"/>
  <c r="Z239" i="11"/>
  <c r="AA239" i="11"/>
  <c r="P240" i="11"/>
  <c r="Q240" i="11"/>
  <c r="R240" i="11"/>
  <c r="D240" i="11" s="1"/>
  <c r="BH240" i="11" s="1"/>
  <c r="S240" i="11"/>
  <c r="T240" i="11"/>
  <c r="AV240" i="11" s="1"/>
  <c r="U240" i="11"/>
  <c r="AW240" i="11" s="1"/>
  <c r="V240" i="11"/>
  <c r="AX240" i="11" s="1"/>
  <c r="W240" i="11"/>
  <c r="X240" i="11"/>
  <c r="Y240" i="11"/>
  <c r="Z240" i="11"/>
  <c r="BB240" i="11" s="1"/>
  <c r="AA240" i="11"/>
  <c r="Q210" i="11"/>
  <c r="R210" i="11"/>
  <c r="AT210" i="11" s="1"/>
  <c r="S210" i="11"/>
  <c r="T210" i="11"/>
  <c r="U210" i="11"/>
  <c r="AW210" i="11" s="1"/>
  <c r="V210" i="11"/>
  <c r="W210" i="11"/>
  <c r="AY210" i="11" s="1"/>
  <c r="X210" i="11"/>
  <c r="Y210" i="11"/>
  <c r="Z210" i="11"/>
  <c r="AA210" i="11"/>
  <c r="M210" i="11" s="1"/>
  <c r="BQ210" i="11" s="1"/>
  <c r="P210" i="11"/>
  <c r="P171" i="11"/>
  <c r="Q171" i="11"/>
  <c r="R171" i="11"/>
  <c r="AT171" i="11" s="1"/>
  <c r="S171" i="11"/>
  <c r="AU171" i="11" s="1"/>
  <c r="T171" i="11"/>
  <c r="F171" i="11" s="1"/>
  <c r="BJ171" i="11" s="1"/>
  <c r="U171" i="11"/>
  <c r="AW171" i="11" s="1"/>
  <c r="V171" i="11"/>
  <c r="W171" i="11"/>
  <c r="X171" i="11"/>
  <c r="Y171" i="11"/>
  <c r="Z171" i="11"/>
  <c r="BB171" i="11" s="1"/>
  <c r="AA171" i="11"/>
  <c r="BC171" i="11" s="1"/>
  <c r="P172" i="11"/>
  <c r="AR172" i="11" s="1"/>
  <c r="Q172" i="11"/>
  <c r="AS172" i="11" s="1"/>
  <c r="R172" i="11"/>
  <c r="S172" i="11"/>
  <c r="T172" i="11"/>
  <c r="U172" i="11"/>
  <c r="V172" i="11"/>
  <c r="H172" i="11" s="1"/>
  <c r="BL172" i="11" s="1"/>
  <c r="W172" i="11"/>
  <c r="I172" i="11" s="1"/>
  <c r="BM172" i="11" s="1"/>
  <c r="X172" i="11"/>
  <c r="AZ172" i="11" s="1"/>
  <c r="Y172" i="11"/>
  <c r="BA172" i="11" s="1"/>
  <c r="Z172" i="11"/>
  <c r="AA172" i="11"/>
  <c r="P173" i="11"/>
  <c r="Q173" i="11"/>
  <c r="R173" i="11"/>
  <c r="S173" i="11"/>
  <c r="AU173" i="11" s="1"/>
  <c r="T173" i="11"/>
  <c r="AV173" i="11" s="1"/>
  <c r="U173" i="11"/>
  <c r="AW173" i="11" s="1"/>
  <c r="V173" i="11"/>
  <c r="W173" i="11"/>
  <c r="X173" i="11"/>
  <c r="Y173" i="11"/>
  <c r="Z173" i="11"/>
  <c r="BB173" i="11" s="1"/>
  <c r="AA173" i="11"/>
  <c r="BC173" i="11" s="1"/>
  <c r="P174" i="11"/>
  <c r="AR174" i="11" s="1"/>
  <c r="Q174" i="11"/>
  <c r="AS174" i="11" s="1"/>
  <c r="R174" i="11"/>
  <c r="S174" i="11"/>
  <c r="T174" i="11"/>
  <c r="U174" i="11"/>
  <c r="V174" i="11"/>
  <c r="W174" i="11"/>
  <c r="I174" i="11" s="1"/>
  <c r="BM174" i="11" s="1"/>
  <c r="X174" i="11"/>
  <c r="J174" i="11" s="1"/>
  <c r="BN174" i="11" s="1"/>
  <c r="Y174" i="11"/>
  <c r="BA174" i="11" s="1"/>
  <c r="Z174" i="11"/>
  <c r="AA174" i="11"/>
  <c r="P175" i="11"/>
  <c r="Q175" i="11"/>
  <c r="R175" i="11"/>
  <c r="AT175" i="11" s="1"/>
  <c r="S175" i="11"/>
  <c r="AU175" i="11" s="1"/>
  <c r="T175" i="11"/>
  <c r="AV175" i="11" s="1"/>
  <c r="U175" i="11"/>
  <c r="AW175" i="11" s="1"/>
  <c r="V175" i="11"/>
  <c r="W175" i="11"/>
  <c r="X175" i="11"/>
  <c r="Y175" i="11"/>
  <c r="Z175" i="11"/>
  <c r="L175" i="11" s="1"/>
  <c r="BP175" i="11" s="1"/>
  <c r="AA175" i="11"/>
  <c r="BC175" i="11" s="1"/>
  <c r="P176" i="11"/>
  <c r="AR176" i="11" s="1"/>
  <c r="Q176" i="11"/>
  <c r="AS176" i="11" s="1"/>
  <c r="R176" i="11"/>
  <c r="S176" i="11"/>
  <c r="T176" i="11"/>
  <c r="U176" i="11"/>
  <c r="V176" i="11"/>
  <c r="AX176" i="11" s="1"/>
  <c r="W176" i="11"/>
  <c r="AY176" i="11" s="1"/>
  <c r="X176" i="11"/>
  <c r="AZ176" i="11" s="1"/>
  <c r="Y176" i="11"/>
  <c r="BA176" i="11" s="1"/>
  <c r="Z176" i="11"/>
  <c r="AA176" i="11"/>
  <c r="P177" i="11"/>
  <c r="Q177" i="11"/>
  <c r="R177" i="11"/>
  <c r="AT177" i="11" s="1"/>
  <c r="S177" i="11"/>
  <c r="AU177" i="11" s="1"/>
  <c r="T177" i="11"/>
  <c r="AV177" i="11" s="1"/>
  <c r="U177" i="11"/>
  <c r="G177" i="11" s="1"/>
  <c r="BK177" i="11" s="1"/>
  <c r="V177" i="11"/>
  <c r="W177" i="11"/>
  <c r="X177" i="11"/>
  <c r="Y177" i="11"/>
  <c r="Z177" i="11"/>
  <c r="L177" i="11" s="1"/>
  <c r="BP177" i="11" s="1"/>
  <c r="AA177" i="11"/>
  <c r="M177" i="11" s="1"/>
  <c r="BQ177" i="11" s="1"/>
  <c r="P178" i="11"/>
  <c r="AR178" i="11" s="1"/>
  <c r="Q178" i="11"/>
  <c r="AS178" i="11" s="1"/>
  <c r="R178" i="11"/>
  <c r="S178" i="11"/>
  <c r="T178" i="11"/>
  <c r="U178" i="11"/>
  <c r="V178" i="11"/>
  <c r="W178" i="11"/>
  <c r="AY178" i="11" s="1"/>
  <c r="X178" i="11"/>
  <c r="AZ178" i="11" s="1"/>
  <c r="Y178" i="11"/>
  <c r="BA178" i="11" s="1"/>
  <c r="Z178" i="11"/>
  <c r="AA178" i="11"/>
  <c r="P179" i="11"/>
  <c r="Q179" i="11"/>
  <c r="R179" i="11"/>
  <c r="AT179" i="11" s="1"/>
  <c r="S179" i="11"/>
  <c r="AU179" i="11" s="1"/>
  <c r="T179" i="11"/>
  <c r="AV179" i="11" s="1"/>
  <c r="U179" i="11"/>
  <c r="AW179" i="11" s="1"/>
  <c r="V179" i="11"/>
  <c r="W179" i="11"/>
  <c r="X179" i="11"/>
  <c r="Y179" i="11"/>
  <c r="Z179" i="11"/>
  <c r="AA179" i="11"/>
  <c r="M179" i="11" s="1"/>
  <c r="BQ179" i="11" s="1"/>
  <c r="P180" i="11"/>
  <c r="AR180" i="11" s="1"/>
  <c r="Q180" i="11"/>
  <c r="AS180" i="11" s="1"/>
  <c r="R180" i="11"/>
  <c r="AT180" i="11" s="1"/>
  <c r="S180" i="11"/>
  <c r="T180" i="11"/>
  <c r="U180" i="11"/>
  <c r="V180" i="11"/>
  <c r="AX180" i="11" s="1"/>
  <c r="W180" i="11"/>
  <c r="AY180" i="11" s="1"/>
  <c r="X180" i="11"/>
  <c r="AZ180" i="11" s="1"/>
  <c r="Y180" i="11"/>
  <c r="K180" i="11" s="1"/>
  <c r="BO180" i="11" s="1"/>
  <c r="Z180" i="11"/>
  <c r="AA180" i="11"/>
  <c r="P181" i="11"/>
  <c r="Q181" i="11"/>
  <c r="R181" i="11"/>
  <c r="D181" i="11" s="1"/>
  <c r="BH181" i="11" s="1"/>
  <c r="S181" i="11"/>
  <c r="AU181" i="11" s="1"/>
  <c r="T181" i="11"/>
  <c r="AV181" i="11" s="1"/>
  <c r="U181" i="11"/>
  <c r="AW181" i="11" s="1"/>
  <c r="V181" i="11"/>
  <c r="W181" i="11"/>
  <c r="X181" i="11"/>
  <c r="Y181" i="11"/>
  <c r="Z181" i="11"/>
  <c r="BB181" i="11" s="1"/>
  <c r="AA181" i="11"/>
  <c r="BC181" i="11" s="1"/>
  <c r="P182" i="11"/>
  <c r="AR182" i="11" s="1"/>
  <c r="Q182" i="11"/>
  <c r="AS182" i="11" s="1"/>
  <c r="R182" i="11"/>
  <c r="S182" i="11"/>
  <c r="T182" i="11"/>
  <c r="U182" i="11"/>
  <c r="V182" i="11"/>
  <c r="AX182" i="11" s="1"/>
  <c r="W182" i="11"/>
  <c r="AY182" i="11" s="1"/>
  <c r="X182" i="11"/>
  <c r="AZ182" i="11" s="1"/>
  <c r="Y182" i="11"/>
  <c r="K182" i="11" s="1"/>
  <c r="BO182" i="11" s="1"/>
  <c r="Z182" i="11"/>
  <c r="AA182" i="11"/>
  <c r="P183" i="11"/>
  <c r="Q183" i="11"/>
  <c r="R183" i="11"/>
  <c r="D183" i="11" s="1"/>
  <c r="BH183" i="11" s="1"/>
  <c r="S183" i="11"/>
  <c r="E183" i="11" s="1"/>
  <c r="BI183" i="11" s="1"/>
  <c r="T183" i="11"/>
  <c r="AV183" i="11" s="1"/>
  <c r="U183" i="11"/>
  <c r="AW183" i="11" s="1"/>
  <c r="V183" i="11"/>
  <c r="W183" i="11"/>
  <c r="X183" i="11"/>
  <c r="Y183" i="11"/>
  <c r="Z183" i="11"/>
  <c r="BB183" i="11" s="1"/>
  <c r="AA183" i="11"/>
  <c r="BC183" i="11" s="1"/>
  <c r="P184" i="11"/>
  <c r="AR184" i="11" s="1"/>
  <c r="Q184" i="11"/>
  <c r="C184" i="11" s="1"/>
  <c r="BG184" i="11" s="1"/>
  <c r="R184" i="11"/>
  <c r="S184" i="11"/>
  <c r="T184" i="11"/>
  <c r="U184" i="11"/>
  <c r="V184" i="11"/>
  <c r="AX184" i="11" s="1"/>
  <c r="W184" i="11"/>
  <c r="AY184" i="11" s="1"/>
  <c r="X184" i="11"/>
  <c r="AZ184" i="11" s="1"/>
  <c r="Y184" i="11"/>
  <c r="K184" i="11" s="1"/>
  <c r="BO184" i="11" s="1"/>
  <c r="Z184" i="11"/>
  <c r="AA184" i="11"/>
  <c r="P185" i="11"/>
  <c r="Q185" i="11"/>
  <c r="R185" i="11"/>
  <c r="S185" i="11"/>
  <c r="AU185" i="11" s="1"/>
  <c r="T185" i="11"/>
  <c r="AV185" i="11" s="1"/>
  <c r="U185" i="11"/>
  <c r="AW185" i="11" s="1"/>
  <c r="V185" i="11"/>
  <c r="W185" i="11"/>
  <c r="X185" i="11"/>
  <c r="Y185" i="11"/>
  <c r="Z185" i="11"/>
  <c r="BB185" i="11" s="1"/>
  <c r="AA185" i="11"/>
  <c r="BC185" i="11" s="1"/>
  <c r="P186" i="11"/>
  <c r="B186" i="11" s="1"/>
  <c r="BF186" i="11" s="1"/>
  <c r="Q186" i="11"/>
  <c r="AS186" i="11" s="1"/>
  <c r="R186" i="11"/>
  <c r="S186" i="11"/>
  <c r="T186" i="11"/>
  <c r="U186" i="11"/>
  <c r="V186" i="11"/>
  <c r="H186" i="11" s="1"/>
  <c r="BL186" i="11" s="1"/>
  <c r="W186" i="11"/>
  <c r="AY186" i="11" s="1"/>
  <c r="X186" i="11"/>
  <c r="AZ186" i="11" s="1"/>
  <c r="Y186" i="11"/>
  <c r="BA186" i="11" s="1"/>
  <c r="Z186" i="11"/>
  <c r="AA186" i="11"/>
  <c r="P187" i="11"/>
  <c r="Q187" i="11"/>
  <c r="R187" i="11"/>
  <c r="AT187" i="11" s="1"/>
  <c r="S187" i="11"/>
  <c r="AU187" i="11" s="1"/>
  <c r="T187" i="11"/>
  <c r="AV187" i="11" s="1"/>
  <c r="U187" i="11"/>
  <c r="AW187" i="11" s="1"/>
  <c r="V187" i="11"/>
  <c r="W187" i="11"/>
  <c r="X187" i="11"/>
  <c r="Y187" i="11"/>
  <c r="Z187" i="11"/>
  <c r="BB187" i="11" s="1"/>
  <c r="AA187" i="11"/>
  <c r="BC187" i="11" s="1"/>
  <c r="P188" i="11"/>
  <c r="AR188" i="11" s="1"/>
  <c r="Q188" i="11"/>
  <c r="C188" i="11" s="1"/>
  <c r="BG188" i="11" s="1"/>
  <c r="R188" i="11"/>
  <c r="S188" i="11"/>
  <c r="T188" i="11"/>
  <c r="U188" i="11"/>
  <c r="V188" i="11"/>
  <c r="H188" i="11" s="1"/>
  <c r="BL188" i="11" s="1"/>
  <c r="W188" i="11"/>
  <c r="AY188" i="11" s="1"/>
  <c r="X188" i="11"/>
  <c r="AZ188" i="11" s="1"/>
  <c r="Y188" i="11"/>
  <c r="BA188" i="11" s="1"/>
  <c r="Z188" i="11"/>
  <c r="AA188" i="11"/>
  <c r="P189" i="11"/>
  <c r="Q189" i="11"/>
  <c r="R189" i="11"/>
  <c r="AT189" i="11" s="1"/>
  <c r="S189" i="11"/>
  <c r="AU189" i="11" s="1"/>
  <c r="T189" i="11"/>
  <c r="F189" i="11" s="1"/>
  <c r="BJ189" i="11" s="1"/>
  <c r="U189" i="11"/>
  <c r="AW189" i="11" s="1"/>
  <c r="V189" i="11"/>
  <c r="W189" i="11"/>
  <c r="X189" i="11"/>
  <c r="Y189" i="11"/>
  <c r="Z189" i="11"/>
  <c r="BB189" i="11" s="1"/>
  <c r="AA189" i="11"/>
  <c r="BC189" i="11" s="1"/>
  <c r="P190" i="11"/>
  <c r="AR190" i="11" s="1"/>
  <c r="Q190" i="11"/>
  <c r="C190" i="11" s="1"/>
  <c r="BG190" i="11" s="1"/>
  <c r="R190" i="11"/>
  <c r="S190" i="11"/>
  <c r="T190" i="11"/>
  <c r="U190" i="11"/>
  <c r="V190" i="11"/>
  <c r="AX190" i="11" s="1"/>
  <c r="W190" i="11"/>
  <c r="AY190" i="11" s="1"/>
  <c r="X190" i="11"/>
  <c r="AZ190" i="11" s="1"/>
  <c r="Y190" i="11"/>
  <c r="BA190" i="11" s="1"/>
  <c r="Z190" i="11"/>
  <c r="BB190" i="11" s="1"/>
  <c r="AA190" i="11"/>
  <c r="P191" i="11"/>
  <c r="Q191" i="11"/>
  <c r="R191" i="11"/>
  <c r="AT191" i="11" s="1"/>
  <c r="S191" i="11"/>
  <c r="T191" i="11"/>
  <c r="F191" i="11" s="1"/>
  <c r="BJ191" i="11" s="1"/>
  <c r="U191" i="11"/>
  <c r="G191" i="11" s="1"/>
  <c r="BK191" i="11" s="1"/>
  <c r="V191" i="11"/>
  <c r="W191" i="11"/>
  <c r="X191" i="11"/>
  <c r="Y191" i="11"/>
  <c r="Z191" i="11"/>
  <c r="L191" i="11" s="1"/>
  <c r="BP191" i="11" s="1"/>
  <c r="AA191" i="11"/>
  <c r="BC191" i="11" s="1"/>
  <c r="P192" i="11"/>
  <c r="AR192" i="11" s="1"/>
  <c r="Q192" i="11"/>
  <c r="AS192" i="11" s="1"/>
  <c r="R192" i="11"/>
  <c r="S192" i="11"/>
  <c r="T192" i="11"/>
  <c r="U192" i="11"/>
  <c r="V192" i="11"/>
  <c r="AX192" i="11" s="1"/>
  <c r="W192" i="11"/>
  <c r="AY192" i="11" s="1"/>
  <c r="X192" i="11"/>
  <c r="AZ192" i="11" s="1"/>
  <c r="Y192" i="11"/>
  <c r="BA192" i="11" s="1"/>
  <c r="Z192" i="11"/>
  <c r="AA192" i="11"/>
  <c r="P193" i="11"/>
  <c r="Q193" i="11"/>
  <c r="R193" i="11"/>
  <c r="AT193" i="11" s="1"/>
  <c r="S193" i="11"/>
  <c r="AU193" i="11" s="1"/>
  <c r="T193" i="11"/>
  <c r="AV193" i="11" s="1"/>
  <c r="U193" i="11"/>
  <c r="G193" i="11" s="1"/>
  <c r="BK193" i="11" s="1"/>
  <c r="V193" i="11"/>
  <c r="W193" i="11"/>
  <c r="X193" i="11"/>
  <c r="Y193" i="11"/>
  <c r="Z193" i="11"/>
  <c r="BB193" i="11" s="1"/>
  <c r="AA193" i="11"/>
  <c r="BC193" i="11" s="1"/>
  <c r="P194" i="11"/>
  <c r="AR194" i="11" s="1"/>
  <c r="Q194" i="11"/>
  <c r="AS194" i="11" s="1"/>
  <c r="R194" i="11"/>
  <c r="S194" i="11"/>
  <c r="T194" i="11"/>
  <c r="U194" i="11"/>
  <c r="V194" i="11"/>
  <c r="AX194" i="11" s="1"/>
  <c r="W194" i="11"/>
  <c r="X194" i="11"/>
  <c r="J194" i="11" s="1"/>
  <c r="BN194" i="11" s="1"/>
  <c r="Y194" i="11"/>
  <c r="BA194" i="11" s="1"/>
  <c r="Z194" i="11"/>
  <c r="AA194" i="11"/>
  <c r="P195" i="11"/>
  <c r="Q195" i="11"/>
  <c r="R195" i="11"/>
  <c r="AT195" i="11" s="1"/>
  <c r="S195" i="11"/>
  <c r="AU195" i="11" s="1"/>
  <c r="T195" i="11"/>
  <c r="AV195" i="11" s="1"/>
  <c r="U195" i="11"/>
  <c r="G195" i="11" s="1"/>
  <c r="BK195" i="11" s="1"/>
  <c r="V195" i="11"/>
  <c r="W195" i="11"/>
  <c r="X195" i="11"/>
  <c r="Y195" i="11"/>
  <c r="Z195" i="11"/>
  <c r="BB195" i="11" s="1"/>
  <c r="AA195" i="11"/>
  <c r="BC195" i="11" s="1"/>
  <c r="P196" i="11"/>
  <c r="AR196" i="11" s="1"/>
  <c r="Q196" i="11"/>
  <c r="AS196" i="11" s="1"/>
  <c r="R196" i="11"/>
  <c r="AT196" i="11" s="1"/>
  <c r="S196" i="11"/>
  <c r="T196" i="11"/>
  <c r="U196" i="11"/>
  <c r="V196" i="11"/>
  <c r="AX196" i="11" s="1"/>
  <c r="W196" i="11"/>
  <c r="X196" i="11"/>
  <c r="J196" i="11" s="1"/>
  <c r="BN196" i="11" s="1"/>
  <c r="Y196" i="11"/>
  <c r="K196" i="11" s="1"/>
  <c r="BO196" i="11" s="1"/>
  <c r="Z196" i="11"/>
  <c r="AA196" i="11"/>
  <c r="P197" i="11"/>
  <c r="Q197" i="11"/>
  <c r="R197" i="11"/>
  <c r="AT197" i="11" s="1"/>
  <c r="S197" i="11"/>
  <c r="AU197" i="11" s="1"/>
  <c r="T197" i="11"/>
  <c r="AV197" i="11" s="1"/>
  <c r="U197" i="11"/>
  <c r="AW197" i="11" s="1"/>
  <c r="V197" i="11"/>
  <c r="W197" i="11"/>
  <c r="X197" i="11"/>
  <c r="Y197" i="11"/>
  <c r="Z197" i="11"/>
  <c r="BB197" i="11" s="1"/>
  <c r="AA197" i="11"/>
  <c r="M197" i="11" s="1"/>
  <c r="BQ197" i="11" s="1"/>
  <c r="P198" i="11"/>
  <c r="AR198" i="11" s="1"/>
  <c r="Q198" i="11"/>
  <c r="AS198" i="11" s="1"/>
  <c r="R198" i="11"/>
  <c r="S198" i="11"/>
  <c r="T198" i="11"/>
  <c r="U198" i="11"/>
  <c r="V198" i="11"/>
  <c r="AX198" i="11" s="1"/>
  <c r="W198" i="11"/>
  <c r="AY198" i="11" s="1"/>
  <c r="X198" i="11"/>
  <c r="AZ198" i="11" s="1"/>
  <c r="Y198" i="11"/>
  <c r="K198" i="11" s="1"/>
  <c r="BO198" i="11" s="1"/>
  <c r="Z198" i="11"/>
  <c r="AA198" i="11"/>
  <c r="P199" i="11"/>
  <c r="Q199" i="11"/>
  <c r="R199" i="11"/>
  <c r="AT199" i="11" s="1"/>
  <c r="S199" i="11"/>
  <c r="AU199" i="11" s="1"/>
  <c r="T199" i="11"/>
  <c r="AV199" i="11" s="1"/>
  <c r="U199" i="11"/>
  <c r="AW199" i="11" s="1"/>
  <c r="V199" i="11"/>
  <c r="W199" i="11"/>
  <c r="X199" i="11"/>
  <c r="Y199" i="11"/>
  <c r="Z199" i="11"/>
  <c r="AA199" i="11"/>
  <c r="P200" i="11"/>
  <c r="B200" i="11" s="1"/>
  <c r="BF200" i="11" s="1"/>
  <c r="Q200" i="11"/>
  <c r="AS200" i="11" s="1"/>
  <c r="R200" i="11"/>
  <c r="S200" i="11"/>
  <c r="T200" i="11"/>
  <c r="U200" i="11"/>
  <c r="V200" i="11"/>
  <c r="AX200" i="11" s="1"/>
  <c r="W200" i="11"/>
  <c r="AY200" i="11" s="1"/>
  <c r="X200" i="11"/>
  <c r="AZ200" i="11" s="1"/>
  <c r="Y200" i="11"/>
  <c r="BA200" i="11" s="1"/>
  <c r="Z200" i="11"/>
  <c r="AA200" i="11"/>
  <c r="Q170" i="11"/>
  <c r="AS170" i="11" s="1"/>
  <c r="R170" i="11"/>
  <c r="AT170" i="11" s="1"/>
  <c r="S170" i="11"/>
  <c r="T170" i="11"/>
  <c r="U170" i="11"/>
  <c r="V170" i="11"/>
  <c r="H170" i="11" s="1"/>
  <c r="BL170" i="11" s="1"/>
  <c r="W170" i="11"/>
  <c r="X170" i="11"/>
  <c r="AZ170" i="11" s="1"/>
  <c r="Y170" i="11"/>
  <c r="BA170" i="11" s="1"/>
  <c r="Z170" i="11"/>
  <c r="BB170" i="11" s="1"/>
  <c r="AA170" i="11"/>
  <c r="P170" i="11"/>
  <c r="AR170" i="11" s="1"/>
  <c r="P131" i="11"/>
  <c r="Q131" i="11"/>
  <c r="AS131" i="11" s="1"/>
  <c r="R131" i="11"/>
  <c r="S131" i="11"/>
  <c r="T131" i="11"/>
  <c r="U131" i="11"/>
  <c r="V131" i="11"/>
  <c r="AX131" i="11" s="1"/>
  <c r="W131" i="11"/>
  <c r="AY131" i="11" s="1"/>
  <c r="X131" i="11"/>
  <c r="AZ131" i="11" s="1"/>
  <c r="Y131" i="11"/>
  <c r="BA131" i="11" s="1"/>
  <c r="Z131" i="11"/>
  <c r="AA131" i="11"/>
  <c r="P132" i="11"/>
  <c r="Q132" i="11"/>
  <c r="R132" i="11"/>
  <c r="AT132" i="11" s="1"/>
  <c r="S132" i="11"/>
  <c r="AU132" i="11" s="1"/>
  <c r="T132" i="11"/>
  <c r="AV132" i="11" s="1"/>
  <c r="U132" i="11"/>
  <c r="AW132" i="11" s="1"/>
  <c r="V132" i="11"/>
  <c r="W132" i="11"/>
  <c r="X132" i="11"/>
  <c r="Y132" i="11"/>
  <c r="Z132" i="11"/>
  <c r="BB132" i="11" s="1"/>
  <c r="AA132" i="11"/>
  <c r="BC132" i="11" s="1"/>
  <c r="P133" i="11"/>
  <c r="AR133" i="11" s="1"/>
  <c r="Q133" i="11"/>
  <c r="C133" i="11" s="1"/>
  <c r="BG133" i="11" s="1"/>
  <c r="R133" i="11"/>
  <c r="S133" i="11"/>
  <c r="T133" i="11"/>
  <c r="U133" i="11"/>
  <c r="V133" i="11"/>
  <c r="W133" i="11"/>
  <c r="AY133" i="11" s="1"/>
  <c r="X133" i="11"/>
  <c r="AZ133" i="11" s="1"/>
  <c r="Y133" i="11"/>
  <c r="BA133" i="11" s="1"/>
  <c r="Z133" i="11"/>
  <c r="AA133" i="11"/>
  <c r="P134" i="11"/>
  <c r="Q134" i="11"/>
  <c r="R134" i="11"/>
  <c r="AT134" i="11" s="1"/>
  <c r="S134" i="11"/>
  <c r="AU134" i="11" s="1"/>
  <c r="T134" i="11"/>
  <c r="F134" i="11" s="1"/>
  <c r="BJ134" i="11" s="1"/>
  <c r="U134" i="11"/>
  <c r="G134" i="11" s="1"/>
  <c r="BK134" i="11" s="1"/>
  <c r="V134" i="11"/>
  <c r="W134" i="11"/>
  <c r="X134" i="11"/>
  <c r="Y134" i="11"/>
  <c r="Z134" i="11"/>
  <c r="BB134" i="11" s="1"/>
  <c r="AA134" i="11"/>
  <c r="BC134" i="11" s="1"/>
  <c r="P135" i="11"/>
  <c r="AR135" i="11" s="1"/>
  <c r="Q135" i="11"/>
  <c r="AS135" i="11" s="1"/>
  <c r="R135" i="11"/>
  <c r="D135" i="11" s="1"/>
  <c r="BH135" i="11" s="1"/>
  <c r="S135" i="11"/>
  <c r="T135" i="11"/>
  <c r="U135" i="11"/>
  <c r="V135" i="11"/>
  <c r="AX135" i="11" s="1"/>
  <c r="W135" i="11"/>
  <c r="AY135" i="11" s="1"/>
  <c r="X135" i="11"/>
  <c r="AZ135" i="11" s="1"/>
  <c r="Y135" i="11"/>
  <c r="K135" i="11" s="1"/>
  <c r="BO135" i="11" s="1"/>
  <c r="Z135" i="11"/>
  <c r="AA135" i="11"/>
  <c r="P136" i="11"/>
  <c r="Q136" i="11"/>
  <c r="R136" i="11"/>
  <c r="AT136" i="11" s="1"/>
  <c r="S136" i="11"/>
  <c r="AU136" i="11" s="1"/>
  <c r="T136" i="11"/>
  <c r="U136" i="11"/>
  <c r="AW136" i="11" s="1"/>
  <c r="V136" i="11"/>
  <c r="W136" i="11"/>
  <c r="X136" i="11"/>
  <c r="Y136" i="11"/>
  <c r="Z136" i="11"/>
  <c r="BB136" i="11" s="1"/>
  <c r="AA136" i="11"/>
  <c r="BC136" i="11" s="1"/>
  <c r="P137" i="11"/>
  <c r="AR137" i="11" s="1"/>
  <c r="Q137" i="11"/>
  <c r="AS137" i="11" s="1"/>
  <c r="R137" i="11"/>
  <c r="S137" i="11"/>
  <c r="T137" i="11"/>
  <c r="U137" i="11"/>
  <c r="V137" i="11"/>
  <c r="AX137" i="11" s="1"/>
  <c r="W137" i="11"/>
  <c r="AY137" i="11" s="1"/>
  <c r="X137" i="11"/>
  <c r="AZ137" i="11" s="1"/>
  <c r="Y137" i="11"/>
  <c r="BA137" i="11" s="1"/>
  <c r="Z137" i="11"/>
  <c r="AA137" i="11"/>
  <c r="P138" i="11"/>
  <c r="Q138" i="11"/>
  <c r="R138" i="11"/>
  <c r="AT138" i="11" s="1"/>
  <c r="S138" i="11"/>
  <c r="AU138" i="11" s="1"/>
  <c r="T138" i="11"/>
  <c r="AV138" i="11" s="1"/>
  <c r="U138" i="11"/>
  <c r="G138" i="11" s="1"/>
  <c r="BK138" i="11" s="1"/>
  <c r="V138" i="11"/>
  <c r="W138" i="11"/>
  <c r="X138" i="11"/>
  <c r="Y138" i="11"/>
  <c r="Z138" i="11"/>
  <c r="BB138" i="11" s="1"/>
  <c r="AA138" i="11"/>
  <c r="BC138" i="11" s="1"/>
  <c r="P139" i="11"/>
  <c r="AR139" i="11" s="1"/>
  <c r="Q139" i="11"/>
  <c r="AS139" i="11" s="1"/>
  <c r="R139" i="11"/>
  <c r="S139" i="11"/>
  <c r="T139" i="11"/>
  <c r="U139" i="11"/>
  <c r="V139" i="11"/>
  <c r="AX139" i="11" s="1"/>
  <c r="W139" i="11"/>
  <c r="X139" i="11"/>
  <c r="AZ139" i="11" s="1"/>
  <c r="Y139" i="11"/>
  <c r="K139" i="11" s="1"/>
  <c r="BO139" i="11" s="1"/>
  <c r="Z139" i="11"/>
  <c r="AA139" i="11"/>
  <c r="P140" i="11"/>
  <c r="Q140" i="11"/>
  <c r="R140" i="11"/>
  <c r="AT140" i="11" s="1"/>
  <c r="S140" i="11"/>
  <c r="AU140" i="11" s="1"/>
  <c r="T140" i="11"/>
  <c r="AV140" i="11" s="1"/>
  <c r="U140" i="11"/>
  <c r="AW140" i="11" s="1"/>
  <c r="V140" i="11"/>
  <c r="W140" i="11"/>
  <c r="X140" i="11"/>
  <c r="Y140" i="11"/>
  <c r="Z140" i="11"/>
  <c r="BB140" i="11" s="1"/>
  <c r="AA140" i="11"/>
  <c r="BC140" i="11" s="1"/>
  <c r="P141" i="11"/>
  <c r="B141" i="11" s="1"/>
  <c r="BF141" i="11" s="1"/>
  <c r="Q141" i="11"/>
  <c r="C141" i="11" s="1"/>
  <c r="BG141" i="11" s="1"/>
  <c r="R141" i="11"/>
  <c r="S141" i="11"/>
  <c r="T141" i="11"/>
  <c r="U141" i="11"/>
  <c r="V141" i="11"/>
  <c r="AX141" i="11" s="1"/>
  <c r="W141" i="11"/>
  <c r="AY141" i="11" s="1"/>
  <c r="X141" i="11"/>
  <c r="Y141" i="11"/>
  <c r="BA141" i="11" s="1"/>
  <c r="Z141" i="11"/>
  <c r="AA141" i="11"/>
  <c r="P142" i="11"/>
  <c r="Q142" i="11"/>
  <c r="R142" i="11"/>
  <c r="AT142" i="11" s="1"/>
  <c r="S142" i="11"/>
  <c r="AU142" i="11" s="1"/>
  <c r="T142" i="11"/>
  <c r="AV142" i="11" s="1"/>
  <c r="U142" i="11"/>
  <c r="AW142" i="11" s="1"/>
  <c r="V142" i="11"/>
  <c r="W142" i="11"/>
  <c r="X142" i="11"/>
  <c r="Y142" i="11"/>
  <c r="Z142" i="11"/>
  <c r="BB142" i="11" s="1"/>
  <c r="AA142" i="11"/>
  <c r="BC142" i="11" s="1"/>
  <c r="P143" i="11"/>
  <c r="AR143" i="11" s="1"/>
  <c r="Q143" i="11"/>
  <c r="AS143" i="11" s="1"/>
  <c r="R143" i="11"/>
  <c r="D143" i="11" s="1"/>
  <c r="BH143" i="11" s="1"/>
  <c r="S143" i="11"/>
  <c r="T143" i="11"/>
  <c r="U143" i="11"/>
  <c r="V143" i="11"/>
  <c r="AX143" i="11" s="1"/>
  <c r="W143" i="11"/>
  <c r="AY143" i="11" s="1"/>
  <c r="X143" i="11"/>
  <c r="AZ143" i="11" s="1"/>
  <c r="Y143" i="11"/>
  <c r="K143" i="11" s="1"/>
  <c r="BO143" i="11" s="1"/>
  <c r="Z143" i="11"/>
  <c r="AA143" i="11"/>
  <c r="P144" i="11"/>
  <c r="Q144" i="11"/>
  <c r="R144" i="11"/>
  <c r="AT144" i="11" s="1"/>
  <c r="S144" i="11"/>
  <c r="AU144" i="11" s="1"/>
  <c r="T144" i="11"/>
  <c r="F144" i="11" s="1"/>
  <c r="BJ144" i="11" s="1"/>
  <c r="U144" i="11"/>
  <c r="AW144" i="11" s="1"/>
  <c r="V144" i="11"/>
  <c r="AX144" i="11" s="1"/>
  <c r="W144" i="11"/>
  <c r="X144" i="11"/>
  <c r="Y144" i="11"/>
  <c r="Z144" i="11"/>
  <c r="BB144" i="11" s="1"/>
  <c r="AA144" i="11"/>
  <c r="P145" i="11"/>
  <c r="B145" i="11" s="1"/>
  <c r="BF145" i="11" s="1"/>
  <c r="Q145" i="11"/>
  <c r="C145" i="11" s="1"/>
  <c r="BG145" i="11" s="1"/>
  <c r="R145" i="11"/>
  <c r="S145" i="11"/>
  <c r="T145" i="11"/>
  <c r="U145" i="11"/>
  <c r="V145" i="11"/>
  <c r="AX145" i="11" s="1"/>
  <c r="W145" i="11"/>
  <c r="AY145" i="11" s="1"/>
  <c r="X145" i="11"/>
  <c r="AZ145" i="11" s="1"/>
  <c r="Y145" i="11"/>
  <c r="BA145" i="11" s="1"/>
  <c r="Z145" i="11"/>
  <c r="AA145" i="11"/>
  <c r="P146" i="11"/>
  <c r="Q146" i="11"/>
  <c r="R146" i="11"/>
  <c r="AT146" i="11" s="1"/>
  <c r="S146" i="11"/>
  <c r="AU146" i="11" s="1"/>
  <c r="T146" i="11"/>
  <c r="F146" i="11" s="1"/>
  <c r="BJ146" i="11" s="1"/>
  <c r="U146" i="11"/>
  <c r="G146" i="11" s="1"/>
  <c r="BK146" i="11" s="1"/>
  <c r="V146" i="11"/>
  <c r="W146" i="11"/>
  <c r="X146" i="11"/>
  <c r="Y146" i="11"/>
  <c r="Z146" i="11"/>
  <c r="BB146" i="11" s="1"/>
  <c r="AA146" i="11"/>
  <c r="BC146" i="11" s="1"/>
  <c r="P147" i="11"/>
  <c r="Q147" i="11"/>
  <c r="C147" i="11" s="1"/>
  <c r="BG147" i="11" s="1"/>
  <c r="R147" i="11"/>
  <c r="S147" i="11"/>
  <c r="T147" i="11"/>
  <c r="U147" i="11"/>
  <c r="V147" i="11"/>
  <c r="AX147" i="11" s="1"/>
  <c r="W147" i="11"/>
  <c r="AY147" i="11" s="1"/>
  <c r="X147" i="11"/>
  <c r="AZ147" i="11" s="1"/>
  <c r="Y147" i="11"/>
  <c r="BA147" i="11" s="1"/>
  <c r="Z147" i="11"/>
  <c r="AA147" i="11"/>
  <c r="P148" i="11"/>
  <c r="Q148" i="11"/>
  <c r="R148" i="11"/>
  <c r="S148" i="11"/>
  <c r="AU148" i="11" s="1"/>
  <c r="T148" i="11"/>
  <c r="AV148" i="11" s="1"/>
  <c r="U148" i="11"/>
  <c r="AW148" i="11" s="1"/>
  <c r="V148" i="11"/>
  <c r="H148" i="11" s="1"/>
  <c r="BL148" i="11" s="1"/>
  <c r="W148" i="11"/>
  <c r="X148" i="11"/>
  <c r="Y148" i="11"/>
  <c r="Z148" i="11"/>
  <c r="BB148" i="11" s="1"/>
  <c r="AA148" i="11"/>
  <c r="BC148" i="11" s="1"/>
  <c r="P149" i="11"/>
  <c r="AR149" i="11" s="1"/>
  <c r="Q149" i="11"/>
  <c r="AS149" i="11" s="1"/>
  <c r="R149" i="11"/>
  <c r="S149" i="11"/>
  <c r="T149" i="11"/>
  <c r="U149" i="11"/>
  <c r="V149" i="11"/>
  <c r="AX149" i="11" s="1"/>
  <c r="W149" i="11"/>
  <c r="I149" i="11" s="1"/>
  <c r="BM149" i="11" s="1"/>
  <c r="X149" i="11"/>
  <c r="J149" i="11" s="1"/>
  <c r="BN149" i="11" s="1"/>
  <c r="Y149" i="11"/>
  <c r="BA149" i="11" s="1"/>
  <c r="Z149" i="11"/>
  <c r="AA149" i="11"/>
  <c r="P150" i="11"/>
  <c r="Q150" i="11"/>
  <c r="R150" i="11"/>
  <c r="AT150" i="11" s="1"/>
  <c r="S150" i="11"/>
  <c r="T150" i="11"/>
  <c r="AV150" i="11" s="1"/>
  <c r="U150" i="11"/>
  <c r="AW150" i="11" s="1"/>
  <c r="V150" i="11"/>
  <c r="W150" i="11"/>
  <c r="X150" i="11"/>
  <c r="Y150" i="11"/>
  <c r="Z150" i="11"/>
  <c r="BB150" i="11" s="1"/>
  <c r="AA150" i="11"/>
  <c r="BC150" i="11" s="1"/>
  <c r="P151" i="11"/>
  <c r="AR151" i="11" s="1"/>
  <c r="Q151" i="11"/>
  <c r="AS151" i="11" s="1"/>
  <c r="R151" i="11"/>
  <c r="S151" i="11"/>
  <c r="T151" i="11"/>
  <c r="U151" i="11"/>
  <c r="V151" i="11"/>
  <c r="AX151" i="11" s="1"/>
  <c r="W151" i="11"/>
  <c r="AY151" i="11" s="1"/>
  <c r="X151" i="11"/>
  <c r="J151" i="11" s="1"/>
  <c r="BN151" i="11" s="1"/>
  <c r="Y151" i="11"/>
  <c r="K151" i="11" s="1"/>
  <c r="BO151" i="11" s="1"/>
  <c r="Z151" i="11"/>
  <c r="AA151" i="11"/>
  <c r="P152" i="11"/>
  <c r="Q152" i="11"/>
  <c r="R152" i="11"/>
  <c r="AT152" i="11" s="1"/>
  <c r="S152" i="11"/>
  <c r="AU152" i="11" s="1"/>
  <c r="T152" i="11"/>
  <c r="U152" i="11"/>
  <c r="AW152" i="11" s="1"/>
  <c r="V152" i="11"/>
  <c r="W152" i="11"/>
  <c r="X152" i="11"/>
  <c r="Y152" i="11"/>
  <c r="Z152" i="11"/>
  <c r="BB152" i="11" s="1"/>
  <c r="AA152" i="11"/>
  <c r="M152" i="11" s="1"/>
  <c r="BQ152" i="11" s="1"/>
  <c r="P153" i="11"/>
  <c r="AR153" i="11" s="1"/>
  <c r="Q153" i="11"/>
  <c r="AS153" i="11" s="1"/>
  <c r="R153" i="11"/>
  <c r="S153" i="11"/>
  <c r="T153" i="11"/>
  <c r="U153" i="11"/>
  <c r="V153" i="11"/>
  <c r="W153" i="11"/>
  <c r="AY153" i="11" s="1"/>
  <c r="X153" i="11"/>
  <c r="AZ153" i="11" s="1"/>
  <c r="Y153" i="11"/>
  <c r="BA153" i="11" s="1"/>
  <c r="Z153" i="11"/>
  <c r="AA153" i="11"/>
  <c r="P154" i="11"/>
  <c r="Q154" i="11"/>
  <c r="R154" i="11"/>
  <c r="AT154" i="11" s="1"/>
  <c r="S154" i="11"/>
  <c r="AU154" i="11" s="1"/>
  <c r="T154" i="11"/>
  <c r="AV154" i="11" s="1"/>
  <c r="U154" i="11"/>
  <c r="AW154" i="11" s="1"/>
  <c r="V154" i="11"/>
  <c r="W154" i="11"/>
  <c r="X154" i="11"/>
  <c r="Y154" i="11"/>
  <c r="Z154" i="11"/>
  <c r="AA154" i="11"/>
  <c r="M154" i="11" s="1"/>
  <c r="BQ154" i="11" s="1"/>
  <c r="P155" i="11"/>
  <c r="B155" i="11" s="1"/>
  <c r="BF155" i="11" s="1"/>
  <c r="Q155" i="11"/>
  <c r="AS155" i="11" s="1"/>
  <c r="R155" i="11"/>
  <c r="AT155" i="11" s="1"/>
  <c r="S155" i="11"/>
  <c r="T155" i="11"/>
  <c r="U155" i="11"/>
  <c r="V155" i="11"/>
  <c r="AX155" i="11" s="1"/>
  <c r="W155" i="11"/>
  <c r="X155" i="11"/>
  <c r="AZ155" i="11" s="1"/>
  <c r="Y155" i="11"/>
  <c r="BA155" i="11" s="1"/>
  <c r="Z155" i="11"/>
  <c r="AA155" i="11"/>
  <c r="P156" i="11"/>
  <c r="Q156" i="11"/>
  <c r="R156" i="11"/>
  <c r="AT156" i="11" s="1"/>
  <c r="S156" i="11"/>
  <c r="AU156" i="11" s="1"/>
  <c r="T156" i="11"/>
  <c r="AV156" i="11" s="1"/>
  <c r="U156" i="11"/>
  <c r="AW156" i="11" s="1"/>
  <c r="V156" i="11"/>
  <c r="W156" i="11"/>
  <c r="X156" i="11"/>
  <c r="Y156" i="11"/>
  <c r="Z156" i="11"/>
  <c r="BB156" i="11" s="1"/>
  <c r="AA156" i="11"/>
  <c r="BC156" i="11" s="1"/>
  <c r="P157" i="11"/>
  <c r="B157" i="11" s="1"/>
  <c r="BF157" i="11" s="1"/>
  <c r="Q157" i="11"/>
  <c r="C157" i="11" s="1"/>
  <c r="BG157" i="11" s="1"/>
  <c r="R157" i="11"/>
  <c r="S157" i="11"/>
  <c r="T157" i="11"/>
  <c r="U157" i="11"/>
  <c r="V157" i="11"/>
  <c r="AX157" i="11" s="1"/>
  <c r="W157" i="11"/>
  <c r="AY157" i="11" s="1"/>
  <c r="X157" i="11"/>
  <c r="AZ157" i="11" s="1"/>
  <c r="Y157" i="11"/>
  <c r="BA157" i="11" s="1"/>
  <c r="Z157" i="11"/>
  <c r="AA157" i="11"/>
  <c r="P158" i="11"/>
  <c r="Q158" i="11"/>
  <c r="R158" i="11"/>
  <c r="D158" i="11" s="1"/>
  <c r="BH158" i="11" s="1"/>
  <c r="S158" i="11"/>
  <c r="E158" i="11" s="1"/>
  <c r="BI158" i="11" s="1"/>
  <c r="T158" i="11"/>
  <c r="AV158" i="11" s="1"/>
  <c r="U158" i="11"/>
  <c r="AW158" i="11" s="1"/>
  <c r="V158" i="11"/>
  <c r="W158" i="11"/>
  <c r="X158" i="11"/>
  <c r="Y158" i="11"/>
  <c r="Z158" i="11"/>
  <c r="AA158" i="11"/>
  <c r="BC158" i="11" s="1"/>
  <c r="P159" i="11"/>
  <c r="AR159" i="11" s="1"/>
  <c r="Q159" i="11"/>
  <c r="AS159" i="11" s="1"/>
  <c r="R159" i="11"/>
  <c r="S159" i="11"/>
  <c r="T159" i="11"/>
  <c r="U159" i="11"/>
  <c r="V159" i="11"/>
  <c r="AX159" i="11" s="1"/>
  <c r="W159" i="11"/>
  <c r="AY159" i="11" s="1"/>
  <c r="X159" i="11"/>
  <c r="AZ159" i="11" s="1"/>
  <c r="Y159" i="11"/>
  <c r="BA159" i="11" s="1"/>
  <c r="Z159" i="11"/>
  <c r="AA159" i="11"/>
  <c r="P160" i="11"/>
  <c r="Q160" i="11"/>
  <c r="R160" i="11"/>
  <c r="S160" i="11"/>
  <c r="E160" i="11" s="1"/>
  <c r="BI160" i="11" s="1"/>
  <c r="T160" i="11"/>
  <c r="F160" i="11" s="1"/>
  <c r="BJ160" i="11" s="1"/>
  <c r="U160" i="11"/>
  <c r="AW160" i="11" s="1"/>
  <c r="V160" i="11"/>
  <c r="AX160" i="11" s="1"/>
  <c r="W160" i="11"/>
  <c r="X160" i="11"/>
  <c r="Y160" i="11"/>
  <c r="Z160" i="11"/>
  <c r="BB160" i="11" s="1"/>
  <c r="AA160" i="11"/>
  <c r="Q130" i="11"/>
  <c r="R130" i="11"/>
  <c r="D130" i="11" s="1"/>
  <c r="BH130" i="11" s="1"/>
  <c r="S130" i="11"/>
  <c r="T130" i="11"/>
  <c r="U130" i="11"/>
  <c r="AW130" i="11" s="1"/>
  <c r="V130" i="11"/>
  <c r="AX130" i="11" s="1"/>
  <c r="W130" i="11"/>
  <c r="X130" i="11"/>
  <c r="Y130" i="11"/>
  <c r="Z130" i="11"/>
  <c r="BB130" i="11" s="1"/>
  <c r="AA130" i="11"/>
  <c r="P130" i="11"/>
  <c r="P91" i="11"/>
  <c r="Q91" i="11"/>
  <c r="AS91" i="11" s="1"/>
  <c r="R91" i="11"/>
  <c r="AT91" i="11" s="1"/>
  <c r="S91" i="11"/>
  <c r="T91" i="11"/>
  <c r="F91" i="11" s="1"/>
  <c r="BJ91" i="11" s="1"/>
  <c r="U91" i="11"/>
  <c r="G91" i="11" s="1"/>
  <c r="BK91" i="11" s="1"/>
  <c r="V91" i="11"/>
  <c r="W91" i="11"/>
  <c r="X91" i="11"/>
  <c r="Y91" i="11"/>
  <c r="BA91" i="11" s="1"/>
  <c r="Z91" i="11"/>
  <c r="BB91" i="11" s="1"/>
  <c r="AA91" i="11"/>
  <c r="BC91" i="11" s="1"/>
  <c r="P92" i="11"/>
  <c r="AR92" i="11" s="1"/>
  <c r="Q92" i="11"/>
  <c r="AS92" i="11" s="1"/>
  <c r="R92" i="11"/>
  <c r="S92" i="11"/>
  <c r="T92" i="11"/>
  <c r="U92" i="11"/>
  <c r="AW92" i="11" s="1"/>
  <c r="V92" i="11"/>
  <c r="AX92" i="11" s="1"/>
  <c r="W92" i="11"/>
  <c r="AY92" i="11" s="1"/>
  <c r="X92" i="11"/>
  <c r="J92" i="11" s="1"/>
  <c r="BN92" i="11" s="1"/>
  <c r="Y92" i="11"/>
  <c r="BA92" i="11" s="1"/>
  <c r="Z92" i="11"/>
  <c r="AA92" i="11"/>
  <c r="P93" i="11"/>
  <c r="Q93" i="11"/>
  <c r="AS93" i="11" s="1"/>
  <c r="R93" i="11"/>
  <c r="AT93" i="11" s="1"/>
  <c r="S93" i="11"/>
  <c r="AU93" i="11" s="1"/>
  <c r="T93" i="11"/>
  <c r="AV93" i="11" s="1"/>
  <c r="U93" i="11"/>
  <c r="G93" i="11" s="1"/>
  <c r="BK93" i="11" s="1"/>
  <c r="V93" i="11"/>
  <c r="W93" i="11"/>
  <c r="X93" i="11"/>
  <c r="Y93" i="11"/>
  <c r="BA93" i="11" s="1"/>
  <c r="Z93" i="11"/>
  <c r="BB93" i="11" s="1"/>
  <c r="AA93" i="11"/>
  <c r="BC93" i="11" s="1"/>
  <c r="P94" i="11"/>
  <c r="AR94" i="11" s="1"/>
  <c r="Q94" i="11"/>
  <c r="AS94" i="11" s="1"/>
  <c r="R94" i="11"/>
  <c r="S94" i="11"/>
  <c r="T94" i="11"/>
  <c r="U94" i="11"/>
  <c r="AW94" i="11" s="1"/>
  <c r="V94" i="11"/>
  <c r="AX94" i="11" s="1"/>
  <c r="W94" i="11"/>
  <c r="X94" i="11"/>
  <c r="AZ94" i="11" s="1"/>
  <c r="Y94" i="11"/>
  <c r="BA94" i="11" s="1"/>
  <c r="Z94" i="11"/>
  <c r="AA94" i="11"/>
  <c r="P95" i="11"/>
  <c r="Q95" i="11"/>
  <c r="AS95" i="11" s="1"/>
  <c r="R95" i="11"/>
  <c r="AT95" i="11" s="1"/>
  <c r="S95" i="11"/>
  <c r="AU95" i="11" s="1"/>
  <c r="T95" i="11"/>
  <c r="F95" i="11" s="1"/>
  <c r="BJ95" i="11" s="1"/>
  <c r="U95" i="11"/>
  <c r="AW95" i="11" s="1"/>
  <c r="V95" i="11"/>
  <c r="W95" i="11"/>
  <c r="X95" i="11"/>
  <c r="Y95" i="11"/>
  <c r="BA95" i="11" s="1"/>
  <c r="Z95" i="11"/>
  <c r="BB95" i="11" s="1"/>
  <c r="AA95" i="11"/>
  <c r="BC95" i="11" s="1"/>
  <c r="P96" i="11"/>
  <c r="AR96" i="11" s="1"/>
  <c r="Q96" i="11"/>
  <c r="AS96" i="11" s="1"/>
  <c r="R96" i="11"/>
  <c r="S96" i="11"/>
  <c r="T96" i="11"/>
  <c r="U96" i="11"/>
  <c r="AW96" i="11" s="1"/>
  <c r="V96" i="11"/>
  <c r="AX96" i="11" s="1"/>
  <c r="W96" i="11"/>
  <c r="X96" i="11"/>
  <c r="J96" i="11" s="1"/>
  <c r="BN96" i="11" s="1"/>
  <c r="Y96" i="11"/>
  <c r="K96" i="11" s="1"/>
  <c r="BO96" i="11" s="1"/>
  <c r="Z96" i="11"/>
  <c r="AA96" i="11"/>
  <c r="P97" i="11"/>
  <c r="Q97" i="11"/>
  <c r="AS97" i="11" s="1"/>
  <c r="R97" i="11"/>
  <c r="AT97" i="11" s="1"/>
  <c r="S97" i="11"/>
  <c r="AU97" i="11" s="1"/>
  <c r="T97" i="11"/>
  <c r="AV97" i="11" s="1"/>
  <c r="U97" i="11"/>
  <c r="AW97" i="11" s="1"/>
  <c r="V97" i="11"/>
  <c r="W97" i="11"/>
  <c r="X97" i="11"/>
  <c r="Y97" i="11"/>
  <c r="BA97" i="11" s="1"/>
  <c r="Z97" i="11"/>
  <c r="BB97" i="11" s="1"/>
  <c r="AA97" i="11"/>
  <c r="M97" i="11" s="1"/>
  <c r="BQ97" i="11" s="1"/>
  <c r="P98" i="11"/>
  <c r="B98" i="11" s="1"/>
  <c r="BF98" i="11" s="1"/>
  <c r="Q98" i="11"/>
  <c r="AS98" i="11" s="1"/>
  <c r="R98" i="11"/>
  <c r="S98" i="11"/>
  <c r="T98" i="11"/>
  <c r="U98" i="11"/>
  <c r="AW98" i="11" s="1"/>
  <c r="V98" i="11"/>
  <c r="AX98" i="11" s="1"/>
  <c r="W98" i="11"/>
  <c r="I98" i="11" s="1"/>
  <c r="BM98" i="11" s="1"/>
  <c r="X98" i="11"/>
  <c r="AZ98" i="11" s="1"/>
  <c r="Y98" i="11"/>
  <c r="K98" i="11" s="1"/>
  <c r="BO98" i="11" s="1"/>
  <c r="Z98" i="11"/>
  <c r="AA98" i="11"/>
  <c r="P99" i="11"/>
  <c r="Q99" i="11"/>
  <c r="AS99" i="11" s="1"/>
  <c r="R99" i="11"/>
  <c r="AT99" i="11" s="1"/>
  <c r="S99" i="11"/>
  <c r="AU99" i="11" s="1"/>
  <c r="T99" i="11"/>
  <c r="AV99" i="11" s="1"/>
  <c r="U99" i="11"/>
  <c r="AW99" i="11" s="1"/>
  <c r="V99" i="11"/>
  <c r="W99" i="11"/>
  <c r="X99" i="11"/>
  <c r="Y99" i="11"/>
  <c r="BA99" i="11" s="1"/>
  <c r="Z99" i="11"/>
  <c r="L99" i="11" s="1"/>
  <c r="BP99" i="11" s="1"/>
  <c r="AA99" i="11"/>
  <c r="P100" i="11"/>
  <c r="AR100" i="11" s="1"/>
  <c r="Q100" i="11"/>
  <c r="C100" i="11" s="1"/>
  <c r="BG100" i="11" s="1"/>
  <c r="R100" i="11"/>
  <c r="S100" i="11"/>
  <c r="T100" i="11"/>
  <c r="U100" i="11"/>
  <c r="AW100" i="11" s="1"/>
  <c r="V100" i="11"/>
  <c r="AX100" i="11" s="1"/>
  <c r="W100" i="11"/>
  <c r="AY100" i="11" s="1"/>
  <c r="X100" i="11"/>
  <c r="J100" i="11" s="1"/>
  <c r="BN100" i="11" s="1"/>
  <c r="Y100" i="11"/>
  <c r="BA100" i="11" s="1"/>
  <c r="Z100" i="11"/>
  <c r="AA100" i="11"/>
  <c r="P101" i="11"/>
  <c r="Q101" i="11"/>
  <c r="AS101" i="11" s="1"/>
  <c r="R101" i="11"/>
  <c r="AT101" i="11" s="1"/>
  <c r="S101" i="11"/>
  <c r="AU101" i="11" s="1"/>
  <c r="T101" i="11"/>
  <c r="AV101" i="11" s="1"/>
  <c r="U101" i="11"/>
  <c r="AW101" i="11" s="1"/>
  <c r="V101" i="11"/>
  <c r="W101" i="11"/>
  <c r="X101" i="11"/>
  <c r="Y101" i="11"/>
  <c r="BA101" i="11" s="1"/>
  <c r="Z101" i="11"/>
  <c r="BB101" i="11" s="1"/>
  <c r="AA101" i="11"/>
  <c r="P102" i="11"/>
  <c r="B102" i="11" s="1"/>
  <c r="BF102" i="11" s="1"/>
  <c r="Q102" i="11"/>
  <c r="AS102" i="11" s="1"/>
  <c r="R102" i="11"/>
  <c r="S102" i="11"/>
  <c r="T102" i="11"/>
  <c r="U102" i="11"/>
  <c r="AW102" i="11" s="1"/>
  <c r="V102" i="11"/>
  <c r="AX102" i="11" s="1"/>
  <c r="W102" i="11"/>
  <c r="AY102" i="11" s="1"/>
  <c r="X102" i="11"/>
  <c r="AZ102" i="11" s="1"/>
  <c r="Y102" i="11"/>
  <c r="BA102" i="11" s="1"/>
  <c r="Z102" i="11"/>
  <c r="AA102" i="11"/>
  <c r="P103" i="11"/>
  <c r="Q103" i="11"/>
  <c r="R103" i="11"/>
  <c r="S103" i="11"/>
  <c r="E103" i="11" s="1"/>
  <c r="BI103" i="11" s="1"/>
  <c r="T103" i="11"/>
  <c r="F103" i="11" s="1"/>
  <c r="BJ103" i="11" s="1"/>
  <c r="U103" i="11"/>
  <c r="AW103" i="11" s="1"/>
  <c r="V103" i="11"/>
  <c r="AX103" i="11" s="1"/>
  <c r="W103" i="11"/>
  <c r="X103" i="11"/>
  <c r="Y103" i="11"/>
  <c r="Z103" i="11"/>
  <c r="BB103" i="11" s="1"/>
  <c r="AA103" i="11"/>
  <c r="BC103" i="11" s="1"/>
  <c r="P104" i="11"/>
  <c r="AR104" i="11" s="1"/>
  <c r="Q104" i="11"/>
  <c r="AS104" i="11" s="1"/>
  <c r="R104" i="11"/>
  <c r="S104" i="11"/>
  <c r="T104" i="11"/>
  <c r="U104" i="11"/>
  <c r="V104" i="11"/>
  <c r="AX104" i="11" s="1"/>
  <c r="W104" i="11"/>
  <c r="AY104" i="11" s="1"/>
  <c r="X104" i="11"/>
  <c r="AZ104" i="11" s="1"/>
  <c r="Y104" i="11"/>
  <c r="BA104" i="11" s="1"/>
  <c r="Z104" i="11"/>
  <c r="L104" i="11" s="1"/>
  <c r="BP104" i="11" s="1"/>
  <c r="AA104" i="11"/>
  <c r="P105" i="11"/>
  <c r="Q105" i="11"/>
  <c r="R105" i="11"/>
  <c r="S105" i="11"/>
  <c r="E105" i="11" s="1"/>
  <c r="BI105" i="11" s="1"/>
  <c r="T105" i="11"/>
  <c r="F105" i="11" s="1"/>
  <c r="BJ105" i="11" s="1"/>
  <c r="U105" i="11"/>
  <c r="G105" i="11" s="1"/>
  <c r="BK105" i="11" s="1"/>
  <c r="V105" i="11"/>
  <c r="W105" i="11"/>
  <c r="X105" i="11"/>
  <c r="Y105" i="11"/>
  <c r="Z105" i="11"/>
  <c r="BB105" i="11" s="1"/>
  <c r="AA105" i="11"/>
  <c r="BC105" i="11" s="1"/>
  <c r="P106" i="11"/>
  <c r="AR106" i="11" s="1"/>
  <c r="Q106" i="11"/>
  <c r="AS106" i="11" s="1"/>
  <c r="R106" i="11"/>
  <c r="S106" i="11"/>
  <c r="T106" i="11"/>
  <c r="U106" i="11"/>
  <c r="V106" i="11"/>
  <c r="AX106" i="11" s="1"/>
  <c r="W106" i="11"/>
  <c r="AY106" i="11" s="1"/>
  <c r="X106" i="11"/>
  <c r="AZ106" i="11" s="1"/>
  <c r="Y106" i="11"/>
  <c r="BA106" i="11" s="1"/>
  <c r="Z106" i="11"/>
  <c r="AA106" i="11"/>
  <c r="P107" i="11"/>
  <c r="Q107" i="11"/>
  <c r="R107" i="11"/>
  <c r="AT107" i="11" s="1"/>
  <c r="S107" i="11"/>
  <c r="T107" i="11"/>
  <c r="F107" i="11" s="1"/>
  <c r="BJ107" i="11" s="1"/>
  <c r="U107" i="11"/>
  <c r="AW107" i="11" s="1"/>
  <c r="V107" i="11"/>
  <c r="W107" i="11"/>
  <c r="X107" i="11"/>
  <c r="Y107" i="11"/>
  <c r="Z107" i="11"/>
  <c r="BB107" i="11" s="1"/>
  <c r="AA107" i="11"/>
  <c r="BC107" i="11" s="1"/>
  <c r="P108" i="11"/>
  <c r="AR108" i="11" s="1"/>
  <c r="Q108" i="11"/>
  <c r="AS108" i="11" s="1"/>
  <c r="R108" i="11"/>
  <c r="S108" i="11"/>
  <c r="T108" i="11"/>
  <c r="U108" i="11"/>
  <c r="V108" i="11"/>
  <c r="W108" i="11"/>
  <c r="I108" i="11" s="1"/>
  <c r="BM108" i="11" s="1"/>
  <c r="X108" i="11"/>
  <c r="J108" i="11" s="1"/>
  <c r="BN108" i="11" s="1"/>
  <c r="Y108" i="11"/>
  <c r="BA108" i="11" s="1"/>
  <c r="Z108" i="11"/>
  <c r="AA108" i="11"/>
  <c r="P109" i="11"/>
  <c r="Q109" i="11"/>
  <c r="R109" i="11"/>
  <c r="AT109" i="11" s="1"/>
  <c r="S109" i="11"/>
  <c r="AU109" i="11" s="1"/>
  <c r="T109" i="11"/>
  <c r="AV109" i="11" s="1"/>
  <c r="U109" i="11"/>
  <c r="AW109" i="11" s="1"/>
  <c r="V109" i="11"/>
  <c r="W109" i="11"/>
  <c r="X109" i="11"/>
  <c r="Y109" i="11"/>
  <c r="Z109" i="11"/>
  <c r="BB109" i="11" s="1"/>
  <c r="AA109" i="11"/>
  <c r="BC109" i="11" s="1"/>
  <c r="P110" i="11"/>
  <c r="AR110" i="11" s="1"/>
  <c r="Q110" i="11"/>
  <c r="AS110" i="11" s="1"/>
  <c r="R110" i="11"/>
  <c r="S110" i="11"/>
  <c r="T110" i="11"/>
  <c r="U110" i="11"/>
  <c r="V110" i="11"/>
  <c r="W110" i="11"/>
  <c r="I110" i="11" s="1"/>
  <c r="BM110" i="11" s="1"/>
  <c r="X110" i="11"/>
  <c r="AZ110" i="11" s="1"/>
  <c r="Y110" i="11"/>
  <c r="BA110" i="11" s="1"/>
  <c r="Z110" i="11"/>
  <c r="AA110" i="11"/>
  <c r="P111" i="11"/>
  <c r="Q111" i="11"/>
  <c r="R111" i="11"/>
  <c r="AT111" i="11" s="1"/>
  <c r="S111" i="11"/>
  <c r="AU111" i="11" s="1"/>
  <c r="T111" i="11"/>
  <c r="AV111" i="11" s="1"/>
  <c r="U111" i="11"/>
  <c r="AW111" i="11" s="1"/>
  <c r="V111" i="11"/>
  <c r="W111" i="11"/>
  <c r="X111" i="11"/>
  <c r="Y111" i="11"/>
  <c r="Z111" i="11"/>
  <c r="BB111" i="11" s="1"/>
  <c r="AA111" i="11"/>
  <c r="BC111" i="11" s="1"/>
  <c r="P112" i="11"/>
  <c r="AR112" i="11" s="1"/>
  <c r="Q112" i="11"/>
  <c r="AS112" i="11" s="1"/>
  <c r="R112" i="11"/>
  <c r="S112" i="11"/>
  <c r="T112" i="11"/>
  <c r="U112" i="11"/>
  <c r="V112" i="11"/>
  <c r="AX112" i="11" s="1"/>
  <c r="W112" i="11"/>
  <c r="X112" i="11"/>
  <c r="AZ112" i="11" s="1"/>
  <c r="Y112" i="11"/>
  <c r="BA112" i="11" s="1"/>
  <c r="Z112" i="11"/>
  <c r="AA112" i="11"/>
  <c r="P113" i="11"/>
  <c r="Q113" i="11"/>
  <c r="R113" i="11"/>
  <c r="AT113" i="11" s="1"/>
  <c r="S113" i="11"/>
  <c r="AU113" i="11" s="1"/>
  <c r="T113" i="11"/>
  <c r="AV113" i="11" s="1"/>
  <c r="U113" i="11"/>
  <c r="G113" i="11" s="1"/>
  <c r="BK113" i="11" s="1"/>
  <c r="V113" i="11"/>
  <c r="W113" i="11"/>
  <c r="X113" i="11"/>
  <c r="Y113" i="11"/>
  <c r="Z113" i="11"/>
  <c r="AA113" i="11"/>
  <c r="M113" i="11" s="1"/>
  <c r="BQ113" i="11" s="1"/>
  <c r="P114" i="11"/>
  <c r="B114" i="11" s="1"/>
  <c r="BF114" i="11" s="1"/>
  <c r="Q114" i="11"/>
  <c r="AS114" i="11" s="1"/>
  <c r="R114" i="11"/>
  <c r="AT114" i="11" s="1"/>
  <c r="S114" i="11"/>
  <c r="T114" i="11"/>
  <c r="U114" i="11"/>
  <c r="V114" i="11"/>
  <c r="AX114" i="11" s="1"/>
  <c r="W114" i="11"/>
  <c r="AY114" i="11" s="1"/>
  <c r="X114" i="11"/>
  <c r="AZ114" i="11" s="1"/>
  <c r="Y114" i="11"/>
  <c r="BA114" i="11" s="1"/>
  <c r="Z114" i="11"/>
  <c r="AA114" i="11"/>
  <c r="P115" i="11"/>
  <c r="Q115" i="11"/>
  <c r="R115" i="11"/>
  <c r="AT115" i="11" s="1"/>
  <c r="S115" i="11"/>
  <c r="AU115" i="11" s="1"/>
  <c r="T115" i="11"/>
  <c r="AV115" i="11" s="1"/>
  <c r="U115" i="11"/>
  <c r="AW115" i="11" s="1"/>
  <c r="V115" i="11"/>
  <c r="H115" i="11" s="1"/>
  <c r="BL115" i="11" s="1"/>
  <c r="W115" i="11"/>
  <c r="X115" i="11"/>
  <c r="Y115" i="11"/>
  <c r="Z115" i="11"/>
  <c r="AA115" i="11"/>
  <c r="M115" i="11" s="1"/>
  <c r="BQ115" i="11" s="1"/>
  <c r="P116" i="11"/>
  <c r="AR116" i="11" s="1"/>
  <c r="Q116" i="11"/>
  <c r="AS116" i="11" s="1"/>
  <c r="R116" i="11"/>
  <c r="S116" i="11"/>
  <c r="T116" i="11"/>
  <c r="U116" i="11"/>
  <c r="V116" i="11"/>
  <c r="AX116" i="11" s="1"/>
  <c r="W116" i="11"/>
  <c r="AY116" i="11" s="1"/>
  <c r="X116" i="11"/>
  <c r="AZ116" i="11" s="1"/>
  <c r="Y116" i="11"/>
  <c r="K116" i="11" s="1"/>
  <c r="BO116" i="11" s="1"/>
  <c r="Z116" i="11"/>
  <c r="AA116" i="11"/>
  <c r="P117" i="11"/>
  <c r="Q117" i="11"/>
  <c r="R117" i="11"/>
  <c r="AT117" i="11" s="1"/>
  <c r="S117" i="11"/>
  <c r="AU117" i="11" s="1"/>
  <c r="T117" i="11"/>
  <c r="AV117" i="11" s="1"/>
  <c r="U117" i="11"/>
  <c r="AW117" i="11" s="1"/>
  <c r="V117" i="11"/>
  <c r="W117" i="11"/>
  <c r="X117" i="11"/>
  <c r="Y117" i="11"/>
  <c r="Z117" i="11"/>
  <c r="BB117" i="11" s="1"/>
  <c r="AA117" i="11"/>
  <c r="BC117" i="11" s="1"/>
  <c r="P118" i="11"/>
  <c r="AR118" i="11" s="1"/>
  <c r="Q118" i="11"/>
  <c r="AS118" i="11" s="1"/>
  <c r="R118" i="11"/>
  <c r="D118" i="11" s="1"/>
  <c r="BH118" i="11" s="1"/>
  <c r="S118" i="11"/>
  <c r="T118" i="11"/>
  <c r="U118" i="11"/>
  <c r="V118" i="11"/>
  <c r="AX118" i="11" s="1"/>
  <c r="W118" i="11"/>
  <c r="AY118" i="11" s="1"/>
  <c r="X118" i="11"/>
  <c r="AZ118" i="11" s="1"/>
  <c r="Y118" i="11"/>
  <c r="K118" i="11" s="1"/>
  <c r="BO118" i="11" s="1"/>
  <c r="Z118" i="11"/>
  <c r="AA118" i="11"/>
  <c r="P119" i="11"/>
  <c r="Q119" i="11"/>
  <c r="R119" i="11"/>
  <c r="S119" i="11"/>
  <c r="E119" i="11" s="1"/>
  <c r="BI119" i="11" s="1"/>
  <c r="T119" i="11"/>
  <c r="AV119" i="11" s="1"/>
  <c r="U119" i="11"/>
  <c r="AW119" i="11" s="1"/>
  <c r="V119" i="11"/>
  <c r="AX119" i="11" s="1"/>
  <c r="W119" i="11"/>
  <c r="X119" i="11"/>
  <c r="Y119" i="11"/>
  <c r="Z119" i="11"/>
  <c r="BB119" i="11" s="1"/>
  <c r="AA119" i="11"/>
  <c r="BC119" i="11" s="1"/>
  <c r="P120" i="11"/>
  <c r="AR120" i="11" s="1"/>
  <c r="Q120" i="11"/>
  <c r="C120" i="11" s="1"/>
  <c r="BG120" i="11" s="1"/>
  <c r="R120" i="11"/>
  <c r="S120" i="11"/>
  <c r="T120" i="11"/>
  <c r="U120" i="11"/>
  <c r="V120" i="11"/>
  <c r="AX120" i="11" s="1"/>
  <c r="W120" i="11"/>
  <c r="AY120" i="11" s="1"/>
  <c r="X120" i="11"/>
  <c r="AZ120" i="11" s="1"/>
  <c r="Y120" i="11"/>
  <c r="BA120" i="11" s="1"/>
  <c r="Z120" i="11"/>
  <c r="L120" i="11" s="1"/>
  <c r="BP120" i="11" s="1"/>
  <c r="AA120" i="11"/>
  <c r="Q90" i="11"/>
  <c r="AS90" i="11" s="1"/>
  <c r="R90" i="11"/>
  <c r="AT90" i="11" s="1"/>
  <c r="S90" i="11"/>
  <c r="T90" i="11"/>
  <c r="U90" i="11"/>
  <c r="AW90" i="11" s="1"/>
  <c r="V90" i="11"/>
  <c r="AX90" i="11" s="1"/>
  <c r="W90" i="11"/>
  <c r="X90" i="11"/>
  <c r="Y90" i="11"/>
  <c r="BA90" i="11" s="1"/>
  <c r="Z90" i="11"/>
  <c r="BB90" i="11" s="1"/>
  <c r="AA90" i="11"/>
  <c r="P90" i="11"/>
  <c r="B90" i="11" s="1"/>
  <c r="BF90" i="11" s="1"/>
  <c r="P51" i="11"/>
  <c r="B51" i="11" s="1"/>
  <c r="Q51" i="11"/>
  <c r="C51" i="11" s="1"/>
  <c r="BG51" i="11" s="1"/>
  <c r="R51" i="11"/>
  <c r="S51" i="11"/>
  <c r="T51" i="11"/>
  <c r="AV51" i="11" s="1"/>
  <c r="U51" i="11"/>
  <c r="AW51" i="11" s="1"/>
  <c r="V51" i="11"/>
  <c r="AX51" i="11" s="1"/>
  <c r="W51" i="11"/>
  <c r="AY51" i="11" s="1"/>
  <c r="X51" i="11"/>
  <c r="AZ51" i="11" s="1"/>
  <c r="Y51" i="11"/>
  <c r="BA51" i="11" s="1"/>
  <c r="Z51" i="11"/>
  <c r="AA51" i="11"/>
  <c r="P52" i="11"/>
  <c r="AR52" i="11" s="1"/>
  <c r="Q52" i="11"/>
  <c r="R52" i="11"/>
  <c r="S52" i="11"/>
  <c r="T52" i="11"/>
  <c r="AV52" i="11" s="1"/>
  <c r="U52" i="11"/>
  <c r="AW52" i="11" s="1"/>
  <c r="V52" i="11"/>
  <c r="W52" i="11"/>
  <c r="X52" i="11"/>
  <c r="AZ52" i="11" s="1"/>
  <c r="Y52" i="11"/>
  <c r="BA52" i="11" s="1"/>
  <c r="Z52" i="11"/>
  <c r="AA52" i="11"/>
  <c r="BC52" i="11" s="1"/>
  <c r="P53" i="11"/>
  <c r="AR53" i="11" s="1"/>
  <c r="Q53" i="11"/>
  <c r="C53" i="11" s="1"/>
  <c r="BG53" i="11" s="1"/>
  <c r="R53" i="11"/>
  <c r="S53" i="11"/>
  <c r="T53" i="11"/>
  <c r="AV53" i="11" s="1"/>
  <c r="U53" i="11"/>
  <c r="AW53" i="11" s="1"/>
  <c r="V53" i="11"/>
  <c r="AX53" i="11" s="1"/>
  <c r="W53" i="11"/>
  <c r="AY53" i="11" s="1"/>
  <c r="X53" i="11"/>
  <c r="AZ53" i="11" s="1"/>
  <c r="Y53" i="11"/>
  <c r="K53" i="11" s="1"/>
  <c r="BO53" i="11" s="1"/>
  <c r="Z53" i="11"/>
  <c r="AA53" i="11"/>
  <c r="P54" i="11"/>
  <c r="Q54" i="11"/>
  <c r="R54" i="11"/>
  <c r="D54" i="11" s="1"/>
  <c r="BH54" i="11" s="1"/>
  <c r="S54" i="11"/>
  <c r="E54" i="11" s="1"/>
  <c r="BI54" i="11" s="1"/>
  <c r="T54" i="11"/>
  <c r="F54" i="11" s="1"/>
  <c r="BJ54" i="11" s="1"/>
  <c r="U54" i="11"/>
  <c r="AW54" i="11" s="1"/>
  <c r="V54" i="11"/>
  <c r="W54" i="11"/>
  <c r="X54" i="11"/>
  <c r="Y54" i="11"/>
  <c r="BA54" i="11" s="1"/>
  <c r="Z54" i="11"/>
  <c r="BB54" i="11" s="1"/>
  <c r="AA54" i="11"/>
  <c r="M54" i="11" s="1"/>
  <c r="BQ54" i="11" s="1"/>
  <c r="P55" i="11"/>
  <c r="AR55" i="11" s="1"/>
  <c r="Q55" i="11"/>
  <c r="AS55" i="11" s="1"/>
  <c r="R55" i="11"/>
  <c r="S55" i="11"/>
  <c r="T55" i="11"/>
  <c r="U55" i="11"/>
  <c r="V55" i="11"/>
  <c r="W55" i="11"/>
  <c r="AY55" i="11" s="1"/>
  <c r="X55" i="11"/>
  <c r="AZ55" i="11" s="1"/>
  <c r="Y55" i="11"/>
  <c r="BA55" i="11" s="1"/>
  <c r="Z55" i="11"/>
  <c r="AA55" i="11"/>
  <c r="P56" i="11"/>
  <c r="Q56" i="11"/>
  <c r="C56" i="11" s="1"/>
  <c r="BG56" i="11" s="1"/>
  <c r="R56" i="11"/>
  <c r="D56" i="11" s="1"/>
  <c r="BH56" i="11" s="1"/>
  <c r="S56" i="11"/>
  <c r="AU56" i="11" s="1"/>
  <c r="T56" i="11"/>
  <c r="AV56" i="11" s="1"/>
  <c r="U56" i="11"/>
  <c r="AW56" i="11" s="1"/>
  <c r="V56" i="11"/>
  <c r="W56" i="11"/>
  <c r="X56" i="11"/>
  <c r="Y56" i="11"/>
  <c r="BA56" i="11" s="1"/>
  <c r="Z56" i="11"/>
  <c r="BB56" i="11" s="1"/>
  <c r="AA56" i="11"/>
  <c r="BC56" i="11" s="1"/>
  <c r="P57" i="11"/>
  <c r="AR57" i="11" s="1"/>
  <c r="Q57" i="11"/>
  <c r="R57" i="11"/>
  <c r="S57" i="11"/>
  <c r="T57" i="11"/>
  <c r="U57" i="11"/>
  <c r="V57" i="11"/>
  <c r="W57" i="11"/>
  <c r="I57" i="11" s="1"/>
  <c r="BM57" i="11" s="1"/>
  <c r="X57" i="11"/>
  <c r="AZ57" i="11" s="1"/>
  <c r="Y57" i="11"/>
  <c r="BA57" i="11" s="1"/>
  <c r="Z57" i="11"/>
  <c r="AA57" i="11"/>
  <c r="P58" i="11"/>
  <c r="Q58" i="11"/>
  <c r="AS58" i="11" s="1"/>
  <c r="R58" i="11"/>
  <c r="S58" i="11"/>
  <c r="AU58" i="11" s="1"/>
  <c r="T58" i="11"/>
  <c r="AV58" i="11" s="1"/>
  <c r="U58" i="11"/>
  <c r="AW58" i="11" s="1"/>
  <c r="V58" i="11"/>
  <c r="W58" i="11"/>
  <c r="X58" i="11"/>
  <c r="Y58" i="11"/>
  <c r="K58" i="11" s="1"/>
  <c r="BO58" i="11" s="1"/>
  <c r="Z58" i="11"/>
  <c r="BB58" i="11" s="1"/>
  <c r="AA58" i="11"/>
  <c r="BC58" i="11" s="1"/>
  <c r="P59" i="11"/>
  <c r="AR59" i="11" s="1"/>
  <c r="Q59" i="11"/>
  <c r="C59" i="11" s="1"/>
  <c r="BG59" i="11" s="1"/>
  <c r="R59" i="11"/>
  <c r="S59" i="11"/>
  <c r="T59" i="11"/>
  <c r="U59" i="11"/>
  <c r="V59" i="11"/>
  <c r="H59" i="11" s="1"/>
  <c r="BL59" i="11" s="1"/>
  <c r="W59" i="11"/>
  <c r="I59" i="11" s="1"/>
  <c r="BM59" i="11" s="1"/>
  <c r="X59" i="11"/>
  <c r="J59" i="11" s="1"/>
  <c r="BN59" i="11" s="1"/>
  <c r="Y59" i="11"/>
  <c r="BA59" i="11" s="1"/>
  <c r="Z59" i="11"/>
  <c r="AA59" i="11"/>
  <c r="P60" i="11"/>
  <c r="Q60" i="11"/>
  <c r="AS60" i="11" s="1"/>
  <c r="R60" i="11"/>
  <c r="AT60" i="11" s="1"/>
  <c r="S60" i="11"/>
  <c r="AU60" i="11" s="1"/>
  <c r="T60" i="11"/>
  <c r="AV60" i="11" s="1"/>
  <c r="U60" i="11"/>
  <c r="G60" i="11" s="1"/>
  <c r="BK60" i="11" s="1"/>
  <c r="V60" i="11"/>
  <c r="W60" i="11"/>
  <c r="X60" i="11"/>
  <c r="Y60" i="11"/>
  <c r="Z60" i="11"/>
  <c r="AA60" i="11"/>
  <c r="BC60" i="11" s="1"/>
  <c r="P61" i="11"/>
  <c r="AR61" i="11" s="1"/>
  <c r="Q61" i="11"/>
  <c r="AS61" i="11" s="1"/>
  <c r="R61" i="11"/>
  <c r="S61" i="11"/>
  <c r="T61" i="11"/>
  <c r="U61" i="11"/>
  <c r="G61" i="11" s="1"/>
  <c r="BK61" i="11" s="1"/>
  <c r="V61" i="11"/>
  <c r="H61" i="11" s="1"/>
  <c r="BL61" i="11" s="1"/>
  <c r="W61" i="11"/>
  <c r="AY61" i="11" s="1"/>
  <c r="X61" i="11"/>
  <c r="AZ61" i="11" s="1"/>
  <c r="Y61" i="11"/>
  <c r="BA61" i="11" s="1"/>
  <c r="Z61" i="11"/>
  <c r="AA61" i="11"/>
  <c r="P62" i="11"/>
  <c r="Q62" i="11"/>
  <c r="AS62" i="11" s="1"/>
  <c r="R62" i="11"/>
  <c r="AT62" i="11" s="1"/>
  <c r="S62" i="11"/>
  <c r="AU62" i="11" s="1"/>
  <c r="T62" i="11"/>
  <c r="F62" i="11" s="1"/>
  <c r="BJ62" i="11" s="1"/>
  <c r="U62" i="11"/>
  <c r="V62" i="11"/>
  <c r="W62" i="11"/>
  <c r="X62" i="11"/>
  <c r="Y62" i="11"/>
  <c r="Z62" i="11"/>
  <c r="AA62" i="11"/>
  <c r="BC62" i="11" s="1"/>
  <c r="P63" i="11"/>
  <c r="AR63" i="11" s="1"/>
  <c r="Q63" i="11"/>
  <c r="AS63" i="11" s="1"/>
  <c r="R63" i="11"/>
  <c r="S63" i="11"/>
  <c r="T63" i="11"/>
  <c r="U63" i="11"/>
  <c r="AW63" i="11" s="1"/>
  <c r="V63" i="11"/>
  <c r="AX63" i="11" s="1"/>
  <c r="W63" i="11"/>
  <c r="AY63" i="11" s="1"/>
  <c r="X63" i="11"/>
  <c r="AZ63" i="11" s="1"/>
  <c r="Y63" i="11"/>
  <c r="K63" i="11" s="1"/>
  <c r="BO63" i="11" s="1"/>
  <c r="Z63" i="11"/>
  <c r="AA63" i="11"/>
  <c r="P64" i="11"/>
  <c r="Q64" i="11"/>
  <c r="C64" i="11" s="1"/>
  <c r="BG64" i="11" s="1"/>
  <c r="R64" i="11"/>
  <c r="AT64" i="11" s="1"/>
  <c r="S64" i="11"/>
  <c r="AU64" i="11" s="1"/>
  <c r="T64" i="11"/>
  <c r="AV64" i="11" s="1"/>
  <c r="U64" i="11"/>
  <c r="AW64" i="11" s="1"/>
  <c r="V64" i="11"/>
  <c r="W64" i="11"/>
  <c r="X64" i="11"/>
  <c r="Y64" i="11"/>
  <c r="Z64" i="11"/>
  <c r="L64" i="11" s="1"/>
  <c r="BP64" i="11" s="1"/>
  <c r="AA64" i="11"/>
  <c r="M64" i="11" s="1"/>
  <c r="BQ64" i="11" s="1"/>
  <c r="P65" i="11"/>
  <c r="B65" i="11" s="1"/>
  <c r="BF65" i="11" s="1"/>
  <c r="Q65" i="11"/>
  <c r="AS65" i="11" s="1"/>
  <c r="R65" i="11"/>
  <c r="S65" i="11"/>
  <c r="T65" i="11"/>
  <c r="U65" i="11"/>
  <c r="AW65" i="11" s="1"/>
  <c r="V65" i="11"/>
  <c r="AX65" i="11" s="1"/>
  <c r="W65" i="11"/>
  <c r="AY65" i="11" s="1"/>
  <c r="X65" i="11"/>
  <c r="J65" i="11" s="1"/>
  <c r="BN65" i="11" s="1"/>
  <c r="Y65" i="11"/>
  <c r="K65" i="11" s="1"/>
  <c r="BO65" i="11" s="1"/>
  <c r="Z65" i="11"/>
  <c r="AA65" i="11"/>
  <c r="P66" i="11"/>
  <c r="Q66" i="11"/>
  <c r="R66" i="11"/>
  <c r="S66" i="11"/>
  <c r="AU66" i="11" s="1"/>
  <c r="T66" i="11"/>
  <c r="AV66" i="11" s="1"/>
  <c r="U66" i="11"/>
  <c r="AW66" i="11" s="1"/>
  <c r="V66" i="11"/>
  <c r="W66" i="11"/>
  <c r="X66" i="11"/>
  <c r="Y66" i="11"/>
  <c r="K66" i="11" s="1"/>
  <c r="BO66" i="11" s="1"/>
  <c r="Z66" i="11"/>
  <c r="L66" i="11" s="1"/>
  <c r="BP66" i="11" s="1"/>
  <c r="AA66" i="11"/>
  <c r="BC66" i="11" s="1"/>
  <c r="P67" i="11"/>
  <c r="AR67" i="11" s="1"/>
  <c r="Q67" i="11"/>
  <c r="C67" i="11" s="1"/>
  <c r="BG67" i="11" s="1"/>
  <c r="R67" i="11"/>
  <c r="S67" i="11"/>
  <c r="T67" i="11"/>
  <c r="U67" i="11"/>
  <c r="AW67" i="11" s="1"/>
  <c r="V67" i="11"/>
  <c r="AX67" i="11" s="1"/>
  <c r="W67" i="11"/>
  <c r="AY67" i="11" s="1"/>
  <c r="X67" i="11"/>
  <c r="J67" i="11" s="1"/>
  <c r="BN67" i="11" s="1"/>
  <c r="Y67" i="11"/>
  <c r="BA67" i="11" s="1"/>
  <c r="Z67" i="11"/>
  <c r="AA67" i="11"/>
  <c r="P68" i="11"/>
  <c r="Q68" i="11"/>
  <c r="R68" i="11"/>
  <c r="S68" i="11"/>
  <c r="E68" i="11" s="1"/>
  <c r="BI68" i="11" s="1"/>
  <c r="T68" i="11"/>
  <c r="AV68" i="11" s="1"/>
  <c r="U68" i="11"/>
  <c r="AW68" i="11" s="1"/>
  <c r="V68" i="11"/>
  <c r="W68" i="11"/>
  <c r="X68" i="11"/>
  <c r="Y68" i="11"/>
  <c r="BA68" i="11" s="1"/>
  <c r="Z68" i="11"/>
  <c r="BB68" i="11" s="1"/>
  <c r="AA68" i="11"/>
  <c r="BC68" i="11" s="1"/>
  <c r="P69" i="11"/>
  <c r="B69" i="11" s="1"/>
  <c r="BF69" i="11" s="1"/>
  <c r="Q69" i="11"/>
  <c r="C69" i="11" s="1"/>
  <c r="BG69" i="11" s="1"/>
  <c r="R69" i="11"/>
  <c r="S69" i="11"/>
  <c r="T69" i="11"/>
  <c r="U69" i="11"/>
  <c r="G69" i="11" s="1"/>
  <c r="BK69" i="11" s="1"/>
  <c r="V69" i="11"/>
  <c r="AX69" i="11" s="1"/>
  <c r="W69" i="11"/>
  <c r="AY69" i="11" s="1"/>
  <c r="X69" i="11"/>
  <c r="AZ69" i="11" s="1"/>
  <c r="Y69" i="11"/>
  <c r="BA69" i="11" s="1"/>
  <c r="Z69" i="11"/>
  <c r="AA69" i="11"/>
  <c r="P70" i="11"/>
  <c r="Q70" i="11"/>
  <c r="R70" i="11"/>
  <c r="AT70" i="11" s="1"/>
  <c r="S70" i="11"/>
  <c r="AU70" i="11" s="1"/>
  <c r="T70" i="11"/>
  <c r="AV70" i="11" s="1"/>
  <c r="U70" i="11"/>
  <c r="AW70" i="11" s="1"/>
  <c r="V70" i="11"/>
  <c r="W70" i="11"/>
  <c r="X70" i="11"/>
  <c r="Y70" i="11"/>
  <c r="BA70" i="11" s="1"/>
  <c r="Z70" i="11"/>
  <c r="BB70" i="11" s="1"/>
  <c r="AA70" i="11"/>
  <c r="M70" i="11" s="1"/>
  <c r="BQ70" i="11" s="1"/>
  <c r="P71" i="11"/>
  <c r="B71" i="11" s="1"/>
  <c r="BF71" i="11" s="1"/>
  <c r="Q71" i="11"/>
  <c r="C71" i="11" s="1"/>
  <c r="BG71" i="11" s="1"/>
  <c r="R71" i="11"/>
  <c r="S71" i="11"/>
  <c r="T71" i="11"/>
  <c r="U71" i="11"/>
  <c r="V71" i="11"/>
  <c r="W71" i="11"/>
  <c r="AY71" i="11" s="1"/>
  <c r="X71" i="11"/>
  <c r="AZ71" i="11" s="1"/>
  <c r="Y71" i="11"/>
  <c r="BA71" i="11" s="1"/>
  <c r="Z71" i="11"/>
  <c r="AA71" i="11"/>
  <c r="P72" i="11"/>
  <c r="Q72" i="11"/>
  <c r="C72" i="11" s="1"/>
  <c r="BG72" i="11" s="1"/>
  <c r="R72" i="11"/>
  <c r="D72" i="11" s="1"/>
  <c r="BH72" i="11" s="1"/>
  <c r="S72" i="11"/>
  <c r="AU72" i="11" s="1"/>
  <c r="T72" i="11"/>
  <c r="U72" i="11"/>
  <c r="G72" i="11" s="1"/>
  <c r="BK72" i="11" s="1"/>
  <c r="V72" i="11"/>
  <c r="W72" i="11"/>
  <c r="X72" i="11"/>
  <c r="Y72" i="11"/>
  <c r="BA72" i="11" s="1"/>
  <c r="Z72" i="11"/>
  <c r="BB72" i="11" s="1"/>
  <c r="AA72" i="11"/>
  <c r="BC72" i="11" s="1"/>
  <c r="P73" i="11"/>
  <c r="B73" i="11" s="1"/>
  <c r="BF73" i="11" s="1"/>
  <c r="Q73" i="11"/>
  <c r="AS73" i="11" s="1"/>
  <c r="R73" i="11"/>
  <c r="S73" i="11"/>
  <c r="T73" i="11"/>
  <c r="U73" i="11"/>
  <c r="V73" i="11"/>
  <c r="AX73" i="11" s="1"/>
  <c r="W73" i="11"/>
  <c r="AY73" i="11" s="1"/>
  <c r="X73" i="11"/>
  <c r="AZ73" i="11" s="1"/>
  <c r="Y73" i="11"/>
  <c r="BA73" i="11" s="1"/>
  <c r="Z73" i="11"/>
  <c r="AA73" i="11"/>
  <c r="P74" i="11"/>
  <c r="Q74" i="11"/>
  <c r="AS74" i="11" s="1"/>
  <c r="R74" i="11"/>
  <c r="AT74" i="11" s="1"/>
  <c r="S74" i="11"/>
  <c r="AU74" i="11" s="1"/>
  <c r="T74" i="11"/>
  <c r="F74" i="11" s="1"/>
  <c r="BJ74" i="11" s="1"/>
  <c r="U74" i="11"/>
  <c r="G74" i="11" s="1"/>
  <c r="BK74" i="11" s="1"/>
  <c r="V74" i="11"/>
  <c r="W74" i="11"/>
  <c r="X74" i="11"/>
  <c r="Y74" i="11"/>
  <c r="BA74" i="11" s="1"/>
  <c r="Z74" i="11"/>
  <c r="BB74" i="11" s="1"/>
  <c r="AA74" i="11"/>
  <c r="P75" i="11"/>
  <c r="AR75" i="11" s="1"/>
  <c r="Q75" i="11"/>
  <c r="AS75" i="11" s="1"/>
  <c r="R75" i="11"/>
  <c r="S75" i="11"/>
  <c r="T75" i="11"/>
  <c r="F75" i="11" s="1"/>
  <c r="BJ75" i="11" s="1"/>
  <c r="U75" i="11"/>
  <c r="AW75" i="11" s="1"/>
  <c r="V75" i="11"/>
  <c r="AX75" i="11" s="1"/>
  <c r="W75" i="11"/>
  <c r="AY75" i="11" s="1"/>
  <c r="X75" i="11"/>
  <c r="J75" i="11" s="1"/>
  <c r="BN75" i="11" s="1"/>
  <c r="Y75" i="11"/>
  <c r="BA75" i="11" s="1"/>
  <c r="Z75" i="11"/>
  <c r="AA75" i="11"/>
  <c r="P76" i="11"/>
  <c r="Q76" i="11"/>
  <c r="AS76" i="11" s="1"/>
  <c r="R76" i="11"/>
  <c r="S76" i="11"/>
  <c r="AU76" i="11" s="1"/>
  <c r="T76" i="11"/>
  <c r="AV76" i="11" s="1"/>
  <c r="U76" i="11"/>
  <c r="AW76" i="11" s="1"/>
  <c r="V76" i="11"/>
  <c r="W76" i="11"/>
  <c r="X76" i="11"/>
  <c r="Y76" i="11"/>
  <c r="BA76" i="11" s="1"/>
  <c r="Z76" i="11"/>
  <c r="BB76" i="11" s="1"/>
  <c r="AA76" i="11"/>
  <c r="BC76" i="11" s="1"/>
  <c r="P77" i="11"/>
  <c r="B77" i="11" s="1"/>
  <c r="BF77" i="11" s="1"/>
  <c r="Q77" i="11"/>
  <c r="AS77" i="11" s="1"/>
  <c r="R77" i="11"/>
  <c r="S77" i="11"/>
  <c r="T77" i="11"/>
  <c r="U77" i="11"/>
  <c r="AW77" i="11" s="1"/>
  <c r="V77" i="11"/>
  <c r="AX77" i="11" s="1"/>
  <c r="W77" i="11"/>
  <c r="AY77" i="11" s="1"/>
  <c r="X77" i="11"/>
  <c r="AZ77" i="11" s="1"/>
  <c r="Y77" i="11"/>
  <c r="K77" i="11" s="1"/>
  <c r="BO77" i="11" s="1"/>
  <c r="Z77" i="11"/>
  <c r="AA77" i="11"/>
  <c r="P78" i="11"/>
  <c r="Q78" i="11"/>
  <c r="AS78" i="11" s="1"/>
  <c r="R78" i="11"/>
  <c r="AT78" i="11" s="1"/>
  <c r="S78" i="11"/>
  <c r="AU78" i="11" s="1"/>
  <c r="T78" i="11"/>
  <c r="AV78" i="11" s="1"/>
  <c r="U78" i="11"/>
  <c r="AW78" i="11" s="1"/>
  <c r="V78" i="11"/>
  <c r="W78" i="11"/>
  <c r="X78" i="11"/>
  <c r="Y78" i="11"/>
  <c r="BA78" i="11" s="1"/>
  <c r="Z78" i="11"/>
  <c r="BB78" i="11" s="1"/>
  <c r="AA78" i="11"/>
  <c r="BC78" i="11" s="1"/>
  <c r="P79" i="11"/>
  <c r="AR79" i="11" s="1"/>
  <c r="Q79" i="11"/>
  <c r="C79" i="11" s="1"/>
  <c r="BG79" i="11" s="1"/>
  <c r="R79" i="11"/>
  <c r="S79" i="11"/>
  <c r="T79" i="11"/>
  <c r="U79" i="11"/>
  <c r="AW79" i="11" s="1"/>
  <c r="V79" i="11"/>
  <c r="W79" i="11"/>
  <c r="AY79" i="11" s="1"/>
  <c r="X79" i="11"/>
  <c r="AZ79" i="11" s="1"/>
  <c r="Y79" i="11"/>
  <c r="BA79" i="11" s="1"/>
  <c r="Z79" i="11"/>
  <c r="AA79" i="11"/>
  <c r="P80" i="11"/>
  <c r="Q80" i="11"/>
  <c r="AS80" i="11" s="1"/>
  <c r="R80" i="11"/>
  <c r="AT80" i="11" s="1"/>
  <c r="S80" i="11"/>
  <c r="AU80" i="11" s="1"/>
  <c r="T80" i="11"/>
  <c r="AV80" i="11" s="1"/>
  <c r="U80" i="11"/>
  <c r="AW80" i="11" s="1"/>
  <c r="V80" i="11"/>
  <c r="W80" i="11"/>
  <c r="X80" i="11"/>
  <c r="Y80" i="11"/>
  <c r="BA80" i="11" s="1"/>
  <c r="Z80" i="11"/>
  <c r="BB80" i="11" s="1"/>
  <c r="AA80" i="11"/>
  <c r="BC80" i="11" s="1"/>
  <c r="Q50" i="11"/>
  <c r="AS50" i="11" s="1"/>
  <c r="R50" i="11"/>
  <c r="D50" i="11" s="1"/>
  <c r="BH50" i="11" s="1"/>
  <c r="S50" i="11"/>
  <c r="T50" i="11"/>
  <c r="U50" i="11"/>
  <c r="AW50" i="11" s="1"/>
  <c r="V50" i="11"/>
  <c r="AX50" i="11" s="1"/>
  <c r="W50" i="11"/>
  <c r="X50" i="11"/>
  <c r="AZ50" i="11" s="1"/>
  <c r="Y50" i="11"/>
  <c r="Z50" i="11"/>
  <c r="BB50" i="11" s="1"/>
  <c r="AA50" i="11"/>
  <c r="P50" i="11"/>
  <c r="P11" i="11"/>
  <c r="AR11" i="11" s="1"/>
  <c r="Q11" i="11"/>
  <c r="R11" i="11"/>
  <c r="AT11" i="11" s="1"/>
  <c r="S11" i="11"/>
  <c r="AU11" i="11" s="1"/>
  <c r="T11" i="11"/>
  <c r="F11" i="11" s="1"/>
  <c r="BJ11" i="11" s="1"/>
  <c r="U11" i="11"/>
  <c r="AW11" i="11" s="1"/>
  <c r="V11" i="11"/>
  <c r="W11" i="11"/>
  <c r="X11" i="11"/>
  <c r="AZ11" i="11" s="1"/>
  <c r="Y11" i="11"/>
  <c r="Z11" i="11"/>
  <c r="BB11" i="11" s="1"/>
  <c r="AA11" i="11"/>
  <c r="P12" i="11"/>
  <c r="Q12" i="11"/>
  <c r="C12" i="11" s="1"/>
  <c r="BG12" i="11" s="1"/>
  <c r="R12" i="11"/>
  <c r="D12" i="11" s="1"/>
  <c r="BH12" i="11" s="1"/>
  <c r="S12" i="11"/>
  <c r="T12" i="11"/>
  <c r="AV12" i="11" s="1"/>
  <c r="U12" i="11"/>
  <c r="V12" i="11"/>
  <c r="AX12" i="11" s="1"/>
  <c r="W12" i="11"/>
  <c r="AY12" i="11" s="1"/>
  <c r="X12" i="11"/>
  <c r="AZ12" i="11" s="1"/>
  <c r="Y12" i="11"/>
  <c r="BA12" i="11" s="1"/>
  <c r="Z12" i="11"/>
  <c r="AA12" i="11"/>
  <c r="P13" i="11"/>
  <c r="AR13" i="11" s="1"/>
  <c r="Q13" i="11"/>
  <c r="R13" i="11"/>
  <c r="AT13" i="11" s="1"/>
  <c r="S13" i="11"/>
  <c r="AU13" i="11" s="1"/>
  <c r="T13" i="11"/>
  <c r="AV13" i="11" s="1"/>
  <c r="U13" i="11"/>
  <c r="AW13" i="11" s="1"/>
  <c r="V13" i="11"/>
  <c r="AX13" i="11" s="1"/>
  <c r="W13" i="11"/>
  <c r="X13" i="11"/>
  <c r="AZ13" i="11" s="1"/>
  <c r="Y13" i="11"/>
  <c r="Z13" i="11"/>
  <c r="BB13" i="11" s="1"/>
  <c r="AA13" i="11"/>
  <c r="BC13" i="11" s="1"/>
  <c r="P14" i="11"/>
  <c r="B14" i="11" s="1"/>
  <c r="BF14" i="11" s="1"/>
  <c r="Q14" i="11"/>
  <c r="C14" i="11" s="1"/>
  <c r="BG14" i="11" s="1"/>
  <c r="R14" i="11"/>
  <c r="S14" i="11"/>
  <c r="T14" i="11"/>
  <c r="AV14" i="11" s="1"/>
  <c r="U14" i="11"/>
  <c r="V14" i="11"/>
  <c r="AX14" i="11" s="1"/>
  <c r="W14" i="11"/>
  <c r="AY14" i="11" s="1"/>
  <c r="X14" i="11"/>
  <c r="AZ14" i="11" s="1"/>
  <c r="Y14" i="11"/>
  <c r="BA14" i="11" s="1"/>
  <c r="Z14" i="11"/>
  <c r="AA14" i="11"/>
  <c r="P15" i="11"/>
  <c r="AR15" i="11" s="1"/>
  <c r="Q15" i="11"/>
  <c r="R15" i="11"/>
  <c r="D15" i="11" s="1"/>
  <c r="BH15" i="11" s="1"/>
  <c r="S15" i="11"/>
  <c r="E15" i="11" s="1"/>
  <c r="BI15" i="11" s="1"/>
  <c r="T15" i="11"/>
  <c r="F15" i="11" s="1"/>
  <c r="BJ15" i="11" s="1"/>
  <c r="U15" i="11"/>
  <c r="G15" i="11" s="1"/>
  <c r="BK15" i="11" s="1"/>
  <c r="V15" i="11"/>
  <c r="H15" i="11" s="1"/>
  <c r="BL15" i="11" s="1"/>
  <c r="W15" i="11"/>
  <c r="X15" i="11"/>
  <c r="AZ15" i="11" s="1"/>
  <c r="Y15" i="11"/>
  <c r="Z15" i="11"/>
  <c r="BB15" i="11" s="1"/>
  <c r="AA15" i="11"/>
  <c r="BC15" i="11" s="1"/>
  <c r="P16" i="11"/>
  <c r="AR16" i="11" s="1"/>
  <c r="Q16" i="11"/>
  <c r="AS16" i="11" s="1"/>
  <c r="R16" i="11"/>
  <c r="S16" i="11"/>
  <c r="T16" i="11"/>
  <c r="AV16" i="11" s="1"/>
  <c r="U16" i="11"/>
  <c r="V16" i="11"/>
  <c r="AX16" i="11" s="1"/>
  <c r="W16" i="11"/>
  <c r="AY16" i="11" s="1"/>
  <c r="X16" i="11"/>
  <c r="J16" i="11" s="1"/>
  <c r="BN16" i="11" s="1"/>
  <c r="Y16" i="11"/>
  <c r="BA16" i="11" s="1"/>
  <c r="Z16" i="11"/>
  <c r="AA16" i="11"/>
  <c r="P17" i="11"/>
  <c r="AR17" i="11" s="1"/>
  <c r="Q17" i="11"/>
  <c r="R17" i="11"/>
  <c r="AT17" i="11" s="1"/>
  <c r="S17" i="11"/>
  <c r="T17" i="11"/>
  <c r="U17" i="11"/>
  <c r="G17" i="11" s="1"/>
  <c r="BK17" i="11" s="1"/>
  <c r="V17" i="11"/>
  <c r="W17" i="11"/>
  <c r="X17" i="11"/>
  <c r="AZ17" i="11" s="1"/>
  <c r="Y17" i="11"/>
  <c r="Z17" i="11"/>
  <c r="BB17" i="11" s="1"/>
  <c r="AA17" i="11"/>
  <c r="BC17" i="11" s="1"/>
  <c r="P18" i="11"/>
  <c r="AR18" i="11" s="1"/>
  <c r="Q18" i="11"/>
  <c r="AS18" i="11" s="1"/>
  <c r="R18" i="11"/>
  <c r="S18" i="11"/>
  <c r="T18" i="11"/>
  <c r="AV18" i="11" s="1"/>
  <c r="U18" i="11"/>
  <c r="V18" i="11"/>
  <c r="W18" i="11"/>
  <c r="X18" i="11"/>
  <c r="Y18" i="11"/>
  <c r="Z18" i="11"/>
  <c r="BB18" i="11" s="1"/>
  <c r="AA18" i="11"/>
  <c r="P19" i="11"/>
  <c r="AR19" i="11" s="1"/>
  <c r="Q19" i="11"/>
  <c r="R19" i="11"/>
  <c r="AT19" i="11" s="1"/>
  <c r="S19" i="11"/>
  <c r="AU19" i="11" s="1"/>
  <c r="T19" i="11"/>
  <c r="F19" i="11" s="1"/>
  <c r="BJ19" i="11" s="1"/>
  <c r="U19" i="11"/>
  <c r="AW19" i="11" s="1"/>
  <c r="V19" i="11"/>
  <c r="W19" i="11"/>
  <c r="X19" i="11"/>
  <c r="AZ19" i="11" s="1"/>
  <c r="Y19" i="11"/>
  <c r="Z19" i="11"/>
  <c r="L19" i="11" s="1"/>
  <c r="BP19" i="11" s="1"/>
  <c r="AA19" i="11"/>
  <c r="BC19" i="11" s="1"/>
  <c r="P20" i="11"/>
  <c r="AR20" i="11" s="1"/>
  <c r="Q20" i="11"/>
  <c r="AS20" i="11" s="1"/>
  <c r="R20" i="11"/>
  <c r="S20" i="11"/>
  <c r="T20" i="11"/>
  <c r="AV20" i="11" s="1"/>
  <c r="U20" i="11"/>
  <c r="V20" i="11"/>
  <c r="H20" i="11" s="1"/>
  <c r="BL20" i="11" s="1"/>
  <c r="W20" i="11"/>
  <c r="I20" i="11" s="1"/>
  <c r="BM20" i="11" s="1"/>
  <c r="X20" i="11"/>
  <c r="J20" i="11" s="1"/>
  <c r="BN20" i="11" s="1"/>
  <c r="Y20" i="11"/>
  <c r="K20" i="11" s="1"/>
  <c r="BO20" i="11" s="1"/>
  <c r="Z20" i="11"/>
  <c r="AA20" i="11"/>
  <c r="P21" i="11"/>
  <c r="AR21" i="11" s="1"/>
  <c r="Q21" i="11"/>
  <c r="R21" i="11"/>
  <c r="AT21" i="11" s="1"/>
  <c r="S21" i="11"/>
  <c r="AU21" i="11" s="1"/>
  <c r="T21" i="11"/>
  <c r="AV21" i="11" s="1"/>
  <c r="U21" i="11"/>
  <c r="AW21" i="11" s="1"/>
  <c r="V21" i="11"/>
  <c r="W21" i="11"/>
  <c r="X21" i="11"/>
  <c r="AZ21" i="11" s="1"/>
  <c r="Y21" i="11"/>
  <c r="Z21" i="11"/>
  <c r="AA21" i="11"/>
  <c r="P22" i="11"/>
  <c r="B22" i="11" s="1"/>
  <c r="BF22" i="11" s="1"/>
  <c r="Q22" i="11"/>
  <c r="AS22" i="11" s="1"/>
  <c r="R22" i="11"/>
  <c r="S22" i="11"/>
  <c r="T22" i="11"/>
  <c r="AV22" i="11" s="1"/>
  <c r="U22" i="11"/>
  <c r="V22" i="11"/>
  <c r="AX22" i="11" s="1"/>
  <c r="W22" i="11"/>
  <c r="X22" i="11"/>
  <c r="Y22" i="11"/>
  <c r="BA22" i="11" s="1"/>
  <c r="Z22" i="11"/>
  <c r="AA22" i="11"/>
  <c r="P23" i="11"/>
  <c r="AR23" i="11" s="1"/>
  <c r="Q23" i="11"/>
  <c r="R23" i="11"/>
  <c r="AT23" i="11" s="1"/>
  <c r="S23" i="11"/>
  <c r="AU23" i="11" s="1"/>
  <c r="T23" i="11"/>
  <c r="AV23" i="11" s="1"/>
  <c r="U23" i="11"/>
  <c r="AW23" i="11" s="1"/>
  <c r="V23" i="11"/>
  <c r="W23" i="11"/>
  <c r="X23" i="11"/>
  <c r="AZ23" i="11" s="1"/>
  <c r="Y23" i="11"/>
  <c r="Z23" i="11"/>
  <c r="AA23" i="11"/>
  <c r="P24" i="11"/>
  <c r="Q24" i="11"/>
  <c r="R24" i="11"/>
  <c r="AT24" i="11" s="1"/>
  <c r="S24" i="11"/>
  <c r="T24" i="11"/>
  <c r="AV24" i="11" s="1"/>
  <c r="U24" i="11"/>
  <c r="V24" i="11"/>
  <c r="AX24" i="11" s="1"/>
  <c r="W24" i="11"/>
  <c r="AY24" i="11" s="1"/>
  <c r="X24" i="11"/>
  <c r="AZ24" i="11" s="1"/>
  <c r="Y24" i="11"/>
  <c r="BA24" i="11" s="1"/>
  <c r="Z24" i="11"/>
  <c r="AA24" i="11"/>
  <c r="BC24" i="11" s="1"/>
  <c r="P25" i="11"/>
  <c r="AR25" i="11" s="1"/>
  <c r="Q25" i="11"/>
  <c r="AS25" i="11" s="1"/>
  <c r="R25" i="11"/>
  <c r="D25" i="11" s="1"/>
  <c r="BH25" i="11" s="1"/>
  <c r="S25" i="11"/>
  <c r="E25" i="11" s="1"/>
  <c r="BI25" i="11" s="1"/>
  <c r="T25" i="11"/>
  <c r="AV25" i="11" s="1"/>
  <c r="U25" i="11"/>
  <c r="AW25" i="11" s="1"/>
  <c r="V25" i="11"/>
  <c r="W25" i="11"/>
  <c r="AY25" i="11" s="1"/>
  <c r="X25" i="11"/>
  <c r="AZ25" i="11" s="1"/>
  <c r="Y25" i="11"/>
  <c r="BA25" i="11" s="1"/>
  <c r="Z25" i="11"/>
  <c r="L25" i="11" s="1"/>
  <c r="BP25" i="11" s="1"/>
  <c r="AA25" i="11"/>
  <c r="M25" i="11" s="1"/>
  <c r="BQ25" i="11" s="1"/>
  <c r="P26" i="11"/>
  <c r="B26" i="11" s="1"/>
  <c r="BF26" i="11" s="1"/>
  <c r="Q26" i="11"/>
  <c r="AS26" i="11" s="1"/>
  <c r="R26" i="11"/>
  <c r="S26" i="11"/>
  <c r="AU26" i="11" s="1"/>
  <c r="T26" i="11"/>
  <c r="AV26" i="11" s="1"/>
  <c r="U26" i="11"/>
  <c r="AW26" i="11" s="1"/>
  <c r="V26" i="11"/>
  <c r="AX26" i="11" s="1"/>
  <c r="W26" i="11"/>
  <c r="AY26" i="11" s="1"/>
  <c r="X26" i="11"/>
  <c r="AZ26" i="11" s="1"/>
  <c r="Y26" i="11"/>
  <c r="BA26" i="11" s="1"/>
  <c r="Z26" i="11"/>
  <c r="AA26" i="11"/>
  <c r="P27" i="11"/>
  <c r="AR27" i="11" s="1"/>
  <c r="Q27" i="11"/>
  <c r="AS27" i="11" s="1"/>
  <c r="R27" i="11"/>
  <c r="D27" i="11" s="1"/>
  <c r="BH27" i="11" s="1"/>
  <c r="S27" i="11"/>
  <c r="E27" i="11" s="1"/>
  <c r="BI27" i="11" s="1"/>
  <c r="T27" i="11"/>
  <c r="F27" i="11" s="1"/>
  <c r="BJ27" i="11" s="1"/>
  <c r="U27" i="11"/>
  <c r="AW27" i="11" s="1"/>
  <c r="V27" i="11"/>
  <c r="W27" i="11"/>
  <c r="X27" i="11"/>
  <c r="AZ27" i="11" s="1"/>
  <c r="Y27" i="11"/>
  <c r="BA27" i="11" s="1"/>
  <c r="Z27" i="11"/>
  <c r="BB27" i="11" s="1"/>
  <c r="AA27" i="11"/>
  <c r="M27" i="11" s="1"/>
  <c r="BQ27" i="11" s="1"/>
  <c r="P28" i="11"/>
  <c r="AR28" i="11" s="1"/>
  <c r="Q28" i="11"/>
  <c r="AS28" i="11" s="1"/>
  <c r="R28" i="11"/>
  <c r="S28" i="11"/>
  <c r="AU28" i="11" s="1"/>
  <c r="T28" i="11"/>
  <c r="AV28" i="11" s="1"/>
  <c r="U28" i="11"/>
  <c r="AW28" i="11" s="1"/>
  <c r="V28" i="11"/>
  <c r="H28" i="11" s="1"/>
  <c r="BL28" i="11" s="1"/>
  <c r="W28" i="11"/>
  <c r="AY28" i="11" s="1"/>
  <c r="X28" i="11"/>
  <c r="AZ28" i="11" s="1"/>
  <c r="Y28" i="11"/>
  <c r="BA28" i="11" s="1"/>
  <c r="Z28" i="11"/>
  <c r="AA28" i="11"/>
  <c r="P29" i="11"/>
  <c r="AR29" i="11" s="1"/>
  <c r="Q29" i="11"/>
  <c r="AS29" i="11" s="1"/>
  <c r="R29" i="11"/>
  <c r="D29" i="11" s="1"/>
  <c r="BH29" i="11" s="1"/>
  <c r="S29" i="11"/>
  <c r="E29" i="11" s="1"/>
  <c r="BI29" i="11" s="1"/>
  <c r="T29" i="11"/>
  <c r="F29" i="11" s="1"/>
  <c r="BJ29" i="11" s="1"/>
  <c r="U29" i="11"/>
  <c r="AW29" i="11" s="1"/>
  <c r="V29" i="11"/>
  <c r="W29" i="11"/>
  <c r="AY29" i="11" s="1"/>
  <c r="X29" i="11"/>
  <c r="AZ29" i="11" s="1"/>
  <c r="Y29" i="11"/>
  <c r="BA29" i="11" s="1"/>
  <c r="Z29" i="11"/>
  <c r="BB29" i="11" s="1"/>
  <c r="AA29" i="11"/>
  <c r="BC29" i="11" s="1"/>
  <c r="P30" i="11"/>
  <c r="B30" i="11" s="1"/>
  <c r="BF30" i="11" s="1"/>
  <c r="Q30" i="11"/>
  <c r="AS30" i="11" s="1"/>
  <c r="R30" i="11"/>
  <c r="S30" i="11"/>
  <c r="AU30" i="11" s="1"/>
  <c r="T30" i="11"/>
  <c r="AV30" i="11" s="1"/>
  <c r="U30" i="11"/>
  <c r="AW30" i="11" s="1"/>
  <c r="V30" i="11"/>
  <c r="H30" i="11" s="1"/>
  <c r="BL30" i="11" s="1"/>
  <c r="W30" i="11"/>
  <c r="I30" i="11" s="1"/>
  <c r="BM30" i="11" s="1"/>
  <c r="X30" i="11"/>
  <c r="AZ30" i="11" s="1"/>
  <c r="Y30" i="11"/>
  <c r="BA30" i="11" s="1"/>
  <c r="Z30" i="11"/>
  <c r="AA30" i="11"/>
  <c r="BC30" i="11" s="1"/>
  <c r="P31" i="11"/>
  <c r="AR31" i="11" s="1"/>
  <c r="Q31" i="11"/>
  <c r="AS31" i="11" s="1"/>
  <c r="R31" i="11"/>
  <c r="D31" i="11" s="1"/>
  <c r="BH31" i="11" s="1"/>
  <c r="S31" i="11"/>
  <c r="E31" i="11" s="1"/>
  <c r="BI31" i="11" s="1"/>
  <c r="T31" i="11"/>
  <c r="AV31" i="11" s="1"/>
  <c r="U31" i="11"/>
  <c r="AW31" i="11" s="1"/>
  <c r="V31" i="11"/>
  <c r="W31" i="11"/>
  <c r="AY31" i="11" s="1"/>
  <c r="X31" i="11"/>
  <c r="AZ31" i="11" s="1"/>
  <c r="Y31" i="11"/>
  <c r="BA31" i="11" s="1"/>
  <c r="Z31" i="11"/>
  <c r="BB31" i="11" s="1"/>
  <c r="AA31" i="11"/>
  <c r="BC31" i="11" s="1"/>
  <c r="P32" i="11"/>
  <c r="AR32" i="11" s="1"/>
  <c r="Q32" i="11"/>
  <c r="AS32" i="11" s="1"/>
  <c r="R32" i="11"/>
  <c r="S32" i="11"/>
  <c r="T32" i="11"/>
  <c r="AV32" i="11" s="1"/>
  <c r="U32" i="11"/>
  <c r="AW32" i="11" s="1"/>
  <c r="V32" i="11"/>
  <c r="H32" i="11" s="1"/>
  <c r="BL32" i="11" s="1"/>
  <c r="W32" i="11"/>
  <c r="I32" i="11" s="1"/>
  <c r="BM32" i="11" s="1"/>
  <c r="X32" i="11"/>
  <c r="J32" i="11" s="1"/>
  <c r="BN32" i="11" s="1"/>
  <c r="Y32" i="11"/>
  <c r="BA32" i="11" s="1"/>
  <c r="Z32" i="11"/>
  <c r="AA32" i="11"/>
  <c r="P33" i="11"/>
  <c r="AR33" i="11" s="1"/>
  <c r="Q33" i="11"/>
  <c r="AS33" i="11" s="1"/>
  <c r="R33" i="11"/>
  <c r="AT33" i="11" s="1"/>
  <c r="S33" i="11"/>
  <c r="AU33" i="11" s="1"/>
  <c r="T33" i="11"/>
  <c r="AV33" i="11" s="1"/>
  <c r="U33" i="11"/>
  <c r="G33" i="11" s="1"/>
  <c r="BK33" i="11" s="1"/>
  <c r="V33" i="11"/>
  <c r="W33" i="11"/>
  <c r="AY33" i="11" s="1"/>
  <c r="X33" i="11"/>
  <c r="AZ33" i="11" s="1"/>
  <c r="Y33" i="11"/>
  <c r="BA33" i="11" s="1"/>
  <c r="Z33" i="11"/>
  <c r="L33" i="11" s="1"/>
  <c r="BP33" i="11" s="1"/>
  <c r="AA33" i="11"/>
  <c r="BC33" i="11" s="1"/>
  <c r="P34" i="11"/>
  <c r="AR34" i="11" s="1"/>
  <c r="Q34" i="11"/>
  <c r="AS34" i="11" s="1"/>
  <c r="R34" i="11"/>
  <c r="S34" i="11"/>
  <c r="T34" i="11"/>
  <c r="AV34" i="11" s="1"/>
  <c r="U34" i="11"/>
  <c r="AW34" i="11" s="1"/>
  <c r="V34" i="11"/>
  <c r="H34" i="11" s="1"/>
  <c r="BL34" i="11" s="1"/>
  <c r="W34" i="11"/>
  <c r="I34" i="11" s="1"/>
  <c r="BM34" i="11" s="1"/>
  <c r="X34" i="11"/>
  <c r="AZ34" i="11" s="1"/>
  <c r="Y34" i="11"/>
  <c r="K34" i="11" s="1"/>
  <c r="BO34" i="11" s="1"/>
  <c r="Z34" i="11"/>
  <c r="AA34" i="11"/>
  <c r="BC34" i="11" s="1"/>
  <c r="P35" i="11"/>
  <c r="AR35" i="11" s="1"/>
  <c r="Q35" i="11"/>
  <c r="AS35" i="11" s="1"/>
  <c r="R35" i="11"/>
  <c r="AT35" i="11" s="1"/>
  <c r="S35" i="11"/>
  <c r="AU35" i="11" s="1"/>
  <c r="T35" i="11"/>
  <c r="F35" i="11" s="1"/>
  <c r="BJ35" i="11" s="1"/>
  <c r="U35" i="11"/>
  <c r="G35" i="11" s="1"/>
  <c r="BK35" i="11" s="1"/>
  <c r="V35" i="11"/>
  <c r="W35" i="11"/>
  <c r="AY35" i="11" s="1"/>
  <c r="X35" i="11"/>
  <c r="AZ35" i="11" s="1"/>
  <c r="Y35" i="11"/>
  <c r="BA35" i="11" s="1"/>
  <c r="Z35" i="11"/>
  <c r="L35" i="11" s="1"/>
  <c r="BP35" i="11" s="1"/>
  <c r="AA35" i="11"/>
  <c r="M35" i="11" s="1"/>
  <c r="BQ35" i="11" s="1"/>
  <c r="P36" i="11"/>
  <c r="AR36" i="11" s="1"/>
  <c r="Q36" i="11"/>
  <c r="AS36" i="11" s="1"/>
  <c r="R36" i="11"/>
  <c r="AT36" i="11" s="1"/>
  <c r="S36" i="11"/>
  <c r="AU36" i="11" s="1"/>
  <c r="T36" i="11"/>
  <c r="AV36" i="11" s="1"/>
  <c r="U36" i="11"/>
  <c r="AW36" i="11" s="1"/>
  <c r="V36" i="11"/>
  <c r="H36" i="11" s="1"/>
  <c r="BL36" i="11" s="1"/>
  <c r="W36" i="11"/>
  <c r="AY36" i="11" s="1"/>
  <c r="X36" i="11"/>
  <c r="AZ36" i="11" s="1"/>
  <c r="Y36" i="11"/>
  <c r="K36" i="11" s="1"/>
  <c r="BO36" i="11" s="1"/>
  <c r="Z36" i="11"/>
  <c r="AA36" i="11"/>
  <c r="P37" i="11"/>
  <c r="AR37" i="11" s="1"/>
  <c r="Q37" i="11"/>
  <c r="AS37" i="11" s="1"/>
  <c r="R37" i="11"/>
  <c r="AT37" i="11" s="1"/>
  <c r="S37" i="11"/>
  <c r="AU37" i="11" s="1"/>
  <c r="T37" i="11"/>
  <c r="AV37" i="11" s="1"/>
  <c r="U37" i="11"/>
  <c r="AW37" i="11" s="1"/>
  <c r="V37" i="11"/>
  <c r="AX37" i="11" s="1"/>
  <c r="W37" i="11"/>
  <c r="X37" i="11"/>
  <c r="AZ37" i="11" s="1"/>
  <c r="Y37" i="11"/>
  <c r="BA37" i="11" s="1"/>
  <c r="Z37" i="11"/>
  <c r="L37" i="11" s="1"/>
  <c r="BP37" i="11" s="1"/>
  <c r="AA37" i="11"/>
  <c r="M37" i="11" s="1"/>
  <c r="BQ37" i="11" s="1"/>
  <c r="P38" i="11"/>
  <c r="AR38" i="11" s="1"/>
  <c r="Q38" i="11"/>
  <c r="AS38" i="11" s="1"/>
  <c r="R38" i="11"/>
  <c r="AT38" i="11" s="1"/>
  <c r="S38" i="11"/>
  <c r="AU38" i="11" s="1"/>
  <c r="T38" i="11"/>
  <c r="AV38" i="11" s="1"/>
  <c r="U38" i="11"/>
  <c r="AW38" i="11" s="1"/>
  <c r="V38" i="11"/>
  <c r="AX38" i="11" s="1"/>
  <c r="W38" i="11"/>
  <c r="AY38" i="11" s="1"/>
  <c r="X38" i="11"/>
  <c r="AZ38" i="11" s="1"/>
  <c r="Y38" i="11"/>
  <c r="K38" i="11" s="1"/>
  <c r="BO38" i="11" s="1"/>
  <c r="Z38" i="11"/>
  <c r="BB38" i="11" s="1"/>
  <c r="AA38" i="11"/>
  <c r="BC38" i="11" s="1"/>
  <c r="P39" i="11"/>
  <c r="AR39" i="11" s="1"/>
  <c r="Q39" i="11"/>
  <c r="AS39" i="11" s="1"/>
  <c r="R39" i="11"/>
  <c r="D39" i="11" s="1"/>
  <c r="BH39" i="11" s="1"/>
  <c r="S39" i="11"/>
  <c r="AU39" i="11" s="1"/>
  <c r="T39" i="11"/>
  <c r="AV39" i="11" s="1"/>
  <c r="U39" i="11"/>
  <c r="AW39" i="11" s="1"/>
  <c r="V39" i="11"/>
  <c r="W39" i="11"/>
  <c r="X39" i="11"/>
  <c r="AZ39" i="11" s="1"/>
  <c r="Y39" i="11"/>
  <c r="BA39" i="11" s="1"/>
  <c r="Z39" i="11"/>
  <c r="L39" i="11" s="1"/>
  <c r="BP39" i="11" s="1"/>
  <c r="AA39" i="11"/>
  <c r="BC39" i="11" s="1"/>
  <c r="P40" i="11"/>
  <c r="B40" i="11" s="1"/>
  <c r="BF40" i="11" s="1"/>
  <c r="Q40" i="11"/>
  <c r="AS40" i="11" s="1"/>
  <c r="R40" i="11"/>
  <c r="AT40" i="11" s="1"/>
  <c r="S40" i="11"/>
  <c r="T40" i="11"/>
  <c r="AV40" i="11" s="1"/>
  <c r="U40" i="11"/>
  <c r="AW40" i="11" s="1"/>
  <c r="V40" i="11"/>
  <c r="AX40" i="11" s="1"/>
  <c r="W40" i="11"/>
  <c r="AY40" i="11" s="1"/>
  <c r="X40" i="11"/>
  <c r="AZ40" i="11" s="1"/>
  <c r="Y40" i="11"/>
  <c r="K40" i="11" s="1"/>
  <c r="BO40" i="11" s="1"/>
  <c r="Z40" i="11"/>
  <c r="BB40" i="11" s="1"/>
  <c r="AA40" i="11"/>
  <c r="M40" i="11" s="1"/>
  <c r="BQ40" i="11" s="1"/>
  <c r="Q10" i="11"/>
  <c r="AS10" i="11" s="1"/>
  <c r="R10" i="11"/>
  <c r="AT10" i="11" s="1"/>
  <c r="S10" i="11"/>
  <c r="AU10" i="11" s="1"/>
  <c r="T10" i="11"/>
  <c r="AV10" i="11" s="1"/>
  <c r="U10" i="11"/>
  <c r="AW10" i="11" s="1"/>
  <c r="V10" i="11"/>
  <c r="AX10" i="11" s="1"/>
  <c r="W10" i="11"/>
  <c r="AY10" i="11" s="1"/>
  <c r="X10" i="11"/>
  <c r="AZ10" i="11" s="1"/>
  <c r="Y10" i="11"/>
  <c r="BA10" i="11" s="1"/>
  <c r="Z10" i="11"/>
  <c r="BB10" i="11" s="1"/>
  <c r="AA10" i="11"/>
  <c r="M10" i="11" s="1"/>
  <c r="BQ10" i="11" s="1"/>
  <c r="AE245" i="11"/>
  <c r="AD245" i="11"/>
  <c r="AM244" i="11"/>
  <c r="AI243" i="11"/>
  <c r="AH243" i="11"/>
  <c r="AH242" i="11"/>
  <c r="AM205" i="11"/>
  <c r="AI205" i="11"/>
  <c r="AD203" i="11"/>
  <c r="AH202" i="11"/>
  <c r="AF202" i="11"/>
  <c r="AM164" i="11"/>
  <c r="AL164" i="11"/>
  <c r="P163" i="11"/>
  <c r="AH162" i="11"/>
  <c r="AI124" i="11"/>
  <c r="AH124" i="11"/>
  <c r="AN121" i="11"/>
  <c r="AM121" i="11"/>
  <c r="AL84" i="11"/>
  <c r="AE84" i="11"/>
  <c r="AD84" i="11"/>
  <c r="AE82" i="11"/>
  <c r="Y82" i="11"/>
  <c r="AL81" i="11"/>
  <c r="AL44" i="11"/>
  <c r="AD44" i="11"/>
  <c r="T44" i="11"/>
  <c r="BF244" i="13" l="1"/>
  <c r="BM244" i="13"/>
  <c r="BO204" i="13"/>
  <c r="BG204" i="13"/>
  <c r="BQ204" i="13"/>
  <c r="BN204" i="13"/>
  <c r="BF204" i="13"/>
  <c r="BN164" i="13"/>
  <c r="BF164" i="13"/>
  <c r="BJ164" i="13"/>
  <c r="BP164" i="13"/>
  <c r="BI124" i="13"/>
  <c r="BQ84" i="13"/>
  <c r="BQ44" i="13"/>
  <c r="BJ44" i="13"/>
  <c r="BI44" i="13"/>
  <c r="BG44" i="13"/>
  <c r="BM44" i="13"/>
  <c r="R365" i="13"/>
  <c r="U325" i="13"/>
  <c r="Y325" i="13"/>
  <c r="AS245" i="13"/>
  <c r="AS243" i="13"/>
  <c r="AS241" i="13"/>
  <c r="AS242" i="13"/>
  <c r="BN212" i="13"/>
  <c r="BK211" i="13"/>
  <c r="G241" i="13"/>
  <c r="G245" i="13" s="1"/>
  <c r="AY245" i="13"/>
  <c r="AY243" i="13"/>
  <c r="AY242" i="13"/>
  <c r="AY241" i="13"/>
  <c r="AU202" i="13"/>
  <c r="AU201" i="13"/>
  <c r="AU203" i="13"/>
  <c r="AU205" i="13"/>
  <c r="BI172" i="13"/>
  <c r="AV125" i="13"/>
  <c r="AV123" i="13"/>
  <c r="AV121" i="13"/>
  <c r="AV122" i="13"/>
  <c r="C162" i="13"/>
  <c r="C163" i="13"/>
  <c r="C161" i="13"/>
  <c r="C165" i="13" s="1"/>
  <c r="BG130" i="13"/>
  <c r="D82" i="13"/>
  <c r="D81" i="13"/>
  <c r="D85" i="13" s="1"/>
  <c r="D83" i="13"/>
  <c r="BH50" i="13"/>
  <c r="F122" i="13"/>
  <c r="BC85" i="13"/>
  <c r="P323" i="13"/>
  <c r="P321" i="13"/>
  <c r="P322" i="13"/>
  <c r="BC244" i="13"/>
  <c r="L241" i="13"/>
  <c r="L243" i="13"/>
  <c r="BP210" i="13"/>
  <c r="L242" i="13"/>
  <c r="C242" i="13"/>
  <c r="C241" i="13"/>
  <c r="C245" i="13" s="1"/>
  <c r="BG210" i="13"/>
  <c r="C243" i="13"/>
  <c r="D244" i="13"/>
  <c r="BH225" i="13"/>
  <c r="BH244" i="13" s="1"/>
  <c r="H204" i="13"/>
  <c r="B162" i="13"/>
  <c r="BN161" i="13"/>
  <c r="BN163" i="13"/>
  <c r="BN165" i="13"/>
  <c r="BN162" i="13"/>
  <c r="D161" i="13"/>
  <c r="D163" i="13"/>
  <c r="D162" i="13"/>
  <c r="D165" i="13" s="1"/>
  <c r="BH130" i="13"/>
  <c r="BB163" i="13"/>
  <c r="BB162" i="13"/>
  <c r="G204" i="13"/>
  <c r="BG212" i="13"/>
  <c r="AA325" i="13"/>
  <c r="R363" i="13"/>
  <c r="R362" i="13"/>
  <c r="R361" i="13"/>
  <c r="Q363" i="13"/>
  <c r="Q362" i="13"/>
  <c r="Q361" i="13"/>
  <c r="Z285" i="13"/>
  <c r="P283" i="13"/>
  <c r="F244" i="13"/>
  <c r="BJ225" i="13"/>
  <c r="BJ244" i="13" s="1"/>
  <c r="Z283" i="13"/>
  <c r="Z282" i="13"/>
  <c r="Z281" i="13"/>
  <c r="AY205" i="13"/>
  <c r="AY203" i="13"/>
  <c r="AY201" i="13"/>
  <c r="AY202" i="13"/>
  <c r="BA241" i="13"/>
  <c r="F204" i="13"/>
  <c r="BJ185" i="13"/>
  <c r="BJ204" i="13" s="1"/>
  <c r="I243" i="13"/>
  <c r="D204" i="13"/>
  <c r="BH185" i="13"/>
  <c r="BH204" i="13" s="1"/>
  <c r="D203" i="13"/>
  <c r="BH170" i="13"/>
  <c r="D202" i="13"/>
  <c r="D201" i="13"/>
  <c r="D205" i="13" s="1"/>
  <c r="AV164" i="13"/>
  <c r="AS201" i="13"/>
  <c r="AS202" i="13"/>
  <c r="AS203" i="13"/>
  <c r="AS205" i="13"/>
  <c r="C201" i="13"/>
  <c r="C203" i="13"/>
  <c r="C202" i="13"/>
  <c r="BG170" i="13"/>
  <c r="BA242" i="13"/>
  <c r="BB203" i="13"/>
  <c r="BF161" i="13"/>
  <c r="BF165" i="13"/>
  <c r="BF162" i="13"/>
  <c r="BF163" i="13"/>
  <c r="BK205" i="13"/>
  <c r="BK201" i="13"/>
  <c r="BK202" i="13"/>
  <c r="BK203" i="13"/>
  <c r="AR124" i="13"/>
  <c r="C164" i="13"/>
  <c r="BG145" i="13"/>
  <c r="BG164" i="13" s="1"/>
  <c r="AR205" i="13"/>
  <c r="AR203" i="13"/>
  <c r="AR201" i="13"/>
  <c r="AR202" i="13"/>
  <c r="F124" i="13"/>
  <c r="BJ105" i="13"/>
  <c r="BJ124" i="13" s="1"/>
  <c r="BP123" i="13"/>
  <c r="BM145" i="13"/>
  <c r="BM164" i="13" s="1"/>
  <c r="I164" i="13"/>
  <c r="BC125" i="13"/>
  <c r="BC123" i="13"/>
  <c r="BC121" i="13"/>
  <c r="BC122" i="13"/>
  <c r="H122" i="13"/>
  <c r="H121" i="13"/>
  <c r="H125" i="13" s="1"/>
  <c r="BL90" i="13"/>
  <c r="H123" i="13"/>
  <c r="AZ122" i="13"/>
  <c r="AR85" i="13"/>
  <c r="AR83" i="13"/>
  <c r="AR81" i="13"/>
  <c r="AR82" i="13"/>
  <c r="D122" i="13"/>
  <c r="D125" i="13" s="1"/>
  <c r="AU84" i="13"/>
  <c r="BM203" i="13"/>
  <c r="AR121" i="13"/>
  <c r="AR122" i="13"/>
  <c r="AR123" i="13"/>
  <c r="AR125" i="13"/>
  <c r="G123" i="13"/>
  <c r="J43" i="13"/>
  <c r="BN10" i="13"/>
  <c r="J42" i="13"/>
  <c r="J41" i="13"/>
  <c r="AT163" i="13"/>
  <c r="BM45" i="13"/>
  <c r="BM43" i="13"/>
  <c r="BM41" i="13"/>
  <c r="BM42" i="13"/>
  <c r="BJ123" i="13"/>
  <c r="BC82" i="13"/>
  <c r="F83" i="13"/>
  <c r="BJ50" i="13"/>
  <c r="F82" i="13"/>
  <c r="F85" i="13" s="1"/>
  <c r="F81" i="13"/>
  <c r="AS81" i="13"/>
  <c r="BA83" i="13"/>
  <c r="BJ42" i="13"/>
  <c r="BJ41" i="13"/>
  <c r="BJ45" i="13"/>
  <c r="BJ43" i="13"/>
  <c r="M121" i="13"/>
  <c r="K82" i="13"/>
  <c r="K81" i="13"/>
  <c r="K85" i="13" s="1"/>
  <c r="K83" i="13"/>
  <c r="BO50" i="13"/>
  <c r="G124" i="13"/>
  <c r="BK105" i="13"/>
  <c r="BK124" i="13" s="1"/>
  <c r="E43" i="13"/>
  <c r="AU85" i="13"/>
  <c r="BI84" i="13"/>
  <c r="AA284" i="13"/>
  <c r="T324" i="13"/>
  <c r="Z284" i="13"/>
  <c r="AT244" i="13"/>
  <c r="T284" i="13"/>
  <c r="P281" i="13"/>
  <c r="AA283" i="13"/>
  <c r="AA282" i="13"/>
  <c r="AA281" i="13"/>
  <c r="AA285" i="13" s="1"/>
  <c r="BK225" i="13"/>
  <c r="BK244" i="13" s="1"/>
  <c r="G244" i="13"/>
  <c r="S285" i="13"/>
  <c r="BQ225" i="13"/>
  <c r="BQ244" i="13" s="1"/>
  <c r="M244" i="13"/>
  <c r="J242" i="13"/>
  <c r="J241" i="13"/>
  <c r="BN210" i="13"/>
  <c r="J243" i="13"/>
  <c r="M241" i="13"/>
  <c r="M245" i="13" s="1"/>
  <c r="L245" i="13"/>
  <c r="BP212" i="13"/>
  <c r="I241" i="13"/>
  <c r="E203" i="13"/>
  <c r="BI170" i="13"/>
  <c r="E201" i="13"/>
  <c r="E202" i="13"/>
  <c r="E205" i="13" s="1"/>
  <c r="AZ165" i="13"/>
  <c r="AZ163" i="13"/>
  <c r="AZ162" i="13"/>
  <c r="AZ161" i="13"/>
  <c r="AV162" i="13"/>
  <c r="AV161" i="13"/>
  <c r="AV165" i="13"/>
  <c r="AV163" i="13"/>
  <c r="G201" i="13"/>
  <c r="AT161" i="13"/>
  <c r="BC203" i="13"/>
  <c r="E204" i="13"/>
  <c r="BI185" i="13"/>
  <c r="BI204" i="13" s="1"/>
  <c r="AU162" i="13"/>
  <c r="F203" i="13"/>
  <c r="F202" i="13"/>
  <c r="F201" i="13"/>
  <c r="BJ170" i="13"/>
  <c r="H164" i="13"/>
  <c r="H124" i="13"/>
  <c r="BL105" i="13"/>
  <c r="BL124" i="13" s="1"/>
  <c r="BH123" i="13"/>
  <c r="BH121" i="13"/>
  <c r="H203" i="13"/>
  <c r="BK164" i="13"/>
  <c r="AU125" i="13"/>
  <c r="AU123" i="13"/>
  <c r="AU122" i="13"/>
  <c r="AU121" i="13"/>
  <c r="K162" i="13"/>
  <c r="K161" i="13"/>
  <c r="K165" i="13" s="1"/>
  <c r="K163" i="13"/>
  <c r="BO130" i="13"/>
  <c r="BM163" i="13"/>
  <c r="H84" i="13"/>
  <c r="BL65" i="13"/>
  <c r="BL84" i="13" s="1"/>
  <c r="I203" i="13"/>
  <c r="G121" i="13"/>
  <c r="D84" i="13"/>
  <c r="BL85" i="13"/>
  <c r="BL83" i="13"/>
  <c r="BL81" i="13"/>
  <c r="BL82" i="13"/>
  <c r="K44" i="13"/>
  <c r="BO25" i="13"/>
  <c r="BO44" i="13" s="1"/>
  <c r="B43" i="13"/>
  <c r="BF10" i="13"/>
  <c r="B41" i="13"/>
  <c r="B42" i="13"/>
  <c r="BC45" i="13"/>
  <c r="BC43" i="13"/>
  <c r="BC41" i="13"/>
  <c r="BC42" i="13"/>
  <c r="I41" i="13"/>
  <c r="I45" i="13" s="1"/>
  <c r="BJ125" i="13"/>
  <c r="BC81" i="13"/>
  <c r="BK25" i="13"/>
  <c r="BK44" i="13" s="1"/>
  <c r="G44" i="13"/>
  <c r="H43" i="13"/>
  <c r="H42" i="13"/>
  <c r="BL10" i="13"/>
  <c r="H41" i="13"/>
  <c r="H45" i="13" s="1"/>
  <c r="AS83" i="13"/>
  <c r="BA45" i="13"/>
  <c r="BA43" i="13"/>
  <c r="BA41" i="13"/>
  <c r="BA42" i="13"/>
  <c r="AZ42" i="13"/>
  <c r="AZ41" i="13"/>
  <c r="AZ45" i="13"/>
  <c r="AZ43" i="13"/>
  <c r="F42" i="13"/>
  <c r="F45" i="13" s="1"/>
  <c r="AY121" i="13"/>
  <c r="AY122" i="13"/>
  <c r="AY125" i="13"/>
  <c r="AY123" i="13"/>
  <c r="M122" i="13"/>
  <c r="D44" i="13"/>
  <c r="BH25" i="13"/>
  <c r="BH45" i="13" s="1"/>
  <c r="E41" i="13"/>
  <c r="F84" i="13"/>
  <c r="E84" i="13"/>
  <c r="BL205" i="13"/>
  <c r="BL202" i="13"/>
  <c r="BL201" i="13"/>
  <c r="BL203" i="13"/>
  <c r="M204" i="13"/>
  <c r="AT122" i="13"/>
  <c r="AT125" i="13"/>
  <c r="AT121" i="13"/>
  <c r="AT123" i="13"/>
  <c r="G163" i="13"/>
  <c r="BK130" i="13"/>
  <c r="G162" i="13"/>
  <c r="G165" i="13" s="1"/>
  <c r="G161" i="13"/>
  <c r="B84" i="13"/>
  <c r="BF65" i="13"/>
  <c r="BF84" i="13" s="1"/>
  <c r="AY42" i="13"/>
  <c r="AY45" i="13"/>
  <c r="AY43" i="13"/>
  <c r="AY41" i="13"/>
  <c r="B82" i="13"/>
  <c r="BL241" i="13"/>
  <c r="BL242" i="13"/>
  <c r="BL245" i="13"/>
  <c r="BL243" i="13"/>
  <c r="AT201" i="13"/>
  <c r="AT202" i="13"/>
  <c r="AT203" i="13"/>
  <c r="AT205" i="13"/>
  <c r="J202" i="13"/>
  <c r="J201" i="13"/>
  <c r="J205" i="13" s="1"/>
  <c r="J203" i="13"/>
  <c r="BN170" i="13"/>
  <c r="D123" i="13"/>
  <c r="AY164" i="13"/>
  <c r="BG133" i="13"/>
  <c r="C84" i="13"/>
  <c r="BG65" i="13"/>
  <c r="BG84" i="13" s="1"/>
  <c r="BK12" i="13"/>
  <c r="AV81" i="13"/>
  <c r="K42" i="13"/>
  <c r="BA123" i="13"/>
  <c r="R284" i="13"/>
  <c r="BA204" i="13"/>
  <c r="AR165" i="13"/>
  <c r="AR161" i="13"/>
  <c r="AR163" i="13"/>
  <c r="AR162" i="13"/>
  <c r="G203" i="13"/>
  <c r="I161" i="13"/>
  <c r="I165" i="13" s="1"/>
  <c r="AU45" i="13"/>
  <c r="AU43" i="13"/>
  <c r="AU41" i="13"/>
  <c r="AU42" i="13"/>
  <c r="AS45" i="13"/>
  <c r="AS43" i="13"/>
  <c r="AS42" i="13"/>
  <c r="AS41" i="13"/>
  <c r="AX41" i="13"/>
  <c r="AX42" i="13"/>
  <c r="AX45" i="13"/>
  <c r="AX43" i="13"/>
  <c r="AR42" i="13"/>
  <c r="AR41" i="13"/>
  <c r="AR43" i="13"/>
  <c r="AR45" i="13"/>
  <c r="BN44" i="13"/>
  <c r="R325" i="13"/>
  <c r="W321" i="13"/>
  <c r="W325" i="13" s="1"/>
  <c r="W322" i="13"/>
  <c r="W323" i="13"/>
  <c r="T283" i="13"/>
  <c r="T282" i="13"/>
  <c r="T281" i="13"/>
  <c r="AV242" i="13"/>
  <c r="AV245" i="13"/>
  <c r="AV241" i="13"/>
  <c r="AV243" i="13"/>
  <c r="P285" i="13"/>
  <c r="J244" i="13"/>
  <c r="BN225" i="13"/>
  <c r="BN244" i="13" s="1"/>
  <c r="G243" i="13"/>
  <c r="U321" i="13"/>
  <c r="U322" i="13"/>
  <c r="U323" i="13"/>
  <c r="X285" i="13"/>
  <c r="AU241" i="13"/>
  <c r="AU242" i="13"/>
  <c r="AU245" i="13"/>
  <c r="AU243" i="13"/>
  <c r="W285" i="13"/>
  <c r="E244" i="13"/>
  <c r="BI225" i="13"/>
  <c r="BI244" i="13" s="1"/>
  <c r="D241" i="13"/>
  <c r="D245" i="13" s="1"/>
  <c r="D243" i="13"/>
  <c r="BH210" i="13"/>
  <c r="D242" i="13"/>
  <c r="C244" i="13"/>
  <c r="BG225" i="13"/>
  <c r="BG244" i="13" s="1"/>
  <c r="Y282" i="13"/>
  <c r="Y283" i="13"/>
  <c r="Y281" i="13"/>
  <c r="Y285" i="13" s="1"/>
  <c r="BO244" i="13"/>
  <c r="BB245" i="13"/>
  <c r="BC204" i="13"/>
  <c r="AT204" i="13"/>
  <c r="Q282" i="13"/>
  <c r="Q281" i="13"/>
  <c r="Q285" i="13" s="1"/>
  <c r="Q283" i="13"/>
  <c r="W281" i="13"/>
  <c r="AS204" i="13"/>
  <c r="M243" i="13"/>
  <c r="M203" i="13"/>
  <c r="BQ170" i="13"/>
  <c r="M202" i="13"/>
  <c r="M201" i="13"/>
  <c r="BA165" i="13"/>
  <c r="BA163" i="13"/>
  <c r="BA161" i="13"/>
  <c r="BA162" i="13"/>
  <c r="F161" i="13"/>
  <c r="F165" i="13" s="1"/>
  <c r="BJ130" i="13"/>
  <c r="F163" i="13"/>
  <c r="F162" i="13"/>
  <c r="BQ243" i="13"/>
  <c r="G202" i="13"/>
  <c r="BC165" i="13"/>
  <c r="BC163" i="13"/>
  <c r="BC161" i="13"/>
  <c r="BC162" i="13"/>
  <c r="BH145" i="13"/>
  <c r="BH164" i="13" s="1"/>
  <c r="D164" i="13"/>
  <c r="AX163" i="13"/>
  <c r="BC205" i="13"/>
  <c r="AY124" i="13"/>
  <c r="E241" i="13"/>
  <c r="AY204" i="13"/>
  <c r="BA203" i="13"/>
  <c r="BL130" i="13"/>
  <c r="H162" i="13"/>
  <c r="H161" i="13"/>
  <c r="H163" i="13"/>
  <c r="BO212" i="13"/>
  <c r="H205" i="13"/>
  <c r="M164" i="13"/>
  <c r="M124" i="13"/>
  <c r="BQ105" i="13"/>
  <c r="BQ124" i="13" s="1"/>
  <c r="AX162" i="13"/>
  <c r="L163" i="13"/>
  <c r="I162" i="13"/>
  <c r="AV84" i="13"/>
  <c r="H81" i="13"/>
  <c r="H85" i="13" s="1"/>
  <c r="AZ44" i="13"/>
  <c r="I202" i="13"/>
  <c r="AS84" i="13"/>
  <c r="AX44" i="13"/>
  <c r="BH84" i="13"/>
  <c r="AT85" i="13"/>
  <c r="AT83" i="13"/>
  <c r="AT81" i="13"/>
  <c r="AT82" i="13"/>
  <c r="BO41" i="13"/>
  <c r="BO42" i="13"/>
  <c r="BO43" i="13"/>
  <c r="BO45" i="13"/>
  <c r="BK123" i="13"/>
  <c r="D41" i="13"/>
  <c r="K41" i="13"/>
  <c r="K45" i="13" s="1"/>
  <c r="BA125" i="13"/>
  <c r="AW84" i="13"/>
  <c r="BO124" i="13"/>
  <c r="J124" i="13"/>
  <c r="BN84" i="13"/>
  <c r="K43" i="13"/>
  <c r="L41" i="13"/>
  <c r="L45" i="13" s="1"/>
  <c r="E122" i="13"/>
  <c r="E123" i="13"/>
  <c r="BI90" i="13"/>
  <c r="E121" i="13"/>
  <c r="E125" i="13" s="1"/>
  <c r="BQ12" i="13"/>
  <c r="BF83" i="13"/>
  <c r="BF85" i="13"/>
  <c r="BG41" i="13"/>
  <c r="BG42" i="13"/>
  <c r="BG45" i="13"/>
  <c r="BG43" i="13"/>
  <c r="J85" i="13"/>
  <c r="J44" i="13"/>
  <c r="R324" i="13"/>
  <c r="L244" i="13"/>
  <c r="BK204" i="13"/>
  <c r="AZ205" i="13"/>
  <c r="AZ203" i="13"/>
  <c r="AZ201" i="13"/>
  <c r="AZ202" i="13"/>
  <c r="D124" i="13"/>
  <c r="BH105" i="13"/>
  <c r="BH124" i="13" s="1"/>
  <c r="BQ123" i="13"/>
  <c r="AW124" i="13"/>
  <c r="T363" i="13"/>
  <c r="T362" i="13"/>
  <c r="T361" i="13"/>
  <c r="T365" i="13" s="1"/>
  <c r="P324" i="13"/>
  <c r="AW242" i="13"/>
  <c r="AW241" i="13"/>
  <c r="AW243" i="13"/>
  <c r="AW245" i="13"/>
  <c r="AX205" i="13"/>
  <c r="AX203" i="13"/>
  <c r="AX201" i="13"/>
  <c r="AX202" i="13"/>
  <c r="AW205" i="13"/>
  <c r="AW203" i="13"/>
  <c r="AW202" i="13"/>
  <c r="AW201" i="13"/>
  <c r="BM242" i="13"/>
  <c r="BM245" i="13"/>
  <c r="BM241" i="13"/>
  <c r="BM243" i="13"/>
  <c r="AW164" i="13"/>
  <c r="Y323" i="13"/>
  <c r="Y322" i="13"/>
  <c r="Y321" i="13"/>
  <c r="R285" i="13"/>
  <c r="Y284" i="13"/>
  <c r="AZ244" i="13"/>
  <c r="G242" i="13"/>
  <c r="H244" i="13"/>
  <c r="BL225" i="13"/>
  <c r="BL244" i="13" s="1"/>
  <c r="BI243" i="13"/>
  <c r="BI242" i="13"/>
  <c r="B161" i="13"/>
  <c r="AX125" i="13"/>
  <c r="AX123" i="13"/>
  <c r="AX121" i="13"/>
  <c r="AX122" i="13"/>
  <c r="BL92" i="13"/>
  <c r="C123" i="13"/>
  <c r="C122" i="13"/>
  <c r="C121" i="13"/>
  <c r="C125" i="13" s="1"/>
  <c r="BG90" i="13"/>
  <c r="AX82" i="13"/>
  <c r="AX85" i="13"/>
  <c r="AX83" i="13"/>
  <c r="AX81" i="13"/>
  <c r="G122" i="13"/>
  <c r="BB85" i="13"/>
  <c r="BB83" i="13"/>
  <c r="BB81" i="13"/>
  <c r="BB82" i="13"/>
  <c r="BJ84" i="13"/>
  <c r="AA323" i="13"/>
  <c r="AA322" i="13"/>
  <c r="AA321" i="13"/>
  <c r="Z323" i="13"/>
  <c r="Z322" i="13"/>
  <c r="Z321" i="13"/>
  <c r="Z325" i="13" s="1"/>
  <c r="X322" i="13"/>
  <c r="X325" i="13" s="1"/>
  <c r="X323" i="13"/>
  <c r="X321" i="13"/>
  <c r="T285" i="13"/>
  <c r="R283" i="13"/>
  <c r="R282" i="13"/>
  <c r="R281" i="13"/>
  <c r="K242" i="13"/>
  <c r="K241" i="13"/>
  <c r="K245" i="13" s="1"/>
  <c r="BO210" i="13"/>
  <c r="K243" i="13"/>
  <c r="B242" i="13"/>
  <c r="B241" i="13"/>
  <c r="B245" i="13" s="1"/>
  <c r="B243" i="13"/>
  <c r="BF210" i="13"/>
  <c r="K244" i="13"/>
  <c r="BB243" i="13"/>
  <c r="AU204" i="13"/>
  <c r="W283" i="13"/>
  <c r="AW204" i="13"/>
  <c r="AS165" i="13"/>
  <c r="AS163" i="13"/>
  <c r="AS161" i="13"/>
  <c r="AS162" i="13"/>
  <c r="L203" i="13"/>
  <c r="L201" i="13"/>
  <c r="BP170" i="13"/>
  <c r="L202" i="13"/>
  <c r="L205" i="13" s="1"/>
  <c r="K201" i="13"/>
  <c r="K203" i="13"/>
  <c r="BO170" i="13"/>
  <c r="K202" i="13"/>
  <c r="BO172" i="13"/>
  <c r="AX165" i="13"/>
  <c r="E242" i="13"/>
  <c r="E243" i="13"/>
  <c r="AX124" i="13"/>
  <c r="BA202" i="13"/>
  <c r="B202" i="13"/>
  <c r="B201" i="13"/>
  <c r="B205" i="13" s="1"/>
  <c r="B203" i="13"/>
  <c r="BF170" i="13"/>
  <c r="BQ172" i="13"/>
  <c r="BB124" i="13"/>
  <c r="L122" i="13"/>
  <c r="L162" i="13"/>
  <c r="BL132" i="13"/>
  <c r="H165" i="13"/>
  <c r="BP105" i="13"/>
  <c r="BP124" i="13" s="1"/>
  <c r="L124" i="13"/>
  <c r="L161" i="13"/>
  <c r="L165" i="13" s="1"/>
  <c r="AW161" i="13"/>
  <c r="AW162" i="13"/>
  <c r="AW165" i="13"/>
  <c r="AW163" i="13"/>
  <c r="I163" i="13"/>
  <c r="AY85" i="13"/>
  <c r="AY83" i="13"/>
  <c r="AY81" i="13"/>
  <c r="AY82" i="13"/>
  <c r="AR44" i="13"/>
  <c r="BB84" i="13"/>
  <c r="AW82" i="13"/>
  <c r="AW85" i="13"/>
  <c r="AW81" i="13"/>
  <c r="AW83" i="13"/>
  <c r="BM124" i="13"/>
  <c r="AX84" i="13"/>
  <c r="F123" i="13"/>
  <c r="BK83" i="13"/>
  <c r="BN82" i="13"/>
  <c r="BN83" i="13"/>
  <c r="BN85" i="13"/>
  <c r="BN81" i="13"/>
  <c r="D42" i="13"/>
  <c r="G82" i="13"/>
  <c r="G85" i="13" s="1"/>
  <c r="BB45" i="13"/>
  <c r="BB43" i="13"/>
  <c r="BB42" i="13"/>
  <c r="BB41" i="13"/>
  <c r="L121" i="13"/>
  <c r="L125" i="13" s="1"/>
  <c r="BA122" i="13"/>
  <c r="K124" i="13"/>
  <c r="BK65" i="13"/>
  <c r="BK84" i="13" s="1"/>
  <c r="G84" i="13"/>
  <c r="J84" i="13"/>
  <c r="AV83" i="13"/>
  <c r="M84" i="13"/>
  <c r="AV44" i="13"/>
  <c r="BI12" i="13"/>
  <c r="BI42" i="13" s="1"/>
  <c r="BH43" i="13"/>
  <c r="C43" i="13"/>
  <c r="R323" i="13"/>
  <c r="R322" i="13"/>
  <c r="R321" i="13"/>
  <c r="T321" i="13"/>
  <c r="T325" i="13" s="1"/>
  <c r="T322" i="13"/>
  <c r="T323" i="13"/>
  <c r="AX204" i="13"/>
  <c r="AY162" i="13"/>
  <c r="AY165" i="13"/>
  <c r="AY163" i="13"/>
  <c r="AY161" i="13"/>
  <c r="H202" i="13"/>
  <c r="M162" i="13"/>
  <c r="M163" i="13"/>
  <c r="BQ130" i="13"/>
  <c r="M161" i="13"/>
  <c r="AZ125" i="13"/>
  <c r="AZ85" i="13"/>
  <c r="AZ83" i="13"/>
  <c r="AZ81" i="13"/>
  <c r="AZ82" i="13"/>
  <c r="M125" i="13"/>
  <c r="AS122" i="13"/>
  <c r="AS123" i="13"/>
  <c r="AS121" i="13"/>
  <c r="AS125" i="13"/>
  <c r="AV45" i="13"/>
  <c r="AV43" i="13"/>
  <c r="AV41" i="13"/>
  <c r="AV42" i="13"/>
  <c r="C82" i="13"/>
  <c r="C81" i="13"/>
  <c r="BG50" i="13"/>
  <c r="C83" i="13"/>
  <c r="L44" i="13"/>
  <c r="BP25" i="13"/>
  <c r="BP44" i="13" s="1"/>
  <c r="P325" i="13"/>
  <c r="P363" i="13"/>
  <c r="P362" i="13"/>
  <c r="P361" i="13"/>
  <c r="P365" i="13" s="1"/>
  <c r="Q323" i="13"/>
  <c r="Q322" i="13"/>
  <c r="Q321" i="13"/>
  <c r="Q325" i="13" s="1"/>
  <c r="I244" i="13"/>
  <c r="AT241" i="13"/>
  <c r="AT242" i="13"/>
  <c r="AT245" i="13"/>
  <c r="AT243" i="13"/>
  <c r="BB204" i="13"/>
  <c r="M242" i="13"/>
  <c r="AV202" i="13"/>
  <c r="AV205" i="13"/>
  <c r="AV203" i="13"/>
  <c r="AV201" i="13"/>
  <c r="J204" i="13"/>
  <c r="I242" i="13"/>
  <c r="I245" i="13" s="1"/>
  <c r="E162" i="13"/>
  <c r="BI130" i="13"/>
  <c r="E163" i="13"/>
  <c r="E161" i="13"/>
  <c r="E165" i="13" s="1"/>
  <c r="L164" i="13"/>
  <c r="BQ164" i="13"/>
  <c r="G164" i="13"/>
  <c r="BP161" i="13"/>
  <c r="BP165" i="13"/>
  <c r="BP162" i="13"/>
  <c r="BP163" i="13"/>
  <c r="I201" i="13"/>
  <c r="I205" i="13" s="1"/>
  <c r="B123" i="13"/>
  <c r="B122" i="13"/>
  <c r="B125" i="13" s="1"/>
  <c r="B121" i="13"/>
  <c r="BF90" i="13"/>
  <c r="BP84" i="13"/>
  <c r="I43" i="13"/>
  <c r="D43" i="13"/>
  <c r="C124" i="13"/>
  <c r="BG105" i="13"/>
  <c r="BG124" i="13" s="1"/>
  <c r="E81" i="13"/>
  <c r="E83" i="13"/>
  <c r="BI50" i="13"/>
  <c r="E82" i="13"/>
  <c r="E85" i="13" s="1"/>
  <c r="G41" i="13"/>
  <c r="G43" i="13"/>
  <c r="BK10" i="13"/>
  <c r="G42" i="13"/>
  <c r="BN124" i="13"/>
  <c r="AR84" i="13"/>
  <c r="I121" i="13"/>
  <c r="I123" i="13"/>
  <c r="I122" i="13"/>
  <c r="I125" i="13" s="1"/>
  <c r="BM90" i="13"/>
  <c r="I84" i="13"/>
  <c r="BM65" i="13"/>
  <c r="BM84" i="13" s="1"/>
  <c r="E42" i="13"/>
  <c r="C41" i="13"/>
  <c r="S363" i="13"/>
  <c r="S362" i="13"/>
  <c r="S361" i="13"/>
  <c r="S365" i="13" s="1"/>
  <c r="S323" i="13"/>
  <c r="S322" i="13"/>
  <c r="S321" i="13"/>
  <c r="S325" i="13" s="1"/>
  <c r="P364" i="13"/>
  <c r="U365" i="13"/>
  <c r="Z324" i="13"/>
  <c r="Q284" i="13"/>
  <c r="X324" i="13"/>
  <c r="V283" i="13"/>
  <c r="V281" i="13"/>
  <c r="V285" i="13" s="1"/>
  <c r="V282" i="13"/>
  <c r="AX245" i="13"/>
  <c r="AX243" i="13"/>
  <c r="AX241" i="13"/>
  <c r="AX242" i="13"/>
  <c r="U283" i="13"/>
  <c r="U281" i="13"/>
  <c r="U285" i="13" s="1"/>
  <c r="U282" i="13"/>
  <c r="S283" i="13"/>
  <c r="S282" i="13"/>
  <c r="S281" i="13"/>
  <c r="AY244" i="13"/>
  <c r="AA324" i="13"/>
  <c r="F243" i="13"/>
  <c r="BJ210" i="13"/>
  <c r="F242" i="13"/>
  <c r="F245" i="13" s="1"/>
  <c r="F241" i="13"/>
  <c r="AR245" i="13"/>
  <c r="AR243" i="13"/>
  <c r="AR241" i="13"/>
  <c r="AR242" i="13"/>
  <c r="BC241" i="13"/>
  <c r="BC242" i="13"/>
  <c r="BC243" i="13"/>
  <c r="BC245" i="13"/>
  <c r="AZ204" i="13"/>
  <c r="BP244" i="13"/>
  <c r="BC164" i="13"/>
  <c r="BA124" i="13"/>
  <c r="AX164" i="13"/>
  <c r="BO164" i="13"/>
  <c r="I204" i="13"/>
  <c r="BM185" i="13"/>
  <c r="BM204" i="13" s="1"/>
  <c r="BA205" i="13"/>
  <c r="L204" i="13"/>
  <c r="L123" i="13"/>
  <c r="E164" i="13"/>
  <c r="BI145" i="13"/>
  <c r="BI164" i="13" s="1"/>
  <c r="AW125" i="13"/>
  <c r="AW123" i="13"/>
  <c r="AW121" i="13"/>
  <c r="AW122" i="13"/>
  <c r="BB122" i="13"/>
  <c r="BB121" i="13"/>
  <c r="BB123" i="13"/>
  <c r="BB125" i="13"/>
  <c r="K123" i="13"/>
  <c r="K121" i="13"/>
  <c r="K122" i="13"/>
  <c r="K125" i="13" s="1"/>
  <c r="BO90" i="13"/>
  <c r="AT84" i="13"/>
  <c r="L82" i="13"/>
  <c r="L81" i="13"/>
  <c r="L85" i="13" s="1"/>
  <c r="L83" i="13"/>
  <c r="BP50" i="13"/>
  <c r="J123" i="13"/>
  <c r="J122" i="13"/>
  <c r="BN90" i="13"/>
  <c r="J121" i="13"/>
  <c r="I124" i="13"/>
  <c r="F121" i="13"/>
  <c r="F125" i="13" s="1"/>
  <c r="I82" i="13"/>
  <c r="I81" i="13"/>
  <c r="I83" i="13"/>
  <c r="BM50" i="13"/>
  <c r="BP43" i="13"/>
  <c r="BP41" i="13"/>
  <c r="BC44" i="13"/>
  <c r="AT45" i="13"/>
  <c r="AT43" i="13"/>
  <c r="AT42" i="13"/>
  <c r="AT41" i="13"/>
  <c r="BA84" i="13"/>
  <c r="M81" i="13"/>
  <c r="M85" i="13" s="1"/>
  <c r="M83" i="13"/>
  <c r="M82" i="13"/>
  <c r="BQ50" i="13"/>
  <c r="M42" i="13"/>
  <c r="M41" i="13"/>
  <c r="M45" i="13" s="1"/>
  <c r="M43" i="13"/>
  <c r="BQ10" i="13"/>
  <c r="AW41" i="13"/>
  <c r="AW42" i="13"/>
  <c r="AW43" i="13"/>
  <c r="AW45" i="13"/>
  <c r="B81" i="13"/>
  <c r="C42" i="13"/>
  <c r="C45" i="13" s="1"/>
  <c r="R365" i="11"/>
  <c r="P325" i="11"/>
  <c r="U285" i="11"/>
  <c r="AV365" i="11"/>
  <c r="AY325" i="11"/>
  <c r="AX325" i="11"/>
  <c r="AR325" i="11"/>
  <c r="AS285" i="11"/>
  <c r="BA285" i="11"/>
  <c r="AM325" i="11"/>
  <c r="AE325" i="11"/>
  <c r="AD325" i="11"/>
  <c r="AE285" i="11"/>
  <c r="AJ285" i="11"/>
  <c r="X325" i="11"/>
  <c r="P285" i="11"/>
  <c r="B365" i="11"/>
  <c r="L365" i="11"/>
  <c r="H365" i="11"/>
  <c r="D365" i="11"/>
  <c r="E365" i="11"/>
  <c r="M365" i="11"/>
  <c r="B325" i="11"/>
  <c r="M325" i="11"/>
  <c r="E325" i="11"/>
  <c r="C285" i="11"/>
  <c r="D285" i="11"/>
  <c r="M285" i="11"/>
  <c r="E285" i="11"/>
  <c r="J285" i="11"/>
  <c r="AU40" i="11"/>
  <c r="E40" i="11"/>
  <c r="BI40" i="11" s="1"/>
  <c r="AY37" i="11"/>
  <c r="I37" i="11"/>
  <c r="BM37" i="11" s="1"/>
  <c r="AU34" i="11"/>
  <c r="E34" i="11"/>
  <c r="BI34" i="11" s="1"/>
  <c r="AY27" i="11"/>
  <c r="I27" i="11"/>
  <c r="BM27" i="11" s="1"/>
  <c r="BC26" i="11"/>
  <c r="M26" i="11"/>
  <c r="BQ26" i="11" s="1"/>
  <c r="AY23" i="11"/>
  <c r="I23" i="11"/>
  <c r="BM23" i="11" s="1"/>
  <c r="BC22" i="11"/>
  <c r="M22" i="11"/>
  <c r="BQ22" i="11" s="1"/>
  <c r="AY21" i="11"/>
  <c r="I21" i="11"/>
  <c r="BM21" i="11" s="1"/>
  <c r="AU20" i="11"/>
  <c r="E20" i="11"/>
  <c r="BI20" i="11" s="1"/>
  <c r="BC18" i="11"/>
  <c r="M18" i="11"/>
  <c r="BQ18" i="11" s="1"/>
  <c r="BC16" i="11"/>
  <c r="M16" i="11"/>
  <c r="BQ16" i="11" s="1"/>
  <c r="BC14" i="11"/>
  <c r="M14" i="11"/>
  <c r="BQ14" i="11" s="1"/>
  <c r="AY13" i="11"/>
  <c r="I13" i="11"/>
  <c r="BM13" i="11" s="1"/>
  <c r="AU12" i="11"/>
  <c r="E12" i="11"/>
  <c r="BI12" i="11" s="1"/>
  <c r="AR50" i="11"/>
  <c r="B50" i="11"/>
  <c r="BF50" i="11" s="1"/>
  <c r="AY80" i="11"/>
  <c r="I80" i="11"/>
  <c r="BM80" i="11" s="1"/>
  <c r="AU79" i="11"/>
  <c r="E79" i="11"/>
  <c r="BI79" i="11" s="1"/>
  <c r="BC77" i="11"/>
  <c r="M77" i="11"/>
  <c r="BQ77" i="11" s="1"/>
  <c r="BC75" i="11"/>
  <c r="M75" i="11"/>
  <c r="BQ75" i="11" s="1"/>
  <c r="BC73" i="11"/>
  <c r="M73" i="11"/>
  <c r="BQ73" i="11" s="1"/>
  <c r="BC71" i="11"/>
  <c r="M71" i="11"/>
  <c r="BQ71" i="11" s="1"/>
  <c r="AU71" i="11"/>
  <c r="E71" i="11"/>
  <c r="BI71" i="11" s="1"/>
  <c r="BC69" i="11"/>
  <c r="M69" i="11"/>
  <c r="BQ69" i="11" s="1"/>
  <c r="AY68" i="11"/>
  <c r="I68" i="11"/>
  <c r="BM68" i="11" s="1"/>
  <c r="BC67" i="11"/>
  <c r="M67" i="11"/>
  <c r="BQ67" i="11" s="1"/>
  <c r="AU67" i="11"/>
  <c r="E67" i="11"/>
  <c r="BI67" i="11" s="1"/>
  <c r="AU65" i="11"/>
  <c r="E65" i="11"/>
  <c r="BI65" i="11" s="1"/>
  <c r="AU63" i="11"/>
  <c r="E63" i="11"/>
  <c r="BI63" i="11" s="1"/>
  <c r="AY60" i="11"/>
  <c r="I60" i="11"/>
  <c r="BM60" i="11" s="1"/>
  <c r="AY58" i="11"/>
  <c r="I58" i="11"/>
  <c r="BM58" i="11" s="1"/>
  <c r="AY56" i="11"/>
  <c r="I56" i="11"/>
  <c r="BM56" i="11" s="1"/>
  <c r="AY52" i="11"/>
  <c r="I52" i="11"/>
  <c r="BM52" i="11" s="1"/>
  <c r="AU118" i="11"/>
  <c r="E118" i="11"/>
  <c r="BI118" i="11" s="1"/>
  <c r="BB36" i="11"/>
  <c r="L36" i="11"/>
  <c r="BP36" i="11" s="1"/>
  <c r="BB34" i="11"/>
  <c r="L34" i="11"/>
  <c r="BP34" i="11" s="1"/>
  <c r="AT34" i="11"/>
  <c r="D34" i="11"/>
  <c r="BH34" i="11" s="1"/>
  <c r="AT32" i="11"/>
  <c r="D32" i="11"/>
  <c r="BH32" i="11" s="1"/>
  <c r="BB30" i="11"/>
  <c r="L30" i="11"/>
  <c r="BP30" i="11" s="1"/>
  <c r="AX29" i="11"/>
  <c r="H29" i="11"/>
  <c r="BL29" i="11" s="1"/>
  <c r="AT28" i="11"/>
  <c r="D28" i="11"/>
  <c r="BH28" i="11" s="1"/>
  <c r="L26" i="11"/>
  <c r="BP26" i="11" s="1"/>
  <c r="BB26" i="11"/>
  <c r="R44" i="11"/>
  <c r="D26" i="11"/>
  <c r="BH26" i="11" s="1"/>
  <c r="AT26" i="11"/>
  <c r="L24" i="11"/>
  <c r="BP24" i="11" s="1"/>
  <c r="BB24" i="11"/>
  <c r="AT22" i="11"/>
  <c r="D22" i="11"/>
  <c r="BH22" i="11" s="1"/>
  <c r="AX19" i="11"/>
  <c r="H19" i="11"/>
  <c r="BL19" i="11" s="1"/>
  <c r="AX11" i="11"/>
  <c r="H11" i="11"/>
  <c r="BL11" i="11" s="1"/>
  <c r="AX80" i="11"/>
  <c r="H80" i="11"/>
  <c r="BL80" i="11" s="1"/>
  <c r="D79" i="11"/>
  <c r="BH79" i="11" s="1"/>
  <c r="AT79" i="11"/>
  <c r="L77" i="11"/>
  <c r="BP77" i="11" s="1"/>
  <c r="BB77" i="11"/>
  <c r="BB75" i="11"/>
  <c r="L75" i="11"/>
  <c r="BP75" i="11" s="1"/>
  <c r="H74" i="11"/>
  <c r="BL74" i="11" s="1"/>
  <c r="AX74" i="11"/>
  <c r="AT73" i="11"/>
  <c r="D73" i="11"/>
  <c r="BH73" i="11" s="1"/>
  <c r="AX72" i="11"/>
  <c r="H72" i="11"/>
  <c r="BL72" i="11" s="1"/>
  <c r="AX70" i="11"/>
  <c r="H70" i="11"/>
  <c r="BL70" i="11" s="1"/>
  <c r="BB69" i="11"/>
  <c r="L69" i="11"/>
  <c r="BP69" i="11" s="1"/>
  <c r="AT69" i="11"/>
  <c r="D69" i="11"/>
  <c r="BH69" i="11" s="1"/>
  <c r="AT67" i="11"/>
  <c r="D67" i="11"/>
  <c r="BH67" i="11" s="1"/>
  <c r="AT65" i="11"/>
  <c r="D65" i="11"/>
  <c r="BH65" i="11" s="1"/>
  <c r="AX64" i="11"/>
  <c r="H64" i="11"/>
  <c r="BL64" i="11" s="1"/>
  <c r="AX62" i="11"/>
  <c r="H62" i="11"/>
  <c r="BL62" i="11" s="1"/>
  <c r="AT59" i="11"/>
  <c r="D59" i="11"/>
  <c r="BH59" i="11" s="1"/>
  <c r="AT55" i="11"/>
  <c r="D55" i="11"/>
  <c r="BH55" i="11" s="1"/>
  <c r="BB116" i="11"/>
  <c r="L116" i="11"/>
  <c r="BP116" i="11" s="1"/>
  <c r="BB112" i="11"/>
  <c r="L112" i="11"/>
  <c r="BP112" i="11" s="1"/>
  <c r="AX111" i="11"/>
  <c r="H111" i="11"/>
  <c r="BL111" i="11" s="1"/>
  <c r="AX109" i="11"/>
  <c r="H109" i="11"/>
  <c r="BL109" i="11" s="1"/>
  <c r="AT108" i="11"/>
  <c r="D108" i="11"/>
  <c r="BH108" i="11" s="1"/>
  <c r="AT106" i="11"/>
  <c r="D106" i="11"/>
  <c r="BH106" i="11" s="1"/>
  <c r="AT102" i="11"/>
  <c r="D102" i="11"/>
  <c r="BH102" i="11" s="1"/>
  <c r="BB100" i="11"/>
  <c r="L100" i="11"/>
  <c r="BP100" i="11" s="1"/>
  <c r="AX99" i="11"/>
  <c r="H99" i="11"/>
  <c r="BL99" i="11" s="1"/>
  <c r="AT98" i="11"/>
  <c r="D98" i="11"/>
  <c r="BH98" i="11" s="1"/>
  <c r="AX97" i="11"/>
  <c r="H97" i="11"/>
  <c r="BL97" i="11" s="1"/>
  <c r="L96" i="11"/>
  <c r="BP96" i="11" s="1"/>
  <c r="BB96" i="11"/>
  <c r="AX95" i="11"/>
  <c r="H95" i="11"/>
  <c r="BL95" i="11" s="1"/>
  <c r="AT94" i="11"/>
  <c r="D94" i="11"/>
  <c r="BH94" i="11" s="1"/>
  <c r="H93" i="11"/>
  <c r="BL93" i="11" s="1"/>
  <c r="AX93" i="11"/>
  <c r="AT92" i="11"/>
  <c r="D92" i="11"/>
  <c r="BH92" i="11" s="1"/>
  <c r="H91" i="11"/>
  <c r="BL91" i="11" s="1"/>
  <c r="AX91" i="11"/>
  <c r="AU130" i="11"/>
  <c r="E130" i="11"/>
  <c r="BI130" i="11" s="1"/>
  <c r="BB159" i="11"/>
  <c r="L159" i="11"/>
  <c r="BP159" i="11" s="1"/>
  <c r="AT159" i="11"/>
  <c r="D159" i="11"/>
  <c r="BH159" i="11" s="1"/>
  <c r="BB157" i="11"/>
  <c r="L157" i="11"/>
  <c r="BP157" i="11" s="1"/>
  <c r="AT157" i="11"/>
  <c r="D157" i="11"/>
  <c r="BH157" i="11" s="1"/>
  <c r="H156" i="11"/>
  <c r="BL156" i="11" s="1"/>
  <c r="AX156" i="11"/>
  <c r="AX154" i="11"/>
  <c r="H154" i="11"/>
  <c r="BL154" i="11" s="1"/>
  <c r="BB153" i="11"/>
  <c r="L153" i="11"/>
  <c r="BP153" i="11" s="1"/>
  <c r="AT153" i="11"/>
  <c r="D153" i="11"/>
  <c r="BH153" i="11" s="1"/>
  <c r="BB151" i="11"/>
  <c r="L151" i="11"/>
  <c r="BP151" i="11" s="1"/>
  <c r="AT151" i="11"/>
  <c r="D151" i="11"/>
  <c r="BH151" i="11" s="1"/>
  <c r="BB149" i="11"/>
  <c r="L149" i="11"/>
  <c r="BP149" i="11" s="1"/>
  <c r="AT147" i="11"/>
  <c r="D147" i="11"/>
  <c r="BH147" i="11" s="1"/>
  <c r="L141" i="11"/>
  <c r="BP141" i="11" s="1"/>
  <c r="BB141" i="11"/>
  <c r="BB139" i="11"/>
  <c r="L139" i="11"/>
  <c r="BP139" i="11" s="1"/>
  <c r="AT139" i="11"/>
  <c r="D139" i="11"/>
  <c r="BH139" i="11" s="1"/>
  <c r="L137" i="11"/>
  <c r="BP137" i="11" s="1"/>
  <c r="BB137" i="11"/>
  <c r="H136" i="11"/>
  <c r="BL136" i="11" s="1"/>
  <c r="AX136" i="11"/>
  <c r="AX134" i="11"/>
  <c r="H134" i="11"/>
  <c r="BL134" i="11" s="1"/>
  <c r="H132" i="11"/>
  <c r="BL132" i="11" s="1"/>
  <c r="AX132" i="11"/>
  <c r="AY170" i="11"/>
  <c r="I170" i="11"/>
  <c r="BM170" i="11" s="1"/>
  <c r="AX199" i="11"/>
  <c r="H199" i="11"/>
  <c r="BL199" i="11" s="1"/>
  <c r="AT198" i="11"/>
  <c r="D198" i="11"/>
  <c r="BH198" i="11" s="1"/>
  <c r="BB196" i="11"/>
  <c r="L196" i="11"/>
  <c r="BP196" i="11" s="1"/>
  <c r="AX191" i="11"/>
  <c r="H191" i="11"/>
  <c r="BL191" i="11" s="1"/>
  <c r="AX181" i="11"/>
  <c r="H181" i="11"/>
  <c r="BL181" i="11" s="1"/>
  <c r="AT225" i="11"/>
  <c r="D225" i="11"/>
  <c r="BH225" i="11" s="1"/>
  <c r="BB221" i="11"/>
  <c r="L221" i="11"/>
  <c r="BP221" i="11" s="1"/>
  <c r="AX214" i="11"/>
  <c r="AT213" i="11"/>
  <c r="D213" i="11"/>
  <c r="BH213" i="11" s="1"/>
  <c r="AT211" i="11"/>
  <c r="D211" i="11"/>
  <c r="BH211" i="11" s="1"/>
  <c r="AN44" i="11"/>
  <c r="AJ45" i="11"/>
  <c r="AN83" i="11"/>
  <c r="AJ124" i="11"/>
  <c r="AF165" i="11"/>
  <c r="AJ204" i="11"/>
  <c r="AF205" i="11"/>
  <c r="AF201" i="11"/>
  <c r="M38" i="11"/>
  <c r="BQ38" i="11" s="1"/>
  <c r="E38" i="11"/>
  <c r="BI38" i="11" s="1"/>
  <c r="I31" i="11"/>
  <c r="BM31" i="11" s="1"/>
  <c r="D24" i="11"/>
  <c r="BH24" i="11" s="1"/>
  <c r="H13" i="11"/>
  <c r="BL13" i="11" s="1"/>
  <c r="H103" i="11"/>
  <c r="BL103" i="11" s="1"/>
  <c r="D180" i="11"/>
  <c r="BH180" i="11" s="1"/>
  <c r="BC40" i="11"/>
  <c r="AX232" i="11"/>
  <c r="J10" i="11"/>
  <c r="BN10" i="11" s="1"/>
  <c r="D38" i="11"/>
  <c r="BH38" i="11" s="1"/>
  <c r="M30" i="11"/>
  <c r="BQ30" i="11" s="1"/>
  <c r="H160" i="11"/>
  <c r="BL160" i="11" s="1"/>
  <c r="BC210" i="11"/>
  <c r="BC36" i="11"/>
  <c r="M36" i="11"/>
  <c r="BQ36" i="11" s="1"/>
  <c r="BC32" i="11"/>
  <c r="M32" i="11"/>
  <c r="BQ32" i="11" s="1"/>
  <c r="BC28" i="11"/>
  <c r="M28" i="11"/>
  <c r="BQ28" i="11" s="1"/>
  <c r="AU22" i="11"/>
  <c r="E22" i="11"/>
  <c r="BI22" i="11" s="1"/>
  <c r="AY19" i="11"/>
  <c r="I19" i="11"/>
  <c r="BM19" i="11" s="1"/>
  <c r="AU18" i="11"/>
  <c r="E18" i="11"/>
  <c r="BI18" i="11" s="1"/>
  <c r="AY17" i="11"/>
  <c r="I17" i="11"/>
  <c r="BM17" i="11" s="1"/>
  <c r="AY15" i="11"/>
  <c r="I15" i="11"/>
  <c r="BM15" i="11" s="1"/>
  <c r="BC12" i="11"/>
  <c r="M12" i="11"/>
  <c r="BQ12" i="11" s="1"/>
  <c r="AV50" i="11"/>
  <c r="F50" i="11"/>
  <c r="BJ50" i="11" s="1"/>
  <c r="AY78" i="11"/>
  <c r="I78" i="11"/>
  <c r="BM78" i="11" s="1"/>
  <c r="AY76" i="11"/>
  <c r="I76" i="11"/>
  <c r="BM76" i="11" s="1"/>
  <c r="AY74" i="11"/>
  <c r="I74" i="11"/>
  <c r="BM74" i="11" s="1"/>
  <c r="AY72" i="11"/>
  <c r="I72" i="11"/>
  <c r="BM72" i="11" s="1"/>
  <c r="AU69" i="11"/>
  <c r="E69" i="11"/>
  <c r="BI69" i="11" s="1"/>
  <c r="BC65" i="11"/>
  <c r="M65" i="11"/>
  <c r="BQ65" i="11" s="1"/>
  <c r="BC63" i="11"/>
  <c r="M63" i="11"/>
  <c r="BQ63" i="11" s="1"/>
  <c r="BC61" i="11"/>
  <c r="M61" i="11"/>
  <c r="BQ61" i="11" s="1"/>
  <c r="BC59" i="11"/>
  <c r="M59" i="11"/>
  <c r="BQ59" i="11" s="1"/>
  <c r="BC57" i="11"/>
  <c r="M57" i="11"/>
  <c r="BQ57" i="11" s="1"/>
  <c r="BC55" i="11"/>
  <c r="M55" i="11"/>
  <c r="BQ55" i="11" s="1"/>
  <c r="AY54" i="11"/>
  <c r="I54" i="11"/>
  <c r="BM54" i="11" s="1"/>
  <c r="AU53" i="11"/>
  <c r="E53" i="11"/>
  <c r="BI53" i="11" s="1"/>
  <c r="AU51" i="11"/>
  <c r="E51" i="11"/>
  <c r="BI51" i="11" s="1"/>
  <c r="BC120" i="11"/>
  <c r="M120" i="11"/>
  <c r="BQ120" i="11" s="1"/>
  <c r="BC118" i="11"/>
  <c r="M118" i="11"/>
  <c r="BQ118" i="11" s="1"/>
  <c r="BC116" i="11"/>
  <c r="M116" i="11"/>
  <c r="BQ116" i="11" s="1"/>
  <c r="AY115" i="11"/>
  <c r="I115" i="11"/>
  <c r="BM115" i="11" s="1"/>
  <c r="AU114" i="11"/>
  <c r="E114" i="11"/>
  <c r="BI114" i="11" s="1"/>
  <c r="AY113" i="11"/>
  <c r="I113" i="11"/>
  <c r="BM113" i="11" s="1"/>
  <c r="AU112" i="11"/>
  <c r="E112" i="11"/>
  <c r="BI112" i="11" s="1"/>
  <c r="BC110" i="11"/>
  <c r="M110" i="11"/>
  <c r="BQ110" i="11" s="1"/>
  <c r="AY109" i="11"/>
  <c r="I109" i="11"/>
  <c r="BM109" i="11" s="1"/>
  <c r="AU108" i="11"/>
  <c r="E108" i="11"/>
  <c r="BI108" i="11" s="1"/>
  <c r="E26" i="11"/>
  <c r="BI26" i="11" s="1"/>
  <c r="H35" i="11"/>
  <c r="BL35" i="11" s="1"/>
  <c r="AX35" i="11"/>
  <c r="BB32" i="11"/>
  <c r="L32" i="11"/>
  <c r="BP32" i="11" s="1"/>
  <c r="AT30" i="11"/>
  <c r="D30" i="11"/>
  <c r="BH30" i="11" s="1"/>
  <c r="AX27" i="11"/>
  <c r="H27" i="11"/>
  <c r="BL27" i="11" s="1"/>
  <c r="AX25" i="11"/>
  <c r="H25" i="11"/>
  <c r="BL25" i="11" s="1"/>
  <c r="H23" i="11"/>
  <c r="BL23" i="11" s="1"/>
  <c r="AX23" i="11"/>
  <c r="H21" i="11"/>
  <c r="BL21" i="11" s="1"/>
  <c r="AX21" i="11"/>
  <c r="AX17" i="11"/>
  <c r="H17" i="11"/>
  <c r="BL17" i="11" s="1"/>
  <c r="BB16" i="11"/>
  <c r="L16" i="11"/>
  <c r="BP16" i="11" s="1"/>
  <c r="D16" i="11"/>
  <c r="BH16" i="11" s="1"/>
  <c r="AT16" i="11"/>
  <c r="BB14" i="11"/>
  <c r="L14" i="11"/>
  <c r="BP14" i="11" s="1"/>
  <c r="AT14" i="11"/>
  <c r="D14" i="11"/>
  <c r="BH14" i="11" s="1"/>
  <c r="L12" i="11"/>
  <c r="BP12" i="11" s="1"/>
  <c r="BB12" i="11"/>
  <c r="AU50" i="11"/>
  <c r="E50" i="11"/>
  <c r="BI50" i="11" s="1"/>
  <c r="AX78" i="11"/>
  <c r="H78" i="11"/>
  <c r="BL78" i="11" s="1"/>
  <c r="AX76" i="11"/>
  <c r="H76" i="11"/>
  <c r="BL76" i="11" s="1"/>
  <c r="BB73" i="11"/>
  <c r="L73" i="11"/>
  <c r="BP73" i="11" s="1"/>
  <c r="AT71" i="11"/>
  <c r="D71" i="11"/>
  <c r="BH71" i="11" s="1"/>
  <c r="BB67" i="11"/>
  <c r="L67" i="11"/>
  <c r="BP67" i="11" s="1"/>
  <c r="BB65" i="11"/>
  <c r="L65" i="11"/>
  <c r="BP65" i="11" s="1"/>
  <c r="AT63" i="11"/>
  <c r="D63" i="11"/>
  <c r="BH63" i="11" s="1"/>
  <c r="BB61" i="11"/>
  <c r="L61" i="11"/>
  <c r="BP61" i="11" s="1"/>
  <c r="AX60" i="11"/>
  <c r="H60" i="11"/>
  <c r="BL60" i="11" s="1"/>
  <c r="AX58" i="11"/>
  <c r="H58" i="11"/>
  <c r="BL58" i="11" s="1"/>
  <c r="AT57" i="11"/>
  <c r="D57" i="11"/>
  <c r="BH57" i="11" s="1"/>
  <c r="BB55" i="11"/>
  <c r="L55" i="11"/>
  <c r="BP55" i="11" s="1"/>
  <c r="BB53" i="11"/>
  <c r="L53" i="11"/>
  <c r="BP53" i="11" s="1"/>
  <c r="AX52" i="11"/>
  <c r="H52" i="11"/>
  <c r="BL52" i="11" s="1"/>
  <c r="AT51" i="11"/>
  <c r="D51" i="11"/>
  <c r="BH51" i="11" s="1"/>
  <c r="AT120" i="11"/>
  <c r="D120" i="11"/>
  <c r="BH120" i="11" s="1"/>
  <c r="BB110" i="11"/>
  <c r="L110" i="11"/>
  <c r="BP110" i="11" s="1"/>
  <c r="BB102" i="11"/>
  <c r="L102" i="11"/>
  <c r="BP102" i="11" s="1"/>
  <c r="AT100" i="11"/>
  <c r="D100" i="11"/>
  <c r="BH100" i="11" s="1"/>
  <c r="AT96" i="11"/>
  <c r="D96" i="11"/>
  <c r="BH96" i="11" s="1"/>
  <c r="BB92" i="11"/>
  <c r="L92" i="11"/>
  <c r="BP92" i="11" s="1"/>
  <c r="BC130" i="11"/>
  <c r="M130" i="11"/>
  <c r="BQ130" i="11" s="1"/>
  <c r="AX142" i="11"/>
  <c r="H142" i="11"/>
  <c r="BL142" i="11" s="1"/>
  <c r="AX140" i="11"/>
  <c r="H140" i="11"/>
  <c r="BL140" i="11" s="1"/>
  <c r="AX138" i="11"/>
  <c r="H138" i="11"/>
  <c r="BL138" i="11" s="1"/>
  <c r="AT137" i="11"/>
  <c r="D137" i="11"/>
  <c r="BH137" i="11" s="1"/>
  <c r="BB135" i="11"/>
  <c r="L135" i="11"/>
  <c r="BP135" i="11" s="1"/>
  <c r="BB133" i="11"/>
  <c r="L133" i="11"/>
  <c r="BP133" i="11" s="1"/>
  <c r="BB131" i="11"/>
  <c r="L131" i="11"/>
  <c r="BP131" i="11" s="1"/>
  <c r="BB200" i="11"/>
  <c r="L200" i="11"/>
  <c r="BP200" i="11" s="1"/>
  <c r="BB198" i="11"/>
  <c r="L198" i="11"/>
  <c r="BP198" i="11" s="1"/>
  <c r="AX197" i="11"/>
  <c r="H197" i="11"/>
  <c r="BL197" i="11" s="1"/>
  <c r="AX195" i="11"/>
  <c r="H195" i="11"/>
  <c r="BL195" i="11" s="1"/>
  <c r="L194" i="11"/>
  <c r="BP194" i="11" s="1"/>
  <c r="BB194" i="11"/>
  <c r="H193" i="11"/>
  <c r="BL193" i="11" s="1"/>
  <c r="AX193" i="11"/>
  <c r="BB192" i="11"/>
  <c r="L192" i="11"/>
  <c r="BP192" i="11" s="1"/>
  <c r="AT192" i="11"/>
  <c r="D192" i="11"/>
  <c r="BH192" i="11" s="1"/>
  <c r="AT190" i="11"/>
  <c r="D190" i="11"/>
  <c r="BH190" i="11" s="1"/>
  <c r="BB188" i="11"/>
  <c r="L188" i="11"/>
  <c r="BP188" i="11" s="1"/>
  <c r="L186" i="11"/>
  <c r="BP186" i="11" s="1"/>
  <c r="BB186" i="11"/>
  <c r="V204" i="11"/>
  <c r="AX185" i="11"/>
  <c r="BB184" i="11"/>
  <c r="L184" i="11"/>
  <c r="BP184" i="11" s="1"/>
  <c r="AX183" i="11"/>
  <c r="H183" i="11"/>
  <c r="BL183" i="11" s="1"/>
  <c r="L182" i="11"/>
  <c r="BP182" i="11" s="1"/>
  <c r="BB182" i="11"/>
  <c r="AT182" i="11"/>
  <c r="D182" i="11"/>
  <c r="BH182" i="11" s="1"/>
  <c r="BB180" i="11"/>
  <c r="L180" i="11"/>
  <c r="BP180" i="11" s="1"/>
  <c r="AX179" i="11"/>
  <c r="H179" i="11"/>
  <c r="BL179" i="11" s="1"/>
  <c r="AT178" i="11"/>
  <c r="D178" i="11"/>
  <c r="BH178" i="11" s="1"/>
  <c r="BB176" i="11"/>
  <c r="L176" i="11"/>
  <c r="BP176" i="11" s="1"/>
  <c r="H175" i="11"/>
  <c r="BL175" i="11" s="1"/>
  <c r="AX175" i="11"/>
  <c r="AT174" i="11"/>
  <c r="D174" i="11"/>
  <c r="BH174" i="11" s="1"/>
  <c r="BB172" i="11"/>
  <c r="L172" i="11"/>
  <c r="BP172" i="11" s="1"/>
  <c r="AX171" i="11"/>
  <c r="H171" i="11"/>
  <c r="BL171" i="11" s="1"/>
  <c r="AU210" i="11"/>
  <c r="E210" i="11"/>
  <c r="BI210" i="11" s="1"/>
  <c r="AT237" i="11"/>
  <c r="D237" i="11"/>
  <c r="BH237" i="11" s="1"/>
  <c r="AX234" i="11"/>
  <c r="BB233" i="11"/>
  <c r="L233" i="11"/>
  <c r="BP233" i="11" s="1"/>
  <c r="BB231" i="11"/>
  <c r="L231" i="11"/>
  <c r="BP231" i="11" s="1"/>
  <c r="D231" i="11"/>
  <c r="BH231" i="11" s="1"/>
  <c r="AT231" i="11"/>
  <c r="BB229" i="11"/>
  <c r="L229" i="11"/>
  <c r="BP229" i="11" s="1"/>
  <c r="AX228" i="11"/>
  <c r="BB227" i="11"/>
  <c r="L227" i="11"/>
  <c r="BP227" i="11" s="1"/>
  <c r="L225" i="11"/>
  <c r="BP225" i="11" s="1"/>
  <c r="BB225" i="11"/>
  <c r="AX224" i="11"/>
  <c r="L223" i="11"/>
  <c r="BP223" i="11" s="1"/>
  <c r="BB223" i="11"/>
  <c r="AT223" i="11"/>
  <c r="D223" i="11"/>
  <c r="BH223" i="11" s="1"/>
  <c r="AX220" i="11"/>
  <c r="BB219" i="11"/>
  <c r="L219" i="11"/>
  <c r="BP219" i="11" s="1"/>
  <c r="AX218" i="11"/>
  <c r="BB217" i="11"/>
  <c r="L217" i="11"/>
  <c r="BP217" i="11" s="1"/>
  <c r="AX216" i="11"/>
  <c r="BB215" i="11"/>
  <c r="L215" i="11"/>
  <c r="BP215" i="11" s="1"/>
  <c r="AT215" i="11"/>
  <c r="D215" i="11"/>
  <c r="BH215" i="11" s="1"/>
  <c r="BB213" i="11"/>
  <c r="L213" i="11"/>
  <c r="BP213" i="11" s="1"/>
  <c r="BB211" i="11"/>
  <c r="L211" i="11"/>
  <c r="BP211" i="11" s="1"/>
  <c r="AJ44" i="11"/>
  <c r="AN41" i="11"/>
  <c r="AG81" i="11"/>
  <c r="AG85" i="11"/>
  <c r="AJ85" i="11"/>
  <c r="AF124" i="11"/>
  <c r="AF121" i="11"/>
  <c r="AJ121" i="11"/>
  <c r="AN163" i="11"/>
  <c r="AF204" i="11"/>
  <c r="L190" i="11"/>
  <c r="BP190" i="11" s="1"/>
  <c r="L38" i="11"/>
  <c r="BP38" i="11" s="1"/>
  <c r="M24" i="11"/>
  <c r="BQ24" i="11" s="1"/>
  <c r="H185" i="11"/>
  <c r="BL185" i="11" s="1"/>
  <c r="I10" i="11"/>
  <c r="BM10" i="11" s="1"/>
  <c r="AT118" i="11"/>
  <c r="AT143" i="11"/>
  <c r="E36" i="11"/>
  <c r="BI36" i="11" s="1"/>
  <c r="I29" i="11"/>
  <c r="BM29" i="11" s="1"/>
  <c r="AT12" i="11"/>
  <c r="AT227" i="11"/>
  <c r="AY39" i="11"/>
  <c r="I39" i="11"/>
  <c r="BM39" i="11" s="1"/>
  <c r="AU32" i="11"/>
  <c r="E32" i="11"/>
  <c r="BI32" i="11" s="1"/>
  <c r="AU24" i="11"/>
  <c r="E24" i="11"/>
  <c r="BI24" i="11" s="1"/>
  <c r="BC20" i="11"/>
  <c r="M20" i="11"/>
  <c r="BQ20" i="11" s="1"/>
  <c r="AU16" i="11"/>
  <c r="E16" i="11"/>
  <c r="BI16" i="11" s="1"/>
  <c r="AU14" i="11"/>
  <c r="E14" i="11"/>
  <c r="BI14" i="11" s="1"/>
  <c r="AY11" i="11"/>
  <c r="I11" i="11"/>
  <c r="BM11" i="11" s="1"/>
  <c r="BC79" i="11"/>
  <c r="M79" i="11"/>
  <c r="BQ79" i="11" s="1"/>
  <c r="AU77" i="11"/>
  <c r="E77" i="11"/>
  <c r="BI77" i="11" s="1"/>
  <c r="AU75" i="11"/>
  <c r="E75" i="11"/>
  <c r="BI75" i="11" s="1"/>
  <c r="AU73" i="11"/>
  <c r="E73" i="11"/>
  <c r="BI73" i="11" s="1"/>
  <c r="AY70" i="11"/>
  <c r="I70" i="11"/>
  <c r="BM70" i="11" s="1"/>
  <c r="AY66" i="11"/>
  <c r="I66" i="11"/>
  <c r="BM66" i="11" s="1"/>
  <c r="AY64" i="11"/>
  <c r="I64" i="11"/>
  <c r="BM64" i="11" s="1"/>
  <c r="AY62" i="11"/>
  <c r="I62" i="11"/>
  <c r="BM62" i="11" s="1"/>
  <c r="AU61" i="11"/>
  <c r="E61" i="11"/>
  <c r="BI61" i="11" s="1"/>
  <c r="AU59" i="11"/>
  <c r="E59" i="11"/>
  <c r="BI59" i="11" s="1"/>
  <c r="AU57" i="11"/>
  <c r="E57" i="11"/>
  <c r="BI57" i="11" s="1"/>
  <c r="AU55" i="11"/>
  <c r="E55" i="11"/>
  <c r="BI55" i="11" s="1"/>
  <c r="BC53" i="11"/>
  <c r="M53" i="11"/>
  <c r="BQ53" i="11" s="1"/>
  <c r="BC51" i="11"/>
  <c r="M51" i="11"/>
  <c r="BQ51" i="11" s="1"/>
  <c r="AZ90" i="11"/>
  <c r="J90" i="11"/>
  <c r="BN90" i="11" s="1"/>
  <c r="AU120" i="11"/>
  <c r="E120" i="11"/>
  <c r="BI120" i="11" s="1"/>
  <c r="AY119" i="11"/>
  <c r="I119" i="11"/>
  <c r="BM119" i="11" s="1"/>
  <c r="AY117" i="11"/>
  <c r="I117" i="11"/>
  <c r="BM117" i="11" s="1"/>
  <c r="AU116" i="11"/>
  <c r="E116" i="11"/>
  <c r="BI116" i="11" s="1"/>
  <c r="BC114" i="11"/>
  <c r="M114" i="11"/>
  <c r="BQ114" i="11" s="1"/>
  <c r="BC112" i="11"/>
  <c r="M112" i="11"/>
  <c r="BQ112" i="11" s="1"/>
  <c r="AY111" i="11"/>
  <c r="I111" i="11"/>
  <c r="BM111" i="11" s="1"/>
  <c r="AU110" i="11"/>
  <c r="E110" i="11"/>
  <c r="BI110" i="11" s="1"/>
  <c r="BC108" i="11"/>
  <c r="M108" i="11"/>
  <c r="BQ108" i="11" s="1"/>
  <c r="AY107" i="11"/>
  <c r="I107" i="11"/>
  <c r="BM107" i="11" s="1"/>
  <c r="I35" i="11"/>
  <c r="BM35" i="11" s="1"/>
  <c r="AX39" i="11"/>
  <c r="H39" i="11"/>
  <c r="BL39" i="11" s="1"/>
  <c r="AX33" i="11"/>
  <c r="H33" i="11"/>
  <c r="BL33" i="11" s="1"/>
  <c r="H31" i="11"/>
  <c r="BL31" i="11" s="1"/>
  <c r="AX31" i="11"/>
  <c r="BB28" i="11"/>
  <c r="L28" i="11"/>
  <c r="BP28" i="11" s="1"/>
  <c r="BB22" i="11"/>
  <c r="L22" i="11"/>
  <c r="BP22" i="11" s="1"/>
  <c r="BB20" i="11"/>
  <c r="L20" i="11"/>
  <c r="BP20" i="11" s="1"/>
  <c r="AT20" i="11"/>
  <c r="D20" i="11"/>
  <c r="BH20" i="11" s="1"/>
  <c r="D18" i="11"/>
  <c r="BH18" i="11" s="1"/>
  <c r="AT18" i="11"/>
  <c r="M50" i="11"/>
  <c r="BQ50" i="11" s="1"/>
  <c r="BC50" i="11"/>
  <c r="BB79" i="11"/>
  <c r="L79" i="11"/>
  <c r="BP79" i="11" s="1"/>
  <c r="D77" i="11"/>
  <c r="BH77" i="11" s="1"/>
  <c r="AT77" i="11"/>
  <c r="AT75" i="11"/>
  <c r="D75" i="11"/>
  <c r="BH75" i="11" s="1"/>
  <c r="BB71" i="11"/>
  <c r="L71" i="11"/>
  <c r="BP71" i="11" s="1"/>
  <c r="AX68" i="11"/>
  <c r="H68" i="11"/>
  <c r="BL68" i="11" s="1"/>
  <c r="AX66" i="11"/>
  <c r="H66" i="11"/>
  <c r="BL66" i="11" s="1"/>
  <c r="BB63" i="11"/>
  <c r="L63" i="11"/>
  <c r="BP63" i="11" s="1"/>
  <c r="AT61" i="11"/>
  <c r="D61" i="11"/>
  <c r="BH61" i="11" s="1"/>
  <c r="BB59" i="11"/>
  <c r="L59" i="11"/>
  <c r="BP59" i="11" s="1"/>
  <c r="BB57" i="11"/>
  <c r="L57" i="11"/>
  <c r="BP57" i="11" s="1"/>
  <c r="AX56" i="11"/>
  <c r="H56" i="11"/>
  <c r="BL56" i="11" s="1"/>
  <c r="AX54" i="11"/>
  <c r="H54" i="11"/>
  <c r="BL54" i="11" s="1"/>
  <c r="AT53" i="11"/>
  <c r="D53" i="11"/>
  <c r="BH53" i="11" s="1"/>
  <c r="BB51" i="11"/>
  <c r="L51" i="11"/>
  <c r="BP51" i="11" s="1"/>
  <c r="AY90" i="11"/>
  <c r="I90" i="11"/>
  <c r="BM90" i="11" s="1"/>
  <c r="L118" i="11"/>
  <c r="BP118" i="11" s="1"/>
  <c r="BB118" i="11"/>
  <c r="AX117" i="11"/>
  <c r="H117" i="11"/>
  <c r="BL117" i="11" s="1"/>
  <c r="AT116" i="11"/>
  <c r="D116" i="11"/>
  <c r="BH116" i="11" s="1"/>
  <c r="BB114" i="11"/>
  <c r="L114" i="11"/>
  <c r="BP114" i="11" s="1"/>
  <c r="H113" i="11"/>
  <c r="BL113" i="11" s="1"/>
  <c r="AX113" i="11"/>
  <c r="AT112" i="11"/>
  <c r="D112" i="11"/>
  <c r="BH112" i="11" s="1"/>
  <c r="D110" i="11"/>
  <c r="BH110" i="11" s="1"/>
  <c r="AT110" i="11"/>
  <c r="BB108" i="11"/>
  <c r="L108" i="11"/>
  <c r="BP108" i="11" s="1"/>
  <c r="AX107" i="11"/>
  <c r="H107" i="11"/>
  <c r="BL107" i="11" s="1"/>
  <c r="BB106" i="11"/>
  <c r="L106" i="11"/>
  <c r="BP106" i="11" s="1"/>
  <c r="AX105" i="11"/>
  <c r="H105" i="11"/>
  <c r="BL105" i="11" s="1"/>
  <c r="AT104" i="11"/>
  <c r="D104" i="11"/>
  <c r="BH104" i="11" s="1"/>
  <c r="AX101" i="11"/>
  <c r="H101" i="11"/>
  <c r="BL101" i="11" s="1"/>
  <c r="BB98" i="11"/>
  <c r="L98" i="11"/>
  <c r="BP98" i="11" s="1"/>
  <c r="BB94" i="11"/>
  <c r="L94" i="11"/>
  <c r="BP94" i="11" s="1"/>
  <c r="AX158" i="11"/>
  <c r="H158" i="11"/>
  <c r="BL158" i="11" s="1"/>
  <c r="BB155" i="11"/>
  <c r="L155" i="11"/>
  <c r="BP155" i="11" s="1"/>
  <c r="AX152" i="11"/>
  <c r="H152" i="11"/>
  <c r="BL152" i="11" s="1"/>
  <c r="AX150" i="11"/>
  <c r="H150" i="11"/>
  <c r="BL150" i="11" s="1"/>
  <c r="AT149" i="11"/>
  <c r="D149" i="11"/>
  <c r="BH149" i="11" s="1"/>
  <c r="BB147" i="11"/>
  <c r="L147" i="11"/>
  <c r="BP147" i="11" s="1"/>
  <c r="AX146" i="11"/>
  <c r="H146" i="11"/>
  <c r="BL146" i="11" s="1"/>
  <c r="BB145" i="11"/>
  <c r="L145" i="11"/>
  <c r="BP145" i="11" s="1"/>
  <c r="AT145" i="11"/>
  <c r="D145" i="11"/>
  <c r="BH145" i="11" s="1"/>
  <c r="BB143" i="11"/>
  <c r="L143" i="11"/>
  <c r="BP143" i="11" s="1"/>
  <c r="AT141" i="11"/>
  <c r="D141" i="11"/>
  <c r="BH141" i="11" s="1"/>
  <c r="D133" i="11"/>
  <c r="BH133" i="11" s="1"/>
  <c r="AT133" i="11"/>
  <c r="AT131" i="11"/>
  <c r="D131" i="11"/>
  <c r="BH131" i="11" s="1"/>
  <c r="D200" i="11"/>
  <c r="BH200" i="11" s="1"/>
  <c r="AT200" i="11"/>
  <c r="AT194" i="11"/>
  <c r="D194" i="11"/>
  <c r="BH194" i="11" s="1"/>
  <c r="H189" i="11"/>
  <c r="BL189" i="11" s="1"/>
  <c r="AX189" i="11"/>
  <c r="D188" i="11"/>
  <c r="BH188" i="11" s="1"/>
  <c r="AT188" i="11"/>
  <c r="AX187" i="11"/>
  <c r="H187" i="11"/>
  <c r="BL187" i="11" s="1"/>
  <c r="AT186" i="11"/>
  <c r="D186" i="11"/>
  <c r="BH186" i="11" s="1"/>
  <c r="D184" i="11"/>
  <c r="BH184" i="11" s="1"/>
  <c r="AT184" i="11"/>
  <c r="L178" i="11"/>
  <c r="BP178" i="11" s="1"/>
  <c r="BB178" i="11"/>
  <c r="H177" i="11"/>
  <c r="BL177" i="11" s="1"/>
  <c r="AX177" i="11"/>
  <c r="D176" i="11"/>
  <c r="BH176" i="11" s="1"/>
  <c r="AT176" i="11"/>
  <c r="BB174" i="11"/>
  <c r="L174" i="11"/>
  <c r="BP174" i="11" s="1"/>
  <c r="AX173" i="11"/>
  <c r="H173" i="11"/>
  <c r="BL173" i="11" s="1"/>
  <c r="D172" i="11"/>
  <c r="BH172" i="11" s="1"/>
  <c r="AT172" i="11"/>
  <c r="BB239" i="11"/>
  <c r="L239" i="11"/>
  <c r="BP239" i="11" s="1"/>
  <c r="AT239" i="11"/>
  <c r="D239" i="11"/>
  <c r="BH239" i="11" s="1"/>
  <c r="AX238" i="11"/>
  <c r="AX236" i="11"/>
  <c r="L235" i="11"/>
  <c r="BP235" i="11" s="1"/>
  <c r="BB235" i="11"/>
  <c r="AT235" i="11"/>
  <c r="D235" i="11"/>
  <c r="BH235" i="11" s="1"/>
  <c r="AT233" i="11"/>
  <c r="D233" i="11"/>
  <c r="BH233" i="11" s="1"/>
  <c r="AX230" i="11"/>
  <c r="AT229" i="11"/>
  <c r="D229" i="11"/>
  <c r="BH229" i="11" s="1"/>
  <c r="AX226" i="11"/>
  <c r="AX222" i="11"/>
  <c r="AT221" i="11"/>
  <c r="D221" i="11"/>
  <c r="BH221" i="11" s="1"/>
  <c r="D217" i="11"/>
  <c r="BH217" i="11" s="1"/>
  <c r="AT217" i="11"/>
  <c r="AX212" i="11"/>
  <c r="AF44" i="11"/>
  <c r="AF42" i="11"/>
  <c r="AF41" i="11"/>
  <c r="AF43" i="11"/>
  <c r="AF45" i="11"/>
  <c r="AF85" i="11"/>
  <c r="AN124" i="11"/>
  <c r="AN125" i="11"/>
  <c r="AN122" i="11"/>
  <c r="AN204" i="11"/>
  <c r="AN203" i="11"/>
  <c r="M34" i="11"/>
  <c r="BQ34" i="11" s="1"/>
  <c r="I25" i="11"/>
  <c r="BM25" i="11" s="1"/>
  <c r="I33" i="11"/>
  <c r="BM33" i="11" s="1"/>
  <c r="AX115" i="11"/>
  <c r="H37" i="11"/>
  <c r="BL37" i="11" s="1"/>
  <c r="E30" i="11"/>
  <c r="BI30" i="11" s="1"/>
  <c r="D155" i="11"/>
  <c r="BH155" i="11" s="1"/>
  <c r="AT135" i="11"/>
  <c r="AX148" i="11"/>
  <c r="L40" i="11"/>
  <c r="BP40" i="11" s="1"/>
  <c r="D36" i="11"/>
  <c r="BH36" i="11" s="1"/>
  <c r="E28" i="11"/>
  <c r="BI28" i="11" s="1"/>
  <c r="L18" i="11"/>
  <c r="BP18" i="11" s="1"/>
  <c r="H119" i="11"/>
  <c r="BL119" i="11" s="1"/>
  <c r="AX15" i="11"/>
  <c r="BB104" i="11"/>
  <c r="BC106" i="11"/>
  <c r="M106" i="11"/>
  <c r="BQ106" i="11" s="1"/>
  <c r="AU106" i="11"/>
  <c r="E106" i="11"/>
  <c r="BI106" i="11" s="1"/>
  <c r="AY105" i="11"/>
  <c r="I105" i="11"/>
  <c r="BM105" i="11" s="1"/>
  <c r="BC104" i="11"/>
  <c r="M104" i="11"/>
  <c r="BQ104" i="11" s="1"/>
  <c r="AU104" i="11"/>
  <c r="E104" i="11"/>
  <c r="BI104" i="11" s="1"/>
  <c r="AY103" i="11"/>
  <c r="I103" i="11"/>
  <c r="BM103" i="11" s="1"/>
  <c r="BC102" i="11"/>
  <c r="M102" i="11"/>
  <c r="BQ102" i="11" s="1"/>
  <c r="AU102" i="11"/>
  <c r="E102" i="11"/>
  <c r="BI102" i="11" s="1"/>
  <c r="AY101" i="11"/>
  <c r="I101" i="11"/>
  <c r="BM101" i="11" s="1"/>
  <c r="BC100" i="11"/>
  <c r="M100" i="11"/>
  <c r="BQ100" i="11" s="1"/>
  <c r="AU100" i="11"/>
  <c r="E100" i="11"/>
  <c r="BI100" i="11" s="1"/>
  <c r="AY99" i="11"/>
  <c r="I99" i="11"/>
  <c r="BM99" i="11" s="1"/>
  <c r="BC98" i="11"/>
  <c r="M98" i="11"/>
  <c r="BQ98" i="11" s="1"/>
  <c r="AU98" i="11"/>
  <c r="E98" i="11"/>
  <c r="BI98" i="11" s="1"/>
  <c r="AY97" i="11"/>
  <c r="I97" i="11"/>
  <c r="BM97" i="11" s="1"/>
  <c r="BC96" i="11"/>
  <c r="M96" i="11"/>
  <c r="BQ96" i="11" s="1"/>
  <c r="AU96" i="11"/>
  <c r="E96" i="11"/>
  <c r="BI96" i="11" s="1"/>
  <c r="AY95" i="11"/>
  <c r="I95" i="11"/>
  <c r="BM95" i="11" s="1"/>
  <c r="BC94" i="11"/>
  <c r="M94" i="11"/>
  <c r="BQ94" i="11" s="1"/>
  <c r="AU94" i="11"/>
  <c r="E94" i="11"/>
  <c r="BI94" i="11" s="1"/>
  <c r="AY93" i="11"/>
  <c r="I93" i="11"/>
  <c r="BM93" i="11" s="1"/>
  <c r="BC92" i="11"/>
  <c r="M92" i="11"/>
  <c r="BQ92" i="11" s="1"/>
  <c r="AU92" i="11"/>
  <c r="E92" i="11"/>
  <c r="BI92" i="11" s="1"/>
  <c r="AY91" i="11"/>
  <c r="I91" i="11"/>
  <c r="BM91" i="11" s="1"/>
  <c r="AR130" i="11"/>
  <c r="B130" i="11"/>
  <c r="BF130" i="11" s="1"/>
  <c r="AV130" i="11"/>
  <c r="F130" i="11"/>
  <c r="BJ130" i="11" s="1"/>
  <c r="AY160" i="11"/>
  <c r="I160" i="11"/>
  <c r="BM160" i="11" s="1"/>
  <c r="BC159" i="11"/>
  <c r="M159" i="11"/>
  <c r="BQ159" i="11" s="1"/>
  <c r="AU159" i="11"/>
  <c r="E159" i="11"/>
  <c r="BI159" i="11" s="1"/>
  <c r="AY158" i="11"/>
  <c r="I158" i="11"/>
  <c r="BM158" i="11" s="1"/>
  <c r="BC157" i="11"/>
  <c r="M157" i="11"/>
  <c r="BQ157" i="11" s="1"/>
  <c r="AU157" i="11"/>
  <c r="E157" i="11"/>
  <c r="BI157" i="11" s="1"/>
  <c r="AY156" i="11"/>
  <c r="I156" i="11"/>
  <c r="BM156" i="11" s="1"/>
  <c r="BC155" i="11"/>
  <c r="M155" i="11"/>
  <c r="BQ155" i="11" s="1"/>
  <c r="AU155" i="11"/>
  <c r="E155" i="11"/>
  <c r="BI155" i="11" s="1"/>
  <c r="AY154" i="11"/>
  <c r="I154" i="11"/>
  <c r="BM154" i="11" s="1"/>
  <c r="BC153" i="11"/>
  <c r="M153" i="11"/>
  <c r="BQ153" i="11" s="1"/>
  <c r="AU153" i="11"/>
  <c r="E153" i="11"/>
  <c r="BI153" i="11" s="1"/>
  <c r="AY152" i="11"/>
  <c r="I152" i="11"/>
  <c r="BM152" i="11" s="1"/>
  <c r="BC151" i="11"/>
  <c r="M151" i="11"/>
  <c r="BQ151" i="11" s="1"/>
  <c r="AU151" i="11"/>
  <c r="E151" i="11"/>
  <c r="BI151" i="11" s="1"/>
  <c r="AY150" i="11"/>
  <c r="I150" i="11"/>
  <c r="BM150" i="11" s="1"/>
  <c r="BC149" i="11"/>
  <c r="M149" i="11"/>
  <c r="BQ149" i="11" s="1"/>
  <c r="AU149" i="11"/>
  <c r="E149" i="11"/>
  <c r="BI149" i="11" s="1"/>
  <c r="AY148" i="11"/>
  <c r="I148" i="11"/>
  <c r="BM148" i="11" s="1"/>
  <c r="BC147" i="11"/>
  <c r="M147" i="11"/>
  <c r="BQ147" i="11" s="1"/>
  <c r="AU147" i="11"/>
  <c r="E147" i="11"/>
  <c r="BI147" i="11" s="1"/>
  <c r="AY146" i="11"/>
  <c r="I146" i="11"/>
  <c r="BM146" i="11" s="1"/>
  <c r="BC145" i="11"/>
  <c r="M145" i="11"/>
  <c r="BQ145" i="11" s="1"/>
  <c r="AU145" i="11"/>
  <c r="E145" i="11"/>
  <c r="BI145" i="11" s="1"/>
  <c r="AY144" i="11"/>
  <c r="I144" i="11"/>
  <c r="BM144" i="11" s="1"/>
  <c r="BC143" i="11"/>
  <c r="M143" i="11"/>
  <c r="BQ143" i="11" s="1"/>
  <c r="AU143" i="11"/>
  <c r="E143" i="11"/>
  <c r="BI143" i="11" s="1"/>
  <c r="AY142" i="11"/>
  <c r="I142" i="11"/>
  <c r="BM142" i="11" s="1"/>
  <c r="BC141" i="11"/>
  <c r="M141" i="11"/>
  <c r="BQ141" i="11" s="1"/>
  <c r="AU141" i="11"/>
  <c r="E141" i="11"/>
  <c r="BI141" i="11" s="1"/>
  <c r="AY140" i="11"/>
  <c r="I140" i="11"/>
  <c r="BM140" i="11" s="1"/>
  <c r="BC139" i="11"/>
  <c r="M139" i="11"/>
  <c r="BQ139" i="11" s="1"/>
  <c r="AU139" i="11"/>
  <c r="E139" i="11"/>
  <c r="BI139" i="11" s="1"/>
  <c r="AY138" i="11"/>
  <c r="I138" i="11"/>
  <c r="BM138" i="11" s="1"/>
  <c r="BC137" i="11"/>
  <c r="M137" i="11"/>
  <c r="BQ137" i="11" s="1"/>
  <c r="AU137" i="11"/>
  <c r="E137" i="11"/>
  <c r="BI137" i="11" s="1"/>
  <c r="AY136" i="11"/>
  <c r="I136" i="11"/>
  <c r="BM136" i="11" s="1"/>
  <c r="BC135" i="11"/>
  <c r="M135" i="11"/>
  <c r="BQ135" i="11" s="1"/>
  <c r="AU135" i="11"/>
  <c r="E135" i="11"/>
  <c r="BI135" i="11" s="1"/>
  <c r="AY134" i="11"/>
  <c r="I134" i="11"/>
  <c r="BM134" i="11" s="1"/>
  <c r="BC133" i="11"/>
  <c r="M133" i="11"/>
  <c r="BQ133" i="11" s="1"/>
  <c r="AU133" i="11"/>
  <c r="E133" i="11"/>
  <c r="BI133" i="11" s="1"/>
  <c r="AY132" i="11"/>
  <c r="I132" i="11"/>
  <c r="BM132" i="11" s="1"/>
  <c r="BC131" i="11"/>
  <c r="M131" i="11"/>
  <c r="BQ131" i="11" s="1"/>
  <c r="AU131" i="11"/>
  <c r="E131" i="11"/>
  <c r="BI131" i="11" s="1"/>
  <c r="BC200" i="11"/>
  <c r="M200" i="11"/>
  <c r="BQ200" i="11" s="1"/>
  <c r="AU200" i="11"/>
  <c r="E200" i="11"/>
  <c r="BI200" i="11" s="1"/>
  <c r="AY199" i="11"/>
  <c r="I199" i="11"/>
  <c r="BM199" i="11" s="1"/>
  <c r="BC198" i="11"/>
  <c r="M198" i="11"/>
  <c r="BQ198" i="11" s="1"/>
  <c r="AU198" i="11"/>
  <c r="E198" i="11"/>
  <c r="BI198" i="11" s="1"/>
  <c r="AY197" i="11"/>
  <c r="I197" i="11"/>
  <c r="BM197" i="11" s="1"/>
  <c r="BC196" i="11"/>
  <c r="M196" i="11"/>
  <c r="BQ196" i="11" s="1"/>
  <c r="AU196" i="11"/>
  <c r="E196" i="11"/>
  <c r="BI196" i="11" s="1"/>
  <c r="AY195" i="11"/>
  <c r="I195" i="11"/>
  <c r="BM195" i="11" s="1"/>
  <c r="BC194" i="11"/>
  <c r="M194" i="11"/>
  <c r="BQ194" i="11" s="1"/>
  <c r="AU194" i="11"/>
  <c r="E194" i="11"/>
  <c r="BI194" i="11" s="1"/>
  <c r="AY193" i="11"/>
  <c r="I193" i="11"/>
  <c r="BM193" i="11" s="1"/>
  <c r="BC192" i="11"/>
  <c r="M192" i="11"/>
  <c r="BQ192" i="11" s="1"/>
  <c r="AU192" i="11"/>
  <c r="E192" i="11"/>
  <c r="BI192" i="11" s="1"/>
  <c r="AY191" i="11"/>
  <c r="I191" i="11"/>
  <c r="BM191" i="11" s="1"/>
  <c r="BC190" i="11"/>
  <c r="M190" i="11"/>
  <c r="BQ190" i="11" s="1"/>
  <c r="AU190" i="11"/>
  <c r="E190" i="11"/>
  <c r="BI190" i="11" s="1"/>
  <c r="AY189" i="11"/>
  <c r="I189" i="11"/>
  <c r="BM189" i="11" s="1"/>
  <c r="BC188" i="11"/>
  <c r="M188" i="11"/>
  <c r="BQ188" i="11" s="1"/>
  <c r="AU188" i="11"/>
  <c r="E188" i="11"/>
  <c r="BI188" i="11" s="1"/>
  <c r="AY187" i="11"/>
  <c r="I187" i="11"/>
  <c r="BM187" i="11" s="1"/>
  <c r="BC186" i="11"/>
  <c r="M186" i="11"/>
  <c r="BQ186" i="11" s="1"/>
  <c r="AU186" i="11"/>
  <c r="E186" i="11"/>
  <c r="BI186" i="11" s="1"/>
  <c r="AY185" i="11"/>
  <c r="I185" i="11"/>
  <c r="BM185" i="11" s="1"/>
  <c r="BC184" i="11"/>
  <c r="M184" i="11"/>
  <c r="BQ184" i="11" s="1"/>
  <c r="AU184" i="11"/>
  <c r="E184" i="11"/>
  <c r="BI184" i="11" s="1"/>
  <c r="AY183" i="11"/>
  <c r="I183" i="11"/>
  <c r="BM183" i="11" s="1"/>
  <c r="BC182" i="11"/>
  <c r="M182" i="11"/>
  <c r="BQ182" i="11" s="1"/>
  <c r="AU182" i="11"/>
  <c r="E182" i="11"/>
  <c r="BI182" i="11" s="1"/>
  <c r="AY181" i="11"/>
  <c r="I181" i="11"/>
  <c r="BM181" i="11" s="1"/>
  <c r="BC180" i="11"/>
  <c r="M180" i="11"/>
  <c r="BQ180" i="11" s="1"/>
  <c r="AU180" i="11"/>
  <c r="E180" i="11"/>
  <c r="BI180" i="11" s="1"/>
  <c r="AY179" i="11"/>
  <c r="I179" i="11"/>
  <c r="BM179" i="11" s="1"/>
  <c r="BC178" i="11"/>
  <c r="M178" i="11"/>
  <c r="BQ178" i="11" s="1"/>
  <c r="AU178" i="11"/>
  <c r="E178" i="11"/>
  <c r="BI178" i="11" s="1"/>
  <c r="AY177" i="11"/>
  <c r="I177" i="11"/>
  <c r="BM177" i="11" s="1"/>
  <c r="BC176" i="11"/>
  <c r="M176" i="11"/>
  <c r="BQ176" i="11" s="1"/>
  <c r="AU176" i="11"/>
  <c r="E176" i="11"/>
  <c r="BI176" i="11" s="1"/>
  <c r="AY175" i="11"/>
  <c r="I175" i="11"/>
  <c r="BM175" i="11" s="1"/>
  <c r="BC174" i="11"/>
  <c r="M174" i="11"/>
  <c r="BQ174" i="11" s="1"/>
  <c r="AU174" i="11"/>
  <c r="E174" i="11"/>
  <c r="BI174" i="11" s="1"/>
  <c r="AY173" i="11"/>
  <c r="I173" i="11"/>
  <c r="BM173" i="11" s="1"/>
  <c r="BC172" i="11"/>
  <c r="M172" i="11"/>
  <c r="BQ172" i="11" s="1"/>
  <c r="AU172" i="11"/>
  <c r="E172" i="11"/>
  <c r="BI172" i="11" s="1"/>
  <c r="AY171" i="11"/>
  <c r="I171" i="11"/>
  <c r="BM171" i="11" s="1"/>
  <c r="AR210" i="11"/>
  <c r="B210" i="11"/>
  <c r="BF210" i="11" s="1"/>
  <c r="P242" i="11"/>
  <c r="AV210" i="11"/>
  <c r="F210" i="11"/>
  <c r="BJ210" i="11" s="1"/>
  <c r="AY240" i="11"/>
  <c r="I240" i="11"/>
  <c r="BM240" i="11" s="1"/>
  <c r="BC239" i="11"/>
  <c r="M239" i="11"/>
  <c r="BQ239" i="11" s="1"/>
  <c r="AU239" i="11"/>
  <c r="E239" i="11"/>
  <c r="BI239" i="11" s="1"/>
  <c r="AY238" i="11"/>
  <c r="I238" i="11"/>
  <c r="BM238" i="11" s="1"/>
  <c r="BC237" i="11"/>
  <c r="M237" i="11"/>
  <c r="BQ237" i="11" s="1"/>
  <c r="AU237" i="11"/>
  <c r="E237" i="11"/>
  <c r="BI237" i="11" s="1"/>
  <c r="AY236" i="11"/>
  <c r="I236" i="11"/>
  <c r="BM236" i="11" s="1"/>
  <c r="BC235" i="11"/>
  <c r="M235" i="11"/>
  <c r="BQ235" i="11" s="1"/>
  <c r="AU235" i="11"/>
  <c r="E235" i="11"/>
  <c r="BI235" i="11" s="1"/>
  <c r="AY234" i="11"/>
  <c r="I234" i="11"/>
  <c r="BM234" i="11" s="1"/>
  <c r="BC233" i="11"/>
  <c r="M233" i="11"/>
  <c r="BQ233" i="11" s="1"/>
  <c r="AU233" i="11"/>
  <c r="E233" i="11"/>
  <c r="BI233" i="11" s="1"/>
  <c r="AY232" i="11"/>
  <c r="I232" i="11"/>
  <c r="BM232" i="11" s="1"/>
  <c r="BC231" i="11"/>
  <c r="M231" i="11"/>
  <c r="BQ231" i="11" s="1"/>
  <c r="AU231" i="11"/>
  <c r="E231" i="11"/>
  <c r="BI231" i="11" s="1"/>
  <c r="BC229" i="11"/>
  <c r="M229" i="11"/>
  <c r="BQ229" i="11" s="1"/>
  <c r="AU229" i="11"/>
  <c r="E229" i="11"/>
  <c r="BI229" i="11" s="1"/>
  <c r="AY228" i="11"/>
  <c r="I228" i="11"/>
  <c r="BM228" i="11" s="1"/>
  <c r="BC227" i="11"/>
  <c r="M227" i="11"/>
  <c r="BQ227" i="11" s="1"/>
  <c r="AU227" i="11"/>
  <c r="E227" i="11"/>
  <c r="BI227" i="11" s="1"/>
  <c r="AY226" i="11"/>
  <c r="I226" i="11"/>
  <c r="BM226" i="11" s="1"/>
  <c r="BC225" i="11"/>
  <c r="M225" i="11"/>
  <c r="BQ225" i="11" s="1"/>
  <c r="AU225" i="11"/>
  <c r="E225" i="11"/>
  <c r="BI225" i="11" s="1"/>
  <c r="AY224" i="11"/>
  <c r="I224" i="11"/>
  <c r="BM224" i="11" s="1"/>
  <c r="BC223" i="11"/>
  <c r="M223" i="11"/>
  <c r="BQ223" i="11" s="1"/>
  <c r="AU223" i="11"/>
  <c r="E223" i="11"/>
  <c r="BI223" i="11" s="1"/>
  <c r="AY222" i="11"/>
  <c r="I222" i="11"/>
  <c r="BM222" i="11" s="1"/>
  <c r="AU221" i="11"/>
  <c r="E221" i="11"/>
  <c r="BI221" i="11" s="1"/>
  <c r="AY220" i="11"/>
  <c r="I220" i="11"/>
  <c r="BM220" i="11" s="1"/>
  <c r="BC219" i="11"/>
  <c r="M219" i="11"/>
  <c r="BQ219" i="11" s="1"/>
  <c r="AU219" i="11"/>
  <c r="E219" i="11"/>
  <c r="BI219" i="11" s="1"/>
  <c r="AY218" i="11"/>
  <c r="I218" i="11"/>
  <c r="BM218" i="11" s="1"/>
  <c r="BC217" i="11"/>
  <c r="M217" i="11"/>
  <c r="BQ217" i="11" s="1"/>
  <c r="AU217" i="11"/>
  <c r="E217" i="11"/>
  <c r="BI217" i="11" s="1"/>
  <c r="AY216" i="11"/>
  <c r="I216" i="11"/>
  <c r="BM216" i="11" s="1"/>
  <c r="BC215" i="11"/>
  <c r="M215" i="11"/>
  <c r="BQ215" i="11" s="1"/>
  <c r="AU215" i="11"/>
  <c r="E215" i="11"/>
  <c r="BI215" i="11" s="1"/>
  <c r="AY214" i="11"/>
  <c r="I214" i="11"/>
  <c r="BM214" i="11" s="1"/>
  <c r="BC213" i="11"/>
  <c r="M213" i="11"/>
  <c r="BQ213" i="11" s="1"/>
  <c r="AU213" i="11"/>
  <c r="E213" i="11"/>
  <c r="BI213" i="11" s="1"/>
  <c r="AY212" i="11"/>
  <c r="I212" i="11"/>
  <c r="BM212" i="11" s="1"/>
  <c r="BC211" i="11"/>
  <c r="M211" i="11"/>
  <c r="BQ211" i="11" s="1"/>
  <c r="AU211" i="11"/>
  <c r="E211" i="11"/>
  <c r="BI211" i="11" s="1"/>
  <c r="AK44" i="11"/>
  <c r="AG41" i="11"/>
  <c r="AK43" i="11"/>
  <c r="AH81" i="11"/>
  <c r="AH82" i="11"/>
  <c r="AK84" i="11"/>
  <c r="AO82" i="11"/>
  <c r="AK124" i="11"/>
  <c r="AO122" i="11"/>
  <c r="AO125" i="11"/>
  <c r="AG125" i="11"/>
  <c r="AK122" i="11"/>
  <c r="AO162" i="11"/>
  <c r="AL203" i="11"/>
  <c r="AL201" i="11"/>
  <c r="AO204" i="11"/>
  <c r="AG204" i="11"/>
  <c r="AK204" i="11"/>
  <c r="AO201" i="11"/>
  <c r="AG203" i="11"/>
  <c r="AK205" i="11"/>
  <c r="AO242" i="11"/>
  <c r="AG243" i="11"/>
  <c r="AF82" i="11"/>
  <c r="AF162" i="11"/>
  <c r="AN245" i="11"/>
  <c r="AF242" i="11"/>
  <c r="J170" i="11"/>
  <c r="BN170" i="11" s="1"/>
  <c r="BA233" i="11"/>
  <c r="K233" i="11"/>
  <c r="BO233" i="11" s="1"/>
  <c r="AS233" i="11"/>
  <c r="C233" i="11"/>
  <c r="BG233" i="11" s="1"/>
  <c r="AW230" i="11"/>
  <c r="G230" i="11"/>
  <c r="BK230" i="11" s="1"/>
  <c r="AS223" i="11"/>
  <c r="C223" i="11"/>
  <c r="BG223" i="11" s="1"/>
  <c r="BA211" i="11"/>
  <c r="K211" i="11"/>
  <c r="BO211" i="11" s="1"/>
  <c r="AI44" i="11"/>
  <c r="AE45" i="11"/>
  <c r="AE124" i="11"/>
  <c r="AE122" i="11"/>
  <c r="AI202" i="11"/>
  <c r="C40" i="11"/>
  <c r="BG40" i="11" s="1"/>
  <c r="C38" i="11"/>
  <c r="BG38" i="11" s="1"/>
  <c r="C36" i="11"/>
  <c r="BG36" i="11" s="1"/>
  <c r="C34" i="11"/>
  <c r="BG34" i="11" s="1"/>
  <c r="C32" i="11"/>
  <c r="BG32" i="11" s="1"/>
  <c r="C30" i="11"/>
  <c r="BG30" i="11" s="1"/>
  <c r="C28" i="11"/>
  <c r="BG28" i="11" s="1"/>
  <c r="K26" i="11"/>
  <c r="BO26" i="11" s="1"/>
  <c r="K24" i="11"/>
  <c r="BO24" i="11" s="1"/>
  <c r="G56" i="11"/>
  <c r="BK56" i="11" s="1"/>
  <c r="K61" i="11"/>
  <c r="BO61" i="11" s="1"/>
  <c r="C75" i="11"/>
  <c r="BG75" i="11" s="1"/>
  <c r="G80" i="11"/>
  <c r="BK80" i="11" s="1"/>
  <c r="C92" i="11"/>
  <c r="BG92" i="11" s="1"/>
  <c r="C149" i="11"/>
  <c r="BG149" i="11" s="1"/>
  <c r="G154" i="11"/>
  <c r="BK154" i="11" s="1"/>
  <c r="G179" i="11"/>
  <c r="BK179" i="11" s="1"/>
  <c r="K223" i="11"/>
  <c r="BO223" i="11" s="1"/>
  <c r="BA40" i="11"/>
  <c r="AW91" i="11"/>
  <c r="BA96" i="11"/>
  <c r="AW191" i="11"/>
  <c r="BA196" i="11"/>
  <c r="AS211" i="11"/>
  <c r="AW170" i="11"/>
  <c r="G170" i="11"/>
  <c r="BK170" i="11" s="1"/>
  <c r="AZ227" i="11"/>
  <c r="J227" i="11"/>
  <c r="BN227" i="11" s="1"/>
  <c r="AH44" i="11"/>
  <c r="AH204" i="11"/>
  <c r="AD202" i="11"/>
  <c r="J40" i="11"/>
  <c r="BN40" i="11" s="1"/>
  <c r="J38" i="11"/>
  <c r="BN38" i="11" s="1"/>
  <c r="J36" i="11"/>
  <c r="BN36" i="11" s="1"/>
  <c r="J34" i="11"/>
  <c r="BN34" i="11" s="1"/>
  <c r="J30" i="11"/>
  <c r="BN30" i="11" s="1"/>
  <c r="B28" i="11"/>
  <c r="BF28" i="11" s="1"/>
  <c r="J79" i="11"/>
  <c r="BN79" i="11" s="1"/>
  <c r="H90" i="11"/>
  <c r="BL90" i="11" s="1"/>
  <c r="B94" i="11"/>
  <c r="BF94" i="11" s="1"/>
  <c r="C106" i="11"/>
  <c r="BG106" i="11" s="1"/>
  <c r="G111" i="11"/>
  <c r="BK111" i="11" s="1"/>
  <c r="C131" i="11"/>
  <c r="BG131" i="11" s="1"/>
  <c r="J139" i="11"/>
  <c r="BN139" i="11" s="1"/>
  <c r="K141" i="11"/>
  <c r="BO141" i="11" s="1"/>
  <c r="F150" i="11"/>
  <c r="BJ150" i="11" s="1"/>
  <c r="G152" i="11"/>
  <c r="BK152" i="11" s="1"/>
  <c r="J155" i="11"/>
  <c r="BN155" i="11" s="1"/>
  <c r="K157" i="11"/>
  <c r="BO157" i="11" s="1"/>
  <c r="J180" i="11"/>
  <c r="BN180" i="11" s="1"/>
  <c r="F218" i="11"/>
  <c r="BJ218" i="11" s="1"/>
  <c r="B231" i="11"/>
  <c r="BF231" i="11" s="1"/>
  <c r="J239" i="11"/>
  <c r="BN239" i="11" s="1"/>
  <c r="AZ16" i="11"/>
  <c r="AV105" i="11"/>
  <c r="BA116" i="11"/>
  <c r="AV189" i="11"/>
  <c r="AZ194" i="11"/>
  <c r="BA225" i="11"/>
  <c r="AS231" i="11"/>
  <c r="AW236" i="11"/>
  <c r="AV90" i="11"/>
  <c r="F90" i="11"/>
  <c r="BJ90" i="11" s="1"/>
  <c r="AZ130" i="11"/>
  <c r="J130" i="11"/>
  <c r="BN130" i="11" s="1"/>
  <c r="BC240" i="11"/>
  <c r="M240" i="11"/>
  <c r="BQ240" i="11" s="1"/>
  <c r="E232" i="11"/>
  <c r="BI232" i="11" s="1"/>
  <c r="AU232" i="11"/>
  <c r="AU222" i="11"/>
  <c r="E222" i="11"/>
  <c r="BI222" i="11" s="1"/>
  <c r="AY211" i="11"/>
  <c r="I211" i="11"/>
  <c r="BM211" i="11" s="1"/>
  <c r="AL82" i="11"/>
  <c r="AO84" i="11"/>
  <c r="AG82" i="11"/>
  <c r="AO165" i="11"/>
  <c r="AG205" i="11"/>
  <c r="AG244" i="11"/>
  <c r="M39" i="11"/>
  <c r="BQ39" i="11" s="1"/>
  <c r="I28" i="11"/>
  <c r="BM28" i="11" s="1"/>
  <c r="B20" i="11"/>
  <c r="BF20" i="11" s="1"/>
  <c r="E19" i="11"/>
  <c r="BI19" i="11" s="1"/>
  <c r="G58" i="11"/>
  <c r="BK58" i="11" s="1"/>
  <c r="E60" i="11"/>
  <c r="BI60" i="11" s="1"/>
  <c r="M62" i="11"/>
  <c r="BQ62" i="11" s="1"/>
  <c r="I65" i="11"/>
  <c r="BM65" i="11" s="1"/>
  <c r="G66" i="11"/>
  <c r="BK66" i="11" s="1"/>
  <c r="K71" i="11"/>
  <c r="BO71" i="11" s="1"/>
  <c r="I73" i="11"/>
  <c r="BM73" i="11" s="1"/>
  <c r="M78" i="11"/>
  <c r="BQ78" i="11" s="1"/>
  <c r="K79" i="11"/>
  <c r="BO79" i="11" s="1"/>
  <c r="G99" i="11"/>
  <c r="BK99" i="11" s="1"/>
  <c r="G109" i="11"/>
  <c r="BK109" i="11" s="1"/>
  <c r="J112" i="11"/>
  <c r="BN112" i="11" s="1"/>
  <c r="K114" i="11"/>
  <c r="BO114" i="11" s="1"/>
  <c r="I135" i="11"/>
  <c r="BM135" i="11" s="1"/>
  <c r="F148" i="11"/>
  <c r="BJ148" i="11" s="1"/>
  <c r="G150" i="11"/>
  <c r="BK150" i="11" s="1"/>
  <c r="M156" i="11"/>
  <c r="BQ156" i="11" s="1"/>
  <c r="E171" i="11"/>
  <c r="BI171" i="11" s="1"/>
  <c r="F173" i="11"/>
  <c r="BJ173" i="11" s="1"/>
  <c r="I225" i="11"/>
  <c r="BM225" i="11" s="1"/>
  <c r="C227" i="11"/>
  <c r="BG227" i="11" s="1"/>
  <c r="F228" i="11"/>
  <c r="BJ228" i="11" s="1"/>
  <c r="E234" i="11"/>
  <c r="BI234" i="11" s="1"/>
  <c r="B237" i="11"/>
  <c r="BF237" i="11" s="1"/>
  <c r="BA38" i="11"/>
  <c r="AW35" i="11"/>
  <c r="AR51" i="11"/>
  <c r="AV54" i="11"/>
  <c r="BA77" i="11"/>
  <c r="BC97" i="11"/>
  <c r="AU103" i="11"/>
  <c r="AY108" i="11"/>
  <c r="BC113" i="11"/>
  <c r="AU119" i="11"/>
  <c r="AV134" i="11"/>
  <c r="AR145" i="11"/>
  <c r="AX170" i="11"/>
  <c r="AS184" i="11"/>
  <c r="BC197" i="11"/>
  <c r="AY217" i="11"/>
  <c r="BC222" i="11"/>
  <c r="AV234" i="11"/>
  <c r="AE43" i="11"/>
  <c r="AF161" i="11"/>
  <c r="BC90" i="11"/>
  <c r="M90" i="11"/>
  <c r="BQ90" i="11" s="1"/>
  <c r="AU90" i="11"/>
  <c r="E90" i="11"/>
  <c r="BI90" i="11" s="1"/>
  <c r="AY130" i="11"/>
  <c r="I130" i="11"/>
  <c r="BM130" i="11" s="1"/>
  <c r="BC170" i="11"/>
  <c r="M170" i="11"/>
  <c r="BQ170" i="11" s="1"/>
  <c r="AU170" i="11"/>
  <c r="AU203" i="11" s="1"/>
  <c r="E170" i="11"/>
  <c r="BI170" i="11" s="1"/>
  <c r="AX237" i="11"/>
  <c r="AT232" i="11"/>
  <c r="D232" i="11"/>
  <c r="BH232" i="11" s="1"/>
  <c r="BB226" i="11"/>
  <c r="L226" i="11"/>
  <c r="BP226" i="11" s="1"/>
  <c r="AX221" i="11"/>
  <c r="AT216" i="11"/>
  <c r="D216" i="11"/>
  <c r="BH216" i="11" s="1"/>
  <c r="AX213" i="11"/>
  <c r="AN84" i="11"/>
  <c r="AF84" i="11"/>
  <c r="AJ84" i="11"/>
  <c r="AN81" i="11"/>
  <c r="AF83" i="11"/>
  <c r="AJ83" i="11"/>
  <c r="AN164" i="11"/>
  <c r="AF164" i="11"/>
  <c r="AJ164" i="11"/>
  <c r="AN165" i="11"/>
  <c r="AF163" i="11"/>
  <c r="AJ162" i="11"/>
  <c r="AN244" i="11"/>
  <c r="AF244" i="11"/>
  <c r="AJ244" i="11"/>
  <c r="AN241" i="11"/>
  <c r="AF241" i="11"/>
  <c r="AJ241" i="11"/>
  <c r="E10" i="11"/>
  <c r="BI10" i="11" s="1"/>
  <c r="H40" i="11"/>
  <c r="BL40" i="11" s="1"/>
  <c r="H38" i="11"/>
  <c r="BL38" i="11" s="1"/>
  <c r="D37" i="11"/>
  <c r="BH37" i="11" s="1"/>
  <c r="D35" i="11"/>
  <c r="BH35" i="11" s="1"/>
  <c r="D33" i="11"/>
  <c r="BH33" i="11" s="1"/>
  <c r="L31" i="11"/>
  <c r="BP31" i="11" s="1"/>
  <c r="L29" i="11"/>
  <c r="BP29" i="11" s="1"/>
  <c r="L27" i="11"/>
  <c r="BP27" i="11" s="1"/>
  <c r="H26" i="11"/>
  <c r="BL26" i="11" s="1"/>
  <c r="H24" i="11"/>
  <c r="BL24" i="11" s="1"/>
  <c r="J23" i="11"/>
  <c r="BN23" i="11" s="1"/>
  <c r="G21" i="11"/>
  <c r="BK21" i="11" s="1"/>
  <c r="M19" i="11"/>
  <c r="BQ19" i="11" s="1"/>
  <c r="D19" i="11"/>
  <c r="BH19" i="11" s="1"/>
  <c r="F18" i="11"/>
  <c r="BJ18" i="11" s="1"/>
  <c r="C16" i="11"/>
  <c r="BG16" i="11" s="1"/>
  <c r="I14" i="11"/>
  <c r="BM14" i="11" s="1"/>
  <c r="L13" i="11"/>
  <c r="BP13" i="11" s="1"/>
  <c r="B13" i="11"/>
  <c r="BF13" i="11" s="1"/>
  <c r="K51" i="11"/>
  <c r="BO51" i="11" s="1"/>
  <c r="F53" i="11"/>
  <c r="BJ53" i="11" s="1"/>
  <c r="B55" i="11"/>
  <c r="BF55" i="11" s="1"/>
  <c r="L56" i="11"/>
  <c r="BP56" i="11" s="1"/>
  <c r="J57" i="11"/>
  <c r="BN57" i="11" s="1"/>
  <c r="F60" i="11"/>
  <c r="BJ60" i="11" s="1"/>
  <c r="D62" i="11"/>
  <c r="BH62" i="11" s="1"/>
  <c r="B63" i="11"/>
  <c r="BF63" i="11" s="1"/>
  <c r="H67" i="11"/>
  <c r="BL67" i="11" s="1"/>
  <c r="F68" i="11"/>
  <c r="BJ68" i="11" s="1"/>
  <c r="D70" i="11"/>
  <c r="BH70" i="11" s="1"/>
  <c r="L72" i="11"/>
  <c r="BP72" i="11" s="1"/>
  <c r="J73" i="11"/>
  <c r="BN73" i="11" s="1"/>
  <c r="H75" i="11"/>
  <c r="BL75" i="11" s="1"/>
  <c r="F76" i="11"/>
  <c r="BJ76" i="11" s="1"/>
  <c r="D78" i="11"/>
  <c r="BH78" i="11" s="1"/>
  <c r="B79" i="11"/>
  <c r="BF79" i="11" s="1"/>
  <c r="L80" i="11"/>
  <c r="BP80" i="11" s="1"/>
  <c r="H92" i="11"/>
  <c r="BL92" i="11" s="1"/>
  <c r="F93" i="11"/>
  <c r="BJ93" i="11" s="1"/>
  <c r="D95" i="11"/>
  <c r="BH95" i="11" s="1"/>
  <c r="B96" i="11"/>
  <c r="BF96" i="11" s="1"/>
  <c r="L97" i="11"/>
  <c r="BP97" i="11" s="1"/>
  <c r="J98" i="11"/>
  <c r="BN98" i="11" s="1"/>
  <c r="H100" i="11"/>
  <c r="BL100" i="11" s="1"/>
  <c r="F101" i="11"/>
  <c r="BJ101" i="11" s="1"/>
  <c r="H106" i="11"/>
  <c r="BL106" i="11" s="1"/>
  <c r="G107" i="11"/>
  <c r="BK107" i="11" s="1"/>
  <c r="J110" i="11"/>
  <c r="BN110" i="11" s="1"/>
  <c r="L111" i="11"/>
  <c r="BP111" i="11" s="1"/>
  <c r="K112" i="11"/>
  <c r="BO112" i="11" s="1"/>
  <c r="B116" i="11"/>
  <c r="BF116" i="11" s="1"/>
  <c r="D117" i="11"/>
  <c r="BH117" i="11" s="1"/>
  <c r="C118" i="11"/>
  <c r="BG118" i="11" s="1"/>
  <c r="H131" i="11"/>
  <c r="BL131" i="11" s="1"/>
  <c r="G132" i="11"/>
  <c r="BK132" i="11" s="1"/>
  <c r="I133" i="11"/>
  <c r="BM133" i="11" s="1"/>
  <c r="J135" i="11"/>
  <c r="BN135" i="11" s="1"/>
  <c r="L136" i="11"/>
  <c r="BP136" i="11" s="1"/>
  <c r="K137" i="11"/>
  <c r="BO137" i="11" s="1"/>
  <c r="M138" i="11"/>
  <c r="BQ138" i="11" s="1"/>
  <c r="D142" i="11"/>
  <c r="BH142" i="11" s="1"/>
  <c r="C143" i="11"/>
  <c r="BG143" i="11" s="1"/>
  <c r="E144" i="11"/>
  <c r="BI144" i="11" s="1"/>
  <c r="H147" i="11"/>
  <c r="BL147" i="11" s="1"/>
  <c r="G148" i="11"/>
  <c r="BK148" i="11" s="1"/>
  <c r="L152" i="11"/>
  <c r="BP152" i="11" s="1"/>
  <c r="K153" i="11"/>
  <c r="BO153" i="11" s="1"/>
  <c r="C159" i="11"/>
  <c r="BG159" i="11" s="1"/>
  <c r="D170" i="11"/>
  <c r="BH170" i="11" s="1"/>
  <c r="G173" i="11"/>
  <c r="BK173" i="11" s="1"/>
  <c r="J176" i="11"/>
  <c r="BN176" i="11" s="1"/>
  <c r="K178" i="11"/>
  <c r="BO178" i="11" s="1"/>
  <c r="B182" i="11"/>
  <c r="BF182" i="11" s="1"/>
  <c r="E185" i="11"/>
  <c r="BI185" i="11" s="1"/>
  <c r="F187" i="11"/>
  <c r="BJ187" i="11" s="1"/>
  <c r="G189" i="11"/>
  <c r="BK189" i="11" s="1"/>
  <c r="I190" i="11"/>
  <c r="BM190" i="11" s="1"/>
  <c r="J192" i="11"/>
  <c r="BN192" i="11" s="1"/>
  <c r="L193" i="11"/>
  <c r="BP193" i="11" s="1"/>
  <c r="K194" i="11"/>
  <c r="BO194" i="11" s="1"/>
  <c r="M195" i="11"/>
  <c r="BQ195" i="11" s="1"/>
  <c r="B198" i="11"/>
  <c r="BF198" i="11" s="1"/>
  <c r="D199" i="11"/>
  <c r="BH199" i="11" s="1"/>
  <c r="C200" i="11"/>
  <c r="BG200" i="11" s="1"/>
  <c r="B213" i="11"/>
  <c r="BF213" i="11" s="1"/>
  <c r="K215" i="11"/>
  <c r="BO215" i="11" s="1"/>
  <c r="D220" i="11"/>
  <c r="BH220" i="11" s="1"/>
  <c r="J221" i="11"/>
  <c r="BN221" i="11" s="1"/>
  <c r="G224" i="11"/>
  <c r="BK224" i="11" s="1"/>
  <c r="J225" i="11"/>
  <c r="BN225" i="11" s="1"/>
  <c r="L228" i="11"/>
  <c r="BP228" i="11" s="1"/>
  <c r="I231" i="11"/>
  <c r="BM231" i="11" s="1"/>
  <c r="C237" i="11"/>
  <c r="BG237" i="11" s="1"/>
  <c r="BA36" i="11"/>
  <c r="AV35" i="11"/>
  <c r="AW33" i="11"/>
  <c r="BB19" i="11"/>
  <c r="AS51" i="11"/>
  <c r="BC54" i="11"/>
  <c r="AZ59" i="11"/>
  <c r="BC64" i="11"/>
  <c r="BB66" i="11"/>
  <c r="AU68" i="11"/>
  <c r="AS72" i="11"/>
  <c r="AZ75" i="11"/>
  <c r="AR90" i="11"/>
  <c r="AZ92" i="11"/>
  <c r="AV95" i="11"/>
  <c r="AR98" i="11"/>
  <c r="AZ100" i="11"/>
  <c r="AV103" i="11"/>
  <c r="AZ108" i="11"/>
  <c r="AR114" i="11"/>
  <c r="AS120" i="11"/>
  <c r="AW134" i="11"/>
  <c r="BA139" i="11"/>
  <c r="AS145" i="11"/>
  <c r="AR223" i="11"/>
  <c r="AT226" i="11"/>
  <c r="AW234" i="11"/>
  <c r="BA239" i="11"/>
  <c r="AS215" i="11"/>
  <c r="C215" i="11"/>
  <c r="BG215" i="11" s="1"/>
  <c r="AE44" i="11"/>
  <c r="AI45" i="11"/>
  <c r="AI121" i="11"/>
  <c r="AM203" i="11"/>
  <c r="G37" i="11"/>
  <c r="BK37" i="11" s="1"/>
  <c r="G31" i="11"/>
  <c r="BK31" i="11" s="1"/>
  <c r="K28" i="11"/>
  <c r="BO28" i="11" s="1"/>
  <c r="C26" i="11"/>
  <c r="BG26" i="11" s="1"/>
  <c r="G19" i="11"/>
  <c r="BK19" i="11" s="1"/>
  <c r="G64" i="11"/>
  <c r="BK64" i="11" s="1"/>
  <c r="K69" i="11"/>
  <c r="BO69" i="11" s="1"/>
  <c r="K94" i="11"/>
  <c r="BO94" i="11" s="1"/>
  <c r="C108" i="11"/>
  <c r="BG108" i="11" s="1"/>
  <c r="K159" i="11"/>
  <c r="BO159" i="11" s="1"/>
  <c r="C174" i="11"/>
  <c r="BG174" i="11" s="1"/>
  <c r="AS71" i="11"/>
  <c r="BA180" i="11"/>
  <c r="AE125" i="11"/>
  <c r="BA130" i="11"/>
  <c r="K130" i="11"/>
  <c r="BO130" i="11" s="1"/>
  <c r="AL124" i="11"/>
  <c r="AH123" i="11"/>
  <c r="F39" i="11"/>
  <c r="BJ39" i="11" s="1"/>
  <c r="F37" i="11"/>
  <c r="BJ37" i="11" s="1"/>
  <c r="F33" i="11"/>
  <c r="BJ33" i="11" s="1"/>
  <c r="F31" i="11"/>
  <c r="BJ31" i="11" s="1"/>
  <c r="J28" i="11"/>
  <c r="BN28" i="11" s="1"/>
  <c r="K14" i="11"/>
  <c r="BO14" i="11" s="1"/>
  <c r="C50" i="11"/>
  <c r="BG50" i="11" s="1"/>
  <c r="L50" i="11"/>
  <c r="BP50" i="11" s="1"/>
  <c r="F52" i="11"/>
  <c r="BJ52" i="11" s="1"/>
  <c r="J55" i="11"/>
  <c r="BN55" i="11" s="1"/>
  <c r="F58" i="11"/>
  <c r="BJ58" i="11" s="1"/>
  <c r="F99" i="11"/>
  <c r="BJ99" i="11" s="1"/>
  <c r="G136" i="11"/>
  <c r="BK136" i="11" s="1"/>
  <c r="C172" i="11"/>
  <c r="BG172" i="11" s="1"/>
  <c r="F175" i="11"/>
  <c r="BJ175" i="11" s="1"/>
  <c r="AS147" i="11"/>
  <c r="AR200" i="11"/>
  <c r="AV214" i="11"/>
  <c r="AZ219" i="11"/>
  <c r="AS239" i="11"/>
  <c r="AZ210" i="11"/>
  <c r="J210" i="11"/>
  <c r="BN210" i="11" s="1"/>
  <c r="E240" i="11"/>
  <c r="BI240" i="11" s="1"/>
  <c r="AU240" i="11"/>
  <c r="AU238" i="11"/>
  <c r="E238" i="11"/>
  <c r="BI238" i="11" s="1"/>
  <c r="BC232" i="11"/>
  <c r="M232" i="11"/>
  <c r="BQ232" i="11" s="1"/>
  <c r="AU230" i="11"/>
  <c r="E230" i="11"/>
  <c r="BI230" i="11" s="1"/>
  <c r="BC216" i="11"/>
  <c r="M216" i="11"/>
  <c r="BQ216" i="11" s="1"/>
  <c r="AO45" i="11"/>
  <c r="AK83" i="11"/>
  <c r="AO124" i="11"/>
  <c r="AL161" i="11"/>
  <c r="AG164" i="11"/>
  <c r="AK163" i="11"/>
  <c r="AO203" i="11"/>
  <c r="AO244" i="11"/>
  <c r="AG245" i="11"/>
  <c r="I40" i="11"/>
  <c r="BM40" i="11" s="1"/>
  <c r="I38" i="11"/>
  <c r="BM38" i="11" s="1"/>
  <c r="E37" i="11"/>
  <c r="BI37" i="11" s="1"/>
  <c r="E35" i="11"/>
  <c r="BI35" i="11" s="1"/>
  <c r="M33" i="11"/>
  <c r="BQ33" i="11" s="1"/>
  <c r="J51" i="11"/>
  <c r="BN51" i="11" s="1"/>
  <c r="C61" i="11"/>
  <c r="BG61" i="11" s="1"/>
  <c r="E76" i="11"/>
  <c r="BI76" i="11" s="1"/>
  <c r="C77" i="11"/>
  <c r="BG77" i="11" s="1"/>
  <c r="E93" i="11"/>
  <c r="BI93" i="11" s="1"/>
  <c r="C94" i="11"/>
  <c r="BG94" i="11" s="1"/>
  <c r="M95" i="11"/>
  <c r="BQ95" i="11" s="1"/>
  <c r="E101" i="11"/>
  <c r="BI101" i="11" s="1"/>
  <c r="C102" i="11"/>
  <c r="BG102" i="11" s="1"/>
  <c r="C104" i="11"/>
  <c r="BG104" i="11" s="1"/>
  <c r="B118" i="11"/>
  <c r="BF118" i="11" s="1"/>
  <c r="F132" i="11"/>
  <c r="BJ132" i="11" s="1"/>
  <c r="J137" i="11"/>
  <c r="BN137" i="11" s="1"/>
  <c r="M140" i="11"/>
  <c r="BQ140" i="11" s="1"/>
  <c r="B143" i="11"/>
  <c r="BF143" i="11" s="1"/>
  <c r="E146" i="11"/>
  <c r="BI146" i="11" s="1"/>
  <c r="I151" i="11"/>
  <c r="BM151" i="11" s="1"/>
  <c r="J153" i="11"/>
  <c r="BN153" i="11" s="1"/>
  <c r="K155" i="11"/>
  <c r="BO155" i="11" s="1"/>
  <c r="B159" i="11"/>
  <c r="BF159" i="11" s="1"/>
  <c r="G175" i="11"/>
  <c r="BK175" i="11" s="1"/>
  <c r="I176" i="11"/>
  <c r="BM176" i="11" s="1"/>
  <c r="J178" i="11"/>
  <c r="BN178" i="11" s="1"/>
  <c r="M181" i="11"/>
  <c r="BQ181" i="11" s="1"/>
  <c r="B184" i="11"/>
  <c r="BF184" i="11" s="1"/>
  <c r="C186" i="11"/>
  <c r="BG186" i="11" s="1"/>
  <c r="E187" i="11"/>
  <c r="BI187" i="11" s="1"/>
  <c r="I192" i="11"/>
  <c r="BM192" i="11" s="1"/>
  <c r="D210" i="11"/>
  <c r="BH210" i="11" s="1"/>
  <c r="M212" i="11"/>
  <c r="BQ212" i="11" s="1"/>
  <c r="J215" i="11"/>
  <c r="BN215" i="11" s="1"/>
  <c r="G218" i="11"/>
  <c r="BK218" i="11" s="1"/>
  <c r="F224" i="11"/>
  <c r="BJ224" i="11" s="1"/>
  <c r="AV11" i="11"/>
  <c r="AY59" i="11"/>
  <c r="AS100" i="11"/>
  <c r="AW105" i="11"/>
  <c r="AW214" i="11"/>
  <c r="AY50" i="11"/>
  <c r="I50" i="11"/>
  <c r="BM50" i="11" s="1"/>
  <c r="AW24" i="11"/>
  <c r="G24" i="11"/>
  <c r="BK24" i="11" s="1"/>
  <c r="BA23" i="11"/>
  <c r="K23" i="11"/>
  <c r="BO23" i="11" s="1"/>
  <c r="AS23" i="11"/>
  <c r="C23" i="11"/>
  <c r="BG23" i="11" s="1"/>
  <c r="AW22" i="11"/>
  <c r="G22" i="11"/>
  <c r="BK22" i="11" s="1"/>
  <c r="BA21" i="11"/>
  <c r="K21" i="11"/>
  <c r="BO21" i="11" s="1"/>
  <c r="AS21" i="11"/>
  <c r="C21" i="11"/>
  <c r="BG21" i="11" s="1"/>
  <c r="AW20" i="11"/>
  <c r="G20" i="11"/>
  <c r="BK20" i="11" s="1"/>
  <c r="BA19" i="11"/>
  <c r="K19" i="11"/>
  <c r="BO19" i="11" s="1"/>
  <c r="AS19" i="11"/>
  <c r="C19" i="11"/>
  <c r="BG19" i="11" s="1"/>
  <c r="AW18" i="11"/>
  <c r="G18" i="11"/>
  <c r="BK18" i="11" s="1"/>
  <c r="BA17" i="11"/>
  <c r="K17" i="11"/>
  <c r="BO17" i="11" s="1"/>
  <c r="AS17" i="11"/>
  <c r="C17" i="11"/>
  <c r="AW16" i="11"/>
  <c r="G16" i="11"/>
  <c r="BK16" i="11" s="1"/>
  <c r="BA15" i="11"/>
  <c r="K15" i="11"/>
  <c r="BO15" i="11" s="1"/>
  <c r="AS15" i="11"/>
  <c r="C15" i="11"/>
  <c r="BG15" i="11" s="1"/>
  <c r="AW14" i="11"/>
  <c r="G14" i="11"/>
  <c r="BK14" i="11" s="1"/>
  <c r="BA13" i="11"/>
  <c r="K13" i="11"/>
  <c r="BO13" i="11" s="1"/>
  <c r="AS13" i="11"/>
  <c r="C13" i="11"/>
  <c r="BG13" i="11" s="1"/>
  <c r="AW12" i="11"/>
  <c r="AW43" i="11" s="1"/>
  <c r="G12" i="11"/>
  <c r="BK12" i="11" s="1"/>
  <c r="BA11" i="11"/>
  <c r="K11" i="11"/>
  <c r="BO11" i="11" s="1"/>
  <c r="AS11" i="11"/>
  <c r="C11" i="11"/>
  <c r="BG11" i="11" s="1"/>
  <c r="AW120" i="11"/>
  <c r="G120" i="11"/>
  <c r="BK120" i="11" s="1"/>
  <c r="BA119" i="11"/>
  <c r="K119" i="11"/>
  <c r="BO119" i="11" s="1"/>
  <c r="AS119" i="11"/>
  <c r="C119" i="11"/>
  <c r="BG119" i="11" s="1"/>
  <c r="AW118" i="11"/>
  <c r="G118" i="11"/>
  <c r="BK118" i="11" s="1"/>
  <c r="BA117" i="11"/>
  <c r="K117" i="11"/>
  <c r="BO117" i="11" s="1"/>
  <c r="AS117" i="11"/>
  <c r="C117" i="11"/>
  <c r="BG117" i="11" s="1"/>
  <c r="AW116" i="11"/>
  <c r="G116" i="11"/>
  <c r="BK116" i="11" s="1"/>
  <c r="BA115" i="11"/>
  <c r="K115" i="11"/>
  <c r="BO115" i="11" s="1"/>
  <c r="AS115" i="11"/>
  <c r="C115" i="11"/>
  <c r="BG115" i="11" s="1"/>
  <c r="AW114" i="11"/>
  <c r="G114" i="11"/>
  <c r="BK114" i="11" s="1"/>
  <c r="BA113" i="11"/>
  <c r="K113" i="11"/>
  <c r="BO113" i="11" s="1"/>
  <c r="AS113" i="11"/>
  <c r="C113" i="11"/>
  <c r="BG113" i="11" s="1"/>
  <c r="AW112" i="11"/>
  <c r="G112" i="11"/>
  <c r="BK112" i="11" s="1"/>
  <c r="BA111" i="11"/>
  <c r="K111" i="11"/>
  <c r="BO111" i="11" s="1"/>
  <c r="AS111" i="11"/>
  <c r="C111" i="11"/>
  <c r="BG111" i="11" s="1"/>
  <c r="AW110" i="11"/>
  <c r="G110" i="11"/>
  <c r="BK110" i="11" s="1"/>
  <c r="BA109" i="11"/>
  <c r="K109" i="11"/>
  <c r="BO109" i="11" s="1"/>
  <c r="AS109" i="11"/>
  <c r="C109" i="11"/>
  <c r="BG109" i="11" s="1"/>
  <c r="AW108" i="11"/>
  <c r="G108" i="11"/>
  <c r="BK108" i="11" s="1"/>
  <c r="BA107" i="11"/>
  <c r="K107" i="11"/>
  <c r="BO107" i="11" s="1"/>
  <c r="AS107" i="11"/>
  <c r="C107" i="11"/>
  <c r="BG107" i="11" s="1"/>
  <c r="AW106" i="11"/>
  <c r="G106" i="11"/>
  <c r="BK106" i="11" s="1"/>
  <c r="BA105" i="11"/>
  <c r="K105" i="11"/>
  <c r="BO105" i="11" s="1"/>
  <c r="AS105" i="11"/>
  <c r="C105" i="11"/>
  <c r="BG105" i="11" s="1"/>
  <c r="AW104" i="11"/>
  <c r="G104" i="11"/>
  <c r="BK104" i="11" s="1"/>
  <c r="BA103" i="11"/>
  <c r="K103" i="11"/>
  <c r="BO103" i="11" s="1"/>
  <c r="AS103" i="11"/>
  <c r="C103" i="11"/>
  <c r="BG103" i="11" s="1"/>
  <c r="BA160" i="11"/>
  <c r="K160" i="11"/>
  <c r="BO160" i="11" s="1"/>
  <c r="AS160" i="11"/>
  <c r="C160" i="11"/>
  <c r="BG160" i="11" s="1"/>
  <c r="AW159" i="11"/>
  <c r="G159" i="11"/>
  <c r="BK159" i="11" s="1"/>
  <c r="BA158" i="11"/>
  <c r="K158" i="11"/>
  <c r="BO158" i="11" s="1"/>
  <c r="AS158" i="11"/>
  <c r="C158" i="11"/>
  <c r="BG158" i="11" s="1"/>
  <c r="AW157" i="11"/>
  <c r="G157" i="11"/>
  <c r="BK157" i="11" s="1"/>
  <c r="BA156" i="11"/>
  <c r="K156" i="11"/>
  <c r="BO156" i="11" s="1"/>
  <c r="AS156" i="11"/>
  <c r="C156" i="11"/>
  <c r="BG156" i="11" s="1"/>
  <c r="AW155" i="11"/>
  <c r="G155" i="11"/>
  <c r="BK155" i="11" s="1"/>
  <c r="BA154" i="11"/>
  <c r="K154" i="11"/>
  <c r="BO154" i="11" s="1"/>
  <c r="AS154" i="11"/>
  <c r="C154" i="11"/>
  <c r="BG154" i="11" s="1"/>
  <c r="AW153" i="11"/>
  <c r="G153" i="11"/>
  <c r="BK153" i="11" s="1"/>
  <c r="BA152" i="11"/>
  <c r="K152" i="11"/>
  <c r="BO152" i="11" s="1"/>
  <c r="AS152" i="11"/>
  <c r="C152" i="11"/>
  <c r="BG152" i="11" s="1"/>
  <c r="AW151" i="11"/>
  <c r="G151" i="11"/>
  <c r="BK151" i="11" s="1"/>
  <c r="BA150" i="11"/>
  <c r="K150" i="11"/>
  <c r="BO150" i="11" s="1"/>
  <c r="AS150" i="11"/>
  <c r="C150" i="11"/>
  <c r="BG150" i="11" s="1"/>
  <c r="AW149" i="11"/>
  <c r="G149" i="11"/>
  <c r="BK149" i="11" s="1"/>
  <c r="BA148" i="11"/>
  <c r="K148" i="11"/>
  <c r="BO148" i="11" s="1"/>
  <c r="AS148" i="11"/>
  <c r="C148" i="11"/>
  <c r="BG148" i="11" s="1"/>
  <c r="AW147" i="11"/>
  <c r="G147" i="11"/>
  <c r="BK147" i="11" s="1"/>
  <c r="BA146" i="11"/>
  <c r="K146" i="11"/>
  <c r="BO146" i="11" s="1"/>
  <c r="AS146" i="11"/>
  <c r="C146" i="11"/>
  <c r="BG146" i="11" s="1"/>
  <c r="AW145" i="11"/>
  <c r="G145" i="11"/>
  <c r="BK145" i="11" s="1"/>
  <c r="BA144" i="11"/>
  <c r="K144" i="11"/>
  <c r="BO144" i="11" s="1"/>
  <c r="AS144" i="11"/>
  <c r="C144" i="11"/>
  <c r="BG144" i="11" s="1"/>
  <c r="AW143" i="11"/>
  <c r="G143" i="11"/>
  <c r="BK143" i="11" s="1"/>
  <c r="BA142" i="11"/>
  <c r="K142" i="11"/>
  <c r="BO142" i="11" s="1"/>
  <c r="AS142" i="11"/>
  <c r="C142" i="11"/>
  <c r="BG142" i="11" s="1"/>
  <c r="AW141" i="11"/>
  <c r="G141" i="11"/>
  <c r="BK141" i="11" s="1"/>
  <c r="BA140" i="11"/>
  <c r="K140" i="11"/>
  <c r="BO140" i="11" s="1"/>
  <c r="AS140" i="11"/>
  <c r="C140" i="11"/>
  <c r="BG140" i="11" s="1"/>
  <c r="AW139" i="11"/>
  <c r="G139" i="11"/>
  <c r="BK139" i="11" s="1"/>
  <c r="BA138" i="11"/>
  <c r="K138" i="11"/>
  <c r="BO138" i="11" s="1"/>
  <c r="AS138" i="11"/>
  <c r="C138" i="11"/>
  <c r="BG138" i="11" s="1"/>
  <c r="AW137" i="11"/>
  <c r="G137" i="11"/>
  <c r="BK137" i="11" s="1"/>
  <c r="BA136" i="11"/>
  <c r="K136" i="11"/>
  <c r="BO136" i="11" s="1"/>
  <c r="AS136" i="11"/>
  <c r="C136" i="11"/>
  <c r="BG136" i="11" s="1"/>
  <c r="AW135" i="11"/>
  <c r="G135" i="11"/>
  <c r="BK135" i="11" s="1"/>
  <c r="BA134" i="11"/>
  <c r="K134" i="11"/>
  <c r="BO134" i="11" s="1"/>
  <c r="AS134" i="11"/>
  <c r="C134" i="11"/>
  <c r="BG134" i="11" s="1"/>
  <c r="AW133" i="11"/>
  <c r="G133" i="11"/>
  <c r="BK133" i="11" s="1"/>
  <c r="BA132" i="11"/>
  <c r="K132" i="11"/>
  <c r="BO132" i="11" s="1"/>
  <c r="AS132" i="11"/>
  <c r="C132" i="11"/>
  <c r="BG132" i="11" s="1"/>
  <c r="AW131" i="11"/>
  <c r="G131" i="11"/>
  <c r="BK131" i="11" s="1"/>
  <c r="AW200" i="11"/>
  <c r="G200" i="11"/>
  <c r="BK200" i="11" s="1"/>
  <c r="BA199" i="11"/>
  <c r="K199" i="11"/>
  <c r="BO199" i="11" s="1"/>
  <c r="AS199" i="11"/>
  <c r="C199" i="11"/>
  <c r="BG199" i="11" s="1"/>
  <c r="AW198" i="11"/>
  <c r="G198" i="11"/>
  <c r="BK198" i="11" s="1"/>
  <c r="BA197" i="11"/>
  <c r="K197" i="11"/>
  <c r="BO197" i="11" s="1"/>
  <c r="AS197" i="11"/>
  <c r="C197" i="11"/>
  <c r="BG197" i="11" s="1"/>
  <c r="AW196" i="11"/>
  <c r="G196" i="11"/>
  <c r="BK196" i="11" s="1"/>
  <c r="BA195" i="11"/>
  <c r="K195" i="11"/>
  <c r="BO195" i="11" s="1"/>
  <c r="AS195" i="11"/>
  <c r="C195" i="11"/>
  <c r="BG195" i="11" s="1"/>
  <c r="AW194" i="11"/>
  <c r="G194" i="11"/>
  <c r="BK194" i="11" s="1"/>
  <c r="BA193" i="11"/>
  <c r="K193" i="11"/>
  <c r="BO193" i="11" s="1"/>
  <c r="AS193" i="11"/>
  <c r="C193" i="11"/>
  <c r="BG193" i="11" s="1"/>
  <c r="AW192" i="11"/>
  <c r="G192" i="11"/>
  <c r="BK192" i="11" s="1"/>
  <c r="BA191" i="11"/>
  <c r="K191" i="11"/>
  <c r="BO191" i="11" s="1"/>
  <c r="AS191" i="11"/>
  <c r="C191" i="11"/>
  <c r="BG191" i="11" s="1"/>
  <c r="AW190" i="11"/>
  <c r="G190" i="11"/>
  <c r="BK190" i="11" s="1"/>
  <c r="BA189" i="11"/>
  <c r="K189" i="11"/>
  <c r="BO189" i="11" s="1"/>
  <c r="AS189" i="11"/>
  <c r="C189" i="11"/>
  <c r="BG189" i="11" s="1"/>
  <c r="AW188" i="11"/>
  <c r="G188" i="11"/>
  <c r="BK188" i="11" s="1"/>
  <c r="BA187" i="11"/>
  <c r="K187" i="11"/>
  <c r="BO187" i="11" s="1"/>
  <c r="AS187" i="11"/>
  <c r="C187" i="11"/>
  <c r="BG187" i="11" s="1"/>
  <c r="AW186" i="11"/>
  <c r="G186" i="11"/>
  <c r="BK186" i="11" s="1"/>
  <c r="BA185" i="11"/>
  <c r="K185" i="11"/>
  <c r="BO185" i="11" s="1"/>
  <c r="AS185" i="11"/>
  <c r="C185" i="11"/>
  <c r="BG185" i="11" s="1"/>
  <c r="AW184" i="11"/>
  <c r="G184" i="11"/>
  <c r="BK184" i="11" s="1"/>
  <c r="BA183" i="11"/>
  <c r="K183" i="11"/>
  <c r="BO183" i="11" s="1"/>
  <c r="AS183" i="11"/>
  <c r="C183" i="11"/>
  <c r="BG183" i="11" s="1"/>
  <c r="AW182" i="11"/>
  <c r="G182" i="11"/>
  <c r="BK182" i="11" s="1"/>
  <c r="BA181" i="11"/>
  <c r="K181" i="11"/>
  <c r="BO181" i="11" s="1"/>
  <c r="AS181" i="11"/>
  <c r="C181" i="11"/>
  <c r="BG181" i="11" s="1"/>
  <c r="AW180" i="11"/>
  <c r="G180" i="11"/>
  <c r="BK180" i="11" s="1"/>
  <c r="BA179" i="11"/>
  <c r="K179" i="11"/>
  <c r="BO179" i="11" s="1"/>
  <c r="AS179" i="11"/>
  <c r="C179" i="11"/>
  <c r="BG179" i="11" s="1"/>
  <c r="AW178" i="11"/>
  <c r="G178" i="11"/>
  <c r="BK178" i="11" s="1"/>
  <c r="BA177" i="11"/>
  <c r="K177" i="11"/>
  <c r="BO177" i="11" s="1"/>
  <c r="AS177" i="11"/>
  <c r="C177" i="11"/>
  <c r="BG177" i="11" s="1"/>
  <c r="AW176" i="11"/>
  <c r="G176" i="11"/>
  <c r="BK176" i="11" s="1"/>
  <c r="BA175" i="11"/>
  <c r="K175" i="11"/>
  <c r="BO175" i="11" s="1"/>
  <c r="AS175" i="11"/>
  <c r="C175" i="11"/>
  <c r="BG175" i="11" s="1"/>
  <c r="AW174" i="11"/>
  <c r="G174" i="11"/>
  <c r="BK174" i="11" s="1"/>
  <c r="BA173" i="11"/>
  <c r="K173" i="11"/>
  <c r="BO173" i="11" s="1"/>
  <c r="AS173" i="11"/>
  <c r="C173" i="11"/>
  <c r="BG173" i="11" s="1"/>
  <c r="AW172" i="11"/>
  <c r="G172" i="11"/>
  <c r="BK172" i="11" s="1"/>
  <c r="BA171" i="11"/>
  <c r="K171" i="11"/>
  <c r="BO171" i="11" s="1"/>
  <c r="AS171" i="11"/>
  <c r="C171" i="11"/>
  <c r="BG171" i="11" s="1"/>
  <c r="AX210" i="11"/>
  <c r="AX243" i="11" s="1"/>
  <c r="BA240" i="11"/>
  <c r="K240" i="11"/>
  <c r="BO240" i="11" s="1"/>
  <c r="AS240" i="11"/>
  <c r="C240" i="11"/>
  <c r="BG240" i="11" s="1"/>
  <c r="AW239" i="11"/>
  <c r="G239" i="11"/>
  <c r="BK239" i="11" s="1"/>
  <c r="BA238" i="11"/>
  <c r="K238" i="11"/>
  <c r="BO238" i="11" s="1"/>
  <c r="AS238" i="11"/>
  <c r="C238" i="11"/>
  <c r="BG238" i="11" s="1"/>
  <c r="AW237" i="11"/>
  <c r="G237" i="11"/>
  <c r="BK237" i="11" s="1"/>
  <c r="BA236" i="11"/>
  <c r="K236" i="11"/>
  <c r="BO236" i="11" s="1"/>
  <c r="AS236" i="11"/>
  <c r="C236" i="11"/>
  <c r="BG236" i="11" s="1"/>
  <c r="AW235" i="11"/>
  <c r="G235" i="11"/>
  <c r="BK235" i="11" s="1"/>
  <c r="BA234" i="11"/>
  <c r="K234" i="11"/>
  <c r="BO234" i="11" s="1"/>
  <c r="AS234" i="11"/>
  <c r="C234" i="11"/>
  <c r="BG234" i="11" s="1"/>
  <c r="AW233" i="11"/>
  <c r="G233" i="11"/>
  <c r="BK233" i="11" s="1"/>
  <c r="BA232" i="11"/>
  <c r="K232" i="11"/>
  <c r="BO232" i="11" s="1"/>
  <c r="AS232" i="11"/>
  <c r="C232" i="11"/>
  <c r="BG232" i="11" s="1"/>
  <c r="AW231" i="11"/>
  <c r="G231" i="11"/>
  <c r="BK231" i="11" s="1"/>
  <c r="BA230" i="11"/>
  <c r="K230" i="11"/>
  <c r="BO230" i="11" s="1"/>
  <c r="AS230" i="11"/>
  <c r="C230" i="11"/>
  <c r="BG230" i="11" s="1"/>
  <c r="AW229" i="11"/>
  <c r="G229" i="11"/>
  <c r="BK229" i="11" s="1"/>
  <c r="BA228" i="11"/>
  <c r="K228" i="11"/>
  <c r="BO228" i="11" s="1"/>
  <c r="AS228" i="11"/>
  <c r="C228" i="11"/>
  <c r="BG228" i="11" s="1"/>
  <c r="AW227" i="11"/>
  <c r="G227" i="11"/>
  <c r="BK227" i="11" s="1"/>
  <c r="BA226" i="11"/>
  <c r="K226" i="11"/>
  <c r="BO226" i="11" s="1"/>
  <c r="Q244" i="11"/>
  <c r="AS226" i="11"/>
  <c r="C226" i="11"/>
  <c r="BG226" i="11" s="1"/>
  <c r="AW225" i="11"/>
  <c r="G225" i="11"/>
  <c r="BK225" i="11" s="1"/>
  <c r="BA224" i="11"/>
  <c r="K224" i="11"/>
  <c r="BO224" i="11" s="1"/>
  <c r="AS224" i="11"/>
  <c r="C224" i="11"/>
  <c r="BG224" i="11" s="1"/>
  <c r="AW223" i="11"/>
  <c r="G223" i="11"/>
  <c r="BK223" i="11" s="1"/>
  <c r="BA222" i="11"/>
  <c r="K222" i="11"/>
  <c r="BO222" i="11" s="1"/>
  <c r="AS222" i="11"/>
  <c r="C222" i="11"/>
  <c r="BG222" i="11" s="1"/>
  <c r="AW221" i="11"/>
  <c r="G221" i="11"/>
  <c r="BK221" i="11" s="1"/>
  <c r="BA220" i="11"/>
  <c r="K220" i="11"/>
  <c r="BO220" i="11" s="1"/>
  <c r="AS220" i="11"/>
  <c r="C220" i="11"/>
  <c r="BG220" i="11" s="1"/>
  <c r="AW219" i="11"/>
  <c r="G219" i="11"/>
  <c r="BK219" i="11" s="1"/>
  <c r="BA218" i="11"/>
  <c r="K218" i="11"/>
  <c r="BO218" i="11" s="1"/>
  <c r="AS218" i="11"/>
  <c r="C218" i="11"/>
  <c r="BG218" i="11" s="1"/>
  <c r="AW217" i="11"/>
  <c r="G217" i="11"/>
  <c r="BK217" i="11" s="1"/>
  <c r="BA216" i="11"/>
  <c r="K216" i="11"/>
  <c r="BO216" i="11" s="1"/>
  <c r="AS216" i="11"/>
  <c r="C216" i="11"/>
  <c r="BG216" i="11" s="1"/>
  <c r="AW215" i="11"/>
  <c r="G215" i="11"/>
  <c r="BK215" i="11" s="1"/>
  <c r="BA214" i="11"/>
  <c r="K214" i="11"/>
  <c r="BO214" i="11" s="1"/>
  <c r="AS214" i="11"/>
  <c r="C214" i="11"/>
  <c r="BG214" i="11" s="1"/>
  <c r="AW213" i="11"/>
  <c r="G213" i="11"/>
  <c r="BK213" i="11" s="1"/>
  <c r="BA212" i="11"/>
  <c r="K212" i="11"/>
  <c r="BO212" i="11" s="1"/>
  <c r="AS212" i="11"/>
  <c r="C212" i="11"/>
  <c r="BG212" i="11" s="1"/>
  <c r="AW211" i="11"/>
  <c r="G211" i="11"/>
  <c r="BK211" i="11" s="1"/>
  <c r="AI84" i="11"/>
  <c r="AM85" i="11"/>
  <c r="AE85" i="11"/>
  <c r="AI164" i="11"/>
  <c r="AM162" i="11"/>
  <c r="AE162" i="11"/>
  <c r="AI162" i="11"/>
  <c r="AI244" i="11"/>
  <c r="AM245" i="11"/>
  <c r="AE243" i="11"/>
  <c r="AI245" i="11"/>
  <c r="L10" i="11"/>
  <c r="BP10" i="11" s="1"/>
  <c r="D10" i="11"/>
  <c r="BH10" i="11" s="1"/>
  <c r="G40" i="11"/>
  <c r="BK40" i="11" s="1"/>
  <c r="K39" i="11"/>
  <c r="BO39" i="11" s="1"/>
  <c r="C39" i="11"/>
  <c r="BG39" i="11" s="1"/>
  <c r="G38" i="11"/>
  <c r="BK38" i="11" s="1"/>
  <c r="K37" i="11"/>
  <c r="BO37" i="11" s="1"/>
  <c r="C37" i="11"/>
  <c r="BG37" i="11" s="1"/>
  <c r="G36" i="11"/>
  <c r="BK36" i="11" s="1"/>
  <c r="K35" i="11"/>
  <c r="BO35" i="11" s="1"/>
  <c r="C35" i="11"/>
  <c r="BG35" i="11" s="1"/>
  <c r="G34" i="11"/>
  <c r="BK34" i="11" s="1"/>
  <c r="K33" i="11"/>
  <c r="BO33" i="11" s="1"/>
  <c r="C33" i="11"/>
  <c r="BG33" i="11" s="1"/>
  <c r="G32" i="11"/>
  <c r="BK32" i="11" s="1"/>
  <c r="K31" i="11"/>
  <c r="BO31" i="11" s="1"/>
  <c r="C31" i="11"/>
  <c r="BG31" i="11" s="1"/>
  <c r="G30" i="11"/>
  <c r="BK30" i="11" s="1"/>
  <c r="K29" i="11"/>
  <c r="BO29" i="11" s="1"/>
  <c r="C29" i="11"/>
  <c r="BG29" i="11" s="1"/>
  <c r="G28" i="11"/>
  <c r="BK28" i="11" s="1"/>
  <c r="K27" i="11"/>
  <c r="BO27" i="11" s="1"/>
  <c r="C27" i="11"/>
  <c r="BG27" i="11" s="1"/>
  <c r="G26" i="11"/>
  <c r="BK26" i="11" s="1"/>
  <c r="K25" i="11"/>
  <c r="BO25" i="11" s="1"/>
  <c r="C25" i="11"/>
  <c r="BG25" i="11" s="1"/>
  <c r="F24" i="11"/>
  <c r="BJ24" i="11" s="1"/>
  <c r="C22" i="11"/>
  <c r="BG22" i="11" s="1"/>
  <c r="F21" i="11"/>
  <c r="BJ21" i="11" s="1"/>
  <c r="B19" i="11"/>
  <c r="BF19" i="11" s="1"/>
  <c r="K16" i="11"/>
  <c r="BO16" i="11" s="1"/>
  <c r="B16" i="11"/>
  <c r="BF16" i="11" s="1"/>
  <c r="H14" i="11"/>
  <c r="BL14" i="11" s="1"/>
  <c r="J13" i="11"/>
  <c r="BN13" i="11" s="1"/>
  <c r="G11" i="11"/>
  <c r="BK11" i="11" s="1"/>
  <c r="J52" i="11"/>
  <c r="BN52" i="11" s="1"/>
  <c r="G53" i="11"/>
  <c r="BK53" i="11" s="1"/>
  <c r="C55" i="11"/>
  <c r="BG55" i="11" s="1"/>
  <c r="M56" i="11"/>
  <c r="BQ56" i="11" s="1"/>
  <c r="K57" i="11"/>
  <c r="BO57" i="11" s="1"/>
  <c r="E62" i="11"/>
  <c r="BI62" i="11" s="1"/>
  <c r="C63" i="11"/>
  <c r="BG63" i="11" s="1"/>
  <c r="I67" i="11"/>
  <c r="BM67" i="11" s="1"/>
  <c r="G68" i="11"/>
  <c r="BK68" i="11" s="1"/>
  <c r="E70" i="11"/>
  <c r="BI70" i="11" s="1"/>
  <c r="M72" i="11"/>
  <c r="BQ72" i="11" s="1"/>
  <c r="K73" i="11"/>
  <c r="BO73" i="11" s="1"/>
  <c r="K74" i="11"/>
  <c r="BO74" i="11" s="1"/>
  <c r="I75" i="11"/>
  <c r="BM75" i="11" s="1"/>
  <c r="G76" i="11"/>
  <c r="BK76" i="11" s="1"/>
  <c r="G77" i="11"/>
  <c r="BK77" i="11" s="1"/>
  <c r="E78" i="11"/>
  <c r="BI78" i="11" s="1"/>
  <c r="C80" i="11"/>
  <c r="BG80" i="11" s="1"/>
  <c r="M80" i="11"/>
  <c r="BQ80" i="11" s="1"/>
  <c r="K90" i="11"/>
  <c r="BO90" i="11" s="1"/>
  <c r="K91" i="11"/>
  <c r="BO91" i="11" s="1"/>
  <c r="I92" i="11"/>
  <c r="BM92" i="11" s="1"/>
  <c r="G94" i="11"/>
  <c r="BK94" i="11" s="1"/>
  <c r="E95" i="11"/>
  <c r="BI95" i="11" s="1"/>
  <c r="C96" i="11"/>
  <c r="BG96" i="11" s="1"/>
  <c r="C97" i="11"/>
  <c r="BG97" i="11" s="1"/>
  <c r="K99" i="11"/>
  <c r="BO99" i="11" s="1"/>
  <c r="I100" i="11"/>
  <c r="BM100" i="11" s="1"/>
  <c r="G101" i="11"/>
  <c r="BK101" i="11" s="1"/>
  <c r="G102" i="11"/>
  <c r="BK102" i="11" s="1"/>
  <c r="H104" i="11"/>
  <c r="BL104" i="11" s="1"/>
  <c r="I106" i="11"/>
  <c r="BM106" i="11" s="1"/>
  <c r="L109" i="11"/>
  <c r="BP109" i="11" s="1"/>
  <c r="K110" i="11"/>
  <c r="BO110" i="11" s="1"/>
  <c r="M111" i="11"/>
  <c r="BQ111" i="11" s="1"/>
  <c r="D115" i="11"/>
  <c r="BH115" i="11" s="1"/>
  <c r="C116" i="11"/>
  <c r="BG116" i="11" s="1"/>
  <c r="E117" i="11"/>
  <c r="BI117" i="11" s="1"/>
  <c r="F119" i="11"/>
  <c r="BJ119" i="11" s="1"/>
  <c r="H120" i="11"/>
  <c r="BL120" i="11" s="1"/>
  <c r="G130" i="11"/>
  <c r="BK130" i="11" s="1"/>
  <c r="I131" i="11"/>
  <c r="BM131" i="11" s="1"/>
  <c r="J133" i="11"/>
  <c r="BN133" i="11" s="1"/>
  <c r="L134" i="11"/>
  <c r="BP134" i="11" s="1"/>
  <c r="M136" i="11"/>
  <c r="BQ136" i="11" s="1"/>
  <c r="B139" i="11"/>
  <c r="BF139" i="11" s="1"/>
  <c r="D140" i="11"/>
  <c r="BH140" i="11" s="1"/>
  <c r="E142" i="11"/>
  <c r="BI142" i="11" s="1"/>
  <c r="H145" i="11"/>
  <c r="BL145" i="11" s="1"/>
  <c r="I147" i="11"/>
  <c r="BM147" i="11" s="1"/>
  <c r="L150" i="11"/>
  <c r="BP150" i="11" s="1"/>
  <c r="D156" i="11"/>
  <c r="BH156" i="11" s="1"/>
  <c r="G171" i="11"/>
  <c r="BK171" i="11" s="1"/>
  <c r="K176" i="11"/>
  <c r="BO176" i="11" s="1"/>
  <c r="B180" i="11"/>
  <c r="BF180" i="11" s="1"/>
  <c r="C182" i="11"/>
  <c r="BG182" i="11" s="1"/>
  <c r="F185" i="11"/>
  <c r="BJ185" i="11" s="1"/>
  <c r="G187" i="11"/>
  <c r="BK187" i="11" s="1"/>
  <c r="I188" i="11"/>
  <c r="BM188" i="11" s="1"/>
  <c r="J190" i="11"/>
  <c r="BN190" i="11" s="1"/>
  <c r="K192" i="11"/>
  <c r="BO192" i="11" s="1"/>
  <c r="M193" i="11"/>
  <c r="BQ193" i="11" s="1"/>
  <c r="B196" i="11"/>
  <c r="BF196" i="11" s="1"/>
  <c r="D197" i="11"/>
  <c r="BH197" i="11" s="1"/>
  <c r="C198" i="11"/>
  <c r="BG198" i="11" s="1"/>
  <c r="E199" i="11"/>
  <c r="BI199" i="11" s="1"/>
  <c r="C213" i="11"/>
  <c r="BG213" i="11" s="1"/>
  <c r="B219" i="11"/>
  <c r="BF219" i="11" s="1"/>
  <c r="E220" i="11"/>
  <c r="BI220" i="11" s="1"/>
  <c r="K221" i="11"/>
  <c r="BO221" i="11" s="1"/>
  <c r="M228" i="11"/>
  <c r="BQ228" i="11" s="1"/>
  <c r="J231" i="11"/>
  <c r="BN231" i="11" s="1"/>
  <c r="L238" i="11"/>
  <c r="BP238" i="11" s="1"/>
  <c r="F240" i="11"/>
  <c r="BJ240" i="11" s="1"/>
  <c r="AR40" i="11"/>
  <c r="BA34" i="11"/>
  <c r="AR30" i="11"/>
  <c r="AS53" i="11"/>
  <c r="AR65" i="11"/>
  <c r="AT72" i="11"/>
  <c r="AY98" i="11"/>
  <c r="BA184" i="11"/>
  <c r="AS190" i="11"/>
  <c r="AW195" i="11"/>
  <c r="AW212" i="11"/>
  <c r="BA217" i="11"/>
  <c r="AU226" i="11"/>
  <c r="AZ237" i="11"/>
  <c r="BB210" i="11"/>
  <c r="L210" i="11"/>
  <c r="BP210" i="11" s="1"/>
  <c r="AW238" i="11"/>
  <c r="G238" i="11"/>
  <c r="BK238" i="11" s="1"/>
  <c r="AW228" i="11"/>
  <c r="G228" i="11"/>
  <c r="BK228" i="11" s="1"/>
  <c r="BA227" i="11"/>
  <c r="K227" i="11"/>
  <c r="BO227" i="11" s="1"/>
  <c r="C225" i="11"/>
  <c r="BG225" i="11" s="1"/>
  <c r="AS225" i="11"/>
  <c r="AW222" i="11"/>
  <c r="G222" i="11"/>
  <c r="BK222" i="11" s="1"/>
  <c r="AW220" i="11"/>
  <c r="G220" i="11"/>
  <c r="BK220" i="11" s="1"/>
  <c r="K219" i="11"/>
  <c r="BO219" i="11" s="1"/>
  <c r="BA219" i="11"/>
  <c r="AS217" i="11"/>
  <c r="C217" i="11"/>
  <c r="BG217" i="11" s="1"/>
  <c r="AM44" i="11"/>
  <c r="AM41" i="11"/>
  <c r="AM125" i="11"/>
  <c r="AI204" i="11"/>
  <c r="AE201" i="11"/>
  <c r="H10" i="11"/>
  <c r="BL10" i="11" s="1"/>
  <c r="G39" i="11"/>
  <c r="BK39" i="11" s="1"/>
  <c r="K32" i="11"/>
  <c r="BO32" i="11" s="1"/>
  <c r="K30" i="11"/>
  <c r="BO30" i="11" s="1"/>
  <c r="G29" i="11"/>
  <c r="BK29" i="11" s="1"/>
  <c r="G27" i="11"/>
  <c r="BK27" i="11" s="1"/>
  <c r="G25" i="11"/>
  <c r="BK25" i="11" s="1"/>
  <c r="G97" i="11"/>
  <c r="BK97" i="11" s="1"/>
  <c r="K102" i="11"/>
  <c r="BO102" i="11" s="1"/>
  <c r="K200" i="11"/>
  <c r="BO200" i="11" s="1"/>
  <c r="G232" i="11"/>
  <c r="BK232" i="11" s="1"/>
  <c r="AM122" i="11"/>
  <c r="AS130" i="11"/>
  <c r="C130" i="11"/>
  <c r="BG130" i="11" s="1"/>
  <c r="BA210" i="11"/>
  <c r="K210" i="11"/>
  <c r="BO210" i="11" s="1"/>
  <c r="AS210" i="11"/>
  <c r="C210" i="11"/>
  <c r="BG210" i="11" s="1"/>
  <c r="AV238" i="11"/>
  <c r="F238" i="11"/>
  <c r="BJ238" i="11" s="1"/>
  <c r="AZ235" i="11"/>
  <c r="J235" i="11"/>
  <c r="BN235" i="11" s="1"/>
  <c r="AR233" i="11"/>
  <c r="B233" i="11"/>
  <c r="BF233" i="11" s="1"/>
  <c r="AV230" i="11"/>
  <c r="F230" i="11"/>
  <c r="BJ230" i="11" s="1"/>
  <c r="B225" i="11"/>
  <c r="BF225" i="11" s="1"/>
  <c r="AR225" i="11"/>
  <c r="AV222" i="11"/>
  <c r="F222" i="11"/>
  <c r="BJ222" i="11" s="1"/>
  <c r="AR217" i="11"/>
  <c r="B217" i="11"/>
  <c r="BF217" i="11" s="1"/>
  <c r="AZ211" i="11"/>
  <c r="J211" i="11"/>
  <c r="BN211" i="11" s="1"/>
  <c r="AD43" i="11"/>
  <c r="G10" i="11"/>
  <c r="BK10" i="11" s="1"/>
  <c r="B38" i="11"/>
  <c r="BF38" i="11" s="1"/>
  <c r="B36" i="11"/>
  <c r="B34" i="11"/>
  <c r="BF34" i="11" s="1"/>
  <c r="B32" i="11"/>
  <c r="BF32" i="11" s="1"/>
  <c r="J26" i="11"/>
  <c r="BN26" i="11" s="1"/>
  <c r="F25" i="11"/>
  <c r="BJ25" i="11" s="1"/>
  <c r="J24" i="11"/>
  <c r="BN24" i="11" s="1"/>
  <c r="C20" i="11"/>
  <c r="BG20" i="11" s="1"/>
  <c r="B61" i="11"/>
  <c r="BF61" i="11" s="1"/>
  <c r="J63" i="11"/>
  <c r="BN63" i="11" s="1"/>
  <c r="F66" i="11"/>
  <c r="BJ66" i="11" s="1"/>
  <c r="J71" i="11"/>
  <c r="BN71" i="11" s="1"/>
  <c r="B104" i="11"/>
  <c r="BF104" i="11" s="1"/>
  <c r="F109" i="11"/>
  <c r="BJ109" i="11" s="1"/>
  <c r="J114" i="11"/>
  <c r="BN114" i="11" s="1"/>
  <c r="B120" i="11"/>
  <c r="BF120" i="11" s="1"/>
  <c r="C221" i="11"/>
  <c r="BG221" i="11" s="1"/>
  <c r="B227" i="11"/>
  <c r="BF227" i="11" s="1"/>
  <c r="K229" i="11"/>
  <c r="BO229" i="11" s="1"/>
  <c r="AV170" i="11"/>
  <c r="F170" i="11"/>
  <c r="BJ170" i="11" s="1"/>
  <c r="AY237" i="11"/>
  <c r="I237" i="11"/>
  <c r="BM237" i="11" s="1"/>
  <c r="AY235" i="11"/>
  <c r="I235" i="11"/>
  <c r="BM235" i="11" s="1"/>
  <c r="AY227" i="11"/>
  <c r="I227" i="11"/>
  <c r="BM227" i="11" s="1"/>
  <c r="M226" i="11"/>
  <c r="BQ226" i="11" s="1"/>
  <c r="BC226" i="11"/>
  <c r="AG44" i="11"/>
  <c r="AG84" i="11"/>
  <c r="AG124" i="11"/>
  <c r="AG123" i="11"/>
  <c r="AO164" i="11"/>
  <c r="AG162" i="11"/>
  <c r="AL241" i="11"/>
  <c r="AO243" i="11"/>
  <c r="F10" i="11"/>
  <c r="BJ10" i="11" s="1"/>
  <c r="E39" i="11"/>
  <c r="BI39" i="11" s="1"/>
  <c r="I36" i="11"/>
  <c r="BM36" i="11" s="1"/>
  <c r="E33" i="11"/>
  <c r="BI33" i="11" s="1"/>
  <c r="M31" i="11"/>
  <c r="BQ31" i="11" s="1"/>
  <c r="M29" i="11"/>
  <c r="BQ29" i="11" s="1"/>
  <c r="I26" i="11"/>
  <c r="BM26" i="11" s="1"/>
  <c r="I24" i="11"/>
  <c r="BM24" i="11" s="1"/>
  <c r="J14" i="11"/>
  <c r="BN14" i="11" s="1"/>
  <c r="M13" i="11"/>
  <c r="BQ13" i="11" s="1"/>
  <c r="G52" i="11"/>
  <c r="BK52" i="11" s="1"/>
  <c r="K55" i="11"/>
  <c r="BO55" i="11" s="1"/>
  <c r="AM123" i="11"/>
  <c r="AE202" i="11"/>
  <c r="AZ80" i="11"/>
  <c r="J80" i="11"/>
  <c r="BN80" i="11" s="1"/>
  <c r="AR80" i="11"/>
  <c r="B80" i="11"/>
  <c r="BF80" i="11" s="1"/>
  <c r="AV79" i="11"/>
  <c r="F79" i="11"/>
  <c r="BJ79" i="11" s="1"/>
  <c r="AZ78" i="11"/>
  <c r="J78" i="11"/>
  <c r="BN78" i="11" s="1"/>
  <c r="AR78" i="11"/>
  <c r="B78" i="11"/>
  <c r="BF78" i="11" s="1"/>
  <c r="AV77" i="11"/>
  <c r="F77" i="11"/>
  <c r="BJ77" i="11" s="1"/>
  <c r="AZ76" i="11"/>
  <c r="J76" i="11"/>
  <c r="BN76" i="11" s="1"/>
  <c r="AR76" i="11"/>
  <c r="B76" i="11"/>
  <c r="BF76" i="11" s="1"/>
  <c r="AZ74" i="11"/>
  <c r="J74" i="11"/>
  <c r="BN74" i="11" s="1"/>
  <c r="AR74" i="11"/>
  <c r="B74" i="11"/>
  <c r="BF74" i="11" s="1"/>
  <c r="AV73" i="11"/>
  <c r="F73" i="11"/>
  <c r="BJ73" i="11" s="1"/>
  <c r="AZ72" i="11"/>
  <c r="J72" i="11"/>
  <c r="BN72" i="11" s="1"/>
  <c r="AR72" i="11"/>
  <c r="B72" i="11"/>
  <c r="BF72" i="11" s="1"/>
  <c r="AV71" i="11"/>
  <c r="F71" i="11"/>
  <c r="BJ71" i="11" s="1"/>
  <c r="AZ70" i="11"/>
  <c r="J70" i="11"/>
  <c r="BN70" i="11" s="1"/>
  <c r="AR70" i="11"/>
  <c r="B70" i="11"/>
  <c r="BF70" i="11" s="1"/>
  <c r="AV69" i="11"/>
  <c r="F69" i="11"/>
  <c r="BJ69" i="11" s="1"/>
  <c r="AZ68" i="11"/>
  <c r="J68" i="11"/>
  <c r="BN68" i="11" s="1"/>
  <c r="AR68" i="11"/>
  <c r="B68" i="11"/>
  <c r="BF68" i="11" s="1"/>
  <c r="AV67" i="11"/>
  <c r="F67" i="11"/>
  <c r="BJ67" i="11" s="1"/>
  <c r="AZ66" i="11"/>
  <c r="J66" i="11"/>
  <c r="BN66" i="11" s="1"/>
  <c r="AR66" i="11"/>
  <c r="B66" i="11"/>
  <c r="BF66" i="11" s="1"/>
  <c r="AV65" i="11"/>
  <c r="F65" i="11"/>
  <c r="BJ65" i="11" s="1"/>
  <c r="AZ64" i="11"/>
  <c r="J64" i="11"/>
  <c r="BN64" i="11" s="1"/>
  <c r="AR64" i="11"/>
  <c r="B64" i="11"/>
  <c r="BF64" i="11" s="1"/>
  <c r="AV63" i="11"/>
  <c r="F63" i="11"/>
  <c r="BJ63" i="11" s="1"/>
  <c r="AZ62" i="11"/>
  <c r="J62" i="11"/>
  <c r="BN62" i="11" s="1"/>
  <c r="AR62" i="11"/>
  <c r="B62" i="11"/>
  <c r="BF62" i="11" s="1"/>
  <c r="AV61" i="11"/>
  <c r="F61" i="11"/>
  <c r="BJ61" i="11" s="1"/>
  <c r="AZ60" i="11"/>
  <c r="J60" i="11"/>
  <c r="BN60" i="11" s="1"/>
  <c r="AR60" i="11"/>
  <c r="B60" i="11"/>
  <c r="BF60" i="11" s="1"/>
  <c r="AV59" i="11"/>
  <c r="F59" i="11"/>
  <c r="BJ59" i="11" s="1"/>
  <c r="AZ58" i="11"/>
  <c r="J58" i="11"/>
  <c r="BN58" i="11" s="1"/>
  <c r="AR58" i="11"/>
  <c r="B58" i="11"/>
  <c r="BF58" i="11" s="1"/>
  <c r="AV57" i="11"/>
  <c r="F57" i="11"/>
  <c r="BJ57" i="11" s="1"/>
  <c r="AZ56" i="11"/>
  <c r="J56" i="11"/>
  <c r="BN56" i="11" s="1"/>
  <c r="AR56" i="11"/>
  <c r="B56" i="11"/>
  <c r="BF56" i="11" s="1"/>
  <c r="AV55" i="11"/>
  <c r="F55" i="11"/>
  <c r="BJ55" i="11" s="1"/>
  <c r="AZ54" i="11"/>
  <c r="J54" i="11"/>
  <c r="BN54" i="11" s="1"/>
  <c r="AR54" i="11"/>
  <c r="B54" i="11"/>
  <c r="BF54" i="11" s="1"/>
  <c r="AV120" i="11"/>
  <c r="F120" i="11"/>
  <c r="BJ120" i="11" s="1"/>
  <c r="AZ119" i="11"/>
  <c r="J119" i="11"/>
  <c r="BN119" i="11" s="1"/>
  <c r="AR119" i="11"/>
  <c r="B119" i="11"/>
  <c r="BF119" i="11" s="1"/>
  <c r="AV118" i="11"/>
  <c r="F118" i="11"/>
  <c r="BJ118" i="11" s="1"/>
  <c r="AZ117" i="11"/>
  <c r="J117" i="11"/>
  <c r="BN117" i="11" s="1"/>
  <c r="AR117" i="11"/>
  <c r="B117" i="11"/>
  <c r="BF117" i="11" s="1"/>
  <c r="AV116" i="11"/>
  <c r="F116" i="11"/>
  <c r="BJ116" i="11" s="1"/>
  <c r="AZ115" i="11"/>
  <c r="J115" i="11"/>
  <c r="BN115" i="11" s="1"/>
  <c r="AR115" i="11"/>
  <c r="B115" i="11"/>
  <c r="BF115" i="11" s="1"/>
  <c r="AV114" i="11"/>
  <c r="F114" i="11"/>
  <c r="BJ114" i="11" s="1"/>
  <c r="AZ113" i="11"/>
  <c r="J113" i="11"/>
  <c r="BN113" i="11" s="1"/>
  <c r="AR113" i="11"/>
  <c r="B113" i="11"/>
  <c r="BF113" i="11" s="1"/>
  <c r="AV112" i="11"/>
  <c r="F112" i="11"/>
  <c r="BJ112" i="11" s="1"/>
  <c r="AZ111" i="11"/>
  <c r="J111" i="11"/>
  <c r="BN111" i="11" s="1"/>
  <c r="AR111" i="11"/>
  <c r="B111" i="11"/>
  <c r="BF111" i="11" s="1"/>
  <c r="AV110" i="11"/>
  <c r="F110" i="11"/>
  <c r="BJ110" i="11" s="1"/>
  <c r="AZ109" i="11"/>
  <c r="J109" i="11"/>
  <c r="BN109" i="11" s="1"/>
  <c r="AR109" i="11"/>
  <c r="B109" i="11"/>
  <c r="BF109" i="11" s="1"/>
  <c r="AV108" i="11"/>
  <c r="F108" i="11"/>
  <c r="BJ108" i="11" s="1"/>
  <c r="AZ107" i="11"/>
  <c r="J107" i="11"/>
  <c r="BN107" i="11" s="1"/>
  <c r="AR107" i="11"/>
  <c r="B107" i="11"/>
  <c r="BF107" i="11" s="1"/>
  <c r="AV106" i="11"/>
  <c r="F106" i="11"/>
  <c r="BJ106" i="11" s="1"/>
  <c r="AZ105" i="11"/>
  <c r="J105" i="11"/>
  <c r="BN105" i="11" s="1"/>
  <c r="AR105" i="11"/>
  <c r="B105" i="11"/>
  <c r="BF105" i="11" s="1"/>
  <c r="AV104" i="11"/>
  <c r="F104" i="11"/>
  <c r="BJ104" i="11" s="1"/>
  <c r="AZ103" i="11"/>
  <c r="J103" i="11"/>
  <c r="BN103" i="11" s="1"/>
  <c r="AR103" i="11"/>
  <c r="B103" i="11"/>
  <c r="BF103" i="11" s="1"/>
  <c r="AV102" i="11"/>
  <c r="F102" i="11"/>
  <c r="BJ102" i="11" s="1"/>
  <c r="AZ101" i="11"/>
  <c r="J101" i="11"/>
  <c r="BN101" i="11" s="1"/>
  <c r="AR101" i="11"/>
  <c r="B101" i="11"/>
  <c r="BF101" i="11" s="1"/>
  <c r="AV100" i="11"/>
  <c r="F100" i="11"/>
  <c r="BJ100" i="11" s="1"/>
  <c r="AZ99" i="11"/>
  <c r="J99" i="11"/>
  <c r="BN99" i="11" s="1"/>
  <c r="AR99" i="11"/>
  <c r="B99" i="11"/>
  <c r="BF99" i="11" s="1"/>
  <c r="AV98" i="11"/>
  <c r="F98" i="11"/>
  <c r="BJ98" i="11" s="1"/>
  <c r="AZ97" i="11"/>
  <c r="J97" i="11"/>
  <c r="BN97" i="11" s="1"/>
  <c r="AR97" i="11"/>
  <c r="B97" i="11"/>
  <c r="BF97" i="11" s="1"/>
  <c r="AV96" i="11"/>
  <c r="F96" i="11"/>
  <c r="BJ96" i="11" s="1"/>
  <c r="AZ95" i="11"/>
  <c r="J95" i="11"/>
  <c r="BN95" i="11" s="1"/>
  <c r="AR95" i="11"/>
  <c r="B95" i="11"/>
  <c r="BF95" i="11" s="1"/>
  <c r="AV94" i="11"/>
  <c r="F94" i="11"/>
  <c r="BJ94" i="11" s="1"/>
  <c r="AZ93" i="11"/>
  <c r="J93" i="11"/>
  <c r="BN93" i="11" s="1"/>
  <c r="AR93" i="11"/>
  <c r="B93" i="11"/>
  <c r="BF93" i="11" s="1"/>
  <c r="AV92" i="11"/>
  <c r="F92" i="11"/>
  <c r="BJ92" i="11" s="1"/>
  <c r="AZ91" i="11"/>
  <c r="J91" i="11"/>
  <c r="BN91" i="11" s="1"/>
  <c r="AR91" i="11"/>
  <c r="B91" i="11"/>
  <c r="BF91" i="11" s="1"/>
  <c r="AZ160" i="11"/>
  <c r="J160" i="11"/>
  <c r="BN160" i="11" s="1"/>
  <c r="AR160" i="11"/>
  <c r="B160" i="11"/>
  <c r="BF160" i="11" s="1"/>
  <c r="AV159" i="11"/>
  <c r="F159" i="11"/>
  <c r="BJ159" i="11" s="1"/>
  <c r="AZ158" i="11"/>
  <c r="J158" i="11"/>
  <c r="BN158" i="11" s="1"/>
  <c r="AR158" i="11"/>
  <c r="B158" i="11"/>
  <c r="BF158" i="11" s="1"/>
  <c r="AV157" i="11"/>
  <c r="F157" i="11"/>
  <c r="BJ157" i="11" s="1"/>
  <c r="AZ156" i="11"/>
  <c r="J156" i="11"/>
  <c r="BN156" i="11" s="1"/>
  <c r="AR156" i="11"/>
  <c r="B156" i="11"/>
  <c r="BF156" i="11" s="1"/>
  <c r="AV155" i="11"/>
  <c r="F155" i="11"/>
  <c r="BJ155" i="11" s="1"/>
  <c r="AZ154" i="11"/>
  <c r="J154" i="11"/>
  <c r="BN154" i="11" s="1"/>
  <c r="AR154" i="11"/>
  <c r="B154" i="11"/>
  <c r="BF154" i="11" s="1"/>
  <c r="AV153" i="11"/>
  <c r="F153" i="11"/>
  <c r="BJ153" i="11" s="1"/>
  <c r="AZ152" i="11"/>
  <c r="J152" i="11"/>
  <c r="BN152" i="11" s="1"/>
  <c r="AR152" i="11"/>
  <c r="B152" i="11"/>
  <c r="BF152" i="11" s="1"/>
  <c r="AV151" i="11"/>
  <c r="F151" i="11"/>
  <c r="BJ151" i="11" s="1"/>
  <c r="AZ150" i="11"/>
  <c r="J150" i="11"/>
  <c r="BN150" i="11" s="1"/>
  <c r="AR150" i="11"/>
  <c r="B150" i="11"/>
  <c r="BF150" i="11" s="1"/>
  <c r="AV149" i="11"/>
  <c r="F149" i="11"/>
  <c r="BJ149" i="11" s="1"/>
  <c r="AZ148" i="11"/>
  <c r="J148" i="11"/>
  <c r="BN148" i="11" s="1"/>
  <c r="AR148" i="11"/>
  <c r="B148" i="11"/>
  <c r="BF148" i="11" s="1"/>
  <c r="AV147" i="11"/>
  <c r="F147" i="11"/>
  <c r="BJ147" i="11" s="1"/>
  <c r="AZ146" i="11"/>
  <c r="J146" i="11"/>
  <c r="BN146" i="11" s="1"/>
  <c r="AR146" i="11"/>
  <c r="B146" i="11"/>
  <c r="BF146" i="11" s="1"/>
  <c r="AV145" i="11"/>
  <c r="F145" i="11"/>
  <c r="BJ145" i="11" s="1"/>
  <c r="AZ144" i="11"/>
  <c r="J144" i="11"/>
  <c r="BN144" i="11" s="1"/>
  <c r="AR144" i="11"/>
  <c r="B144" i="11"/>
  <c r="BF144" i="11" s="1"/>
  <c r="AV143" i="11"/>
  <c r="F143" i="11"/>
  <c r="BJ143" i="11" s="1"/>
  <c r="AZ142" i="11"/>
  <c r="J142" i="11"/>
  <c r="BN142" i="11" s="1"/>
  <c r="AR142" i="11"/>
  <c r="B142" i="11"/>
  <c r="BF142" i="11" s="1"/>
  <c r="AV141" i="11"/>
  <c r="F141" i="11"/>
  <c r="BJ141" i="11" s="1"/>
  <c r="AZ140" i="11"/>
  <c r="J140" i="11"/>
  <c r="BN140" i="11" s="1"/>
  <c r="AR140" i="11"/>
  <c r="B140" i="11"/>
  <c r="BF140" i="11" s="1"/>
  <c r="AV139" i="11"/>
  <c r="F139" i="11"/>
  <c r="BJ139" i="11" s="1"/>
  <c r="AZ138" i="11"/>
  <c r="J138" i="11"/>
  <c r="BN138" i="11" s="1"/>
  <c r="AR138" i="11"/>
  <c r="B138" i="11"/>
  <c r="BF138" i="11" s="1"/>
  <c r="AV137" i="11"/>
  <c r="F137" i="11"/>
  <c r="BJ137" i="11" s="1"/>
  <c r="AZ136" i="11"/>
  <c r="J136" i="11"/>
  <c r="BN136" i="11" s="1"/>
  <c r="AR136" i="11"/>
  <c r="B136" i="11"/>
  <c r="BF136" i="11" s="1"/>
  <c r="AV135" i="11"/>
  <c r="F135" i="11"/>
  <c r="BJ135" i="11" s="1"/>
  <c r="AZ134" i="11"/>
  <c r="J134" i="11"/>
  <c r="BN134" i="11" s="1"/>
  <c r="AR134" i="11"/>
  <c r="B134" i="11"/>
  <c r="BF134" i="11" s="1"/>
  <c r="AV133" i="11"/>
  <c r="F133" i="11"/>
  <c r="BJ133" i="11" s="1"/>
  <c r="AZ132" i="11"/>
  <c r="J132" i="11"/>
  <c r="BN132" i="11" s="1"/>
  <c r="AR132" i="11"/>
  <c r="B132" i="11"/>
  <c r="BF132" i="11" s="1"/>
  <c r="AV131" i="11"/>
  <c r="F131" i="11"/>
  <c r="BJ131" i="11" s="1"/>
  <c r="AV200" i="11"/>
  <c r="F200" i="11"/>
  <c r="BJ200" i="11" s="1"/>
  <c r="AZ199" i="11"/>
  <c r="J199" i="11"/>
  <c r="BN199" i="11" s="1"/>
  <c r="AR199" i="11"/>
  <c r="B199" i="11"/>
  <c r="BF199" i="11" s="1"/>
  <c r="AV198" i="11"/>
  <c r="F198" i="11"/>
  <c r="BJ198" i="11" s="1"/>
  <c r="AZ197" i="11"/>
  <c r="J197" i="11"/>
  <c r="BN197" i="11" s="1"/>
  <c r="AR197" i="11"/>
  <c r="B197" i="11"/>
  <c r="BF197" i="11" s="1"/>
  <c r="AV196" i="11"/>
  <c r="F196" i="11"/>
  <c r="BJ196" i="11" s="1"/>
  <c r="AZ195" i="11"/>
  <c r="J195" i="11"/>
  <c r="BN195" i="11" s="1"/>
  <c r="AR195" i="11"/>
  <c r="B195" i="11"/>
  <c r="BF195" i="11" s="1"/>
  <c r="AV194" i="11"/>
  <c r="F194" i="11"/>
  <c r="BJ194" i="11" s="1"/>
  <c r="AZ193" i="11"/>
  <c r="J193" i="11"/>
  <c r="BN193" i="11" s="1"/>
  <c r="AR193" i="11"/>
  <c r="B193" i="11"/>
  <c r="BF193" i="11" s="1"/>
  <c r="AV192" i="11"/>
  <c r="F192" i="11"/>
  <c r="BJ192" i="11" s="1"/>
  <c r="AZ191" i="11"/>
  <c r="J191" i="11"/>
  <c r="BN191" i="11" s="1"/>
  <c r="AR191" i="11"/>
  <c r="B191" i="11"/>
  <c r="BF191" i="11" s="1"/>
  <c r="AV190" i="11"/>
  <c r="F190" i="11"/>
  <c r="BJ190" i="11" s="1"/>
  <c r="AZ189" i="11"/>
  <c r="J189" i="11"/>
  <c r="BN189" i="11" s="1"/>
  <c r="AR189" i="11"/>
  <c r="B189" i="11"/>
  <c r="BF189" i="11" s="1"/>
  <c r="AV188" i="11"/>
  <c r="F188" i="11"/>
  <c r="BJ188" i="11" s="1"/>
  <c r="AZ187" i="11"/>
  <c r="J187" i="11"/>
  <c r="BN187" i="11" s="1"/>
  <c r="AR187" i="11"/>
  <c r="B187" i="11"/>
  <c r="BF187" i="11" s="1"/>
  <c r="AV186" i="11"/>
  <c r="F186" i="11"/>
  <c r="BJ186" i="11" s="1"/>
  <c r="AZ185" i="11"/>
  <c r="J185" i="11"/>
  <c r="BN185" i="11" s="1"/>
  <c r="AR185" i="11"/>
  <c r="B185" i="11"/>
  <c r="BF185" i="11" s="1"/>
  <c r="AV184" i="11"/>
  <c r="F184" i="11"/>
  <c r="BJ184" i="11" s="1"/>
  <c r="AZ183" i="11"/>
  <c r="J183" i="11"/>
  <c r="BN183" i="11" s="1"/>
  <c r="AR183" i="11"/>
  <c r="B183" i="11"/>
  <c r="BF183" i="11" s="1"/>
  <c r="AV182" i="11"/>
  <c r="F182" i="11"/>
  <c r="BJ182" i="11" s="1"/>
  <c r="AZ181" i="11"/>
  <c r="J181" i="11"/>
  <c r="BN181" i="11" s="1"/>
  <c r="AR181" i="11"/>
  <c r="B181" i="11"/>
  <c r="BF181" i="11" s="1"/>
  <c r="AV180" i="11"/>
  <c r="F180" i="11"/>
  <c r="BJ180" i="11" s="1"/>
  <c r="AZ179" i="11"/>
  <c r="J179" i="11"/>
  <c r="BN179" i="11" s="1"/>
  <c r="AR179" i="11"/>
  <c r="B179" i="11"/>
  <c r="BF179" i="11" s="1"/>
  <c r="AV178" i="11"/>
  <c r="F178" i="11"/>
  <c r="BJ178" i="11" s="1"/>
  <c r="AZ177" i="11"/>
  <c r="J177" i="11"/>
  <c r="BN177" i="11" s="1"/>
  <c r="AR177" i="11"/>
  <c r="B177" i="11"/>
  <c r="BF177" i="11" s="1"/>
  <c r="AV176" i="11"/>
  <c r="F176" i="11"/>
  <c r="BJ176" i="11" s="1"/>
  <c r="AZ175" i="11"/>
  <c r="J175" i="11"/>
  <c r="BN175" i="11" s="1"/>
  <c r="AR175" i="11"/>
  <c r="B175" i="11"/>
  <c r="BF175" i="11" s="1"/>
  <c r="AV174" i="11"/>
  <c r="F174" i="11"/>
  <c r="BJ174" i="11" s="1"/>
  <c r="AZ173" i="11"/>
  <c r="J173" i="11"/>
  <c r="BN173" i="11" s="1"/>
  <c r="AR173" i="11"/>
  <c r="B173" i="11"/>
  <c r="BF173" i="11" s="1"/>
  <c r="AV172" i="11"/>
  <c r="F172" i="11"/>
  <c r="BJ172" i="11" s="1"/>
  <c r="AZ171" i="11"/>
  <c r="J171" i="11"/>
  <c r="BN171" i="11" s="1"/>
  <c r="AR171" i="11"/>
  <c r="B171" i="11"/>
  <c r="BF171" i="11" s="1"/>
  <c r="AZ240" i="11"/>
  <c r="J240" i="11"/>
  <c r="BN240" i="11" s="1"/>
  <c r="AR240" i="11"/>
  <c r="B240" i="11"/>
  <c r="BF240" i="11" s="1"/>
  <c r="AV239" i="11"/>
  <c r="F239" i="11"/>
  <c r="BJ239" i="11" s="1"/>
  <c r="AZ238" i="11"/>
  <c r="J238" i="11"/>
  <c r="BN238" i="11" s="1"/>
  <c r="AR238" i="11"/>
  <c r="B238" i="11"/>
  <c r="BF238" i="11" s="1"/>
  <c r="AV237" i="11"/>
  <c r="F237" i="11"/>
  <c r="BJ237" i="11" s="1"/>
  <c r="AZ236" i="11"/>
  <c r="J236" i="11"/>
  <c r="BN236" i="11" s="1"/>
  <c r="AR236" i="11"/>
  <c r="B236" i="11"/>
  <c r="BF236" i="11" s="1"/>
  <c r="AV235" i="11"/>
  <c r="F235" i="11"/>
  <c r="BJ235" i="11" s="1"/>
  <c r="AZ234" i="11"/>
  <c r="J234" i="11"/>
  <c r="BN234" i="11" s="1"/>
  <c r="AR234" i="11"/>
  <c r="B234" i="11"/>
  <c r="BF234" i="11" s="1"/>
  <c r="AV233" i="11"/>
  <c r="F233" i="11"/>
  <c r="BJ233" i="11" s="1"/>
  <c r="AZ232" i="11"/>
  <c r="J232" i="11"/>
  <c r="BN232" i="11" s="1"/>
  <c r="AR232" i="11"/>
  <c r="B232" i="11"/>
  <c r="BF232" i="11" s="1"/>
  <c r="AV231" i="11"/>
  <c r="F231" i="11"/>
  <c r="BJ231" i="11" s="1"/>
  <c r="AZ230" i="11"/>
  <c r="J230" i="11"/>
  <c r="BN230" i="11" s="1"/>
  <c r="AR230" i="11"/>
  <c r="B230" i="11"/>
  <c r="BF230" i="11" s="1"/>
  <c r="AV229" i="11"/>
  <c r="F229" i="11"/>
  <c r="BJ229" i="11" s="1"/>
  <c r="AZ228" i="11"/>
  <c r="J228" i="11"/>
  <c r="BN228" i="11" s="1"/>
  <c r="AR228" i="11"/>
  <c r="B228" i="11"/>
  <c r="BF228" i="11" s="1"/>
  <c r="AV227" i="11"/>
  <c r="F227" i="11"/>
  <c r="BJ227" i="11" s="1"/>
  <c r="AZ226" i="11"/>
  <c r="AZ244" i="11" s="1"/>
  <c r="J226" i="11"/>
  <c r="BN226" i="11" s="1"/>
  <c r="BN244" i="11" s="1"/>
  <c r="AR226" i="11"/>
  <c r="B226" i="11"/>
  <c r="BF226" i="11" s="1"/>
  <c r="AV225" i="11"/>
  <c r="F225" i="11"/>
  <c r="BJ225" i="11" s="1"/>
  <c r="AZ224" i="11"/>
  <c r="J224" i="11"/>
  <c r="BN224" i="11" s="1"/>
  <c r="AR224" i="11"/>
  <c r="B224" i="11"/>
  <c r="BF224" i="11" s="1"/>
  <c r="AV223" i="11"/>
  <c r="F223" i="11"/>
  <c r="BJ223" i="11" s="1"/>
  <c r="AZ222" i="11"/>
  <c r="J222" i="11"/>
  <c r="BN222" i="11" s="1"/>
  <c r="AR222" i="11"/>
  <c r="B222" i="11"/>
  <c r="BF222" i="11" s="1"/>
  <c r="AV221" i="11"/>
  <c r="F221" i="11"/>
  <c r="BJ221" i="11" s="1"/>
  <c r="AZ220" i="11"/>
  <c r="J220" i="11"/>
  <c r="BN220" i="11" s="1"/>
  <c r="AR220" i="11"/>
  <c r="B220" i="11"/>
  <c r="BF220" i="11" s="1"/>
  <c r="AV219" i="11"/>
  <c r="F219" i="11"/>
  <c r="BJ219" i="11" s="1"/>
  <c r="AZ218" i="11"/>
  <c r="J218" i="11"/>
  <c r="BN218" i="11" s="1"/>
  <c r="AR218" i="11"/>
  <c r="B218" i="11"/>
  <c r="BF218" i="11" s="1"/>
  <c r="AV217" i="11"/>
  <c r="F217" i="11"/>
  <c r="BJ217" i="11" s="1"/>
  <c r="AZ216" i="11"/>
  <c r="J216" i="11"/>
  <c r="BN216" i="11" s="1"/>
  <c r="AR216" i="11"/>
  <c r="B216" i="11"/>
  <c r="BF216" i="11" s="1"/>
  <c r="AV215" i="11"/>
  <c r="F215" i="11"/>
  <c r="BJ215" i="11" s="1"/>
  <c r="AZ214" i="11"/>
  <c r="J214" i="11"/>
  <c r="BN214" i="11" s="1"/>
  <c r="AR214" i="11"/>
  <c r="B214" i="11"/>
  <c r="BF214" i="11" s="1"/>
  <c r="AV213" i="11"/>
  <c r="F213" i="11"/>
  <c r="BJ213" i="11" s="1"/>
  <c r="AZ212" i="11"/>
  <c r="J212" i="11"/>
  <c r="BN212" i="11" s="1"/>
  <c r="AR212" i="11"/>
  <c r="B212" i="11"/>
  <c r="BF212" i="11" s="1"/>
  <c r="AV211" i="11"/>
  <c r="F211" i="11"/>
  <c r="BJ211" i="11" s="1"/>
  <c r="AH84" i="11"/>
  <c r="AD82" i="11"/>
  <c r="AH164" i="11"/>
  <c r="AD162" i="11"/>
  <c r="AH244" i="11"/>
  <c r="AD242" i="11"/>
  <c r="AH245" i="11"/>
  <c r="K10" i="11"/>
  <c r="BO10" i="11" s="1"/>
  <c r="C10" i="11"/>
  <c r="BG10" i="11" s="1"/>
  <c r="F40" i="11"/>
  <c r="BJ40" i="11" s="1"/>
  <c r="J39" i="11"/>
  <c r="BN39" i="11" s="1"/>
  <c r="B39" i="11"/>
  <c r="BF39" i="11" s="1"/>
  <c r="F38" i="11"/>
  <c r="BJ38" i="11" s="1"/>
  <c r="J37" i="11"/>
  <c r="BN37" i="11" s="1"/>
  <c r="B37" i="11"/>
  <c r="BF37" i="11" s="1"/>
  <c r="F36" i="11"/>
  <c r="BJ36" i="11" s="1"/>
  <c r="J35" i="11"/>
  <c r="BN35" i="11" s="1"/>
  <c r="B35" i="11"/>
  <c r="BF35" i="11" s="1"/>
  <c r="F34" i="11"/>
  <c r="BJ34" i="11" s="1"/>
  <c r="J33" i="11"/>
  <c r="BN33" i="11" s="1"/>
  <c r="B33" i="11"/>
  <c r="BF33" i="11" s="1"/>
  <c r="F32" i="11"/>
  <c r="BJ32" i="11" s="1"/>
  <c r="J31" i="11"/>
  <c r="BN31" i="11" s="1"/>
  <c r="B31" i="11"/>
  <c r="BF31" i="11" s="1"/>
  <c r="F30" i="11"/>
  <c r="BJ30" i="11" s="1"/>
  <c r="J29" i="11"/>
  <c r="BN29" i="11" s="1"/>
  <c r="B29" i="11"/>
  <c r="BF29" i="11" s="1"/>
  <c r="F28" i="11"/>
  <c r="BJ28" i="11" s="1"/>
  <c r="J27" i="11"/>
  <c r="BN27" i="11" s="1"/>
  <c r="B27" i="11"/>
  <c r="BF27" i="11" s="1"/>
  <c r="F26" i="11"/>
  <c r="BJ26" i="11" s="1"/>
  <c r="J25" i="11"/>
  <c r="BN25" i="11" s="1"/>
  <c r="B25" i="11"/>
  <c r="BF25" i="11" s="1"/>
  <c r="K22" i="11"/>
  <c r="BO22" i="11" s="1"/>
  <c r="E21" i="11"/>
  <c r="BI21" i="11" s="1"/>
  <c r="J19" i="11"/>
  <c r="BN19" i="11" s="1"/>
  <c r="M15" i="11"/>
  <c r="BQ15" i="11" s="1"/>
  <c r="F14" i="11"/>
  <c r="BJ14" i="11" s="1"/>
  <c r="G50" i="11"/>
  <c r="BK50" i="11" s="1"/>
  <c r="B52" i="11"/>
  <c r="BF52" i="11" s="1"/>
  <c r="K52" i="11"/>
  <c r="BO52" i="11" s="1"/>
  <c r="H53" i="11"/>
  <c r="BL53" i="11" s="1"/>
  <c r="B57" i="11"/>
  <c r="BF57" i="11" s="1"/>
  <c r="L58" i="11"/>
  <c r="BP58" i="11" s="1"/>
  <c r="D64" i="11"/>
  <c r="BH64" i="11" s="1"/>
  <c r="H69" i="11"/>
  <c r="BL69" i="11" s="1"/>
  <c r="F70" i="11"/>
  <c r="BJ70" i="11" s="1"/>
  <c r="L74" i="11"/>
  <c r="BP74" i="11" s="1"/>
  <c r="H77" i="11"/>
  <c r="BL77" i="11" s="1"/>
  <c r="F78" i="11"/>
  <c r="BJ78" i="11" s="1"/>
  <c r="D80" i="11"/>
  <c r="BH80" i="11" s="1"/>
  <c r="L90" i="11"/>
  <c r="BP90" i="11" s="1"/>
  <c r="L91" i="11"/>
  <c r="BP91" i="11" s="1"/>
  <c r="H94" i="11"/>
  <c r="BL94" i="11" s="1"/>
  <c r="D97" i="11"/>
  <c r="BH97" i="11" s="1"/>
  <c r="H102" i="11"/>
  <c r="BL102" i="11" s="1"/>
  <c r="G103" i="11"/>
  <c r="BK103" i="11" s="1"/>
  <c r="I104" i="11"/>
  <c r="BM104" i="11" s="1"/>
  <c r="J106" i="11"/>
  <c r="BN106" i="11" s="1"/>
  <c r="L107" i="11"/>
  <c r="BP107" i="11" s="1"/>
  <c r="K108" i="11"/>
  <c r="BO108" i="11" s="1"/>
  <c r="M109" i="11"/>
  <c r="BQ109" i="11" s="1"/>
  <c r="B112" i="11"/>
  <c r="BF112" i="11" s="1"/>
  <c r="D113" i="11"/>
  <c r="BH113" i="11" s="1"/>
  <c r="C114" i="11"/>
  <c r="BG114" i="11" s="1"/>
  <c r="E115" i="11"/>
  <c r="BI115" i="11" s="1"/>
  <c r="F117" i="11"/>
  <c r="BJ117" i="11" s="1"/>
  <c r="H118" i="11"/>
  <c r="BL118" i="11" s="1"/>
  <c r="G119" i="11"/>
  <c r="BK119" i="11" s="1"/>
  <c r="I120" i="11"/>
  <c r="BM120" i="11" s="1"/>
  <c r="H130" i="11"/>
  <c r="BL130" i="11" s="1"/>
  <c r="J131" i="11"/>
  <c r="BN131" i="11" s="1"/>
  <c r="L132" i="11"/>
  <c r="BP132" i="11" s="1"/>
  <c r="K133" i="11"/>
  <c r="BO133" i="11" s="1"/>
  <c r="M134" i="11"/>
  <c r="BQ134" i="11" s="1"/>
  <c r="B137" i="11"/>
  <c r="BF137" i="11" s="1"/>
  <c r="D138" i="11"/>
  <c r="BH138" i="11" s="1"/>
  <c r="C139" i="11"/>
  <c r="BG139" i="11" s="1"/>
  <c r="E140" i="11"/>
  <c r="BI140" i="11" s="1"/>
  <c r="F142" i="11"/>
  <c r="BJ142" i="11" s="1"/>
  <c r="H143" i="11"/>
  <c r="BL143" i="11" s="1"/>
  <c r="G144" i="11"/>
  <c r="BK144" i="11" s="1"/>
  <c r="I145" i="11"/>
  <c r="BM145" i="11" s="1"/>
  <c r="J147" i="11"/>
  <c r="BN147" i="11" s="1"/>
  <c r="L148" i="11"/>
  <c r="BP148" i="11" s="1"/>
  <c r="K149" i="11"/>
  <c r="BO149" i="11" s="1"/>
  <c r="M150" i="11"/>
  <c r="BQ150" i="11" s="1"/>
  <c r="B153" i="11"/>
  <c r="BF153" i="11" s="1"/>
  <c r="D154" i="11"/>
  <c r="BH154" i="11" s="1"/>
  <c r="C155" i="11"/>
  <c r="BG155" i="11" s="1"/>
  <c r="E156" i="11"/>
  <c r="BI156" i="11" s="1"/>
  <c r="F158" i="11"/>
  <c r="BJ158" i="11" s="1"/>
  <c r="H159" i="11"/>
  <c r="BL159" i="11" s="1"/>
  <c r="G160" i="11"/>
  <c r="BK160" i="11" s="1"/>
  <c r="J172" i="11"/>
  <c r="BN172" i="11" s="1"/>
  <c r="L173" i="11"/>
  <c r="BP173" i="11" s="1"/>
  <c r="K174" i="11"/>
  <c r="BO174" i="11" s="1"/>
  <c r="M175" i="11"/>
  <c r="BQ175" i="11" s="1"/>
  <c r="B178" i="11"/>
  <c r="BF178" i="11" s="1"/>
  <c r="D179" i="11"/>
  <c r="BH179" i="11" s="1"/>
  <c r="C180" i="11"/>
  <c r="BG180" i="11" s="1"/>
  <c r="E181" i="11"/>
  <c r="BI181" i="11" s="1"/>
  <c r="F183" i="11"/>
  <c r="BJ183" i="11" s="1"/>
  <c r="H184" i="11"/>
  <c r="BL184" i="11" s="1"/>
  <c r="G185" i="11"/>
  <c r="BK185" i="11" s="1"/>
  <c r="I186" i="11"/>
  <c r="BM186" i="11" s="1"/>
  <c r="J188" i="11"/>
  <c r="BN188" i="11" s="1"/>
  <c r="L189" i="11"/>
  <c r="BP189" i="11" s="1"/>
  <c r="K190" i="11"/>
  <c r="BO190" i="11" s="1"/>
  <c r="M191" i="11"/>
  <c r="BQ191" i="11" s="1"/>
  <c r="B194" i="11"/>
  <c r="BF194" i="11" s="1"/>
  <c r="D195" i="11"/>
  <c r="BH195" i="11" s="1"/>
  <c r="C196" i="11"/>
  <c r="BG196" i="11" s="1"/>
  <c r="E197" i="11"/>
  <c r="BI197" i="11" s="1"/>
  <c r="F199" i="11"/>
  <c r="BJ199" i="11" s="1"/>
  <c r="H200" i="11"/>
  <c r="BL200" i="11" s="1"/>
  <c r="G210" i="11"/>
  <c r="BK210" i="11" s="1"/>
  <c r="L214" i="11"/>
  <c r="BP214" i="11" s="1"/>
  <c r="C219" i="11"/>
  <c r="BG219" i="11" s="1"/>
  <c r="F220" i="11"/>
  <c r="BJ220" i="11" s="1"/>
  <c r="B229" i="11"/>
  <c r="BF229" i="11" s="1"/>
  <c r="K231" i="11"/>
  <c r="BO231" i="11" s="1"/>
  <c r="D236" i="11"/>
  <c r="BH236" i="11" s="1"/>
  <c r="M238" i="11"/>
  <c r="BQ238" i="11" s="1"/>
  <c r="G240" i="11"/>
  <c r="BK240" i="11" s="1"/>
  <c r="BB218" i="11"/>
  <c r="AT224" i="11"/>
  <c r="AX229" i="11"/>
  <c r="BB234" i="11"/>
  <c r="AT240" i="11"/>
  <c r="AK241" i="11"/>
  <c r="AJ243" i="11"/>
  <c r="AG241" i="11"/>
  <c r="AN243" i="11"/>
  <c r="AI241" i="11"/>
  <c r="AD243" i="11"/>
  <c r="AP241" i="11"/>
  <c r="AM242" i="11"/>
  <c r="AO245" i="11"/>
  <c r="AF245" i="11"/>
  <c r="AI242" i="11"/>
  <c r="AM241" i="11"/>
  <c r="AN242" i="11"/>
  <c r="AF243" i="11"/>
  <c r="AG242" i="11"/>
  <c r="AJ245" i="11"/>
  <c r="AK242" i="11"/>
  <c r="AK243" i="11"/>
  <c r="AK245" i="11"/>
  <c r="AJ242" i="11"/>
  <c r="AL242" i="11"/>
  <c r="AL243" i="11"/>
  <c r="AL245" i="11"/>
  <c r="AH241" i="11"/>
  <c r="AG201" i="11"/>
  <c r="AJ205" i="11"/>
  <c r="AN205" i="11"/>
  <c r="AM201" i="11"/>
  <c r="AK203" i="11"/>
  <c r="AO205" i="11"/>
  <c r="AH205" i="11"/>
  <c r="AN201" i="11"/>
  <c r="AM202" i="11"/>
  <c r="AE205" i="11"/>
  <c r="AK201" i="11"/>
  <c r="AG202" i="11"/>
  <c r="AF203" i="11"/>
  <c r="AI203" i="11"/>
  <c r="AD205" i="11"/>
  <c r="AD201" i="11"/>
  <c r="AN202" i="11"/>
  <c r="AO202" i="11"/>
  <c r="AL205" i="11"/>
  <c r="AP201" i="11"/>
  <c r="AI201" i="11"/>
  <c r="AL202" i="11"/>
  <c r="AH203" i="11"/>
  <c r="AJ202" i="11"/>
  <c r="AK202" i="11"/>
  <c r="AJ201" i="11"/>
  <c r="AJ203" i="11"/>
  <c r="AG161" i="11"/>
  <c r="AK161" i="11"/>
  <c r="AM161" i="11"/>
  <c r="AN161" i="11"/>
  <c r="AG163" i="11"/>
  <c r="AD165" i="11"/>
  <c r="AI161" i="11"/>
  <c r="AD161" i="11"/>
  <c r="AN162" i="11"/>
  <c r="AM163" i="11"/>
  <c r="AE165" i="11"/>
  <c r="AK165" i="11"/>
  <c r="AJ165" i="11"/>
  <c r="AH165" i="11"/>
  <c r="AO161" i="11"/>
  <c r="AE161" i="11"/>
  <c r="AL163" i="11"/>
  <c r="AK162" i="11"/>
  <c r="AJ161" i="11"/>
  <c r="AH163" i="11"/>
  <c r="AP161" i="11"/>
  <c r="AI163" i="11"/>
  <c r="AI165" i="11"/>
  <c r="AL165" i="11"/>
  <c r="AL162" i="11"/>
  <c r="AJ163" i="11"/>
  <c r="AF125" i="11"/>
  <c r="AO123" i="11"/>
  <c r="AI122" i="11"/>
  <c r="AH125" i="11"/>
  <c r="AH121" i="11"/>
  <c r="AF122" i="11"/>
  <c r="AF123" i="11"/>
  <c r="AM124" i="11"/>
  <c r="AI125" i="11"/>
  <c r="AO121" i="11"/>
  <c r="AG121" i="11"/>
  <c r="AK125" i="11"/>
  <c r="AJ122" i="11"/>
  <c r="AE121" i="11"/>
  <c r="AE123" i="11"/>
  <c r="AH122" i="11"/>
  <c r="AG122" i="11"/>
  <c r="AN123" i="11"/>
  <c r="AL122" i="11"/>
  <c r="AJ125" i="11"/>
  <c r="AK123" i="11"/>
  <c r="AL125" i="11"/>
  <c r="AK121" i="11"/>
  <c r="AJ123" i="11"/>
  <c r="AL121" i="11"/>
  <c r="AK85" i="11"/>
  <c r="AJ81" i="11"/>
  <c r="AM81" i="11"/>
  <c r="AG83" i="11"/>
  <c r="AI85" i="11"/>
  <c r="AN85" i="11"/>
  <c r="AH85" i="11"/>
  <c r="AD81" i="11"/>
  <c r="AM82" i="11"/>
  <c r="AO85" i="11"/>
  <c r="AE81" i="11"/>
  <c r="AN82" i="11"/>
  <c r="AM83" i="11"/>
  <c r="AK81" i="11"/>
  <c r="AI82" i="11"/>
  <c r="AO81" i="11"/>
  <c r="AD85" i="11"/>
  <c r="AF81" i="11"/>
  <c r="AL85" i="11"/>
  <c r="AP81" i="11"/>
  <c r="AJ82" i="11"/>
  <c r="AI81" i="11"/>
  <c r="AK82" i="11"/>
  <c r="AL83" i="11"/>
  <c r="AH83" i="11"/>
  <c r="AI83" i="11"/>
  <c r="AG42" i="11"/>
  <c r="AK45" i="11"/>
  <c r="AI42" i="11"/>
  <c r="AM42" i="11"/>
  <c r="AO41" i="11"/>
  <c r="AN42" i="11"/>
  <c r="AM43" i="11"/>
  <c r="AO44" i="11"/>
  <c r="AM45" i="11"/>
  <c r="AG45" i="11"/>
  <c r="AK41" i="11"/>
  <c r="AG43" i="11"/>
  <c r="AJ41" i="11"/>
  <c r="AJ43" i="11"/>
  <c r="AH43" i="11"/>
  <c r="AD41" i="11"/>
  <c r="AD42" i="11"/>
  <c r="AO42" i="11"/>
  <c r="AN43" i="11"/>
  <c r="AD45" i="11"/>
  <c r="AN45" i="11"/>
  <c r="AI43" i="11"/>
  <c r="AE41" i="11"/>
  <c r="AE42" i="11"/>
  <c r="AO43" i="11"/>
  <c r="AL43" i="11"/>
  <c r="AL45" i="11"/>
  <c r="AP41" i="11"/>
  <c r="AK42" i="11"/>
  <c r="AL41" i="11"/>
  <c r="AH41" i="11"/>
  <c r="AI41" i="11"/>
  <c r="AJ42" i="11"/>
  <c r="Z45" i="11"/>
  <c r="U85" i="11"/>
  <c r="Z125" i="11"/>
  <c r="U201" i="11"/>
  <c r="Y121" i="11"/>
  <c r="T124" i="11"/>
  <c r="Y201" i="11"/>
  <c r="X204" i="11"/>
  <c r="X242" i="11"/>
  <c r="T243" i="11"/>
  <c r="Y205" i="11"/>
  <c r="P244" i="11"/>
  <c r="T161" i="11"/>
  <c r="Z82" i="11"/>
  <c r="Q83" i="11"/>
  <c r="Z81" i="11"/>
  <c r="R124" i="11"/>
  <c r="R244" i="11"/>
  <c r="R43" i="11"/>
  <c r="Q84" i="11"/>
  <c r="Y164" i="11"/>
  <c r="Y45" i="11"/>
  <c r="P83" i="11"/>
  <c r="X164" i="11"/>
  <c r="P241" i="11"/>
  <c r="T84" i="11"/>
  <c r="Y125" i="11"/>
  <c r="V162" i="11"/>
  <c r="X43" i="11"/>
  <c r="P85" i="11"/>
  <c r="P81" i="11"/>
  <c r="S124" i="11"/>
  <c r="P161" i="11"/>
  <c r="X203" i="11"/>
  <c r="D44" i="11"/>
  <c r="R84" i="11"/>
  <c r="AA165" i="11"/>
  <c r="S162" i="11"/>
  <c r="Z42" i="11"/>
  <c r="R83" i="11"/>
  <c r="P42" i="11"/>
  <c r="T43" i="11"/>
  <c r="BI44" i="11"/>
  <c r="X165" i="11"/>
  <c r="P202" i="11"/>
  <c r="T203" i="11"/>
  <c r="X243" i="11"/>
  <c r="P122" i="11"/>
  <c r="R245" i="11"/>
  <c r="R242" i="11"/>
  <c r="R243" i="11"/>
  <c r="R241" i="11"/>
  <c r="Y241" i="11"/>
  <c r="Y243" i="11"/>
  <c r="Y242" i="11"/>
  <c r="Y245" i="11"/>
  <c r="V245" i="11"/>
  <c r="S244" i="11"/>
  <c r="W244" i="11"/>
  <c r="W245" i="11"/>
  <c r="AA242" i="11"/>
  <c r="S243" i="11"/>
  <c r="W242" i="11"/>
  <c r="Z244" i="11"/>
  <c r="V244" i="11"/>
  <c r="Z241" i="11"/>
  <c r="Z243" i="11"/>
  <c r="Z242" i="11"/>
  <c r="Z245" i="11"/>
  <c r="AA241" i="11"/>
  <c r="Y244" i="11"/>
  <c r="U244" i="11"/>
  <c r="Q245" i="11"/>
  <c r="Q242" i="11"/>
  <c r="Q241" i="11"/>
  <c r="AA244" i="11"/>
  <c r="S245" i="11"/>
  <c r="Q243" i="11"/>
  <c r="U245" i="11"/>
  <c r="T244" i="11"/>
  <c r="T242" i="11"/>
  <c r="AA243" i="11"/>
  <c r="AA245" i="11"/>
  <c r="X244" i="11"/>
  <c r="P243" i="11"/>
  <c r="P245" i="11"/>
  <c r="S242" i="11"/>
  <c r="T241" i="11"/>
  <c r="T245" i="11"/>
  <c r="F243" i="11"/>
  <c r="S241" i="11"/>
  <c r="AB241" i="11"/>
  <c r="U243" i="11"/>
  <c r="U242" i="11"/>
  <c r="V243" i="11"/>
  <c r="W241" i="11"/>
  <c r="V242" i="11"/>
  <c r="W243" i="11"/>
  <c r="X245" i="11"/>
  <c r="U241" i="11"/>
  <c r="V241" i="11"/>
  <c r="X241" i="11"/>
  <c r="W203" i="11"/>
  <c r="Z204" i="11"/>
  <c r="R204" i="11"/>
  <c r="Z203" i="11"/>
  <c r="Z205" i="11"/>
  <c r="Z202" i="11"/>
  <c r="Z201" i="11"/>
  <c r="R205" i="11"/>
  <c r="R202" i="11"/>
  <c r="R201" i="11"/>
  <c r="R203" i="11"/>
  <c r="V201" i="11"/>
  <c r="S205" i="11"/>
  <c r="V205" i="11"/>
  <c r="Y204" i="11"/>
  <c r="Q204" i="11"/>
  <c r="U204" i="11"/>
  <c r="Y203" i="11"/>
  <c r="Y202" i="11"/>
  <c r="Q205" i="11"/>
  <c r="Q201" i="11"/>
  <c r="Q203" i="11"/>
  <c r="Q202" i="11"/>
  <c r="U202" i="11"/>
  <c r="AA201" i="11"/>
  <c r="AA205" i="11"/>
  <c r="W205" i="11"/>
  <c r="W204" i="11"/>
  <c r="T202" i="11"/>
  <c r="T201" i="11"/>
  <c r="S204" i="11"/>
  <c r="S202" i="11"/>
  <c r="S201" i="11"/>
  <c r="AB201" i="11"/>
  <c r="P204" i="11"/>
  <c r="U203" i="11"/>
  <c r="P205" i="11"/>
  <c r="AA204" i="11"/>
  <c r="AA203" i="11"/>
  <c r="P201" i="11"/>
  <c r="T204" i="11"/>
  <c r="P203" i="11"/>
  <c r="AA202" i="11"/>
  <c r="S203" i="11"/>
  <c r="X205" i="11"/>
  <c r="W201" i="11"/>
  <c r="X201" i="11"/>
  <c r="W202" i="11"/>
  <c r="V203" i="11"/>
  <c r="T205" i="11"/>
  <c r="X202" i="11"/>
  <c r="U205" i="11"/>
  <c r="V202" i="11"/>
  <c r="S161" i="11"/>
  <c r="Z163" i="11"/>
  <c r="Z162" i="11"/>
  <c r="Z161" i="11"/>
  <c r="Y165" i="11"/>
  <c r="Y163" i="11"/>
  <c r="Y161" i="11"/>
  <c r="U162" i="11"/>
  <c r="W164" i="11"/>
  <c r="V163" i="11"/>
  <c r="W162" i="11"/>
  <c r="Q162" i="11"/>
  <c r="Q161" i="11"/>
  <c r="Q163" i="11"/>
  <c r="Y162" i="11"/>
  <c r="P162" i="11"/>
  <c r="AA164" i="11"/>
  <c r="S164" i="11"/>
  <c r="S165" i="11"/>
  <c r="T164" i="11"/>
  <c r="P165" i="11"/>
  <c r="Z164" i="11"/>
  <c r="R164" i="11"/>
  <c r="V164" i="11"/>
  <c r="R165" i="11"/>
  <c r="R163" i="11"/>
  <c r="Q164" i="11"/>
  <c r="U163" i="11"/>
  <c r="U165" i="11"/>
  <c r="U161" i="11"/>
  <c r="P164" i="11"/>
  <c r="T165" i="11"/>
  <c r="AA161" i="11"/>
  <c r="U164" i="11"/>
  <c r="Q165" i="11"/>
  <c r="AA162" i="11"/>
  <c r="AA163" i="11"/>
  <c r="S163" i="11"/>
  <c r="Z165" i="11"/>
  <c r="R162" i="11"/>
  <c r="R161" i="11"/>
  <c r="T163" i="11"/>
  <c r="AB161" i="11"/>
  <c r="X162" i="11"/>
  <c r="W163" i="11"/>
  <c r="V161" i="11"/>
  <c r="X163" i="11"/>
  <c r="W161" i="11"/>
  <c r="X161" i="11"/>
  <c r="T162" i="11"/>
  <c r="V165" i="11"/>
  <c r="W165" i="11"/>
  <c r="AA121" i="11"/>
  <c r="W122" i="11"/>
  <c r="Z121" i="11"/>
  <c r="Z122" i="11"/>
  <c r="W123" i="11"/>
  <c r="Z124" i="11"/>
  <c r="V124" i="11"/>
  <c r="V125" i="11"/>
  <c r="Z123" i="11"/>
  <c r="W124" i="11"/>
  <c r="R125" i="11"/>
  <c r="R123" i="11"/>
  <c r="R122" i="11"/>
  <c r="R121" i="11"/>
  <c r="Q123" i="11"/>
  <c r="X124" i="11"/>
  <c r="P123" i="11"/>
  <c r="S121" i="11"/>
  <c r="S122" i="11"/>
  <c r="S123" i="11"/>
  <c r="P125" i="11"/>
  <c r="V123" i="11"/>
  <c r="Y124" i="11"/>
  <c r="Y122" i="11"/>
  <c r="P124" i="11"/>
  <c r="AA123" i="11"/>
  <c r="P121" i="11"/>
  <c r="AA124" i="11"/>
  <c r="Q125" i="11"/>
  <c r="Q124" i="11"/>
  <c r="U121" i="11"/>
  <c r="U125" i="11"/>
  <c r="U122" i="11"/>
  <c r="Q122" i="11"/>
  <c r="U124" i="11"/>
  <c r="T121" i="11"/>
  <c r="T125" i="11"/>
  <c r="T122" i="11"/>
  <c r="Q121" i="11"/>
  <c r="AA122" i="11"/>
  <c r="Y123" i="11"/>
  <c r="AA125" i="11"/>
  <c r="S125" i="11"/>
  <c r="AB121" i="11"/>
  <c r="X123" i="11"/>
  <c r="V122" i="11"/>
  <c r="W125" i="11"/>
  <c r="T123" i="11"/>
  <c r="U123" i="11"/>
  <c r="V121" i="11"/>
  <c r="W121" i="11"/>
  <c r="X125" i="11"/>
  <c r="X121" i="11"/>
  <c r="X122" i="11"/>
  <c r="W84" i="11"/>
  <c r="W81" i="11"/>
  <c r="W83" i="11"/>
  <c r="V85" i="11"/>
  <c r="S84" i="11"/>
  <c r="U84" i="11"/>
  <c r="Q81" i="11"/>
  <c r="Y84" i="11"/>
  <c r="S81" i="11"/>
  <c r="D84" i="11"/>
  <c r="Z84" i="11"/>
  <c r="R85" i="11"/>
  <c r="Z83" i="11"/>
  <c r="Z85" i="11"/>
  <c r="AA82" i="11"/>
  <c r="Y83" i="11"/>
  <c r="Y85" i="11"/>
  <c r="AA83" i="11"/>
  <c r="U81" i="11"/>
  <c r="X84" i="11"/>
  <c r="P84" i="11"/>
  <c r="X83" i="11"/>
  <c r="Q85" i="11"/>
  <c r="AA81" i="11"/>
  <c r="P82" i="11"/>
  <c r="AA84" i="11"/>
  <c r="V84" i="11"/>
  <c r="R82" i="11"/>
  <c r="R81" i="11"/>
  <c r="S83" i="11"/>
  <c r="V81" i="11"/>
  <c r="U82" i="11"/>
  <c r="T82" i="11"/>
  <c r="AV82" i="11"/>
  <c r="T83" i="11"/>
  <c r="Y81" i="11"/>
  <c r="Q82" i="11"/>
  <c r="S82" i="11"/>
  <c r="AA85" i="11"/>
  <c r="S85" i="11"/>
  <c r="T85" i="11"/>
  <c r="X81" i="11"/>
  <c r="V82" i="11"/>
  <c r="W82" i="11"/>
  <c r="AB81" i="11"/>
  <c r="U83" i="11"/>
  <c r="V83" i="11"/>
  <c r="W85" i="11"/>
  <c r="X85" i="11"/>
  <c r="T81" i="11"/>
  <c r="X82" i="11"/>
  <c r="W44" i="11"/>
  <c r="R42" i="11"/>
  <c r="U45" i="11"/>
  <c r="X44" i="11"/>
  <c r="P44" i="11"/>
  <c r="T42" i="11"/>
  <c r="T45" i="11"/>
  <c r="S41" i="11"/>
  <c r="V44" i="11"/>
  <c r="T41" i="11"/>
  <c r="AA43" i="11"/>
  <c r="AA41" i="11"/>
  <c r="S42" i="11"/>
  <c r="S45" i="11"/>
  <c r="S43" i="11"/>
  <c r="Z43" i="11"/>
  <c r="Z41" i="11"/>
  <c r="Q41" i="11"/>
  <c r="U41" i="11"/>
  <c r="Q42" i="11"/>
  <c r="Z44" i="11"/>
  <c r="P45" i="11"/>
  <c r="AA42" i="11"/>
  <c r="W41" i="11"/>
  <c r="AA45" i="11"/>
  <c r="Q44" i="11"/>
  <c r="Y43" i="11"/>
  <c r="R41" i="11"/>
  <c r="U44" i="11"/>
  <c r="H43" i="11"/>
  <c r="V41" i="11"/>
  <c r="U42" i="11"/>
  <c r="P43" i="11"/>
  <c r="AA44" i="11"/>
  <c r="Q45" i="11"/>
  <c r="S44" i="11"/>
  <c r="Y44" i="11"/>
  <c r="Y41" i="11"/>
  <c r="Y42" i="11"/>
  <c r="Q43" i="11"/>
  <c r="R45" i="11"/>
  <c r="V45" i="11"/>
  <c r="X42" i="11"/>
  <c r="V43" i="11"/>
  <c r="W45" i="11"/>
  <c r="V42" i="11"/>
  <c r="W42" i="11"/>
  <c r="U43" i="11"/>
  <c r="W43" i="11"/>
  <c r="X45" i="11"/>
  <c r="X41" i="11"/>
  <c r="P41" i="11"/>
  <c r="AB41" i="11"/>
  <c r="AS81" i="11"/>
  <c r="AX241" i="11"/>
  <c r="H244" i="11"/>
  <c r="AX242" i="11"/>
  <c r="BQ241" i="13" l="1"/>
  <c r="J245" i="13"/>
  <c r="E245" i="13"/>
  <c r="M205" i="13"/>
  <c r="G205" i="13"/>
  <c r="K205" i="13"/>
  <c r="B165" i="13"/>
  <c r="BM162" i="13"/>
  <c r="BM161" i="13"/>
  <c r="M165" i="13"/>
  <c r="J125" i="13"/>
  <c r="BQ122" i="13"/>
  <c r="BQ121" i="13"/>
  <c r="BJ121" i="13"/>
  <c r="BK82" i="13"/>
  <c r="I85" i="13"/>
  <c r="C85" i="13"/>
  <c r="B85" i="13"/>
  <c r="BP45" i="13"/>
  <c r="BP42" i="13"/>
  <c r="E45" i="13"/>
  <c r="D45" i="13"/>
  <c r="BH41" i="13"/>
  <c r="G45" i="13"/>
  <c r="J45" i="13"/>
  <c r="BN125" i="13"/>
  <c r="BN123" i="13"/>
  <c r="BN121" i="13"/>
  <c r="BN122" i="13"/>
  <c r="BQ203" i="13"/>
  <c r="BQ201" i="13"/>
  <c r="BQ205" i="13"/>
  <c r="BQ202" i="13"/>
  <c r="BM81" i="13"/>
  <c r="BM82" i="13"/>
  <c r="BM83" i="13"/>
  <c r="BM85" i="13"/>
  <c r="BG125" i="13"/>
  <c r="BG123" i="13"/>
  <c r="BG121" i="13"/>
  <c r="BG122" i="13"/>
  <c r="BL45" i="13"/>
  <c r="BL43" i="13"/>
  <c r="BL41" i="13"/>
  <c r="BL42" i="13"/>
  <c r="BF45" i="13"/>
  <c r="BF43" i="13"/>
  <c r="BF41" i="13"/>
  <c r="BF42" i="13"/>
  <c r="BH125" i="13"/>
  <c r="BP122" i="13"/>
  <c r="BK245" i="13"/>
  <c r="BK243" i="13"/>
  <c r="BK241" i="13"/>
  <c r="BK242" i="13"/>
  <c r="BM125" i="13"/>
  <c r="BM123" i="13"/>
  <c r="BM121" i="13"/>
  <c r="BM122" i="13"/>
  <c r="BF242" i="13"/>
  <c r="BF243" i="13"/>
  <c r="BF241" i="13"/>
  <c r="BF245" i="13"/>
  <c r="BI85" i="13"/>
  <c r="BI83" i="13"/>
  <c r="BI81" i="13"/>
  <c r="BI82" i="13"/>
  <c r="BF125" i="13"/>
  <c r="BF123" i="13"/>
  <c r="BF121" i="13"/>
  <c r="BF122" i="13"/>
  <c r="BI162" i="13"/>
  <c r="BI163" i="13"/>
  <c r="BI161" i="13"/>
  <c r="BI165" i="13"/>
  <c r="BK85" i="13"/>
  <c r="BI245" i="13"/>
  <c r="BF81" i="13"/>
  <c r="BI43" i="13"/>
  <c r="BM165" i="13"/>
  <c r="BN242" i="13"/>
  <c r="BN245" i="13"/>
  <c r="BN241" i="13"/>
  <c r="BN243" i="13"/>
  <c r="BO82" i="13"/>
  <c r="BO85" i="13"/>
  <c r="BO83" i="13"/>
  <c r="BO81" i="13"/>
  <c r="BP121" i="13"/>
  <c r="Q365" i="13"/>
  <c r="BH82" i="13"/>
  <c r="BH85" i="13"/>
  <c r="BH83" i="13"/>
  <c r="BH81" i="13"/>
  <c r="BQ245" i="13"/>
  <c r="BJ165" i="13"/>
  <c r="BJ162" i="13"/>
  <c r="BJ163" i="13"/>
  <c r="BJ161" i="13"/>
  <c r="BQ85" i="13"/>
  <c r="BQ83" i="13"/>
  <c r="BQ81" i="13"/>
  <c r="BQ82" i="13"/>
  <c r="BP82" i="13"/>
  <c r="BP85" i="13"/>
  <c r="BP83" i="13"/>
  <c r="BP81" i="13"/>
  <c r="BP203" i="13"/>
  <c r="BP201" i="13"/>
  <c r="BP205" i="13"/>
  <c r="BP202" i="13"/>
  <c r="BI121" i="13"/>
  <c r="BI122" i="13"/>
  <c r="BI123" i="13"/>
  <c r="BI125" i="13"/>
  <c r="BI45" i="13"/>
  <c r="G125" i="13"/>
  <c r="BO162" i="13"/>
  <c r="BO161" i="13"/>
  <c r="BO165" i="13"/>
  <c r="BO163" i="13"/>
  <c r="BI205" i="13"/>
  <c r="BI203" i="13"/>
  <c r="BI201" i="13"/>
  <c r="BI202" i="13"/>
  <c r="BN45" i="13"/>
  <c r="BN43" i="13"/>
  <c r="BN41" i="13"/>
  <c r="BN42" i="13"/>
  <c r="BG205" i="13"/>
  <c r="BG203" i="13"/>
  <c r="BG201" i="13"/>
  <c r="BG202" i="13"/>
  <c r="BK122" i="13"/>
  <c r="BK125" i="13"/>
  <c r="BQ42" i="13"/>
  <c r="BQ41" i="13"/>
  <c r="BQ43" i="13"/>
  <c r="BQ45" i="13"/>
  <c r="BH162" i="13"/>
  <c r="BH165" i="13"/>
  <c r="BH163" i="13"/>
  <c r="BH161" i="13"/>
  <c r="BO125" i="13"/>
  <c r="BO123" i="13"/>
  <c r="BO121" i="13"/>
  <c r="BO122" i="13"/>
  <c r="BF202" i="13"/>
  <c r="BF205" i="13"/>
  <c r="BF203" i="13"/>
  <c r="BF201" i="13"/>
  <c r="B45" i="13"/>
  <c r="BL122" i="13"/>
  <c r="BL121" i="13"/>
  <c r="BL125" i="13"/>
  <c r="BL123" i="13"/>
  <c r="BF82" i="13"/>
  <c r="BH245" i="13"/>
  <c r="BH243" i="13"/>
  <c r="BH241" i="13"/>
  <c r="BH242" i="13"/>
  <c r="BI41" i="13"/>
  <c r="BQ242" i="13"/>
  <c r="BM201" i="13"/>
  <c r="BP125" i="13"/>
  <c r="BG242" i="13"/>
  <c r="BG245" i="13"/>
  <c r="BG241" i="13"/>
  <c r="BG243" i="13"/>
  <c r="BN202" i="13"/>
  <c r="BN203" i="13"/>
  <c r="BN205" i="13"/>
  <c r="BN201" i="13"/>
  <c r="BQ162" i="13"/>
  <c r="BQ161" i="13"/>
  <c r="BQ165" i="13"/>
  <c r="BQ163" i="13"/>
  <c r="BK81" i="13"/>
  <c r="BI241" i="13"/>
  <c r="BJ85" i="13"/>
  <c r="BJ83" i="13"/>
  <c r="BJ81" i="13"/>
  <c r="BJ82" i="13"/>
  <c r="BP245" i="13"/>
  <c r="BP243" i="13"/>
  <c r="BP242" i="13"/>
  <c r="BP241" i="13"/>
  <c r="BG82" i="13"/>
  <c r="BG81" i="13"/>
  <c r="BG83" i="13"/>
  <c r="BG85" i="13"/>
  <c r="BQ125" i="13"/>
  <c r="BK121" i="13"/>
  <c r="BJ205" i="13"/>
  <c r="BJ203" i="13"/>
  <c r="BJ201" i="13"/>
  <c r="BJ202" i="13"/>
  <c r="BM205" i="13"/>
  <c r="BJ122" i="13"/>
  <c r="BO203" i="13"/>
  <c r="BO201" i="13"/>
  <c r="BO202" i="13"/>
  <c r="BO205" i="13"/>
  <c r="BL165" i="13"/>
  <c r="BL161" i="13"/>
  <c r="BL163" i="13"/>
  <c r="BL162" i="13"/>
  <c r="BJ245" i="13"/>
  <c r="BJ243" i="13"/>
  <c r="BJ241" i="13"/>
  <c r="BJ242" i="13"/>
  <c r="BK45" i="13"/>
  <c r="BK43" i="13"/>
  <c r="BK41" i="13"/>
  <c r="BK42" i="13"/>
  <c r="BO242" i="13"/>
  <c r="BO241" i="13"/>
  <c r="BO243" i="13"/>
  <c r="BO245" i="13"/>
  <c r="BK165" i="13"/>
  <c r="BK163" i="13"/>
  <c r="BK162" i="13"/>
  <c r="BK161" i="13"/>
  <c r="BH44" i="13"/>
  <c r="BH42" i="13"/>
  <c r="BH122" i="13"/>
  <c r="F205" i="13"/>
  <c r="BM202" i="13"/>
  <c r="C205" i="13"/>
  <c r="BH205" i="13"/>
  <c r="BH203" i="13"/>
  <c r="BH201" i="13"/>
  <c r="BH202" i="13"/>
  <c r="BG162" i="13"/>
  <c r="BG161" i="13"/>
  <c r="BG165" i="13"/>
  <c r="BG163" i="13"/>
  <c r="G203" i="11"/>
  <c r="J164" i="11"/>
  <c r="H243" i="11"/>
  <c r="K243" i="11"/>
  <c r="H241" i="11"/>
  <c r="F43" i="11"/>
  <c r="J84" i="11"/>
  <c r="BO244" i="11"/>
  <c r="BH44" i="11"/>
  <c r="G241" i="11"/>
  <c r="L243" i="11"/>
  <c r="BM244" i="11"/>
  <c r="F244" i="11"/>
  <c r="AW244" i="11"/>
  <c r="AZ245" i="11"/>
  <c r="C243" i="11"/>
  <c r="I244" i="11"/>
  <c r="BQ244" i="11"/>
  <c r="E244" i="11"/>
  <c r="B243" i="11"/>
  <c r="AU243" i="11"/>
  <c r="BM245" i="11"/>
  <c r="D244" i="11"/>
  <c r="BF245" i="11"/>
  <c r="F202" i="11"/>
  <c r="L203" i="11"/>
  <c r="AR201" i="11"/>
  <c r="B203" i="11"/>
  <c r="I203" i="11"/>
  <c r="E203" i="11"/>
  <c r="C203" i="11"/>
  <c r="BO203" i="11"/>
  <c r="AX162" i="11"/>
  <c r="D163" i="11"/>
  <c r="AW163" i="11"/>
  <c r="F164" i="11"/>
  <c r="C162" i="11"/>
  <c r="E162" i="11"/>
  <c r="C161" i="11"/>
  <c r="C165" i="11" s="1"/>
  <c r="M162" i="11"/>
  <c r="G163" i="11"/>
  <c r="L164" i="11"/>
  <c r="AY165" i="11"/>
  <c r="BK124" i="11"/>
  <c r="BH124" i="11"/>
  <c r="K123" i="11"/>
  <c r="AX124" i="11"/>
  <c r="H124" i="11"/>
  <c r="AX123" i="11"/>
  <c r="BQ124" i="11"/>
  <c r="B124" i="11"/>
  <c r="G83" i="11"/>
  <c r="H83" i="11"/>
  <c r="B84" i="11"/>
  <c r="BC83" i="11"/>
  <c r="F84" i="11"/>
  <c r="E84" i="11"/>
  <c r="K81" i="11"/>
  <c r="M82" i="11"/>
  <c r="J83" i="11"/>
  <c r="M44" i="11"/>
  <c r="C44" i="11"/>
  <c r="BH41" i="11"/>
  <c r="AT45" i="11"/>
  <c r="C41" i="11"/>
  <c r="AX41" i="11"/>
  <c r="AX45" i="11"/>
  <c r="K44" i="11"/>
  <c r="D43" i="11"/>
  <c r="AV42" i="11"/>
  <c r="B43" i="11"/>
  <c r="BP44" i="11"/>
  <c r="BN44" i="11"/>
  <c r="AS45" i="11"/>
  <c r="K42" i="11"/>
  <c r="AU45" i="11"/>
  <c r="H44" i="11"/>
  <c r="AX244" i="11"/>
  <c r="BB204" i="11"/>
  <c r="BB122" i="11"/>
  <c r="G41" i="11"/>
  <c r="BC84" i="11"/>
  <c r="I84" i="11"/>
  <c r="I164" i="11"/>
  <c r="J201" i="11"/>
  <c r="J204" i="11"/>
  <c r="BG241" i="11"/>
  <c r="E242" i="11"/>
  <c r="K244" i="11"/>
  <c r="BN245" i="11"/>
  <c r="AZ243" i="11"/>
  <c r="AR124" i="11"/>
  <c r="AX165" i="11"/>
  <c r="AZ204" i="11"/>
  <c r="AU44" i="11"/>
  <c r="BB44" i="11"/>
  <c r="I43" i="11"/>
  <c r="AX44" i="11"/>
  <c r="L244" i="11"/>
  <c r="B201" i="11"/>
  <c r="AR202" i="11"/>
  <c r="F204" i="11"/>
  <c r="M244" i="11"/>
  <c r="AV121" i="11"/>
  <c r="BO83" i="11"/>
  <c r="BF243" i="11"/>
  <c r="BI241" i="11"/>
  <c r="C241" i="11"/>
  <c r="AR123" i="11"/>
  <c r="AZ125" i="11"/>
  <c r="AT44" i="11"/>
  <c r="AS43" i="11"/>
  <c r="AZ85" i="11"/>
  <c r="I42" i="11"/>
  <c r="BQ44" i="11"/>
  <c r="AY44" i="11"/>
  <c r="AU125" i="11"/>
  <c r="AU122" i="11"/>
  <c r="G122" i="11"/>
  <c r="AR122" i="11"/>
  <c r="AR121" i="11"/>
  <c r="L204" i="11"/>
  <c r="D201" i="11"/>
  <c r="M204" i="11"/>
  <c r="J242" i="11"/>
  <c r="J244" i="11"/>
  <c r="I241" i="11"/>
  <c r="AS205" i="11"/>
  <c r="AR205" i="11"/>
  <c r="BK204" i="11"/>
  <c r="AU242" i="11"/>
  <c r="AV123" i="11"/>
  <c r="H81" i="11"/>
  <c r="BB42" i="11"/>
  <c r="AT41" i="11"/>
  <c r="M84" i="11"/>
  <c r="C84" i="11"/>
  <c r="G123" i="11"/>
  <c r="I161" i="11"/>
  <c r="D162" i="11"/>
  <c r="C202" i="11"/>
  <c r="D203" i="11"/>
  <c r="H202" i="11"/>
  <c r="BK243" i="11"/>
  <c r="AW242" i="11"/>
  <c r="BF242" i="11"/>
  <c r="BF244" i="11"/>
  <c r="E122" i="11"/>
  <c r="E121" i="11"/>
  <c r="E125" i="11" s="1"/>
  <c r="E123" i="11"/>
  <c r="AX245" i="11"/>
  <c r="AV84" i="11"/>
  <c r="BC85" i="11"/>
  <c r="BA42" i="11"/>
  <c r="BO164" i="11"/>
  <c r="BA164" i="11"/>
  <c r="AY203" i="11"/>
  <c r="F124" i="11"/>
  <c r="AX122" i="11"/>
  <c r="K41" i="11"/>
  <c r="AR83" i="11"/>
  <c r="B164" i="11"/>
  <c r="BG203" i="11"/>
  <c r="AS202" i="11"/>
  <c r="AT202" i="11"/>
  <c r="H42" i="11"/>
  <c r="L44" i="11"/>
  <c r="K84" i="11"/>
  <c r="E81" i="11"/>
  <c r="AX125" i="11"/>
  <c r="F161" i="11"/>
  <c r="C163" i="11"/>
  <c r="BJ204" i="11"/>
  <c r="M163" i="11"/>
  <c r="I201" i="11"/>
  <c r="AZ241" i="11"/>
  <c r="AS203" i="11"/>
  <c r="AY243" i="11"/>
  <c r="AW203" i="11"/>
  <c r="AV203" i="11"/>
  <c r="K82" i="11"/>
  <c r="D82" i="11"/>
  <c r="K122" i="11"/>
  <c r="C122" i="11"/>
  <c r="AW164" i="11"/>
  <c r="BL203" i="11"/>
  <c r="F201" i="11"/>
  <c r="BA122" i="11"/>
  <c r="BO245" i="11"/>
  <c r="BA243" i="11"/>
  <c r="E243" i="11"/>
  <c r="E241" i="11"/>
  <c r="F121" i="11"/>
  <c r="F122" i="11"/>
  <c r="E164" i="11"/>
  <c r="J202" i="11"/>
  <c r="AS121" i="11"/>
  <c r="AW123" i="11"/>
  <c r="BK244" i="11"/>
  <c r="AT81" i="11"/>
  <c r="I124" i="11"/>
  <c r="M164" i="11"/>
  <c r="M202" i="11"/>
  <c r="N241" i="11"/>
  <c r="BG245" i="11"/>
  <c r="AS204" i="11"/>
  <c r="AR161" i="11"/>
  <c r="AT245" i="11"/>
  <c r="J44" i="11"/>
  <c r="L163" i="11"/>
  <c r="D161" i="11"/>
  <c r="D165" i="11" s="1"/>
  <c r="AV164" i="11"/>
  <c r="AR204" i="11"/>
  <c r="C201" i="11"/>
  <c r="D204" i="11"/>
  <c r="AX164" i="11"/>
  <c r="BC163" i="11"/>
  <c r="L41" i="11"/>
  <c r="AR245" i="11"/>
  <c r="AR203" i="11"/>
  <c r="D164" i="11"/>
  <c r="B42" i="11"/>
  <c r="B45" i="11" s="1"/>
  <c r="BM43" i="11"/>
  <c r="AY41" i="11"/>
  <c r="BF44" i="11"/>
  <c r="AR43" i="11"/>
  <c r="G43" i="11"/>
  <c r="M122" i="11"/>
  <c r="BG164" i="11"/>
  <c r="AV163" i="11"/>
  <c r="BH164" i="11"/>
  <c r="AV243" i="11"/>
  <c r="H203" i="11"/>
  <c r="BK44" i="11"/>
  <c r="B44" i="11"/>
  <c r="BO44" i="11"/>
  <c r="M41" i="11"/>
  <c r="E44" i="11"/>
  <c r="F42" i="11"/>
  <c r="M43" i="11"/>
  <c r="B81" i="11"/>
  <c r="H84" i="11"/>
  <c r="M83" i="11"/>
  <c r="C81" i="11"/>
  <c r="M81" i="11"/>
  <c r="J124" i="11"/>
  <c r="C124" i="11"/>
  <c r="J122" i="11"/>
  <c r="H123" i="11"/>
  <c r="E204" i="11"/>
  <c r="F203" i="11"/>
  <c r="B202" i="11"/>
  <c r="B205" i="11" s="1"/>
  <c r="BH201" i="11"/>
  <c r="M203" i="11"/>
  <c r="K203" i="11"/>
  <c r="G202" i="11"/>
  <c r="K204" i="11"/>
  <c r="BM204" i="11"/>
  <c r="F241" i="11"/>
  <c r="K242" i="11"/>
  <c r="AT163" i="11"/>
  <c r="AT42" i="11"/>
  <c r="AW45" i="11"/>
  <c r="I81" i="11"/>
  <c r="BG124" i="11"/>
  <c r="B121" i="11"/>
  <c r="D121" i="11"/>
  <c r="M123" i="11"/>
  <c r="M124" i="11"/>
  <c r="L122" i="11"/>
  <c r="I122" i="11"/>
  <c r="BQ164" i="11"/>
  <c r="D202" i="11"/>
  <c r="C204" i="11"/>
  <c r="L202" i="11"/>
  <c r="BL204" i="11"/>
  <c r="I243" i="11"/>
  <c r="K241" i="11"/>
  <c r="BM242" i="11"/>
  <c r="AT201" i="11"/>
  <c r="BH204" i="11"/>
  <c r="AX42" i="11"/>
  <c r="BQ41" i="11"/>
  <c r="AZ83" i="11"/>
  <c r="F44" i="11"/>
  <c r="E43" i="11"/>
  <c r="BH45" i="11"/>
  <c r="L84" i="11"/>
  <c r="J82" i="11"/>
  <c r="G84" i="11"/>
  <c r="H82" i="11"/>
  <c r="K121" i="11"/>
  <c r="K125" i="11" s="1"/>
  <c r="F123" i="11"/>
  <c r="M121" i="11"/>
  <c r="BM124" i="11"/>
  <c r="L124" i="11"/>
  <c r="E124" i="11"/>
  <c r="D124" i="11"/>
  <c r="J162" i="11"/>
  <c r="E163" i="11"/>
  <c r="K164" i="11"/>
  <c r="K161" i="11"/>
  <c r="C164" i="11"/>
  <c r="K162" i="11"/>
  <c r="BG244" i="11"/>
  <c r="BP244" i="11"/>
  <c r="M242" i="11"/>
  <c r="BI244" i="11"/>
  <c r="G244" i="11"/>
  <c r="M241" i="11"/>
  <c r="AX43" i="11"/>
  <c r="E83" i="11"/>
  <c r="L82" i="11"/>
  <c r="G124" i="11"/>
  <c r="I123" i="11"/>
  <c r="BN163" i="11"/>
  <c r="H164" i="11"/>
  <c r="BP164" i="11"/>
  <c r="M161" i="11"/>
  <c r="B162" i="11"/>
  <c r="H163" i="11"/>
  <c r="G243" i="11"/>
  <c r="BH244" i="11"/>
  <c r="C244" i="11"/>
  <c r="AS245" i="11"/>
  <c r="AY245" i="11"/>
  <c r="BF241" i="11"/>
  <c r="BM241" i="11"/>
  <c r="F242" i="11"/>
  <c r="AR243" i="11"/>
  <c r="BM243" i="11"/>
  <c r="AW243" i="11"/>
  <c r="AV241" i="11"/>
  <c r="G242" i="11"/>
  <c r="G245" i="11" s="1"/>
  <c r="D243" i="11"/>
  <c r="I242" i="11"/>
  <c r="M243" i="11"/>
  <c r="BO241" i="11"/>
  <c r="BC244" i="11"/>
  <c r="AT244" i="11"/>
  <c r="BG242" i="11"/>
  <c r="AR242" i="11"/>
  <c r="BA242" i="11"/>
  <c r="L241" i="11"/>
  <c r="BA245" i="11"/>
  <c r="AY244" i="11"/>
  <c r="AV245" i="11"/>
  <c r="BC245" i="11"/>
  <c r="AR241" i="11"/>
  <c r="C242" i="11"/>
  <c r="J243" i="11"/>
  <c r="B242" i="11"/>
  <c r="BC241" i="11"/>
  <c r="BB242" i="11"/>
  <c r="BD241" i="11"/>
  <c r="L242" i="11"/>
  <c r="AS244" i="11"/>
  <c r="AU245" i="11"/>
  <c r="BB243" i="11"/>
  <c r="AS241" i="11"/>
  <c r="BA241" i="11"/>
  <c r="BG243" i="11"/>
  <c r="B244" i="11"/>
  <c r="AU244" i="11"/>
  <c r="AS242" i="11"/>
  <c r="D242" i="11"/>
  <c r="AY241" i="11"/>
  <c r="AY242" i="11"/>
  <c r="D241" i="11"/>
  <c r="J241" i="11"/>
  <c r="AU241" i="11"/>
  <c r="AT242" i="11"/>
  <c r="AR244" i="11"/>
  <c r="B241" i="11"/>
  <c r="BC242" i="11"/>
  <c r="BB245" i="11"/>
  <c r="BB244" i="11"/>
  <c r="AS243" i="11"/>
  <c r="BA244" i="11"/>
  <c r="AW245" i="11"/>
  <c r="BC243" i="11"/>
  <c r="AT241" i="11"/>
  <c r="AW241" i="11"/>
  <c r="BB241" i="11"/>
  <c r="AT243" i="11"/>
  <c r="AV244" i="11"/>
  <c r="BJ244" i="11"/>
  <c r="AV242" i="11"/>
  <c r="H242" i="11"/>
  <c r="AZ242" i="11"/>
  <c r="AW204" i="11"/>
  <c r="M201" i="11"/>
  <c r="AT204" i="11"/>
  <c r="AW201" i="11"/>
  <c r="AS201" i="11"/>
  <c r="AW202" i="11"/>
  <c r="BB203" i="11"/>
  <c r="BC205" i="11"/>
  <c r="AV204" i="11"/>
  <c r="H204" i="11"/>
  <c r="E202" i="11"/>
  <c r="H201" i="11"/>
  <c r="AV202" i="11"/>
  <c r="AV201" i="11"/>
  <c r="BA205" i="11"/>
  <c r="G204" i="11"/>
  <c r="BB202" i="11"/>
  <c r="BC202" i="11"/>
  <c r="B204" i="11"/>
  <c r="BA202" i="11"/>
  <c r="E201" i="11"/>
  <c r="E205" i="11" s="1"/>
  <c r="AX205" i="11"/>
  <c r="BH202" i="11"/>
  <c r="AW205" i="11"/>
  <c r="AV205" i="11"/>
  <c r="AT203" i="11"/>
  <c r="I204" i="11"/>
  <c r="AY204" i="11"/>
  <c r="G201" i="11"/>
  <c r="AU204" i="11"/>
  <c r="BC203" i="11"/>
  <c r="AU205" i="11"/>
  <c r="AX204" i="11"/>
  <c r="BA203" i="11"/>
  <c r="I202" i="11"/>
  <c r="BC204" i="11"/>
  <c r="L201" i="11"/>
  <c r="BA204" i="11"/>
  <c r="BB201" i="11"/>
  <c r="K202" i="11"/>
  <c r="AU201" i="11"/>
  <c r="K201" i="11"/>
  <c r="AU202" i="11"/>
  <c r="BA201" i="11"/>
  <c r="AT205" i="11"/>
  <c r="BC201" i="11"/>
  <c r="AY205" i="11"/>
  <c r="BB205" i="11"/>
  <c r="BI204" i="11"/>
  <c r="N201" i="11"/>
  <c r="AX203" i="11"/>
  <c r="AZ202" i="11"/>
  <c r="AZ205" i="11"/>
  <c r="AZ203" i="11"/>
  <c r="AY202" i="11"/>
  <c r="AY201" i="11"/>
  <c r="AX202" i="11"/>
  <c r="J203" i="11"/>
  <c r="BD201" i="11"/>
  <c r="AZ201" i="11"/>
  <c r="AX201" i="11"/>
  <c r="E161" i="11"/>
  <c r="AU165" i="11"/>
  <c r="BB161" i="11"/>
  <c r="H161" i="11"/>
  <c r="AS162" i="11"/>
  <c r="J163" i="11"/>
  <c r="H162" i="11"/>
  <c r="L161" i="11"/>
  <c r="AT164" i="11"/>
  <c r="AZ164" i="11"/>
  <c r="L162" i="11"/>
  <c r="AY164" i="11"/>
  <c r="AS161" i="11"/>
  <c r="AU164" i="11"/>
  <c r="AT165" i="11"/>
  <c r="AS165" i="11"/>
  <c r="AS164" i="11"/>
  <c r="AV162" i="11"/>
  <c r="BB164" i="11"/>
  <c r="AW165" i="11"/>
  <c r="AR165" i="11"/>
  <c r="J161" i="11"/>
  <c r="AU163" i="11"/>
  <c r="AV161" i="11"/>
  <c r="F163" i="11"/>
  <c r="AW161" i="11"/>
  <c r="B163" i="11"/>
  <c r="BC161" i="11"/>
  <c r="I163" i="11"/>
  <c r="BA165" i="11"/>
  <c r="G161" i="11"/>
  <c r="AR164" i="11"/>
  <c r="K163" i="11"/>
  <c r="B161" i="11"/>
  <c r="BC165" i="11"/>
  <c r="I162" i="11"/>
  <c r="I165" i="11" s="1"/>
  <c r="AT161" i="11"/>
  <c r="BA163" i="11"/>
  <c r="G162" i="11"/>
  <c r="AR162" i="11"/>
  <c r="AX161" i="11"/>
  <c r="AY163" i="11"/>
  <c r="G164" i="11"/>
  <c r="AV165" i="11"/>
  <c r="AY162" i="11"/>
  <c r="AU161" i="11"/>
  <c r="BB162" i="11"/>
  <c r="AU162" i="11"/>
  <c r="BB163" i="11"/>
  <c r="AS163" i="11"/>
  <c r="AW162" i="11"/>
  <c r="BB165" i="11"/>
  <c r="BA162" i="11"/>
  <c r="BD161" i="11"/>
  <c r="AY161" i="11"/>
  <c r="BC164" i="11"/>
  <c r="BC162" i="11"/>
  <c r="AT162" i="11"/>
  <c r="BA161" i="11"/>
  <c r="AR163" i="11"/>
  <c r="AX163" i="11"/>
  <c r="AZ165" i="11"/>
  <c r="N161" i="11"/>
  <c r="AZ162" i="11"/>
  <c r="AZ163" i="11"/>
  <c r="F162" i="11"/>
  <c r="AZ161" i="11"/>
  <c r="AT122" i="11"/>
  <c r="AW125" i="11"/>
  <c r="AT121" i="11"/>
  <c r="I121" i="11"/>
  <c r="H122" i="11"/>
  <c r="L121" i="11"/>
  <c r="L125" i="11" s="1"/>
  <c r="K124" i="11"/>
  <c r="AY124" i="11"/>
  <c r="BA125" i="11"/>
  <c r="BB124" i="11"/>
  <c r="AV122" i="11"/>
  <c r="H121" i="11"/>
  <c r="N121" i="11"/>
  <c r="L123" i="11"/>
  <c r="BJ124" i="11"/>
  <c r="BL124" i="11"/>
  <c r="G121" i="11"/>
  <c r="BA121" i="11"/>
  <c r="AU124" i="11"/>
  <c r="BB123" i="11"/>
  <c r="J123" i="11"/>
  <c r="B122" i="11"/>
  <c r="B125" i="11" s="1"/>
  <c r="D122" i="11"/>
  <c r="D125" i="11" s="1"/>
  <c r="AV125" i="11"/>
  <c r="C123" i="11"/>
  <c r="BP124" i="11"/>
  <c r="AS124" i="11"/>
  <c r="BB125" i="11"/>
  <c r="AW124" i="11"/>
  <c r="C121" i="11"/>
  <c r="AS122" i="11"/>
  <c r="BA123" i="11"/>
  <c r="AV124" i="11"/>
  <c r="AT123" i="11"/>
  <c r="J121" i="11"/>
  <c r="AZ121" i="11"/>
  <c r="B123" i="11"/>
  <c r="D123" i="11"/>
  <c r="AW121" i="11"/>
  <c r="AS125" i="11"/>
  <c r="AY123" i="11"/>
  <c r="AZ124" i="11"/>
  <c r="AT125" i="11"/>
  <c r="BC124" i="11"/>
  <c r="AT124" i="11"/>
  <c r="C125" i="11"/>
  <c r="BI124" i="11"/>
  <c r="BA124" i="11"/>
  <c r="BC122" i="11"/>
  <c r="BO124" i="11"/>
  <c r="AX121" i="11"/>
  <c r="AR125" i="11"/>
  <c r="AW122" i="11"/>
  <c r="BC123" i="11"/>
  <c r="AY125" i="11"/>
  <c r="AS123" i="11"/>
  <c r="BB121" i="11"/>
  <c r="BC125" i="11"/>
  <c r="AY121" i="11"/>
  <c r="AZ122" i="11"/>
  <c r="AZ123" i="11"/>
  <c r="AU123" i="11"/>
  <c r="AY122" i="11"/>
  <c r="BC121" i="11"/>
  <c r="AU121" i="11"/>
  <c r="BL84" i="11"/>
  <c r="AX81" i="11"/>
  <c r="AS82" i="11"/>
  <c r="AX82" i="11"/>
  <c r="AU82" i="11"/>
  <c r="BB83" i="11"/>
  <c r="G82" i="11"/>
  <c r="AZ81" i="11"/>
  <c r="B82" i="11"/>
  <c r="AY84" i="11"/>
  <c r="AU84" i="11"/>
  <c r="BB85" i="11"/>
  <c r="AR82" i="11"/>
  <c r="B83" i="11"/>
  <c r="AU81" i="11"/>
  <c r="AT84" i="11"/>
  <c r="BA83" i="11"/>
  <c r="G81" i="11"/>
  <c r="AV83" i="11"/>
  <c r="AS84" i="11"/>
  <c r="I82" i="11"/>
  <c r="AT83" i="11"/>
  <c r="BA85" i="11"/>
  <c r="AR85" i="11"/>
  <c r="AX84" i="11"/>
  <c r="E82" i="11"/>
  <c r="BC81" i="11"/>
  <c r="AW82" i="11"/>
  <c r="K83" i="11"/>
  <c r="AW84" i="11"/>
  <c r="J81" i="11"/>
  <c r="AS83" i="11"/>
  <c r="AU83" i="11"/>
  <c r="BB84" i="11"/>
  <c r="BA82" i="11"/>
  <c r="AS85" i="11"/>
  <c r="D83" i="11"/>
  <c r="AU85" i="11"/>
  <c r="BG84" i="11"/>
  <c r="D81" i="11"/>
  <c r="C82" i="11"/>
  <c r="AV81" i="11"/>
  <c r="BA84" i="11"/>
  <c r="AX83" i="11"/>
  <c r="I83" i="11"/>
  <c r="AT85" i="11"/>
  <c r="AZ82" i="11"/>
  <c r="BF84" i="11"/>
  <c r="F81" i="11"/>
  <c r="C83" i="11"/>
  <c r="BB82" i="11"/>
  <c r="AT82" i="11"/>
  <c r="AR81" i="11"/>
  <c r="AZ84" i="11"/>
  <c r="L81" i="11"/>
  <c r="AV85" i="11"/>
  <c r="N81" i="11"/>
  <c r="BC82" i="11"/>
  <c r="AY82" i="11"/>
  <c r="BA81" i="11"/>
  <c r="AY85" i="11"/>
  <c r="BB81" i="11"/>
  <c r="L83" i="11"/>
  <c r="AR84" i="11"/>
  <c r="F83" i="11"/>
  <c r="F82" i="11"/>
  <c r="AW85" i="11"/>
  <c r="AY83" i="11"/>
  <c r="AW81" i="11"/>
  <c r="AW83" i="11"/>
  <c r="BD81" i="11"/>
  <c r="AY81" i="11"/>
  <c r="AX85" i="11"/>
  <c r="B41" i="11"/>
  <c r="BC44" i="11"/>
  <c r="AZ44" i="11"/>
  <c r="K43" i="11"/>
  <c r="G44" i="11"/>
  <c r="BB41" i="11"/>
  <c r="AY43" i="11"/>
  <c r="F41" i="11"/>
  <c r="BQ45" i="11"/>
  <c r="AZ41" i="11"/>
  <c r="AU43" i="11"/>
  <c r="BG44" i="11"/>
  <c r="AY45" i="11"/>
  <c r="C43" i="11"/>
  <c r="BH42" i="11"/>
  <c r="BA43" i="11"/>
  <c r="I44" i="11"/>
  <c r="BQ43" i="11"/>
  <c r="BD41" i="11"/>
  <c r="J41" i="11"/>
  <c r="C42" i="11"/>
  <c r="C45" i="11" s="1"/>
  <c r="AR45" i="11"/>
  <c r="AR41" i="11"/>
  <c r="AV45" i="11"/>
  <c r="BB43" i="11"/>
  <c r="D41" i="11"/>
  <c r="BJ44" i="11"/>
  <c r="D42" i="11"/>
  <c r="AW41" i="11"/>
  <c r="M42" i="11"/>
  <c r="BQ42" i="11"/>
  <c r="BH43" i="11"/>
  <c r="E41" i="11"/>
  <c r="AS44" i="11"/>
  <c r="AS42" i="11"/>
  <c r="H41" i="11"/>
  <c r="BA44" i="11"/>
  <c r="BC43" i="11"/>
  <c r="AV44" i="11"/>
  <c r="BC42" i="11"/>
  <c r="AT43" i="11"/>
  <c r="L42" i="11"/>
  <c r="AW42" i="11"/>
  <c r="AY42" i="11"/>
  <c r="BA45" i="11"/>
  <c r="AS41" i="11"/>
  <c r="I41" i="11"/>
  <c r="BC41" i="11"/>
  <c r="G42" i="11"/>
  <c r="AR44" i="11"/>
  <c r="BB45" i="11"/>
  <c r="E42" i="11"/>
  <c r="BC45" i="11"/>
  <c r="AU42" i="11"/>
  <c r="AW44" i="11"/>
  <c r="L43" i="11"/>
  <c r="AR42" i="11"/>
  <c r="AU41" i="11"/>
  <c r="BA41" i="11"/>
  <c r="AV43" i="11"/>
  <c r="J43" i="11"/>
  <c r="AV41" i="11"/>
  <c r="J42" i="11"/>
  <c r="AZ43" i="11"/>
  <c r="AZ45" i="11"/>
  <c r="AZ42" i="11"/>
  <c r="BF164" i="11"/>
  <c r="BN204" i="11"/>
  <c r="BI84" i="11"/>
  <c r="BL43" i="11"/>
  <c r="BH205" i="11"/>
  <c r="BP45" i="11"/>
  <c r="BP43" i="11"/>
  <c r="BP42" i="11"/>
  <c r="BP41" i="11"/>
  <c r="BN84" i="11"/>
  <c r="BQ245" i="11"/>
  <c r="BQ243" i="11"/>
  <c r="BQ242" i="11"/>
  <c r="BQ241" i="11"/>
  <c r="BP245" i="11"/>
  <c r="BP243" i="11"/>
  <c r="BP242" i="11"/>
  <c r="BP241" i="11"/>
  <c r="BH125" i="11"/>
  <c r="BH123" i="11"/>
  <c r="BH122" i="11"/>
  <c r="BH121" i="11"/>
  <c r="BH245" i="11"/>
  <c r="BH243" i="11"/>
  <c r="BH242" i="11"/>
  <c r="BH241" i="11"/>
  <c r="BQ204" i="11"/>
  <c r="BM164" i="11"/>
  <c r="BR242" i="11"/>
  <c r="BH203" i="11"/>
  <c r="BI163" i="11"/>
  <c r="BN201" i="11"/>
  <c r="BL164" i="11"/>
  <c r="BI242" i="11"/>
  <c r="BI203" i="11"/>
  <c r="BL202" i="11"/>
  <c r="BL201" i="11"/>
  <c r="BL205" i="11"/>
  <c r="BH84" i="11"/>
  <c r="BK45" i="11"/>
  <c r="BK43" i="11"/>
  <c r="BK41" i="11"/>
  <c r="BK42" i="11"/>
  <c r="BO84" i="11"/>
  <c r="BP84" i="11"/>
  <c r="BL44" i="11"/>
  <c r="H245" i="11" l="1"/>
  <c r="N242" i="11"/>
  <c r="C205" i="11"/>
  <c r="B85" i="11"/>
  <c r="F125" i="11"/>
  <c r="K245" i="11"/>
  <c r="G125" i="11"/>
  <c r="M165" i="11"/>
  <c r="I125" i="11"/>
  <c r="E245" i="11"/>
  <c r="BK245" i="11"/>
  <c r="BM84" i="11"/>
  <c r="BM44" i="11"/>
  <c r="H205" i="11"/>
  <c r="F205" i="11"/>
  <c r="L205" i="11"/>
  <c r="J165" i="11"/>
  <c r="J125" i="11"/>
  <c r="M125" i="11"/>
  <c r="L85" i="11"/>
  <c r="I85" i="11"/>
  <c r="J85" i="11"/>
  <c r="K85" i="11"/>
  <c r="H85" i="11"/>
  <c r="G45" i="11"/>
  <c r="M245" i="11"/>
  <c r="F245" i="11"/>
  <c r="BJ241" i="11"/>
  <c r="BO242" i="11"/>
  <c r="BI243" i="11"/>
  <c r="BJ243" i="11"/>
  <c r="J245" i="11"/>
  <c r="D245" i="11"/>
  <c r="BI245" i="11"/>
  <c r="I245" i="11"/>
  <c r="M205" i="11"/>
  <c r="G205" i="11"/>
  <c r="I205" i="11"/>
  <c r="K205" i="11"/>
  <c r="J205" i="11"/>
  <c r="K165" i="11"/>
  <c r="E165" i="11"/>
  <c r="B165" i="11"/>
  <c r="L165" i="11"/>
  <c r="H125" i="11"/>
  <c r="M85" i="11"/>
  <c r="C85" i="11"/>
  <c r="D85" i="11"/>
  <c r="K45" i="11"/>
  <c r="M45" i="11"/>
  <c r="D45" i="11"/>
  <c r="H45" i="11"/>
  <c r="E45" i="11"/>
  <c r="BJ84" i="11"/>
  <c r="BM121" i="11"/>
  <c r="I45" i="11"/>
  <c r="BF203" i="11"/>
  <c r="BN242" i="11"/>
  <c r="C245" i="11"/>
  <c r="D205" i="11"/>
  <c r="F165" i="11"/>
  <c r="F45" i="11"/>
  <c r="BK242" i="11"/>
  <c r="BO243" i="11"/>
  <c r="BK241" i="11"/>
  <c r="G85" i="11"/>
  <c r="BN243" i="11"/>
  <c r="BP204" i="11"/>
  <c r="BK164" i="11"/>
  <c r="BJ164" i="11"/>
  <c r="L45" i="11"/>
  <c r="B245" i="11"/>
  <c r="BK163" i="11"/>
  <c r="E85" i="11"/>
  <c r="BN241" i="11"/>
  <c r="BQ84" i="11"/>
  <c r="H165" i="11"/>
  <c r="BF124" i="11"/>
  <c r="BJ245" i="11"/>
  <c r="BR241" i="11"/>
  <c r="L245" i="11"/>
  <c r="BJ242" i="11"/>
  <c r="BI201" i="11"/>
  <c r="BN205" i="11"/>
  <c r="BN202" i="11"/>
  <c r="BI202" i="11"/>
  <c r="BI205" i="11"/>
  <c r="G165" i="11"/>
  <c r="BN124" i="11"/>
  <c r="BK84" i="11"/>
  <c r="BO85" i="11"/>
  <c r="F85" i="11"/>
  <c r="J45" i="11"/>
  <c r="BL45" i="11"/>
  <c r="BG81" i="11"/>
  <c r="BG85" i="11"/>
  <c r="BG82" i="11"/>
  <c r="BG83" i="11"/>
  <c r="BK201" i="11"/>
  <c r="BK203" i="11"/>
  <c r="BK202" i="11"/>
  <c r="BK205" i="11"/>
  <c r="BO163" i="11"/>
  <c r="BO162" i="11"/>
  <c r="BO161" i="11"/>
  <c r="BO165" i="11"/>
  <c r="BO45" i="11"/>
  <c r="BO43" i="11"/>
  <c r="BO42" i="11"/>
  <c r="BO41" i="11"/>
  <c r="BO204" i="11"/>
  <c r="BO202" i="11"/>
  <c r="BO205" i="11"/>
  <c r="BO201" i="11"/>
  <c r="BP162" i="11"/>
  <c r="BP165" i="11"/>
  <c r="BP163" i="11"/>
  <c r="BP161" i="11"/>
  <c r="BF161" i="11"/>
  <c r="BF163" i="11"/>
  <c r="BF162" i="11"/>
  <c r="BF165" i="11"/>
  <c r="BG125" i="11"/>
  <c r="BG123" i="11"/>
  <c r="BG122" i="11"/>
  <c r="BG121" i="11"/>
  <c r="BO125" i="11"/>
  <c r="BO123" i="11"/>
  <c r="BO122" i="11"/>
  <c r="BO121" i="11"/>
  <c r="BN81" i="11"/>
  <c r="BN82" i="11"/>
  <c r="BN83" i="11"/>
  <c r="BN85" i="11"/>
  <c r="BP203" i="11"/>
  <c r="BM41" i="11"/>
  <c r="BL85" i="11"/>
  <c r="BL83" i="11"/>
  <c r="BL82" i="11"/>
  <c r="BL81" i="11"/>
  <c r="BG162" i="11"/>
  <c r="BG165" i="11"/>
  <c r="BG163" i="11"/>
  <c r="BG161" i="11"/>
  <c r="BK123" i="11"/>
  <c r="BK122" i="11"/>
  <c r="BK125" i="11"/>
  <c r="BK121" i="11"/>
  <c r="BO82" i="11"/>
  <c r="BI85" i="11"/>
  <c r="BI82" i="11"/>
  <c r="BI81" i="11"/>
  <c r="BI83" i="11"/>
  <c r="BQ162" i="11"/>
  <c r="BQ165" i="11"/>
  <c r="BQ163" i="11"/>
  <c r="BQ161" i="11"/>
  <c r="BP85" i="11"/>
  <c r="BP83" i="11"/>
  <c r="BP82" i="11"/>
  <c r="BP81" i="11"/>
  <c r="BQ83" i="11"/>
  <c r="BQ85" i="11"/>
  <c r="BQ82" i="11"/>
  <c r="BQ81" i="11"/>
  <c r="BJ201" i="11"/>
  <c r="BJ203" i="11"/>
  <c r="BJ202" i="11"/>
  <c r="BJ205" i="11"/>
  <c r="BL165" i="11"/>
  <c r="BL163" i="11"/>
  <c r="BL162" i="11"/>
  <c r="BL161" i="11"/>
  <c r="BJ85" i="11"/>
  <c r="BJ83" i="11"/>
  <c r="BQ201" i="11"/>
  <c r="BQ205" i="11"/>
  <c r="BQ202" i="11"/>
  <c r="BQ203" i="11"/>
  <c r="BK83" i="11"/>
  <c r="BL41" i="11"/>
  <c r="BG204" i="11"/>
  <c r="BG205" i="11"/>
  <c r="BG201" i="11"/>
  <c r="BG202" i="11"/>
  <c r="BM42" i="11"/>
  <c r="BO81" i="11"/>
  <c r="BJ121" i="11"/>
  <c r="BJ123" i="11"/>
  <c r="BJ122" i="11"/>
  <c r="BJ125" i="11"/>
  <c r="BM45" i="11"/>
  <c r="BF123" i="11"/>
  <c r="BL125" i="11"/>
  <c r="BL123" i="11"/>
  <c r="BL122" i="11"/>
  <c r="BL121" i="11"/>
  <c r="BM163" i="11"/>
  <c r="BM161" i="11"/>
  <c r="BM162" i="11"/>
  <c r="BM165" i="11"/>
  <c r="BN203" i="11"/>
  <c r="BF204" i="11"/>
  <c r="BF201" i="11"/>
  <c r="BL42" i="11"/>
  <c r="BN123" i="11"/>
  <c r="BM85" i="11"/>
  <c r="BM83" i="11"/>
  <c r="BM82" i="11"/>
  <c r="BM81" i="11"/>
  <c r="BH85" i="11"/>
  <c r="BH82" i="11"/>
  <c r="BH81" i="11"/>
  <c r="BH83" i="11"/>
  <c r="BN164" i="11"/>
  <c r="BN165" i="11"/>
  <c r="BN161" i="11"/>
  <c r="BN162" i="11"/>
  <c r="BH162" i="11"/>
  <c r="BH165" i="11"/>
  <c r="BH163" i="11"/>
  <c r="BH161" i="11"/>
  <c r="BF81" i="11"/>
  <c r="BF83" i="11"/>
  <c r="BF85" i="11"/>
  <c r="BF82" i="11"/>
  <c r="BG45" i="11"/>
  <c r="BG43" i="11"/>
  <c r="BG42" i="11"/>
  <c r="BG41" i="11"/>
  <c r="BR161" i="11" l="1"/>
  <c r="BF122" i="11"/>
  <c r="BF205" i="11"/>
  <c r="BF202" i="11"/>
  <c r="BR201" i="11"/>
  <c r="BF125" i="11"/>
  <c r="BN121" i="11"/>
  <c r="BF121" i="11"/>
  <c r="BM123" i="11"/>
  <c r="BM122" i="11"/>
  <c r="BM125" i="11"/>
  <c r="BK82" i="11"/>
  <c r="BK81" i="11"/>
  <c r="BJ81" i="11"/>
  <c r="BK85" i="11"/>
  <c r="BJ82" i="11"/>
  <c r="BR41" i="11"/>
  <c r="BJ162" i="11"/>
  <c r="BJ163" i="11"/>
  <c r="BJ161" i="11"/>
  <c r="BR81" i="11"/>
  <c r="BP201" i="11"/>
  <c r="BM202" i="11"/>
  <c r="BM201" i="11"/>
  <c r="BM203" i="11"/>
  <c r="BM205" i="11"/>
  <c r="BP205" i="11"/>
  <c r="BJ165" i="11"/>
  <c r="BI45" i="11"/>
  <c r="BI42" i="11"/>
  <c r="BI41" i="11"/>
  <c r="BI43" i="11"/>
  <c r="BP202" i="11"/>
  <c r="BK162" i="11"/>
  <c r="BF41" i="11"/>
  <c r="BF43" i="11"/>
  <c r="BF45" i="11"/>
  <c r="BK165" i="11"/>
  <c r="BK161" i="11"/>
  <c r="BI164" i="11"/>
  <c r="BI165" i="11"/>
  <c r="BI161" i="11"/>
  <c r="BI162" i="11"/>
  <c r="BN125" i="11"/>
  <c r="BN122" i="11"/>
  <c r="BP125" i="11"/>
  <c r="BP123" i="11"/>
  <c r="BP122" i="11"/>
  <c r="BP121" i="11"/>
  <c r="BQ123" i="11"/>
  <c r="BQ125" i="11"/>
  <c r="BQ122" i="11"/>
  <c r="BQ121" i="11"/>
  <c r="BR121" i="11"/>
  <c r="BI121" i="11"/>
  <c r="BI123" i="11"/>
  <c r="BI122" i="11"/>
  <c r="BI125" i="11"/>
  <c r="BJ42" i="11"/>
  <c r="BJ43" i="11"/>
  <c r="BJ45" i="11"/>
  <c r="BJ41" i="11"/>
  <c r="BN45" i="11"/>
  <c r="BN43" i="11"/>
  <c r="BN42" i="11"/>
  <c r="BN41" i="11"/>
  <c r="E35" i="8" l="1"/>
  <c r="E34" i="8"/>
  <c r="E33" i="8"/>
  <c r="K35" i="8"/>
  <c r="K34" i="8"/>
  <c r="K33" i="8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AC437" i="10" s="1"/>
  <c r="M437" i="10"/>
  <c r="L437" i="10"/>
  <c r="K437" i="10"/>
  <c r="J437" i="10"/>
  <c r="I437" i="10"/>
  <c r="H437" i="10"/>
  <c r="G437" i="10"/>
  <c r="F437" i="10"/>
  <c r="E437" i="10"/>
  <c r="D437" i="10"/>
  <c r="C437" i="10"/>
  <c r="N437" i="10" s="1"/>
  <c r="B437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AC436" i="10" s="1"/>
  <c r="M436" i="10"/>
  <c r="L436" i="10"/>
  <c r="K436" i="10"/>
  <c r="J436" i="10"/>
  <c r="I436" i="10"/>
  <c r="H436" i="10"/>
  <c r="G436" i="10"/>
  <c r="F436" i="10"/>
  <c r="E436" i="10"/>
  <c r="D436" i="10"/>
  <c r="C436" i="10"/>
  <c r="N436" i="10" s="1"/>
  <c r="B436" i="10"/>
  <c r="R401" i="10"/>
  <c r="C401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AC393" i="10" s="1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N393" i="10" s="1"/>
  <c r="AB392" i="10"/>
  <c r="AA392" i="10"/>
  <c r="Z392" i="10"/>
  <c r="Y392" i="10"/>
  <c r="X392" i="10"/>
  <c r="W392" i="10"/>
  <c r="V392" i="10"/>
  <c r="U392" i="10"/>
  <c r="T392" i="10"/>
  <c r="S392" i="10"/>
  <c r="R392" i="10"/>
  <c r="AC392" i="10" s="1"/>
  <c r="Q392" i="10"/>
  <c r="M392" i="10"/>
  <c r="L392" i="10"/>
  <c r="K392" i="10"/>
  <c r="J392" i="10"/>
  <c r="I392" i="10"/>
  <c r="H392" i="10"/>
  <c r="G392" i="10"/>
  <c r="F392" i="10"/>
  <c r="E392" i="10"/>
  <c r="D392" i="10"/>
  <c r="C392" i="10"/>
  <c r="N392" i="10" s="1"/>
  <c r="B392" i="10"/>
  <c r="R357" i="10"/>
  <c r="C357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AC349" i="10" s="1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N349" i="10" s="1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AC348" i="10" s="1"/>
  <c r="M348" i="10"/>
  <c r="L348" i="10"/>
  <c r="K348" i="10"/>
  <c r="J348" i="10"/>
  <c r="I348" i="10"/>
  <c r="H348" i="10"/>
  <c r="G348" i="10"/>
  <c r="F348" i="10"/>
  <c r="N348" i="10" s="1"/>
  <c r="E348" i="10"/>
  <c r="D348" i="10"/>
  <c r="C348" i="10"/>
  <c r="B348" i="10"/>
  <c r="R313" i="10"/>
  <c r="C313" i="10"/>
  <c r="AB305" i="10"/>
  <c r="AA305" i="10"/>
  <c r="Z305" i="10"/>
  <c r="Y305" i="10"/>
  <c r="X305" i="10"/>
  <c r="W305" i="10"/>
  <c r="V305" i="10"/>
  <c r="U305" i="10"/>
  <c r="T305" i="10"/>
  <c r="AC305" i="10" s="1"/>
  <c r="S305" i="10"/>
  <c r="R305" i="10"/>
  <c r="Q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N305" i="10" s="1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AC304" i="10" s="1"/>
  <c r="M304" i="10"/>
  <c r="L304" i="10"/>
  <c r="K304" i="10"/>
  <c r="J304" i="10"/>
  <c r="I304" i="10"/>
  <c r="H304" i="10"/>
  <c r="G304" i="10"/>
  <c r="F304" i="10"/>
  <c r="E304" i="10"/>
  <c r="D304" i="10"/>
  <c r="N304" i="10" s="1"/>
  <c r="C304" i="10"/>
  <c r="B304" i="10"/>
  <c r="R269" i="10"/>
  <c r="C269" i="10"/>
  <c r="AB261" i="10"/>
  <c r="AA261" i="10"/>
  <c r="Z261" i="10"/>
  <c r="Y261" i="10"/>
  <c r="X261" i="10"/>
  <c r="W261" i="10"/>
  <c r="V261" i="10"/>
  <c r="U261" i="10"/>
  <c r="T261" i="10"/>
  <c r="S261" i="10"/>
  <c r="R261" i="10"/>
  <c r="AC261" i="10" s="1"/>
  <c r="Q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N261" i="10" s="1"/>
  <c r="AB260" i="10"/>
  <c r="AA260" i="10"/>
  <c r="Z260" i="10"/>
  <c r="Y260" i="10"/>
  <c r="X260" i="10"/>
  <c r="W260" i="10"/>
  <c r="V260" i="10"/>
  <c r="U260" i="10"/>
  <c r="T260" i="10"/>
  <c r="AC260" i="10" s="1"/>
  <c r="S260" i="10"/>
  <c r="R260" i="10"/>
  <c r="Q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N260" i="10" s="1"/>
  <c r="R225" i="10"/>
  <c r="C225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AC217" i="10" s="1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AC216" i="10" s="1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R181" i="10"/>
  <c r="C181" i="10"/>
  <c r="AB173" i="10"/>
  <c r="AA173" i="10"/>
  <c r="Z173" i="10"/>
  <c r="Y173" i="10"/>
  <c r="X173" i="10"/>
  <c r="W173" i="10"/>
  <c r="V173" i="10"/>
  <c r="U173" i="10"/>
  <c r="T173" i="10"/>
  <c r="AC173" i="10" s="1"/>
  <c r="S173" i="10"/>
  <c r="R173" i="10"/>
  <c r="Q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N173" i="10" s="1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AC172" i="10" s="1"/>
  <c r="M172" i="10"/>
  <c r="L172" i="10"/>
  <c r="K172" i="10"/>
  <c r="J172" i="10"/>
  <c r="I172" i="10"/>
  <c r="H172" i="10"/>
  <c r="G172" i="10"/>
  <c r="F172" i="10"/>
  <c r="E172" i="10"/>
  <c r="D172" i="10"/>
  <c r="N172" i="10" s="1"/>
  <c r="C172" i="10"/>
  <c r="B172" i="10"/>
  <c r="R137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AC129" i="10" s="1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N129" i="10" s="1"/>
  <c r="AB128" i="10"/>
  <c r="AA128" i="10"/>
  <c r="Z128" i="10"/>
  <c r="Y128" i="10"/>
  <c r="X128" i="10"/>
  <c r="W128" i="10"/>
  <c r="V128" i="10"/>
  <c r="U128" i="10"/>
  <c r="T128" i="10"/>
  <c r="S128" i="10"/>
  <c r="AC128" i="10" s="1"/>
  <c r="R128" i="10"/>
  <c r="Q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N128" i="10" s="1"/>
  <c r="R93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AC85" i="10" s="1"/>
  <c r="M85" i="10"/>
  <c r="L85" i="10"/>
  <c r="K85" i="10"/>
  <c r="J85" i="10"/>
  <c r="I85" i="10"/>
  <c r="H85" i="10"/>
  <c r="G85" i="10"/>
  <c r="F85" i="10"/>
  <c r="E85" i="10"/>
  <c r="D85" i="10"/>
  <c r="N85" i="10" s="1"/>
  <c r="C85" i="10"/>
  <c r="B85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AC84" i="10" s="1"/>
  <c r="M84" i="10"/>
  <c r="L84" i="10"/>
  <c r="K84" i="10"/>
  <c r="J84" i="10"/>
  <c r="I84" i="10"/>
  <c r="H84" i="10"/>
  <c r="G84" i="10"/>
  <c r="F84" i="10"/>
  <c r="N84" i="10" s="1"/>
  <c r="E84" i="10"/>
  <c r="D84" i="10"/>
  <c r="C84" i="10"/>
  <c r="B84" i="10"/>
  <c r="R49" i="10"/>
  <c r="AB41" i="10"/>
  <c r="AA41" i="10"/>
  <c r="Z41" i="10"/>
  <c r="Y41" i="10"/>
  <c r="X41" i="10"/>
  <c r="W41" i="10"/>
  <c r="V41" i="10"/>
  <c r="U41" i="10"/>
  <c r="T41" i="10"/>
  <c r="S41" i="10"/>
  <c r="AC41" i="10" s="1"/>
  <c r="R41" i="10"/>
  <c r="Q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N41" i="10" s="1"/>
  <c r="AB40" i="10"/>
  <c r="AA40" i="10"/>
  <c r="Z40" i="10"/>
  <c r="Y40" i="10"/>
  <c r="X40" i="10"/>
  <c r="W40" i="10"/>
  <c r="V40" i="10"/>
  <c r="U40" i="10"/>
  <c r="AC40" i="10" s="1"/>
  <c r="T40" i="10"/>
  <c r="S40" i="10"/>
  <c r="R40" i="10"/>
  <c r="Q40" i="10"/>
  <c r="M40" i="10"/>
  <c r="L40" i="10"/>
  <c r="K40" i="10"/>
  <c r="J40" i="10"/>
  <c r="I40" i="10"/>
  <c r="H40" i="10"/>
  <c r="G40" i="10"/>
  <c r="F40" i="10"/>
  <c r="E40" i="10"/>
  <c r="D40" i="10"/>
  <c r="C40" i="10"/>
  <c r="N40" i="10" s="1"/>
  <c r="B40" i="10"/>
  <c r="F131" i="6" l="1"/>
  <c r="F130" i="6"/>
  <c r="I13" i="8"/>
  <c r="I12" i="8"/>
  <c r="I11" i="8"/>
  <c r="I10" i="8"/>
  <c r="I8" i="8"/>
  <c r="G13" i="8"/>
  <c r="G12" i="8"/>
  <c r="G10" i="8"/>
  <c r="G9" i="8"/>
  <c r="G8" i="8"/>
  <c r="E19" i="8"/>
  <c r="E18" i="8"/>
  <c r="N176" i="1"/>
  <c r="M176" i="1"/>
  <c r="L176" i="1"/>
  <c r="K176" i="1"/>
  <c r="J176" i="1"/>
  <c r="I176" i="1"/>
  <c r="H176" i="1"/>
  <c r="G176" i="1"/>
  <c r="F176" i="1"/>
  <c r="E176" i="1"/>
  <c r="D176" i="1"/>
  <c r="E17" i="8"/>
  <c r="E15" i="8"/>
  <c r="E14" i="8"/>
  <c r="E12" i="8"/>
  <c r="E13" i="8"/>
  <c r="E11" i="8"/>
  <c r="E10" i="8"/>
  <c r="E9" i="8"/>
  <c r="E8" i="8"/>
  <c r="AB131" i="7" l="1"/>
  <c r="AA131" i="7"/>
  <c r="Z131" i="7"/>
  <c r="Y131" i="7"/>
  <c r="X131" i="7"/>
  <c r="W131" i="7"/>
  <c r="V131" i="7"/>
  <c r="U131" i="7"/>
  <c r="T131" i="7"/>
  <c r="S131" i="7"/>
  <c r="R131" i="7"/>
  <c r="Q131" i="7"/>
  <c r="AC131" i="7" s="1"/>
  <c r="AB130" i="7"/>
  <c r="AA130" i="7"/>
  <c r="Z130" i="7"/>
  <c r="Y130" i="7"/>
  <c r="X130" i="7"/>
  <c r="W130" i="7"/>
  <c r="V130" i="7"/>
  <c r="U130" i="7"/>
  <c r="T130" i="7"/>
  <c r="S130" i="7"/>
  <c r="R130" i="7"/>
  <c r="Q130" i="7"/>
  <c r="AC130" i="7" s="1"/>
  <c r="AB86" i="7"/>
  <c r="AA86" i="7"/>
  <c r="Z86" i="7"/>
  <c r="Y86" i="7"/>
  <c r="X86" i="7"/>
  <c r="W86" i="7"/>
  <c r="V86" i="7"/>
  <c r="U86" i="7"/>
  <c r="T86" i="7"/>
  <c r="S86" i="7"/>
  <c r="R86" i="7"/>
  <c r="Q86" i="7"/>
  <c r="AC86" i="7" s="1"/>
  <c r="I9" i="8" s="1"/>
  <c r="I34" i="8" s="1"/>
  <c r="AB85" i="7"/>
  <c r="AA85" i="7"/>
  <c r="Z85" i="7"/>
  <c r="Y85" i="7"/>
  <c r="X85" i="7"/>
  <c r="W85" i="7"/>
  <c r="V85" i="7"/>
  <c r="U85" i="7"/>
  <c r="T85" i="7"/>
  <c r="S85" i="7"/>
  <c r="R85" i="7"/>
  <c r="Q85" i="7"/>
  <c r="AC85" i="7" s="1"/>
  <c r="AB41" i="7"/>
  <c r="AA41" i="7"/>
  <c r="Z41" i="7"/>
  <c r="Y41" i="7"/>
  <c r="X41" i="7"/>
  <c r="W41" i="7"/>
  <c r="V41" i="7"/>
  <c r="U41" i="7"/>
  <c r="T41" i="7"/>
  <c r="S41" i="7"/>
  <c r="R41" i="7"/>
  <c r="Q41" i="7"/>
  <c r="AC41" i="7" s="1"/>
  <c r="AB40" i="7"/>
  <c r="AA40" i="7"/>
  <c r="Z40" i="7"/>
  <c r="Y40" i="7"/>
  <c r="X40" i="7"/>
  <c r="W40" i="7"/>
  <c r="V40" i="7"/>
  <c r="U40" i="7"/>
  <c r="T40" i="7"/>
  <c r="S40" i="7"/>
  <c r="R40" i="7"/>
  <c r="Q40" i="7"/>
  <c r="AC40" i="7" s="1"/>
  <c r="M131" i="7"/>
  <c r="L131" i="7"/>
  <c r="K131" i="7"/>
  <c r="J131" i="7"/>
  <c r="I131" i="7"/>
  <c r="H131" i="7"/>
  <c r="G131" i="7"/>
  <c r="F131" i="7"/>
  <c r="E131" i="7"/>
  <c r="D131" i="7"/>
  <c r="C131" i="7"/>
  <c r="B131" i="7"/>
  <c r="N131" i="7" s="1"/>
  <c r="M130" i="7"/>
  <c r="L130" i="7"/>
  <c r="K130" i="7"/>
  <c r="J130" i="7"/>
  <c r="I130" i="7"/>
  <c r="H130" i="7"/>
  <c r="G130" i="7"/>
  <c r="F130" i="7"/>
  <c r="E130" i="7"/>
  <c r="D130" i="7"/>
  <c r="C130" i="7"/>
  <c r="B130" i="7"/>
  <c r="N130" i="7" s="1"/>
  <c r="M86" i="7"/>
  <c r="L86" i="7"/>
  <c r="K86" i="7"/>
  <c r="J86" i="7"/>
  <c r="I86" i="7"/>
  <c r="H86" i="7"/>
  <c r="G86" i="7"/>
  <c r="F86" i="7"/>
  <c r="E86" i="7"/>
  <c r="D86" i="7"/>
  <c r="C86" i="7"/>
  <c r="B86" i="7"/>
  <c r="N86" i="7" s="1"/>
  <c r="M85" i="7"/>
  <c r="L85" i="7"/>
  <c r="K85" i="7"/>
  <c r="J85" i="7"/>
  <c r="I85" i="7"/>
  <c r="H85" i="7"/>
  <c r="G85" i="7"/>
  <c r="F85" i="7"/>
  <c r="E85" i="7"/>
  <c r="D85" i="7"/>
  <c r="C85" i="7"/>
  <c r="B85" i="7"/>
  <c r="N85" i="7" s="1"/>
  <c r="N41" i="7"/>
  <c r="C41" i="7"/>
  <c r="D41" i="7"/>
  <c r="E41" i="7"/>
  <c r="F41" i="7"/>
  <c r="G41" i="7"/>
  <c r="H41" i="7"/>
  <c r="I41" i="7"/>
  <c r="J41" i="7"/>
  <c r="K41" i="7"/>
  <c r="L41" i="7"/>
  <c r="M41" i="7"/>
  <c r="B41" i="7"/>
  <c r="C40" i="7"/>
  <c r="D40" i="7"/>
  <c r="E40" i="7"/>
  <c r="F40" i="7"/>
  <c r="G40" i="7"/>
  <c r="H40" i="7"/>
  <c r="I40" i="7"/>
  <c r="J40" i="7"/>
  <c r="K40" i="7"/>
  <c r="L40" i="7"/>
  <c r="M40" i="7"/>
  <c r="AB131" i="6"/>
  <c r="AA131" i="6"/>
  <c r="Z131" i="6"/>
  <c r="Y131" i="6"/>
  <c r="X131" i="6"/>
  <c r="W131" i="6"/>
  <c r="V131" i="6"/>
  <c r="U131" i="6"/>
  <c r="T131" i="6"/>
  <c r="S131" i="6"/>
  <c r="R131" i="6"/>
  <c r="Q131" i="6"/>
  <c r="AC131" i="6" s="1"/>
  <c r="AB130" i="6"/>
  <c r="AA130" i="6"/>
  <c r="Z130" i="6"/>
  <c r="Y130" i="6"/>
  <c r="X130" i="6"/>
  <c r="W130" i="6"/>
  <c r="V130" i="6"/>
  <c r="U130" i="6"/>
  <c r="T130" i="6"/>
  <c r="S130" i="6"/>
  <c r="R130" i="6"/>
  <c r="Q130" i="6"/>
  <c r="AC130" i="6" s="1"/>
  <c r="AB86" i="6"/>
  <c r="AA86" i="6"/>
  <c r="Z86" i="6"/>
  <c r="Y86" i="6"/>
  <c r="X86" i="6"/>
  <c r="W86" i="6"/>
  <c r="V86" i="6"/>
  <c r="U86" i="6"/>
  <c r="T86" i="6"/>
  <c r="S86" i="6"/>
  <c r="R86" i="6"/>
  <c r="Q86" i="6"/>
  <c r="AC86" i="6" s="1"/>
  <c r="AB85" i="6"/>
  <c r="AA85" i="6"/>
  <c r="Z85" i="6"/>
  <c r="Y85" i="6"/>
  <c r="X85" i="6"/>
  <c r="W85" i="6"/>
  <c r="V85" i="6"/>
  <c r="U85" i="6"/>
  <c r="T85" i="6"/>
  <c r="S85" i="6"/>
  <c r="R85" i="6"/>
  <c r="Q85" i="6"/>
  <c r="AC85" i="6" s="1"/>
  <c r="AB41" i="6"/>
  <c r="AA41" i="6"/>
  <c r="Z41" i="6"/>
  <c r="Y41" i="6"/>
  <c r="X41" i="6"/>
  <c r="W41" i="6"/>
  <c r="V41" i="6"/>
  <c r="U41" i="6"/>
  <c r="T41" i="6"/>
  <c r="S41" i="6"/>
  <c r="R41" i="6"/>
  <c r="Q41" i="6"/>
  <c r="AC41" i="6" s="1"/>
  <c r="AB40" i="6"/>
  <c r="AA40" i="6"/>
  <c r="Z40" i="6"/>
  <c r="Y40" i="6"/>
  <c r="X40" i="6"/>
  <c r="W40" i="6"/>
  <c r="V40" i="6"/>
  <c r="U40" i="6"/>
  <c r="T40" i="6"/>
  <c r="S40" i="6"/>
  <c r="R40" i="6"/>
  <c r="Q40" i="6"/>
  <c r="AC40" i="6" s="1"/>
  <c r="M131" i="6"/>
  <c r="L131" i="6"/>
  <c r="K131" i="6"/>
  <c r="J131" i="6"/>
  <c r="I131" i="6"/>
  <c r="H131" i="6"/>
  <c r="G131" i="6"/>
  <c r="E131" i="6"/>
  <c r="D131" i="6"/>
  <c r="C131" i="6"/>
  <c r="B131" i="6"/>
  <c r="N131" i="6" s="1"/>
  <c r="G11" i="8" s="1"/>
  <c r="M130" i="6"/>
  <c r="L130" i="6"/>
  <c r="K130" i="6"/>
  <c r="J130" i="6"/>
  <c r="I130" i="6"/>
  <c r="H130" i="6"/>
  <c r="G130" i="6"/>
  <c r="E130" i="6"/>
  <c r="D130" i="6"/>
  <c r="C130" i="6"/>
  <c r="B130" i="6"/>
  <c r="N130" i="6" s="1"/>
  <c r="M86" i="6"/>
  <c r="L86" i="6"/>
  <c r="K86" i="6"/>
  <c r="J86" i="6"/>
  <c r="I86" i="6"/>
  <c r="H86" i="6"/>
  <c r="G86" i="6"/>
  <c r="F86" i="6"/>
  <c r="E86" i="6"/>
  <c r="D86" i="6"/>
  <c r="C86" i="6"/>
  <c r="B86" i="6"/>
  <c r="N86" i="6" s="1"/>
  <c r="M85" i="6"/>
  <c r="L85" i="6"/>
  <c r="K85" i="6"/>
  <c r="J85" i="6"/>
  <c r="I85" i="6"/>
  <c r="H85" i="6"/>
  <c r="G85" i="6"/>
  <c r="F85" i="6"/>
  <c r="E85" i="6"/>
  <c r="D85" i="6"/>
  <c r="C85" i="6"/>
  <c r="B85" i="6"/>
  <c r="N85" i="6" s="1"/>
  <c r="N41" i="6"/>
  <c r="N40" i="6"/>
  <c r="C41" i="6"/>
  <c r="D41" i="6"/>
  <c r="E41" i="6"/>
  <c r="F41" i="6"/>
  <c r="G41" i="6"/>
  <c r="H41" i="6"/>
  <c r="I41" i="6"/>
  <c r="J41" i="6"/>
  <c r="K41" i="6"/>
  <c r="L41" i="6"/>
  <c r="M41" i="6"/>
  <c r="B41" i="6"/>
  <c r="C40" i="6"/>
  <c r="D40" i="6"/>
  <c r="E40" i="6"/>
  <c r="F40" i="6"/>
  <c r="G40" i="6"/>
  <c r="H40" i="6"/>
  <c r="I40" i="6"/>
  <c r="J40" i="6"/>
  <c r="K40" i="6"/>
  <c r="L40" i="6"/>
  <c r="M40" i="6"/>
  <c r="B40" i="6"/>
  <c r="AC221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AC266" i="1" s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AC265" i="1" s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AC220" i="1" s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AC176" i="1" s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AC175" i="1" s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AC131" i="1" s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AC130" i="1" s="1"/>
  <c r="AB86" i="1"/>
  <c r="AA86" i="1"/>
  <c r="Z86" i="1"/>
  <c r="Y86" i="1"/>
  <c r="X86" i="1"/>
  <c r="W86" i="1"/>
  <c r="V86" i="1"/>
  <c r="U86" i="1"/>
  <c r="T86" i="1"/>
  <c r="S86" i="1"/>
  <c r="R86" i="1"/>
  <c r="Q86" i="1"/>
  <c r="AC86" i="1" s="1"/>
  <c r="AB85" i="1"/>
  <c r="AA85" i="1"/>
  <c r="Z85" i="1"/>
  <c r="Y85" i="1"/>
  <c r="X85" i="1"/>
  <c r="W85" i="1"/>
  <c r="V85" i="1"/>
  <c r="U85" i="1"/>
  <c r="T85" i="1"/>
  <c r="S85" i="1"/>
  <c r="R85" i="1"/>
  <c r="Q85" i="1"/>
  <c r="AC85" i="1" s="1"/>
  <c r="AB41" i="1"/>
  <c r="AA41" i="1"/>
  <c r="Z41" i="1"/>
  <c r="Y41" i="1"/>
  <c r="X41" i="1"/>
  <c r="W41" i="1"/>
  <c r="V41" i="1"/>
  <c r="U41" i="1"/>
  <c r="T41" i="1"/>
  <c r="S41" i="1"/>
  <c r="R41" i="1"/>
  <c r="Q41" i="1"/>
  <c r="AC41" i="1" s="1"/>
  <c r="AB40" i="1"/>
  <c r="AA40" i="1"/>
  <c r="Z40" i="1"/>
  <c r="Y40" i="1"/>
  <c r="X40" i="1"/>
  <c r="W40" i="1"/>
  <c r="V40" i="1"/>
  <c r="U40" i="1"/>
  <c r="T40" i="1"/>
  <c r="S40" i="1"/>
  <c r="R40" i="1"/>
  <c r="Q40" i="1"/>
  <c r="AC40" i="1" s="1"/>
  <c r="M266" i="1"/>
  <c r="L266" i="1"/>
  <c r="K266" i="1"/>
  <c r="J266" i="1"/>
  <c r="I266" i="1"/>
  <c r="H266" i="1"/>
  <c r="G266" i="1"/>
  <c r="F266" i="1"/>
  <c r="E266" i="1"/>
  <c r="D266" i="1"/>
  <c r="C266" i="1"/>
  <c r="B266" i="1"/>
  <c r="N266" i="1" s="1"/>
  <c r="M265" i="1"/>
  <c r="L265" i="1"/>
  <c r="K265" i="1"/>
  <c r="J265" i="1"/>
  <c r="I265" i="1"/>
  <c r="H265" i="1"/>
  <c r="G265" i="1"/>
  <c r="F265" i="1"/>
  <c r="E265" i="1"/>
  <c r="D265" i="1"/>
  <c r="C265" i="1"/>
  <c r="B265" i="1"/>
  <c r="N265" i="1" s="1"/>
  <c r="M221" i="1"/>
  <c r="L221" i="1"/>
  <c r="K221" i="1"/>
  <c r="J221" i="1"/>
  <c r="I221" i="1"/>
  <c r="H221" i="1"/>
  <c r="G221" i="1"/>
  <c r="F221" i="1"/>
  <c r="E221" i="1"/>
  <c r="D221" i="1"/>
  <c r="C221" i="1"/>
  <c r="B221" i="1"/>
  <c r="N221" i="1" s="1"/>
  <c r="M220" i="1"/>
  <c r="L220" i="1"/>
  <c r="K220" i="1"/>
  <c r="J220" i="1"/>
  <c r="I220" i="1"/>
  <c r="H220" i="1"/>
  <c r="G220" i="1"/>
  <c r="F220" i="1"/>
  <c r="E220" i="1"/>
  <c r="D220" i="1"/>
  <c r="C220" i="1"/>
  <c r="B220" i="1"/>
  <c r="N220" i="1" s="1"/>
  <c r="C176" i="1"/>
  <c r="B176" i="1"/>
  <c r="E16" i="8" s="1"/>
  <c r="M175" i="1"/>
  <c r="L175" i="1"/>
  <c r="K175" i="1"/>
  <c r="J175" i="1"/>
  <c r="I175" i="1"/>
  <c r="H175" i="1"/>
  <c r="G175" i="1"/>
  <c r="F175" i="1"/>
  <c r="E175" i="1"/>
  <c r="D175" i="1"/>
  <c r="C175" i="1"/>
  <c r="B175" i="1"/>
  <c r="N175" i="1" s="1"/>
  <c r="M131" i="1"/>
  <c r="L131" i="1"/>
  <c r="K131" i="1"/>
  <c r="J131" i="1"/>
  <c r="I131" i="1"/>
  <c r="H131" i="1"/>
  <c r="G131" i="1"/>
  <c r="F131" i="1"/>
  <c r="E131" i="1"/>
  <c r="D131" i="1"/>
  <c r="C131" i="1"/>
  <c r="B131" i="1"/>
  <c r="N131" i="1" s="1"/>
  <c r="M130" i="1"/>
  <c r="L130" i="1"/>
  <c r="K130" i="1"/>
  <c r="J130" i="1"/>
  <c r="I130" i="1"/>
  <c r="H130" i="1"/>
  <c r="G130" i="1"/>
  <c r="F130" i="1"/>
  <c r="E130" i="1"/>
  <c r="D130" i="1"/>
  <c r="C130" i="1"/>
  <c r="B130" i="1"/>
  <c r="N130" i="1" s="1"/>
  <c r="M86" i="1"/>
  <c r="L86" i="1"/>
  <c r="K86" i="1"/>
  <c r="J86" i="1"/>
  <c r="I86" i="1"/>
  <c r="H86" i="1"/>
  <c r="G86" i="1"/>
  <c r="F86" i="1"/>
  <c r="E86" i="1"/>
  <c r="D86" i="1"/>
  <c r="C86" i="1"/>
  <c r="B86" i="1"/>
  <c r="N86" i="1" s="1"/>
  <c r="M85" i="1"/>
  <c r="L85" i="1"/>
  <c r="K85" i="1"/>
  <c r="J85" i="1"/>
  <c r="I85" i="1"/>
  <c r="H85" i="1"/>
  <c r="G85" i="1"/>
  <c r="F85" i="1"/>
  <c r="E85" i="1"/>
  <c r="D85" i="1"/>
  <c r="C85" i="1"/>
  <c r="B85" i="1"/>
  <c r="N85" i="1" s="1"/>
  <c r="N41" i="1"/>
  <c r="C41" i="1"/>
  <c r="D41" i="1"/>
  <c r="E41" i="1"/>
  <c r="F41" i="1"/>
  <c r="G41" i="1"/>
  <c r="H41" i="1"/>
  <c r="I41" i="1"/>
  <c r="J41" i="1"/>
  <c r="K41" i="1"/>
  <c r="L41" i="1"/>
  <c r="M41" i="1"/>
  <c r="B41" i="1"/>
  <c r="C40" i="1"/>
  <c r="D40" i="1"/>
  <c r="E40" i="1"/>
  <c r="F40" i="1"/>
  <c r="G40" i="1"/>
  <c r="H40" i="1"/>
  <c r="I40" i="1"/>
  <c r="J40" i="1"/>
  <c r="K40" i="1"/>
  <c r="L40" i="1"/>
  <c r="M40" i="1"/>
  <c r="B40" i="7"/>
  <c r="B40" i="1"/>
  <c r="G34" i="8" l="1"/>
  <c r="G33" i="8"/>
  <c r="G35" i="8"/>
  <c r="I35" i="8"/>
  <c r="I33" i="8"/>
  <c r="N40" i="7"/>
  <c r="N40" i="1"/>
</calcChain>
</file>

<file path=xl/sharedStrings.xml><?xml version="1.0" encoding="utf-8"?>
<sst xmlns="http://schemas.openxmlformats.org/spreadsheetml/2006/main" count="3052" uniqueCount="109">
  <si>
    <t>Jarak Stasiun Kalbar-Pontianak kota:</t>
  </si>
  <si>
    <t>Jarak Stasiun Pontianak kota-Kalbar</t>
  </si>
  <si>
    <t>Jarak Stasiun Supadio-Pontianak kota:</t>
  </si>
  <si>
    <t>km</t>
  </si>
  <si>
    <t>Jarak Stasiun Supadio-Kalbar</t>
  </si>
  <si>
    <t>Jarak Stasiun Kalbar-maritim pontianak:</t>
  </si>
  <si>
    <t>Jarak Stasiun zPontianak kota- maritim pontianak</t>
  </si>
  <si>
    <t>Jarak Stasiun Supadio-maritim pontianak:</t>
  </si>
  <si>
    <t>Jarak Stasiun Pontianak kota-Supadio</t>
  </si>
  <si>
    <t>Klim. Kalimantan Barat</t>
  </si>
  <si>
    <t>ARR Pontianak Kota</t>
  </si>
  <si>
    <t>Meteorologi maritim Pontianak</t>
  </si>
  <si>
    <t>Meteorologi Supadio (2 stasiun)</t>
  </si>
  <si>
    <t>Meteorologi Supadio (3 stasiun)</t>
  </si>
  <si>
    <t>Tahun 2013</t>
  </si>
  <si>
    <t>Bulan</t>
  </si>
  <si>
    <t>Jan</t>
  </si>
  <si>
    <t>Feb</t>
  </si>
  <si>
    <t>Mar</t>
  </si>
  <si>
    <t>Apr</t>
  </si>
  <si>
    <t>Mei</t>
  </si>
  <si>
    <t>Jun</t>
  </si>
  <si>
    <t>Jul</t>
  </si>
  <si>
    <t>Agt</t>
  </si>
  <si>
    <t>Sept</t>
  </si>
  <si>
    <t>Okt</t>
  </si>
  <si>
    <t>Nov</t>
  </si>
  <si>
    <t>Des</t>
  </si>
  <si>
    <t>Jlh</t>
  </si>
  <si>
    <t>R maks</t>
  </si>
  <si>
    <t>I</t>
  </si>
  <si>
    <t>II</t>
  </si>
  <si>
    <t>HH</t>
  </si>
  <si>
    <t>Tahun 2014</t>
  </si>
  <si>
    <t>Tahun 2015</t>
  </si>
  <si>
    <t>Tahun 2016</t>
  </si>
  <si>
    <t>Tahun 2017</t>
  </si>
  <si>
    <t>Tahun 2018</t>
  </si>
  <si>
    <t>Tahun 2022</t>
  </si>
  <si>
    <t>Tahun 2023</t>
  </si>
  <si>
    <t>Thaun 2024</t>
  </si>
  <si>
    <t>Curah Hujan Harian (mm)</t>
  </si>
  <si>
    <t>Stasiun</t>
  </si>
  <si>
    <t>: PONTIANAK</t>
  </si>
  <si>
    <t>Lintang</t>
  </si>
  <si>
    <t xml:space="preserve">: </t>
  </si>
  <si>
    <t>No. Stasiun</t>
  </si>
  <si>
    <t>: PTK 11</t>
  </si>
  <si>
    <t>Bujur</t>
  </si>
  <si>
    <t>Tahun Pengamatan</t>
  </si>
  <si>
    <t>:2002</t>
  </si>
  <si>
    <t>Elevasi</t>
  </si>
  <si>
    <t>: 4 Meter</t>
  </si>
  <si>
    <t>Tanggal</t>
  </si>
  <si>
    <t xml:space="preserve">Januari </t>
  </si>
  <si>
    <t>Februari</t>
  </si>
  <si>
    <t>Maret</t>
  </si>
  <si>
    <t>April</t>
  </si>
  <si>
    <t>Juni</t>
  </si>
  <si>
    <t>Juli</t>
  </si>
  <si>
    <t>Agustus</t>
  </si>
  <si>
    <t>September</t>
  </si>
  <si>
    <t>Oktober</t>
  </si>
  <si>
    <t>November</t>
  </si>
  <si>
    <t>Desember</t>
  </si>
  <si>
    <t>Jumlah</t>
  </si>
  <si>
    <t>Maksimum</t>
  </si>
  <si>
    <t>Keterangan:</t>
  </si>
  <si>
    <t>Tidak ada hujan.</t>
  </si>
  <si>
    <t>:2003</t>
  </si>
  <si>
    <t>:2004</t>
  </si>
  <si>
    <t xml:space="preserve"> </t>
  </si>
  <si>
    <t>:2005</t>
  </si>
  <si>
    <t>-</t>
  </si>
  <si>
    <t>Longitude</t>
  </si>
  <si>
    <t>: 109.34</t>
  </si>
  <si>
    <t>: Stasiun Meteorologi Maritim Pontianak</t>
  </si>
  <si>
    <t>Latitude</t>
  </si>
  <si>
    <t>: -0.03</t>
  </si>
  <si>
    <t>: 2013</t>
  </si>
  <si>
    <t>: 2019</t>
  </si>
  <si>
    <t>: 2014</t>
  </si>
  <si>
    <t>: 2020</t>
  </si>
  <si>
    <t>: 2015</t>
  </si>
  <si>
    <t>: 2021</t>
  </si>
  <si>
    <t>: 2016</t>
  </si>
  <si>
    <t>: 2022</t>
  </si>
  <si>
    <t>: 2017</t>
  </si>
  <si>
    <t>: 2023</t>
  </si>
  <si>
    <t>: 2018</t>
  </si>
  <si>
    <t>: 2024</t>
  </si>
  <si>
    <t>Tahun 2024</t>
  </si>
  <si>
    <t>: 109.45</t>
  </si>
  <si>
    <t>: Stasiun Meteorologi Supadio</t>
  </si>
  <si>
    <t>: -0.14206</t>
  </si>
  <si>
    <t>: 3 Meter</t>
  </si>
  <si>
    <t>: 109.19</t>
  </si>
  <si>
    <t>: Stasiun Klimatologi Kalimantan Barat</t>
  </si>
  <si>
    <t>: 0.075</t>
  </si>
  <si>
    <t>: 2 Meter</t>
  </si>
  <si>
    <t>REKAPITULASI DATA CURAH HUJAN HARIAN MAKSIMUM</t>
  </si>
  <si>
    <t>STASIUN METEOROLOGI MARITIM PONTIANAK</t>
  </si>
  <si>
    <t>STASIUN METEOROLOGI SUPADIO</t>
  </si>
  <si>
    <t>STASIUN KLIMATOLOGI KALBAR</t>
  </si>
  <si>
    <t>STASIUN KLIMATOLOGI PONTIANAK KOTA</t>
  </si>
  <si>
    <t>Tahun</t>
  </si>
  <si>
    <t>R (mm)</t>
  </si>
  <si>
    <t>Rata-Rata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</si>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</sst>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_-* #,##0_-;\-* #,##0_-;_-* &quot;-&quot;_-;_-@_-"/>
    <numFmt numFmtId="165" formatCode="_-* #,##0.00_-;\-* #,##0.00_-;_-* &quot;-&quot;??_-;_-@_-"/>
    <numFmt numFmtId="166" formatCode="General_)"/>
    <numFmt numFmtId="167" formatCode="0.00\ \ "/>
    <numFmt numFmtId="168" formatCode="0\ \ 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 Narrow"/>
      <family val="2"/>
    </font>
    <font>
      <sz val="14"/>
      <name val="Arial Narrow"/>
      <family val="2"/>
    </font>
    <font>
      <sz val="8.5"/>
      <name val="Arial Narrow"/>
      <family val="2"/>
    </font>
    <font>
      <sz val="10"/>
      <name val="Arial Narrow"/>
      <family val="2"/>
    </font>
    <font>
      <sz val="12"/>
      <name val="Arial Narrow"/>
      <family val="2"/>
    </font>
    <font>
      <b/>
      <sz val="10"/>
      <name val="Arial Narrow"/>
      <family val="2"/>
    </font>
    <font>
      <sz val="11"/>
      <color theme="1"/>
      <name val="Calibri"/>
    </font>
    <font>
      <sz val="10"/>
      <color indexed="10"/>
      <name val="Arial Narrow"/>
      <family val="2"/>
    </font>
    <font>
      <sz val="11"/>
      <name val="Arial Narrow"/>
      <family val="2"/>
    </font>
    <font>
      <b/>
      <sz val="11"/>
      <color theme="1"/>
      <name val="Calibri"/>
      <family val="2"/>
      <scheme val="minor"/>
    </font>
    <font>
      <sz val="11"/>
      <color theme="1"/>
      <name val="Book Antiqu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6" fontId="2" fillId="0" borderId="0" applyNumberFormat="0"/>
    <xf numFmtId="165" fontId="1" fillId="0" borderId="0" applyFont="0" applyFill="0" applyBorder="0" applyAlignment="0" applyProtection="0"/>
    <xf numFmtId="0" fontId="1" fillId="0" borderId="0"/>
    <xf numFmtId="44" fontId="13" fillId="0" borderId="0" applyFont="0" applyFill="0" applyBorder="0" applyAlignment="0" applyProtection="0"/>
  </cellStyleXfs>
  <cellXfs count="154">
    <xf numFmtId="0" fontId="0" fillId="0" borderId="0" xfId="0"/>
    <xf numFmtId="0" fontId="3" fillId="0" borderId="1" xfId="2" applyNumberFormat="1" applyFont="1" applyBorder="1" applyAlignment="1">
      <alignment horizontal="left"/>
    </xf>
    <xf numFmtId="167" fontId="3" fillId="0" borderId="2" xfId="2" applyNumberFormat="1" applyFont="1" applyBorder="1"/>
    <xf numFmtId="0" fontId="3" fillId="0" borderId="2" xfId="2" quotePrefix="1" applyNumberFormat="1" applyFont="1" applyBorder="1"/>
    <xf numFmtId="167" fontId="4" fillId="0" borderId="2" xfId="2" applyNumberFormat="1" applyFont="1" applyBorder="1"/>
    <xf numFmtId="167" fontId="4" fillId="0" borderId="2" xfId="2" applyNumberFormat="1" applyFont="1" applyBorder="1" applyAlignment="1">
      <alignment horizontal="center"/>
    </xf>
    <xf numFmtId="167" fontId="4" fillId="0" borderId="3" xfId="2" applyNumberFormat="1" applyFont="1" applyBorder="1"/>
    <xf numFmtId="0" fontId="5" fillId="0" borderId="0" xfId="2" applyNumberFormat="1" applyFont="1"/>
    <xf numFmtId="0" fontId="5" fillId="0" borderId="4" xfId="2" applyNumberFormat="1" applyFont="1" applyBorder="1" applyAlignment="1">
      <alignment horizontal="center"/>
    </xf>
    <xf numFmtId="167" fontId="5" fillId="0" borderId="0" xfId="2" applyNumberFormat="1" applyFont="1"/>
    <xf numFmtId="167" fontId="6" fillId="0" borderId="0" xfId="2" applyNumberFormat="1" applyFont="1"/>
    <xf numFmtId="167" fontId="5" fillId="0" borderId="0" xfId="2" applyNumberFormat="1" applyFont="1" applyAlignment="1">
      <alignment horizontal="center"/>
    </xf>
    <xf numFmtId="167" fontId="5" fillId="0" borderId="5" xfId="2" applyNumberFormat="1" applyFont="1" applyBorder="1"/>
    <xf numFmtId="0" fontId="7" fillId="0" borderId="4" xfId="2" applyNumberFormat="1" applyFont="1" applyBorder="1" applyAlignment="1">
      <alignment horizontal="left" vertical="center"/>
    </xf>
    <xf numFmtId="167" fontId="7" fillId="0" borderId="0" xfId="2" applyNumberFormat="1" applyFont="1"/>
    <xf numFmtId="167" fontId="7" fillId="0" borderId="0" xfId="2" applyNumberFormat="1" applyFont="1" applyAlignment="1">
      <alignment horizontal="center"/>
    </xf>
    <xf numFmtId="0" fontId="6" fillId="0" borderId="4" xfId="2" applyNumberFormat="1" applyFont="1" applyBorder="1" applyAlignment="1">
      <alignment horizontal="center"/>
    </xf>
    <xf numFmtId="167" fontId="6" fillId="0" borderId="0" xfId="2" applyNumberFormat="1" applyFont="1" applyAlignment="1">
      <alignment horizontal="center"/>
    </xf>
    <xf numFmtId="167" fontId="6" fillId="0" borderId="5" xfId="2" applyNumberFormat="1" applyFont="1" applyBorder="1"/>
    <xf numFmtId="0" fontId="6" fillId="0" borderId="0" xfId="2" applyNumberFormat="1" applyFont="1"/>
    <xf numFmtId="0" fontId="8" fillId="0" borderId="6" xfId="2" applyNumberFormat="1" applyFont="1" applyBorder="1" applyAlignment="1">
      <alignment horizontal="center" vertical="center"/>
    </xf>
    <xf numFmtId="167" fontId="8" fillId="0" borderId="6" xfId="2" applyNumberFormat="1" applyFont="1" applyBorder="1" applyAlignment="1">
      <alignment horizontal="center" vertical="center"/>
    </xf>
    <xf numFmtId="167" fontId="8" fillId="0" borderId="7" xfId="2" applyNumberFormat="1" applyFont="1" applyBorder="1" applyAlignment="1">
      <alignment horizontal="center" vertical="center"/>
    </xf>
    <xf numFmtId="0" fontId="6" fillId="0" borderId="7" xfId="2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1" xfId="2" applyNumberFormat="1" applyFont="1" applyBorder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6" fillId="0" borderId="0" xfId="2" quotePrefix="1" applyNumberFormat="1" applyFont="1" applyAlignment="1">
      <alignment horizontal="center" vertical="center"/>
    </xf>
    <xf numFmtId="1" fontId="6" fillId="0" borderId="8" xfId="2" applyNumberFormat="1" applyFont="1" applyBorder="1" applyAlignment="1">
      <alignment horizontal="center" vertical="center"/>
    </xf>
    <xf numFmtId="1" fontId="6" fillId="0" borderId="5" xfId="2" applyNumberFormat="1" applyFont="1" applyBorder="1" applyAlignment="1">
      <alignment horizontal="center" vertical="center"/>
    </xf>
    <xf numFmtId="1" fontId="6" fillId="0" borderId="7" xfId="1" applyNumberFormat="1" applyFont="1" applyBorder="1" applyAlignment="1">
      <alignment horizontal="center" vertical="center"/>
    </xf>
    <xf numFmtId="0" fontId="5" fillId="0" borderId="4" xfId="2" applyNumberFormat="1" applyFont="1" applyBorder="1"/>
    <xf numFmtId="0" fontId="5" fillId="0" borderId="0" xfId="2" applyNumberFormat="1" applyFont="1" applyAlignment="1">
      <alignment horizontal="center"/>
    </xf>
    <xf numFmtId="0" fontId="6" fillId="0" borderId="4" xfId="2" applyNumberFormat="1" applyFont="1" applyBorder="1"/>
    <xf numFmtId="164" fontId="6" fillId="0" borderId="7" xfId="1" applyFont="1" applyBorder="1" applyAlignment="1">
      <alignment horizontal="center"/>
    </xf>
    <xf numFmtId="0" fontId="6" fillId="0" borderId="0" xfId="2" applyNumberFormat="1" applyFont="1" applyAlignment="1">
      <alignment horizontal="left" indent="1"/>
    </xf>
    <xf numFmtId="0" fontId="9" fillId="0" borderId="9" xfId="0" applyFont="1" applyBorder="1" applyAlignment="1">
      <alignment horizontal="center"/>
    </xf>
    <xf numFmtId="168" fontId="5" fillId="0" borderId="0" xfId="2" applyNumberFormat="1" applyFont="1"/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3" fillId="0" borderId="13" xfId="2" applyNumberFormat="1" applyFont="1" applyBorder="1" applyAlignment="1">
      <alignment horizontal="left"/>
    </xf>
    <xf numFmtId="167" fontId="3" fillId="0" borderId="14" xfId="2" applyNumberFormat="1" applyFont="1" applyBorder="1"/>
    <xf numFmtId="0" fontId="3" fillId="0" borderId="14" xfId="2" quotePrefix="1" applyNumberFormat="1" applyFont="1" applyBorder="1"/>
    <xf numFmtId="167" fontId="4" fillId="0" borderId="14" xfId="2" applyNumberFormat="1" applyFont="1" applyBorder="1"/>
    <xf numFmtId="167" fontId="4" fillId="0" borderId="14" xfId="2" applyNumberFormat="1" applyFont="1" applyBorder="1" applyAlignment="1">
      <alignment horizontal="center"/>
    </xf>
    <xf numFmtId="167" fontId="4" fillId="0" borderId="15" xfId="2" applyNumberFormat="1" applyFont="1" applyBorder="1"/>
    <xf numFmtId="0" fontId="5" fillId="0" borderId="16" xfId="2" applyNumberFormat="1" applyFont="1" applyBorder="1" applyAlignment="1">
      <alignment horizontal="center"/>
    </xf>
    <xf numFmtId="167" fontId="5" fillId="0" borderId="17" xfId="2" applyNumberFormat="1" applyFont="1" applyBorder="1"/>
    <xf numFmtId="0" fontId="7" fillId="0" borderId="16" xfId="2" applyNumberFormat="1" applyFont="1" applyBorder="1" applyAlignment="1">
      <alignment horizontal="left" vertical="center"/>
    </xf>
    <xf numFmtId="0" fontId="6" fillId="0" borderId="16" xfId="2" applyNumberFormat="1" applyFont="1" applyBorder="1" applyAlignment="1">
      <alignment horizontal="center"/>
    </xf>
    <xf numFmtId="167" fontId="6" fillId="0" borderId="17" xfId="2" applyNumberFormat="1" applyFont="1" applyBorder="1"/>
    <xf numFmtId="0" fontId="8" fillId="0" borderId="18" xfId="2" applyNumberFormat="1" applyFont="1" applyBorder="1" applyAlignment="1">
      <alignment horizontal="center" vertical="center"/>
    </xf>
    <xf numFmtId="167" fontId="8" fillId="0" borderId="19" xfId="2" applyNumberFormat="1" applyFont="1" applyBorder="1" applyAlignment="1">
      <alignment horizontal="center" vertical="center"/>
    </xf>
    <xf numFmtId="0" fontId="6" fillId="0" borderId="20" xfId="2" applyNumberFormat="1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6" fillId="0" borderId="22" xfId="2" applyNumberFormat="1" applyFont="1" applyBorder="1" applyAlignment="1">
      <alignment horizontal="center"/>
    </xf>
    <xf numFmtId="1" fontId="6" fillId="0" borderId="17" xfId="2" applyNumberFormat="1" applyFont="1" applyBorder="1" applyAlignment="1">
      <alignment horizontal="center" vertical="center"/>
    </xf>
    <xf numFmtId="1" fontId="6" fillId="0" borderId="19" xfId="1" applyNumberFormat="1" applyFont="1" applyBorder="1" applyAlignment="1">
      <alignment horizontal="center" vertical="center"/>
    </xf>
    <xf numFmtId="0" fontId="5" fillId="0" borderId="16" xfId="2" applyNumberFormat="1" applyFont="1" applyBorder="1"/>
    <xf numFmtId="0" fontId="5" fillId="0" borderId="17" xfId="2" applyNumberFormat="1" applyFont="1" applyBorder="1"/>
    <xf numFmtId="0" fontId="6" fillId="0" borderId="23" xfId="2" applyNumberFormat="1" applyFont="1" applyBorder="1"/>
    <xf numFmtId="164" fontId="6" fillId="0" borderId="24" xfId="1" applyFont="1" applyBorder="1" applyAlignment="1">
      <alignment horizontal="center"/>
    </xf>
    <xf numFmtId="0" fontId="6" fillId="0" borderId="25" xfId="2" applyNumberFormat="1" applyFont="1" applyBorder="1" applyAlignment="1">
      <alignment horizontal="left" indent="1"/>
    </xf>
    <xf numFmtId="0" fontId="6" fillId="0" borderId="25" xfId="2" applyNumberFormat="1" applyFont="1" applyBorder="1"/>
    <xf numFmtId="0" fontId="5" fillId="0" borderId="25" xfId="2" applyNumberFormat="1" applyFont="1" applyBorder="1"/>
    <xf numFmtId="0" fontId="5" fillId="0" borderId="25" xfId="2" applyNumberFormat="1" applyFont="1" applyBorder="1" applyAlignment="1">
      <alignment horizontal="center"/>
    </xf>
    <xf numFmtId="0" fontId="5" fillId="0" borderId="26" xfId="2" applyNumberFormat="1" applyFont="1" applyBorder="1"/>
    <xf numFmtId="0" fontId="9" fillId="0" borderId="1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1" fontId="8" fillId="0" borderId="7" xfId="0" applyNumberFormat="1" applyFont="1" applyBorder="1" applyAlignment="1">
      <alignment horizontal="center" vertical="center"/>
    </xf>
    <xf numFmtId="1" fontId="6" fillId="2" borderId="7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1" fontId="6" fillId="0" borderId="7" xfId="0" applyNumberFormat="1" applyFont="1" applyBorder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2" fontId="6" fillId="2" borderId="0" xfId="0" applyNumberFormat="1" applyFont="1" applyFill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2" fontId="6" fillId="2" borderId="7" xfId="0" applyNumberFormat="1" applyFont="1" applyFill="1" applyBorder="1" applyAlignment="1">
      <alignment vertical="center"/>
    </xf>
    <xf numFmtId="0" fontId="6" fillId="0" borderId="7" xfId="2" applyNumberFormat="1" applyFont="1" applyBorder="1" applyAlignment="1">
      <alignment horizontal="center" vertical="center"/>
    </xf>
    <xf numFmtId="0" fontId="6" fillId="0" borderId="6" xfId="2" applyNumberFormat="1" applyFont="1" applyBorder="1" applyAlignment="1">
      <alignment horizontal="center"/>
    </xf>
    <xf numFmtId="1" fontId="6" fillId="0" borderId="29" xfId="2" applyNumberFormat="1" applyFont="1" applyBorder="1" applyAlignment="1">
      <alignment horizontal="center" vertical="center"/>
    </xf>
    <xf numFmtId="1" fontId="6" fillId="0" borderId="29" xfId="2" quotePrefix="1" applyNumberFormat="1" applyFont="1" applyBorder="1" applyAlignment="1">
      <alignment horizontal="center" vertical="center"/>
    </xf>
    <xf numFmtId="1" fontId="6" fillId="0" borderId="30" xfId="2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1" fontId="6" fillId="0" borderId="31" xfId="1" applyNumberFormat="1" applyFont="1" applyBorder="1" applyAlignment="1">
      <alignment horizontal="center" vertical="center"/>
    </xf>
    <xf numFmtId="1" fontId="6" fillId="0" borderId="6" xfId="1" applyNumberFormat="1" applyFont="1" applyBorder="1" applyAlignment="1">
      <alignment horizontal="center" vertical="center"/>
    </xf>
    <xf numFmtId="0" fontId="5" fillId="0" borderId="2" xfId="2" applyNumberFormat="1" applyFont="1" applyBorder="1"/>
    <xf numFmtId="0" fontId="6" fillId="0" borderId="5" xfId="2" applyNumberFormat="1" applyFont="1" applyBorder="1"/>
    <xf numFmtId="0" fontId="7" fillId="0" borderId="0" xfId="2" applyNumberFormat="1" applyFont="1" applyAlignment="1">
      <alignment horizontal="left"/>
    </xf>
    <xf numFmtId="0" fontId="0" fillId="0" borderId="7" xfId="0" applyBorder="1" applyAlignment="1">
      <alignment horizontal="center" vertical="center"/>
    </xf>
    <xf numFmtId="1" fontId="6" fillId="0" borderId="29" xfId="2" applyNumberFormat="1" applyFont="1" applyBorder="1" applyAlignment="1">
      <alignment horizontal="center"/>
    </xf>
    <xf numFmtId="1" fontId="6" fillId="0" borderId="7" xfId="2" applyNumberFormat="1" applyFont="1" applyBorder="1" applyAlignment="1">
      <alignment horizontal="center" vertical="center"/>
    </xf>
    <xf numFmtId="1" fontId="10" fillId="0" borderId="29" xfId="2" applyNumberFormat="1" applyFont="1" applyBorder="1" applyAlignment="1">
      <alignment horizontal="center"/>
    </xf>
    <xf numFmtId="1" fontId="10" fillId="0" borderId="29" xfId="2" quotePrefix="1" applyNumberFormat="1" applyFont="1" applyBorder="1" applyAlignment="1">
      <alignment horizontal="center"/>
    </xf>
    <xf numFmtId="1" fontId="6" fillId="0" borderId="30" xfId="2" applyNumberFormat="1" applyFont="1" applyBorder="1" applyAlignment="1">
      <alignment horizontal="center"/>
    </xf>
    <xf numFmtId="0" fontId="0" fillId="0" borderId="7" xfId="3" applyNumberFormat="1" applyFont="1" applyBorder="1" applyAlignment="1">
      <alignment horizontal="center"/>
    </xf>
    <xf numFmtId="1" fontId="0" fillId="0" borderId="7" xfId="3" applyNumberFormat="1" applyFont="1" applyBorder="1" applyAlignment="1">
      <alignment horizontal="center"/>
    </xf>
    <xf numFmtId="164" fontId="6" fillId="0" borderId="32" xfId="1" applyFont="1" applyBorder="1" applyAlignment="1">
      <alignment horizontal="center"/>
    </xf>
    <xf numFmtId="0" fontId="0" fillId="0" borderId="28" xfId="0" applyBorder="1"/>
    <xf numFmtId="1" fontId="6" fillId="0" borderId="33" xfId="2" applyNumberFormat="1" applyFont="1" applyBorder="1" applyAlignment="1">
      <alignment horizontal="center" vertical="center"/>
    </xf>
    <xf numFmtId="1" fontId="6" fillId="0" borderId="29" xfId="2" quotePrefix="1" applyNumberFormat="1" applyFont="1" applyBorder="1" applyAlignment="1">
      <alignment horizontal="center"/>
    </xf>
    <xf numFmtId="1" fontId="6" fillId="0" borderId="1" xfId="1" applyNumberFormat="1" applyFont="1" applyBorder="1" applyAlignment="1">
      <alignment horizontal="center"/>
    </xf>
    <xf numFmtId="1" fontId="6" fillId="0" borderId="7" xfId="1" applyNumberFormat="1" applyFont="1" applyBorder="1" applyAlignment="1">
      <alignment horizontal="center"/>
    </xf>
    <xf numFmtId="1" fontId="6" fillId="0" borderId="6" xfId="1" applyNumberFormat="1" applyFont="1" applyBorder="1" applyAlignment="1">
      <alignment horizontal="center"/>
    </xf>
    <xf numFmtId="167" fontId="6" fillId="0" borderId="29" xfId="2" applyNumberFormat="1" applyFont="1" applyBorder="1" applyAlignment="1">
      <alignment horizontal="center" vertical="center"/>
    </xf>
    <xf numFmtId="167" fontId="6" fillId="0" borderId="29" xfId="2" quotePrefix="1" applyNumberFormat="1" applyFont="1" applyBorder="1" applyAlignment="1">
      <alignment horizontal="center" vertical="center"/>
    </xf>
    <xf numFmtId="167" fontId="6" fillId="0" borderId="30" xfId="2" applyNumberFormat="1" applyFont="1" applyBorder="1" applyAlignment="1">
      <alignment horizontal="center" vertical="center"/>
    </xf>
    <xf numFmtId="0" fontId="0" fillId="0" borderId="7" xfId="3" applyNumberFormat="1" applyFont="1" applyBorder="1" applyAlignment="1">
      <alignment horizontal="center" vertical="center"/>
    </xf>
    <xf numFmtId="1" fontId="0" fillId="0" borderId="7" xfId="3" applyNumberFormat="1" applyFont="1" applyBorder="1" applyAlignment="1">
      <alignment horizontal="center" vertical="center"/>
    </xf>
    <xf numFmtId="164" fontId="6" fillId="0" borderId="7" xfId="1" applyFont="1" applyBorder="1" applyAlignment="1">
      <alignment horizontal="center" vertical="center"/>
    </xf>
    <xf numFmtId="0" fontId="6" fillId="0" borderId="0" xfId="2" applyNumberFormat="1" applyFont="1" applyAlignment="1">
      <alignment horizontal="center"/>
    </xf>
    <xf numFmtId="0" fontId="1" fillId="0" borderId="7" xfId="3" applyNumberFormat="1" applyFont="1" applyBorder="1" applyAlignment="1">
      <alignment horizontal="center" vertical="center"/>
    </xf>
    <xf numFmtId="1" fontId="1" fillId="0" borderId="7" xfId="3" applyNumberFormat="1" applyFont="1" applyBorder="1" applyAlignment="1">
      <alignment horizontal="center" vertical="center"/>
    </xf>
    <xf numFmtId="0" fontId="11" fillId="0" borderId="7" xfId="2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1" fillId="0" borderId="0" xfId="4" applyAlignment="1">
      <alignment horizontal="left"/>
    </xf>
    <xf numFmtId="0" fontId="1" fillId="0" borderId="0" xfId="4" applyAlignment="1">
      <alignment horizontal="center"/>
    </xf>
    <xf numFmtId="2" fontId="1" fillId="0" borderId="0" xfId="4" applyNumberFormat="1" applyAlignment="1">
      <alignment horizontal="center"/>
    </xf>
    <xf numFmtId="0" fontId="1" fillId="0" borderId="0" xfId="4"/>
    <xf numFmtId="0" fontId="1" fillId="0" borderId="20" xfId="4" applyBorder="1" applyAlignment="1">
      <alignment horizontal="center"/>
    </xf>
    <xf numFmtId="0" fontId="1" fillId="0" borderId="7" xfId="4" applyBorder="1" applyAlignment="1">
      <alignment horizontal="center"/>
    </xf>
    <xf numFmtId="0" fontId="1" fillId="0" borderId="19" xfId="4" applyBorder="1" applyAlignment="1">
      <alignment horizontal="center"/>
    </xf>
    <xf numFmtId="0" fontId="1" fillId="0" borderId="37" xfId="4" applyBorder="1" applyAlignment="1">
      <alignment horizontal="center"/>
    </xf>
    <xf numFmtId="0" fontId="1" fillId="0" borderId="24" xfId="4" applyBorder="1" applyAlignment="1">
      <alignment horizontal="center"/>
    </xf>
    <xf numFmtId="0" fontId="1" fillId="0" borderId="38" xfId="4" applyBorder="1" applyAlignment="1">
      <alignment horizontal="center"/>
    </xf>
    <xf numFmtId="0" fontId="1" fillId="0" borderId="39" xfId="4" applyBorder="1" applyAlignment="1">
      <alignment horizontal="center"/>
    </xf>
    <xf numFmtId="2" fontId="1" fillId="0" borderId="0" xfId="4" applyNumberFormat="1"/>
    <xf numFmtId="0" fontId="1" fillId="0" borderId="40" xfId="4" applyBorder="1" applyAlignment="1">
      <alignment horizontal="center"/>
    </xf>
    <xf numFmtId="0" fontId="1" fillId="0" borderId="41" xfId="4" applyBorder="1" applyAlignment="1">
      <alignment horizontal="center"/>
    </xf>
    <xf numFmtId="0" fontId="1" fillId="0" borderId="42" xfId="4" applyBorder="1" applyAlignment="1">
      <alignment horizontal="center"/>
    </xf>
    <xf numFmtId="0" fontId="1" fillId="0" borderId="31" xfId="4" applyBorder="1" applyAlignment="1">
      <alignment horizontal="center"/>
    </xf>
    <xf numFmtId="0" fontId="1" fillId="3" borderId="0" xfId="4" applyFill="1"/>
    <xf numFmtId="1" fontId="0" fillId="0" borderId="7" xfId="0" applyNumberFormat="1" applyBorder="1" applyAlignment="1">
      <alignment horizontal="center" vertical="center"/>
    </xf>
    <xf numFmtId="0" fontId="1" fillId="0" borderId="20" xfId="4" applyBorder="1" applyAlignment="1">
      <alignment horizontal="center"/>
    </xf>
    <xf numFmtId="0" fontId="1" fillId="0" borderId="7" xfId="4" applyBorder="1" applyAlignment="1">
      <alignment horizontal="center"/>
    </xf>
    <xf numFmtId="0" fontId="1" fillId="0" borderId="19" xfId="4" applyBorder="1" applyAlignment="1">
      <alignment horizontal="center"/>
    </xf>
    <xf numFmtId="0" fontId="0" fillId="0" borderId="34" xfId="4" applyFont="1" applyBorder="1" applyAlignment="1">
      <alignment horizontal="left"/>
    </xf>
    <xf numFmtId="0" fontId="1" fillId="0" borderId="35" xfId="4" applyBorder="1" applyAlignment="1">
      <alignment horizontal="left"/>
    </xf>
    <xf numFmtId="0" fontId="1" fillId="0" borderId="36" xfId="4" applyBorder="1" applyAlignment="1">
      <alignment horizontal="left"/>
    </xf>
    <xf numFmtId="0" fontId="12" fillId="0" borderId="0" xfId="4" applyFont="1" applyAlignment="1">
      <alignment horizontal="center"/>
    </xf>
    <xf numFmtId="0" fontId="12" fillId="3" borderId="0" xfId="4" applyFont="1" applyFill="1" applyAlignment="1">
      <alignment horizontal="center"/>
    </xf>
    <xf numFmtId="1" fontId="6" fillId="2" borderId="7" xfId="0" applyNumberFormat="1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</cellXfs>
  <cellStyles count="6">
    <cellStyle name="Comma" xfId="3" builtinId="3"/>
    <cellStyle name="Comma [0]" xfId="1" builtinId="6"/>
    <cellStyle name="Currency 2" xfId="5" xr:uid="{E5930BE9-946B-4C2A-9595-6ECC73A30D51}"/>
    <cellStyle name="Normal" xfId="0" builtinId="0"/>
    <cellStyle name="Normal 6 2" xfId="4" xr:uid="{D82D60D1-2FA5-41EE-AD42-F99AFD164332}"/>
    <cellStyle name="Normal_CH 2000" xfId="2" xr:uid="{D246055C-69B5-4616-8FF5-1C9CBA1EF3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B7E1-4930-4D4F-BC09-AE695D6E0EDB}">
  <dimension ref="A1:CD365"/>
  <sheetViews>
    <sheetView topLeftCell="A211" zoomScale="50" zoomScaleNormal="50" workbookViewId="0">
      <selection activeCell="P21" sqref="P21"/>
    </sheetView>
  </sheetViews>
  <sheetFormatPr defaultColWidth="9.140625" defaultRowHeight="15"/>
  <cols>
    <col min="1" max="13" width="9.140625" style="127"/>
    <col min="14" max="14" width="9.140625" style="129" customWidth="1"/>
    <col min="15" max="18" width="9.140625" style="127"/>
    <col min="19" max="19" width="10.28515625" style="127" customWidth="1"/>
    <col min="20" max="20" width="9.140625" style="127"/>
    <col min="21" max="21" width="11.5703125" style="127" customWidth="1"/>
    <col min="22" max="27" width="9.140625" style="127"/>
    <col min="28" max="28" width="9.140625" style="129"/>
    <col min="29" max="41" width="9.140625" style="127"/>
    <col min="42" max="42" width="9.28515625" style="129" customWidth="1"/>
    <col min="43" max="43" width="9.140625" style="127"/>
    <col min="44" max="44" width="10.42578125" style="127" customWidth="1"/>
    <col min="45" max="45" width="9.140625" style="127"/>
    <col min="46" max="46" width="10.7109375" style="127" customWidth="1"/>
    <col min="47" max="55" width="9.140625" style="127"/>
    <col min="56" max="56" width="9.140625" style="129"/>
    <col min="57" max="59" width="9.140625" style="127"/>
    <col min="60" max="60" width="10" style="127" customWidth="1"/>
    <col min="61" max="63" width="9.140625" style="127"/>
    <col min="64" max="64" width="10.28515625" style="127" customWidth="1"/>
    <col min="65" max="65" width="12.140625" style="127" customWidth="1"/>
    <col min="66" max="66" width="10.5703125" style="127" customWidth="1"/>
    <col min="67" max="69" width="9.140625" style="127"/>
    <col min="70" max="16384" width="9.140625" style="129"/>
  </cols>
  <sheetData>
    <row r="1" spans="1:69">
      <c r="A1" s="126" t="s">
        <v>0</v>
      </c>
      <c r="F1" s="128">
        <v>14.2</v>
      </c>
      <c r="O1" s="126" t="s">
        <v>1</v>
      </c>
      <c r="T1" s="128">
        <v>14.2</v>
      </c>
      <c r="AC1" s="126"/>
      <c r="AH1" s="128"/>
      <c r="AQ1" s="126" t="s">
        <v>2</v>
      </c>
      <c r="AV1" s="128">
        <v>25</v>
      </c>
      <c r="AW1" s="127" t="s">
        <v>3</v>
      </c>
      <c r="BE1" s="126" t="s">
        <v>4</v>
      </c>
      <c r="BI1" s="127">
        <v>37.6</v>
      </c>
      <c r="BJ1" s="128"/>
    </row>
    <row r="2" spans="1:69">
      <c r="A2" s="126" t="s">
        <v>5</v>
      </c>
      <c r="F2" s="127">
        <v>20.3</v>
      </c>
      <c r="O2" s="126" t="s">
        <v>6</v>
      </c>
      <c r="T2" s="128">
        <v>7.9</v>
      </c>
      <c r="AC2" s="126"/>
      <c r="AH2" s="128"/>
      <c r="AQ2" s="126" t="s">
        <v>7</v>
      </c>
      <c r="AV2" s="128">
        <v>17.3</v>
      </c>
      <c r="AW2" s="127" t="s">
        <v>3</v>
      </c>
      <c r="BE2" s="126"/>
      <c r="BJ2" s="128"/>
    </row>
    <row r="3" spans="1:69">
      <c r="O3" s="126" t="s">
        <v>8</v>
      </c>
      <c r="T3" s="128">
        <v>25</v>
      </c>
      <c r="AQ3" s="126"/>
      <c r="AV3" s="128"/>
      <c r="BE3" s="126"/>
    </row>
    <row r="5" spans="1:69">
      <c r="A5" s="150" t="s">
        <v>9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O5" s="150" t="s">
        <v>10</v>
      </c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C5" s="150" t="s">
        <v>11</v>
      </c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Q5" s="151" t="s">
        <v>12</v>
      </c>
      <c r="AR5" s="151"/>
      <c r="AS5" s="151"/>
      <c r="AT5" s="151"/>
      <c r="AU5" s="151"/>
      <c r="AV5" s="151"/>
      <c r="AW5" s="151"/>
      <c r="AX5" s="151"/>
      <c r="AY5" s="151"/>
      <c r="AZ5" s="151"/>
      <c r="BA5" s="151"/>
      <c r="BB5" s="151"/>
      <c r="BC5" s="151"/>
      <c r="BE5" s="151" t="s">
        <v>13</v>
      </c>
      <c r="BF5" s="151"/>
      <c r="BG5" s="151"/>
      <c r="BH5" s="151"/>
      <c r="BI5" s="151"/>
      <c r="BJ5" s="151"/>
      <c r="BK5" s="151"/>
      <c r="BL5" s="151"/>
      <c r="BM5" s="151"/>
      <c r="BN5" s="151"/>
      <c r="BO5" s="151"/>
      <c r="BP5" s="151"/>
      <c r="BQ5" s="151"/>
    </row>
    <row r="6" spans="1:69" ht="15.75" thickBot="1"/>
    <row r="7" spans="1:69">
      <c r="A7" s="147" t="s">
        <v>14</v>
      </c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9"/>
      <c r="O7" s="147" t="s">
        <v>14</v>
      </c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9"/>
      <c r="AC7" s="147" t="s">
        <v>14</v>
      </c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9"/>
      <c r="AQ7" s="147" t="s">
        <v>14</v>
      </c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9"/>
      <c r="BE7" s="147" t="s">
        <v>14</v>
      </c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9"/>
    </row>
    <row r="8" spans="1:69">
      <c r="A8" s="144"/>
      <c r="B8" s="145" t="s">
        <v>15</v>
      </c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6"/>
      <c r="O8" s="144"/>
      <c r="P8" s="145" t="s">
        <v>15</v>
      </c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6"/>
      <c r="AC8" s="144"/>
      <c r="AD8" s="145" t="s">
        <v>15</v>
      </c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6"/>
      <c r="AQ8" s="144"/>
      <c r="AR8" s="145" t="s">
        <v>15</v>
      </c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6"/>
      <c r="BE8" s="144"/>
      <c r="BF8" s="145" t="s">
        <v>15</v>
      </c>
      <c r="BG8" s="145"/>
      <c r="BH8" s="145"/>
      <c r="BI8" s="145"/>
      <c r="BJ8" s="145"/>
      <c r="BK8" s="145"/>
      <c r="BL8" s="145"/>
      <c r="BM8" s="145"/>
      <c r="BN8" s="145"/>
      <c r="BO8" s="145"/>
      <c r="BP8" s="145"/>
      <c r="BQ8" s="146"/>
    </row>
    <row r="9" spans="1:69">
      <c r="A9" s="144"/>
      <c r="B9" s="131" t="s">
        <v>16</v>
      </c>
      <c r="C9" s="131" t="s">
        <v>17</v>
      </c>
      <c r="D9" s="131" t="s">
        <v>18</v>
      </c>
      <c r="E9" s="131" t="s">
        <v>19</v>
      </c>
      <c r="F9" s="131" t="s">
        <v>20</v>
      </c>
      <c r="G9" s="131" t="s">
        <v>21</v>
      </c>
      <c r="H9" s="131" t="s">
        <v>22</v>
      </c>
      <c r="I9" s="131" t="s">
        <v>23</v>
      </c>
      <c r="J9" s="131" t="s">
        <v>24</v>
      </c>
      <c r="K9" s="131" t="s">
        <v>25</v>
      </c>
      <c r="L9" s="131" t="s">
        <v>26</v>
      </c>
      <c r="M9" s="132" t="s">
        <v>27</v>
      </c>
      <c r="O9" s="144"/>
      <c r="P9" s="131" t="s">
        <v>16</v>
      </c>
      <c r="Q9" s="131" t="s">
        <v>17</v>
      </c>
      <c r="R9" s="131" t="s">
        <v>18</v>
      </c>
      <c r="S9" s="131" t="s">
        <v>19</v>
      </c>
      <c r="T9" s="131" t="s">
        <v>20</v>
      </c>
      <c r="U9" s="131" t="s">
        <v>21</v>
      </c>
      <c r="V9" s="131" t="s">
        <v>22</v>
      </c>
      <c r="W9" s="131" t="s">
        <v>23</v>
      </c>
      <c r="X9" s="131" t="s">
        <v>24</v>
      </c>
      <c r="Y9" s="131" t="s">
        <v>25</v>
      </c>
      <c r="Z9" s="131" t="s">
        <v>26</v>
      </c>
      <c r="AA9" s="132" t="s">
        <v>27</v>
      </c>
      <c r="AC9" s="144"/>
      <c r="AD9" s="131" t="s">
        <v>16</v>
      </c>
      <c r="AE9" s="131" t="s">
        <v>17</v>
      </c>
      <c r="AF9" s="131" t="s">
        <v>18</v>
      </c>
      <c r="AG9" s="131" t="s">
        <v>19</v>
      </c>
      <c r="AH9" s="131" t="s">
        <v>20</v>
      </c>
      <c r="AI9" s="131" t="s">
        <v>21</v>
      </c>
      <c r="AJ9" s="131" t="s">
        <v>22</v>
      </c>
      <c r="AK9" s="131" t="s">
        <v>23</v>
      </c>
      <c r="AL9" s="131" t="s">
        <v>24</v>
      </c>
      <c r="AM9" s="131" t="s">
        <v>25</v>
      </c>
      <c r="AN9" s="131" t="s">
        <v>26</v>
      </c>
      <c r="AO9" s="132" t="s">
        <v>27</v>
      </c>
      <c r="AQ9" s="144"/>
      <c r="AR9" s="131" t="s">
        <v>16</v>
      </c>
      <c r="AS9" s="131" t="s">
        <v>17</v>
      </c>
      <c r="AT9" s="131" t="s">
        <v>18</v>
      </c>
      <c r="AU9" s="131" t="s">
        <v>19</v>
      </c>
      <c r="AV9" s="131" t="s">
        <v>20</v>
      </c>
      <c r="AW9" s="131" t="s">
        <v>21</v>
      </c>
      <c r="AX9" s="131" t="s">
        <v>22</v>
      </c>
      <c r="AY9" s="131" t="s">
        <v>23</v>
      </c>
      <c r="AZ9" s="131" t="s">
        <v>24</v>
      </c>
      <c r="BA9" s="131" t="s">
        <v>25</v>
      </c>
      <c r="BB9" s="131" t="s">
        <v>26</v>
      </c>
      <c r="BC9" s="132" t="s">
        <v>27</v>
      </c>
      <c r="BE9" s="144"/>
      <c r="BF9" s="131" t="s">
        <v>16</v>
      </c>
      <c r="BG9" s="131" t="s">
        <v>17</v>
      </c>
      <c r="BH9" s="131" t="s">
        <v>18</v>
      </c>
      <c r="BI9" s="131" t="s">
        <v>19</v>
      </c>
      <c r="BJ9" s="131" t="s">
        <v>20</v>
      </c>
      <c r="BK9" s="131" t="s">
        <v>21</v>
      </c>
      <c r="BL9" s="131" t="s">
        <v>22</v>
      </c>
      <c r="BM9" s="131" t="s">
        <v>23</v>
      </c>
      <c r="BN9" s="131" t="s">
        <v>24</v>
      </c>
      <c r="BO9" s="131" t="s">
        <v>25</v>
      </c>
      <c r="BP9" s="131" t="s">
        <v>26</v>
      </c>
      <c r="BQ9" s="132" t="s">
        <v>27</v>
      </c>
    </row>
    <row r="10" spans="1:69">
      <c r="A10" s="130">
        <v>1</v>
      </c>
      <c r="B10" s="131">
        <f>IF('Data 2'!B10&lt;0.1,0,'Data 2'!B10)</f>
        <v>32.901129161031726</v>
      </c>
      <c r="C10" s="131">
        <f>IF('Data 2'!C10&lt;0.1,0,'Data 2'!C10)</f>
        <v>3.4826128753686469</v>
      </c>
      <c r="D10" s="131">
        <f>IF('Data 2'!D10&lt;0.1,0,'Data 2'!D10)</f>
        <v>0</v>
      </c>
      <c r="E10" s="131">
        <f>IF('Data 2'!E10&lt;0.1,0,'Data 2'!E10)</f>
        <v>3.7741612761311969</v>
      </c>
      <c r="F10" s="131">
        <f>IF('Data 2'!F10&lt;0.1,0,'Data 2'!F10)</f>
        <v>8.7617258403532503</v>
      </c>
      <c r="G10" s="131">
        <f>IF('Data 2'!G10&lt;0.1,0,'Data 2'!G10)</f>
        <v>0</v>
      </c>
      <c r="H10" s="131">
        <f>IF('Data 2'!H10&lt;0.1,0,'Data 2'!H10)</f>
        <v>22.8622097665097</v>
      </c>
      <c r="I10" s="131">
        <f>IF('Data 2'!I10&lt;0.1,0,'Data 2'!I10)</f>
        <v>1.3429032310625193</v>
      </c>
      <c r="J10" s="131">
        <f>IF('Data 2'!J10&lt;0.1,0,'Data 2'!J10)</f>
        <v>9.1109999511185702</v>
      </c>
      <c r="K10" s="131">
        <f>IF('Data 2'!K10&lt;0.1,0,'Data 2'!K10)</f>
        <v>0</v>
      </c>
      <c r="L10" s="131">
        <f>IF('Data 2'!L10&lt;0.1,0,'Data 2'!L10)</f>
        <v>0</v>
      </c>
      <c r="M10" s="131">
        <f>IF('Data 2'!M10&lt;0.1,0,'Data 2'!M10)</f>
        <v>18.127580532155832</v>
      </c>
      <c r="O10" s="130">
        <v>1</v>
      </c>
      <c r="P10" s="131">
        <f>'Stasiun Pontianak Kota'!Q52</f>
        <v>49</v>
      </c>
      <c r="Q10" s="131">
        <f>'Stasiun Pontianak Kota'!R52</f>
        <v>0</v>
      </c>
      <c r="R10" s="131">
        <f>'Stasiun Pontianak Kota'!S52</f>
        <v>0</v>
      </c>
      <c r="S10" s="131">
        <f>'Stasiun Pontianak Kota'!T52</f>
        <v>2</v>
      </c>
      <c r="T10" s="131">
        <f>'Stasiun Pontianak Kota'!U52</f>
        <v>13</v>
      </c>
      <c r="U10" s="131">
        <f>'Stasiun Pontianak Kota'!V52</f>
        <v>0</v>
      </c>
      <c r="V10" s="131">
        <f>'Stasiun Pontianak Kota'!W52</f>
        <v>34</v>
      </c>
      <c r="W10" s="131">
        <f>'Stasiun Pontianak Kota'!X52</f>
        <v>2</v>
      </c>
      <c r="X10" s="131">
        <f>'Stasiun Pontianak Kota'!Y52</f>
        <v>3</v>
      </c>
      <c r="Y10" s="131">
        <f>'Stasiun Pontianak Kota'!Z52</f>
        <v>0</v>
      </c>
      <c r="Z10" s="131">
        <f>'Stasiun Pontianak Kota'!AA52</f>
        <v>0</v>
      </c>
      <c r="AA10" s="131">
        <f>'Stasiun Pontianak Kota'!AB52</f>
        <v>4</v>
      </c>
      <c r="AC10" s="130">
        <v>1</v>
      </c>
      <c r="AD10" s="131">
        <f>'Sta. Meteorologi pnk'!B8</f>
        <v>0</v>
      </c>
      <c r="AE10" s="131">
        <f>'Sta. Meteorologi pnk'!C8</f>
        <v>10.6</v>
      </c>
      <c r="AF10" s="131">
        <f>'Sta. Meteorologi pnk'!D8</f>
        <v>0</v>
      </c>
      <c r="AG10" s="131">
        <f>'Sta. Meteorologi pnk'!E8</f>
        <v>7.4</v>
      </c>
      <c r="AH10" s="131">
        <f>'Sta. Meteorologi pnk'!F8</f>
        <v>0.1</v>
      </c>
      <c r="AI10" s="131">
        <f>'Sta. Meteorologi pnk'!G8</f>
        <v>0.3</v>
      </c>
      <c r="AJ10" s="131">
        <f>'Sta. Meteorologi pnk'!H8</f>
        <v>0.1</v>
      </c>
      <c r="AK10" s="131">
        <f>'Sta. Meteorologi pnk'!I8</f>
        <v>0</v>
      </c>
      <c r="AL10" s="131">
        <f>'Sta. Meteorologi pnk'!J8</f>
        <v>21.6</v>
      </c>
      <c r="AM10" s="131">
        <f>'Sta. Meteorologi pnk'!K8</f>
        <v>0</v>
      </c>
      <c r="AN10" s="131">
        <f>'Sta. Meteorologi pnk'!L8</f>
        <v>0</v>
      </c>
      <c r="AO10" s="131">
        <f>'Sta. Meteorologi pnk'!M8</f>
        <v>47</v>
      </c>
      <c r="AQ10" s="130">
        <v>1</v>
      </c>
      <c r="AR10" s="131">
        <f>((P10/($AV$1^2))+(AD10/($AV$2^2)))/((1/($AV$1^2))+(1/($AV$2^2)))</f>
        <v>15.866459660928928</v>
      </c>
      <c r="AS10" s="131">
        <f t="shared" ref="AS10:BC25" si="0">((Q10/($AV$1^2))+(AE10/($AV$2^2)))/((1/($AV$1^2))+(1/($AV$2^2)))</f>
        <v>7.1676638284521088</v>
      </c>
      <c r="AT10" s="131">
        <f t="shared" si="0"/>
        <v>0</v>
      </c>
      <c r="AU10" s="131">
        <f t="shared" si="0"/>
        <v>5.6514513843057914</v>
      </c>
      <c r="AV10" s="131">
        <f t="shared" si="0"/>
        <v>4.2770883597139422</v>
      </c>
      <c r="AW10" s="131">
        <f t="shared" si="0"/>
        <v>0.20285841023921061</v>
      </c>
      <c r="AX10" s="131">
        <f t="shared" si="0"/>
        <v>11.076999642969197</v>
      </c>
      <c r="AY10" s="131">
        <f t="shared" si="0"/>
        <v>0.64761059840526247</v>
      </c>
      <c r="AZ10" s="131">
        <f t="shared" si="0"/>
        <v>15.577221434831058</v>
      </c>
      <c r="BA10" s="131">
        <f t="shared" si="0"/>
        <v>0</v>
      </c>
      <c r="BB10" s="131">
        <f t="shared" si="0"/>
        <v>0</v>
      </c>
      <c r="BC10" s="131">
        <f t="shared" si="0"/>
        <v>33.076372134286856</v>
      </c>
      <c r="BE10" s="130">
        <v>1</v>
      </c>
      <c r="BF10" s="131">
        <f>((B10/($BI$1^2))+(P10/($AV$1^2))+(AD10/($AV$2^2)))/((1/($BI$1^2))+(1/($AV$1^2))+(1/($AV$2^2)))</f>
        <v>17.999598658584961</v>
      </c>
      <c r="BG10" s="131">
        <f t="shared" ref="BG10:BQ25" si="1">((C10/($BI$1^2))+(Q10/($AV$1^2))+(AE10/($AV$2^2)))/((1/($BI$1^2))+(1/($AV$1^2))+(1/($AV$2^2)))</f>
        <v>6.7062092697754982</v>
      </c>
      <c r="BH10" s="131">
        <f t="shared" si="1"/>
        <v>0</v>
      </c>
      <c r="BI10" s="131">
        <f t="shared" si="1"/>
        <v>5.4163707600743098</v>
      </c>
      <c r="BJ10" s="131">
        <f t="shared" si="1"/>
        <v>4.8386698509335915</v>
      </c>
      <c r="BK10" s="131">
        <f t="shared" si="1"/>
        <v>0.17745579318924937</v>
      </c>
      <c r="BL10" s="131">
        <f t="shared" si="1"/>
        <v>12.552783561755717</v>
      </c>
      <c r="BM10" s="131">
        <f t="shared" si="1"/>
        <v>0.73467749626877399</v>
      </c>
      <c r="BN10" s="131">
        <f t="shared" si="1"/>
        <v>14.767499284700403</v>
      </c>
      <c r="BO10" s="131">
        <f t="shared" si="1"/>
        <v>0</v>
      </c>
      <c r="BP10" s="131">
        <f t="shared" si="1"/>
        <v>0</v>
      </c>
      <c r="BQ10" s="131">
        <f t="shared" si="1"/>
        <v>31.204433830221362</v>
      </c>
    </row>
    <row r="11" spans="1:69">
      <c r="A11" s="130">
        <v>2</v>
      </c>
      <c r="B11" s="131">
        <f>IF('Data 2'!B11&lt;0.1,0,'Data 2'!B11)</f>
        <v>0.39425806136248831</v>
      </c>
      <c r="C11" s="131">
        <f>IF('Data 2'!C11&lt;0.1,0,'Data 2'!C11)</f>
        <v>0.65709676893748048</v>
      </c>
      <c r="D11" s="131">
        <f>IF('Data 2'!D11&lt;0.1,0,'Data 2'!D11)</f>
        <v>0</v>
      </c>
      <c r="E11" s="131">
        <f>IF('Data 2'!E11&lt;0.1,0,'Data 2'!E11)</f>
        <v>0</v>
      </c>
      <c r="F11" s="131">
        <f>IF('Data 2'!F11&lt;0.1,0,'Data 2'!F11)</f>
        <v>3.1129193619344009</v>
      </c>
      <c r="G11" s="131">
        <f>IF('Data 2'!G11&lt;0.1,0,'Data 2'!G11)</f>
        <v>0</v>
      </c>
      <c r="H11" s="131">
        <f>IF('Data 2'!H11&lt;0.1,0,'Data 2'!H11)</f>
        <v>0.4271128998093624</v>
      </c>
      <c r="I11" s="131">
        <f>IF('Data 2'!I11&lt;0.1,0,'Data 2'!I11)</f>
        <v>0</v>
      </c>
      <c r="J11" s="131">
        <f>IF('Data 2'!J11&lt;0.1,0,'Data 2'!J11)</f>
        <v>13.020419402668926</v>
      </c>
      <c r="K11" s="131">
        <f>IF('Data 2'!K11&lt;0.1,0,'Data 2'!K11)</f>
        <v>0</v>
      </c>
      <c r="L11" s="131">
        <f>IF('Data 2'!L11&lt;0.1,0,'Data 2'!L11)</f>
        <v>1.7741612761311976</v>
      </c>
      <c r="M11" s="131">
        <f>IF('Data 2'!M11&lt;0.1,0,'Data 2'!M11)</f>
        <v>29.975129128444102</v>
      </c>
      <c r="O11" s="130">
        <v>2</v>
      </c>
      <c r="P11" s="131">
        <f>'Stasiun Pontianak Kota'!Q53</f>
        <v>0</v>
      </c>
      <c r="Q11" s="131">
        <f>'Stasiun Pontianak Kota'!R53</f>
        <v>0</v>
      </c>
      <c r="R11" s="131">
        <f>'Stasiun Pontianak Kota'!S53</f>
        <v>0</v>
      </c>
      <c r="S11" s="131">
        <f>'Stasiun Pontianak Kota'!T53</f>
        <v>0</v>
      </c>
      <c r="T11" s="131">
        <f>'Stasiun Pontianak Kota'!U53</f>
        <v>4</v>
      </c>
      <c r="U11" s="131">
        <f>'Stasiun Pontianak Kota'!V53</f>
        <v>0</v>
      </c>
      <c r="V11" s="131">
        <f>'Stasiun Pontianak Kota'!W53</f>
        <v>0</v>
      </c>
      <c r="W11" s="131">
        <f>'Stasiun Pontianak Kota'!X53</f>
        <v>0</v>
      </c>
      <c r="X11" s="131">
        <f>'Stasiun Pontianak Kota'!Y53</f>
        <v>19</v>
      </c>
      <c r="Y11" s="131">
        <f>'Stasiun Pontianak Kota'!Z53</f>
        <v>0</v>
      </c>
      <c r="Z11" s="131">
        <f>'Stasiun Pontianak Kota'!AA53</f>
        <v>0</v>
      </c>
      <c r="AA11" s="131">
        <f>'Stasiun Pontianak Kota'!AB53</f>
        <v>42</v>
      </c>
      <c r="AC11" s="130">
        <v>2</v>
      </c>
      <c r="AD11" s="131">
        <f>'Sta. Meteorologi pnk'!B9</f>
        <v>1.2</v>
      </c>
      <c r="AE11" s="131">
        <f>'Sta. Meteorologi pnk'!C9</f>
        <v>2</v>
      </c>
      <c r="AF11" s="131">
        <f>'Sta. Meteorologi pnk'!D9</f>
        <v>0</v>
      </c>
      <c r="AG11" s="131">
        <f>'Sta. Meteorologi pnk'!E9</f>
        <v>0</v>
      </c>
      <c r="AH11" s="131">
        <f>'Sta. Meteorologi pnk'!F9</f>
        <v>1.3</v>
      </c>
      <c r="AI11" s="131">
        <f>'Sta. Meteorologi pnk'!G9</f>
        <v>0</v>
      </c>
      <c r="AJ11" s="131">
        <f>'Sta. Meteorologi pnk'!H9</f>
        <v>1.3</v>
      </c>
      <c r="AK11" s="131">
        <f>'Sta. Meteorologi pnk'!I9</f>
        <v>0</v>
      </c>
      <c r="AL11" s="131">
        <f>'Sta. Meteorologi pnk'!J9</f>
        <v>0.8</v>
      </c>
      <c r="AM11" s="131">
        <f>'Sta. Meteorologi pnk'!K9</f>
        <v>0</v>
      </c>
      <c r="AN11" s="131">
        <f>'Sta. Meteorologi pnk'!L9</f>
        <v>5.4</v>
      </c>
      <c r="AO11" s="131">
        <f>'Sta. Meteorologi pnk'!M9</f>
        <v>5.4</v>
      </c>
      <c r="AQ11" s="130">
        <v>2</v>
      </c>
      <c r="AR11" s="131">
        <f t="shared" ref="AR11:BC40" si="2">((P11/($AV$1^2))+(AD11/($AV$2^2)))/((1/($AV$1^2))+(1/($AV$2^2)))</f>
        <v>0.81143364095684245</v>
      </c>
      <c r="AS11" s="131">
        <f t="shared" si="0"/>
        <v>1.3523894015947375</v>
      </c>
      <c r="AT11" s="131">
        <f t="shared" si="0"/>
        <v>0</v>
      </c>
      <c r="AU11" s="131">
        <f t="shared" si="0"/>
        <v>0</v>
      </c>
      <c r="AV11" s="131">
        <f t="shared" si="0"/>
        <v>2.1742743078471043</v>
      </c>
      <c r="AW11" s="131">
        <f t="shared" si="0"/>
        <v>0</v>
      </c>
      <c r="AX11" s="131">
        <f t="shared" si="0"/>
        <v>0.87905311103657935</v>
      </c>
      <c r="AY11" s="131">
        <f t="shared" si="0"/>
        <v>0</v>
      </c>
      <c r="AZ11" s="131">
        <f t="shared" si="0"/>
        <v>6.6932564454878882</v>
      </c>
      <c r="BA11" s="131">
        <f t="shared" si="0"/>
        <v>0</v>
      </c>
      <c r="BB11" s="131">
        <f t="shared" si="0"/>
        <v>3.651451384305791</v>
      </c>
      <c r="BC11" s="131">
        <f t="shared" si="0"/>
        <v>17.251273950816298</v>
      </c>
      <c r="BE11" s="130">
        <v>2</v>
      </c>
      <c r="BF11" s="131">
        <f>((B11/($BI$1^2))+(P11/($AV$1^2))+(AD11/($AV$2^2)))/((1/($BI$1^2))+(1/($AV$1^2))+(1/($AV$2^2)))</f>
        <v>0.7591935022387355</v>
      </c>
      <c r="BG11" s="131">
        <f t="shared" si="1"/>
        <v>1.2653225037312259</v>
      </c>
      <c r="BH11" s="131">
        <f t="shared" si="1"/>
        <v>0</v>
      </c>
      <c r="BI11" s="131">
        <f t="shared" si="1"/>
        <v>0</v>
      </c>
      <c r="BJ11" s="131">
        <f t="shared" si="1"/>
        <v>2.2918146199628451</v>
      </c>
      <c r="BK11" s="131">
        <f t="shared" si="1"/>
        <v>0</v>
      </c>
      <c r="BL11" s="131">
        <f t="shared" si="1"/>
        <v>0.82245962742529699</v>
      </c>
      <c r="BM11" s="131">
        <f t="shared" si="1"/>
        <v>0</v>
      </c>
      <c r="BN11" s="131">
        <f t="shared" si="1"/>
        <v>7.4855652160458419</v>
      </c>
      <c r="BO11" s="131">
        <f t="shared" si="1"/>
        <v>0</v>
      </c>
      <c r="BP11" s="131">
        <f t="shared" si="1"/>
        <v>3.4163707600743098</v>
      </c>
      <c r="BQ11" s="131">
        <f t="shared" si="1"/>
        <v>18.844598181718563</v>
      </c>
    </row>
    <row r="12" spans="1:69">
      <c r="A12" s="130">
        <v>3</v>
      </c>
      <c r="B12" s="131">
        <f>IF('Data 2'!B12&lt;0.1,0,'Data 2'!B12)</f>
        <v>2.0472096850406531</v>
      </c>
      <c r="C12" s="131">
        <f>IF('Data 2'!C12&lt;0.1,0,'Data 2'!C12)</f>
        <v>6.5381128509279316</v>
      </c>
      <c r="D12" s="131">
        <f>IF('Data 2'!D12&lt;0.1,0,'Data 2'!D12)</f>
        <v>0</v>
      </c>
      <c r="E12" s="131">
        <f>IF('Data 2'!E12&lt;0.1,0,'Data 2'!E12)</f>
        <v>0</v>
      </c>
      <c r="F12" s="131">
        <f>IF('Data 2'!F12&lt;0.1,0,'Data 2'!F12)</f>
        <v>22.0127417594056</v>
      </c>
      <c r="G12" s="131">
        <f>IF('Data 2'!G12&lt;0.1,0,'Data 2'!G12)</f>
        <v>0</v>
      </c>
      <c r="H12" s="131">
        <f>IF('Data 2'!H12&lt;0.1,0,'Data 2'!H12)</f>
        <v>8.2216935786094858</v>
      </c>
      <c r="I12" s="131">
        <f>IF('Data 2'!I12&lt;0.1,0,'Data 2'!I12)</f>
        <v>0</v>
      </c>
      <c r="J12" s="131">
        <f>IF('Data 2'!J12&lt;0.1,0,'Data 2'!J12)</f>
        <v>1.6714516155312595</v>
      </c>
      <c r="K12" s="131">
        <f>IF('Data 2'!K12&lt;0.1,0,'Data 2'!K12)</f>
        <v>0</v>
      </c>
      <c r="L12" s="131">
        <f>IF('Data 2'!L12&lt;0.1,0,'Data 2'!L12)</f>
        <v>19.523451680706497</v>
      </c>
      <c r="M12" s="131">
        <f>IF('Data 2'!M12&lt;0.1,0,'Data 2'!M12)</f>
        <v>8.8255161064311647</v>
      </c>
      <c r="O12" s="130">
        <v>3</v>
      </c>
      <c r="P12" s="131">
        <f>'Stasiun Pontianak Kota'!Q54</f>
        <v>3</v>
      </c>
      <c r="Q12" s="131">
        <f>'Stasiun Pontianak Kota'!R54</f>
        <v>0</v>
      </c>
      <c r="R12" s="131">
        <f>'Stasiun Pontianak Kota'!S54</f>
        <v>0</v>
      </c>
      <c r="S12" s="131">
        <f>'Stasiun Pontianak Kota'!T54</f>
        <v>0</v>
      </c>
      <c r="T12" s="131">
        <f>'Stasiun Pontianak Kota'!U54</f>
        <v>0</v>
      </c>
      <c r="U12" s="131">
        <f>'Stasiun Pontianak Kota'!V54</f>
        <v>0</v>
      </c>
      <c r="V12" s="131">
        <f>'Stasiun Pontianak Kota'!W54</f>
        <v>12</v>
      </c>
      <c r="W12" s="131">
        <f>'Stasiun Pontianak Kota'!X54</f>
        <v>0</v>
      </c>
      <c r="X12" s="131">
        <f>'Stasiun Pontianak Kota'!Y54</f>
        <v>2</v>
      </c>
      <c r="Y12" s="131">
        <f>'Stasiun Pontianak Kota'!Z54</f>
        <v>0</v>
      </c>
      <c r="Z12" s="131">
        <f>'Stasiun Pontianak Kota'!AA54</f>
        <v>28</v>
      </c>
      <c r="AA12" s="131">
        <f>'Stasiun Pontianak Kota'!AB54</f>
        <v>6</v>
      </c>
      <c r="AC12" s="130">
        <v>3</v>
      </c>
      <c r="AD12" s="131">
        <f>'Sta. Meteorologi pnk'!B10</f>
        <v>0.1</v>
      </c>
      <c r="AE12" s="131">
        <f>'Sta. Meteorologi pnk'!C10</f>
        <v>19.899999999999999</v>
      </c>
      <c r="AF12" s="131">
        <f>'Sta. Meteorologi pnk'!D10</f>
        <v>0</v>
      </c>
      <c r="AG12" s="131">
        <f>'Sta. Meteorologi pnk'!E10</f>
        <v>0</v>
      </c>
      <c r="AH12" s="131">
        <f>'Sta. Meteorologi pnk'!F10</f>
        <v>67</v>
      </c>
      <c r="AI12" s="131">
        <f>'Sta. Meteorologi pnk'!G10</f>
        <v>0</v>
      </c>
      <c r="AJ12" s="131">
        <f>'Sta. Meteorologi pnk'!H10</f>
        <v>0.5</v>
      </c>
      <c r="AK12" s="131">
        <f>'Sta. Meteorologi pnk'!I10</f>
        <v>0</v>
      </c>
      <c r="AL12" s="131">
        <f>'Sta. Meteorologi pnk'!J10</f>
        <v>1</v>
      </c>
      <c r="AM12" s="131">
        <f>'Sta. Meteorologi pnk'!K10</f>
        <v>0</v>
      </c>
      <c r="AN12" s="131">
        <f>'Sta. Meteorologi pnk'!L10</f>
        <v>2.2000000000000002</v>
      </c>
      <c r="AO12" s="131">
        <f>'Sta. Meteorologi pnk'!M10</f>
        <v>14.6</v>
      </c>
      <c r="AQ12" s="130">
        <v>3</v>
      </c>
      <c r="AR12" s="131">
        <f t="shared" si="2"/>
        <v>1.0390353676876303</v>
      </c>
      <c r="AS12" s="131">
        <f t="shared" si="0"/>
        <v>13.456274545867636</v>
      </c>
      <c r="AT12" s="131">
        <f t="shared" si="0"/>
        <v>0</v>
      </c>
      <c r="AU12" s="131">
        <f t="shared" si="0"/>
        <v>0</v>
      </c>
      <c r="AV12" s="131">
        <f t="shared" si="0"/>
        <v>45.305044953423703</v>
      </c>
      <c r="AW12" s="131">
        <f t="shared" si="0"/>
        <v>0</v>
      </c>
      <c r="AX12" s="131">
        <f t="shared" si="0"/>
        <v>4.2237609408302585</v>
      </c>
      <c r="AY12" s="131">
        <f t="shared" si="0"/>
        <v>0</v>
      </c>
      <c r="AZ12" s="131">
        <f t="shared" si="0"/>
        <v>1.3238052992026312</v>
      </c>
      <c r="BA12" s="131">
        <f t="shared" si="0"/>
        <v>0</v>
      </c>
      <c r="BB12" s="131">
        <f t="shared" si="0"/>
        <v>10.554176719427884</v>
      </c>
      <c r="BC12" s="131">
        <f t="shared" si="0"/>
        <v>11.81527442685737</v>
      </c>
      <c r="BE12" s="130">
        <v>3</v>
      </c>
      <c r="BF12" s="131">
        <f t="shared" ref="BF12:BQ40" si="3">((B12/($BI$1^2))+(P12/($AV$1^2))+(AD12/($AV$2^2)))/((1/($BI$1^2))+(1/($AV$1^2))+(1/($AV$2^2)))</f>
        <v>1.1652823695897221</v>
      </c>
      <c r="BG12" s="131">
        <f t="shared" si="1"/>
        <v>12.589958912125697</v>
      </c>
      <c r="BH12" s="131">
        <f t="shared" si="1"/>
        <v>0</v>
      </c>
      <c r="BI12" s="131">
        <f t="shared" si="1"/>
        <v>0</v>
      </c>
      <c r="BJ12" s="131">
        <f t="shared" si="1"/>
        <v>42.388303874996069</v>
      </c>
      <c r="BK12" s="131">
        <f t="shared" si="1"/>
        <v>0</v>
      </c>
      <c r="BL12" s="131">
        <f t="shared" si="1"/>
        <v>4.7243956035454504</v>
      </c>
      <c r="BM12" s="131">
        <f t="shared" si="1"/>
        <v>0</v>
      </c>
      <c r="BN12" s="131">
        <f t="shared" si="1"/>
        <v>1.367338748134387</v>
      </c>
      <c r="BO12" s="131">
        <f t="shared" si="1"/>
        <v>0</v>
      </c>
      <c r="BP12" s="131">
        <f t="shared" si="1"/>
        <v>11.677339701867183</v>
      </c>
      <c r="BQ12" s="131">
        <f t="shared" si="1"/>
        <v>11.440886766044271</v>
      </c>
    </row>
    <row r="13" spans="1:69">
      <c r="A13" s="130">
        <v>4</v>
      </c>
      <c r="B13" s="131">
        <f>IF('Data 2'!B13&lt;0.1,0,'Data 2'!B13)</f>
        <v>0.16427419223437012</v>
      </c>
      <c r="C13" s="131">
        <f>IF('Data 2'!C13&lt;0.1,0,'Data 2'!C13)</f>
        <v>26.186613005719128</v>
      </c>
      <c r="D13" s="131">
        <f>IF('Data 2'!D13&lt;0.1,0,'Data 2'!D13)</f>
        <v>0.13141935378749611</v>
      </c>
      <c r="E13" s="131">
        <f>IF('Data 2'!E13&lt;0.1,0,'Data 2'!E13)</f>
        <v>2.1027096605999378</v>
      </c>
      <c r="F13" s="131">
        <f>IF('Data 2'!F13&lt;0.1,0,'Data 2'!F13)</f>
        <v>58.711984097241455</v>
      </c>
      <c r="G13" s="131">
        <f>IF('Data 2'!G13&lt;0.1,0,'Data 2'!G13)</f>
        <v>0.19712903068124416</v>
      </c>
      <c r="H13" s="131">
        <f>IF('Data 2'!H13&lt;0.1,0,'Data 2'!H13)</f>
        <v>4.7001613087188172</v>
      </c>
      <c r="I13" s="131">
        <f>IF('Data 2'!I13&lt;0.1,0,'Data 2'!I13)</f>
        <v>14.653257947305816</v>
      </c>
      <c r="J13" s="131">
        <f>IF('Data 2'!J13&lt;0.1,0,'Data 2'!J13)</f>
        <v>22.168725661121336</v>
      </c>
      <c r="K13" s="131">
        <f>IF('Data 2'!K13&lt;0.1,0,'Data 2'!K13)</f>
        <v>0</v>
      </c>
      <c r="L13" s="131">
        <f>IF('Data 2'!L13&lt;0.1,0,'Data 2'!L13)</f>
        <v>2.0143548465937791</v>
      </c>
      <c r="M13" s="131">
        <f>IF('Data 2'!M13&lt;0.1,0,'Data 2'!M13)</f>
        <v>4.4743225848500154</v>
      </c>
      <c r="O13" s="130">
        <v>4</v>
      </c>
      <c r="P13" s="131">
        <f>'Stasiun Pontianak Kota'!Q55</f>
        <v>0</v>
      </c>
      <c r="Q13" s="131">
        <f>'Stasiun Pontianak Kota'!R55</f>
        <v>39</v>
      </c>
      <c r="R13" s="131">
        <f>'Stasiun Pontianak Kota'!S55</f>
        <v>0</v>
      </c>
      <c r="S13" s="131">
        <f>'Stasiun Pontianak Kota'!T55</f>
        <v>0</v>
      </c>
      <c r="T13" s="131">
        <f>'Stasiun Pontianak Kota'!U55</f>
        <v>87</v>
      </c>
      <c r="U13" s="131">
        <f>'Stasiun Pontianak Kota'!V55</f>
        <v>0</v>
      </c>
      <c r="V13" s="131">
        <f>'Stasiun Pontianak Kota'!W55</f>
        <v>7</v>
      </c>
      <c r="W13" s="131">
        <f>'Stasiun Pontianak Kota'!X55</f>
        <v>0</v>
      </c>
      <c r="X13" s="131">
        <f>'Stasiun Pontianak Kota'!Y55</f>
        <v>4</v>
      </c>
      <c r="Y13" s="131">
        <f>'Stasiun Pontianak Kota'!Z55</f>
        <v>0</v>
      </c>
      <c r="Z13" s="131">
        <f>'Stasiun Pontianak Kota'!AA55</f>
        <v>3</v>
      </c>
      <c r="AA13" s="131">
        <f>'Stasiun Pontianak Kota'!AB55</f>
        <v>5</v>
      </c>
      <c r="AC13" s="130">
        <v>4</v>
      </c>
      <c r="AD13" s="131">
        <f>'Sta. Meteorologi pnk'!B11</f>
        <v>0.5</v>
      </c>
      <c r="AE13" s="131">
        <f>'Sta. Meteorologi pnk'!C11</f>
        <v>0</v>
      </c>
      <c r="AF13" s="131">
        <f>'Sta. Meteorologi pnk'!D11</f>
        <v>0.4</v>
      </c>
      <c r="AG13" s="131">
        <f>'Sta. Meteorologi pnk'!E11</f>
        <v>6.4</v>
      </c>
      <c r="AH13" s="131">
        <f>'Sta. Meteorologi pnk'!F11</f>
        <v>0.9</v>
      </c>
      <c r="AI13" s="131">
        <f>'Sta. Meteorologi pnk'!G11</f>
        <v>0.6</v>
      </c>
      <c r="AJ13" s="131">
        <f>'Sta. Meteorologi pnk'!H11</f>
        <v>0</v>
      </c>
      <c r="AK13" s="131">
        <f>'Sta. Meteorologi pnk'!I11</f>
        <v>44.6</v>
      </c>
      <c r="AL13" s="131">
        <f>'Sta. Meteorologi pnk'!J11</f>
        <v>59.3</v>
      </c>
      <c r="AM13" s="131">
        <f>'Sta. Meteorologi pnk'!K11</f>
        <v>0</v>
      </c>
      <c r="AN13" s="131">
        <f>'Sta. Meteorologi pnk'!L11</f>
        <v>0</v>
      </c>
      <c r="AO13" s="131">
        <f>'Sta. Meteorologi pnk'!M11</f>
        <v>3.4</v>
      </c>
      <c r="AQ13" s="130">
        <v>4</v>
      </c>
      <c r="AR13" s="131">
        <f t="shared" si="2"/>
        <v>0.33809735039868438</v>
      </c>
      <c r="AS13" s="131">
        <f t="shared" si="0"/>
        <v>12.628406668902617</v>
      </c>
      <c r="AT13" s="131">
        <f t="shared" si="0"/>
        <v>0.27047788031894748</v>
      </c>
      <c r="AU13" s="131">
        <f t="shared" si="0"/>
        <v>4.3276460851031597</v>
      </c>
      <c r="AV13" s="131">
        <f t="shared" si="0"/>
        <v>28.779636261346546</v>
      </c>
      <c r="AW13" s="131">
        <f t="shared" si="0"/>
        <v>0.40571682047842123</v>
      </c>
      <c r="AX13" s="131">
        <f t="shared" si="0"/>
        <v>2.2666370944184182</v>
      </c>
      <c r="AY13" s="131">
        <f t="shared" si="0"/>
        <v>30.158283655562645</v>
      </c>
      <c r="AZ13" s="131">
        <f t="shared" si="0"/>
        <v>41.393566954094482</v>
      </c>
      <c r="BA13" s="131">
        <f t="shared" si="0"/>
        <v>0</v>
      </c>
      <c r="BB13" s="131">
        <f t="shared" si="0"/>
        <v>0.97141589760789349</v>
      </c>
      <c r="BC13" s="131">
        <f t="shared" si="0"/>
        <v>3.9180884787242101</v>
      </c>
      <c r="BE13" s="130">
        <v>4</v>
      </c>
      <c r="BF13" s="131">
        <f t="shared" si="3"/>
        <v>0.31633062593280648</v>
      </c>
      <c r="BG13" s="131">
        <f t="shared" si="1"/>
        <v>14.326211177241094</v>
      </c>
      <c r="BH13" s="131">
        <f t="shared" si="1"/>
        <v>0.2530645007462452</v>
      </c>
      <c r="BI13" s="131">
        <f t="shared" si="1"/>
        <v>4.0490320119399232</v>
      </c>
      <c r="BJ13" s="131">
        <f t="shared" si="1"/>
        <v>32.527866214370718</v>
      </c>
      <c r="BK13" s="131">
        <f t="shared" si="1"/>
        <v>0.37959675111936775</v>
      </c>
      <c r="BL13" s="131">
        <f t="shared" si="1"/>
        <v>2.5713712369407089</v>
      </c>
      <c r="BM13" s="131">
        <f t="shared" si="1"/>
        <v>28.21669183320634</v>
      </c>
      <c r="BN13" s="131">
        <f t="shared" si="1"/>
        <v>38.986167228168398</v>
      </c>
      <c r="BO13" s="131">
        <f t="shared" si="1"/>
        <v>0</v>
      </c>
      <c r="BP13" s="131">
        <f t="shared" si="1"/>
        <v>1.1020162444031609</v>
      </c>
      <c r="BQ13" s="131">
        <f t="shared" si="1"/>
        <v>3.9877419970150192</v>
      </c>
    </row>
    <row r="14" spans="1:69">
      <c r="A14" s="130">
        <v>5</v>
      </c>
      <c r="B14" s="131">
        <f>IF('Data 2'!B14&lt;0.1,0,'Data 2'!B14)</f>
        <v>0</v>
      </c>
      <c r="C14" s="131">
        <f>IF('Data 2'!C14&lt;0.1,0,'Data 2'!C14)</f>
        <v>36.304596483795798</v>
      </c>
      <c r="D14" s="131">
        <f>IF('Data 2'!D14&lt;0.1,0,'Data 2'!D14)</f>
        <v>16.033161162074524</v>
      </c>
      <c r="E14" s="131">
        <f>IF('Data 2'!E14&lt;0.1,0,'Data 2'!E14)</f>
        <v>6.7145161553125963</v>
      </c>
      <c r="F14" s="131">
        <f>IF('Data 2'!F14&lt;0.1,0,'Data 2'!F14)</f>
        <v>7.4867580206279625</v>
      </c>
      <c r="G14" s="131">
        <f>IF('Data 2'!G14&lt;0.1,0,'Data 2'!G14)</f>
        <v>24.607967673080992</v>
      </c>
      <c r="H14" s="131">
        <f>IF('Data 2'!H14&lt;0.1,0,'Data 2'!H14)</f>
        <v>0</v>
      </c>
      <c r="I14" s="131">
        <f>IF('Data 2'!I14&lt;0.1,0,'Data 2'!I14)</f>
        <v>18.129193619344012</v>
      </c>
      <c r="J14" s="131">
        <f>IF('Data 2'!J14&lt;0.1,0,'Data 2'!J14)</f>
        <v>45.447225978850639</v>
      </c>
      <c r="K14" s="131">
        <f>IF('Data 2'!K14&lt;0.1,0,'Data 2'!K14)</f>
        <v>0</v>
      </c>
      <c r="L14" s="131">
        <f>IF('Data 2'!L14&lt;0.1,0,'Data 2'!L14)</f>
        <v>2.2998386912811819</v>
      </c>
      <c r="M14" s="131">
        <f>IF('Data 2'!M14&lt;0.1,0,'Data 2'!M14)</f>
        <v>5.6015967933781958</v>
      </c>
      <c r="O14" s="130">
        <v>5</v>
      </c>
      <c r="P14" s="131">
        <f>'Stasiun Pontianak Kota'!Q56</f>
        <v>0</v>
      </c>
      <c r="Q14" s="131">
        <f>'Stasiun Pontianak Kota'!R56</f>
        <v>0</v>
      </c>
      <c r="R14" s="131">
        <f>'Stasiun Pontianak Kota'!S56</f>
        <v>0</v>
      </c>
      <c r="S14" s="131">
        <f>'Stasiun Pontianak Kota'!T56</f>
        <v>10</v>
      </c>
      <c r="T14" s="131">
        <f>'Stasiun Pontianak Kota'!U56</f>
        <v>2</v>
      </c>
      <c r="U14" s="131">
        <f>'Stasiun Pontianak Kota'!V56</f>
        <v>16</v>
      </c>
      <c r="V14" s="131">
        <f>'Stasiun Pontianak Kota'!W56</f>
        <v>0</v>
      </c>
      <c r="W14" s="131">
        <f>'Stasiun Pontianak Kota'!X56</f>
        <v>27</v>
      </c>
      <c r="X14" s="131">
        <f>'Stasiun Pontianak Kota'!Y56</f>
        <v>67</v>
      </c>
      <c r="Y14" s="131">
        <f>'Stasiun Pontianak Kota'!Z56</f>
        <v>0</v>
      </c>
      <c r="Z14" s="131">
        <f>'Stasiun Pontianak Kota'!AA56</f>
        <v>0</v>
      </c>
      <c r="AA14" s="131">
        <f>'Stasiun Pontianak Kota'!AB56</f>
        <v>8</v>
      </c>
      <c r="AC14" s="130">
        <v>5</v>
      </c>
      <c r="AD14" s="131">
        <f>'Sta. Meteorologi pnk'!B12</f>
        <v>0</v>
      </c>
      <c r="AE14" s="131">
        <f>'Sta. Meteorologi pnk'!C12</f>
        <v>110.5</v>
      </c>
      <c r="AF14" s="131">
        <f>'Sta. Meteorologi pnk'!D12</f>
        <v>48.8</v>
      </c>
      <c r="AG14" s="131">
        <f>'Sta. Meteorologi pnk'!E12</f>
        <v>0</v>
      </c>
      <c r="AH14" s="131">
        <f>'Sta. Meteorologi pnk'!F12</f>
        <v>18.7</v>
      </c>
      <c r="AI14" s="131">
        <f>'Sta. Meteorologi pnk'!G12</f>
        <v>42.2</v>
      </c>
      <c r="AJ14" s="131">
        <f>'Sta. Meteorologi pnk'!H12</f>
        <v>0</v>
      </c>
      <c r="AK14" s="131">
        <f>'Sta. Meteorologi pnk'!I12</f>
        <v>0</v>
      </c>
      <c r="AL14" s="131">
        <f>'Sta. Meteorologi pnk'!J12</f>
        <v>1.4</v>
      </c>
      <c r="AM14" s="131">
        <f>'Sta. Meteorologi pnk'!K12</f>
        <v>0</v>
      </c>
      <c r="AN14" s="131">
        <f>'Sta. Meteorologi pnk'!L12</f>
        <v>7</v>
      </c>
      <c r="AO14" s="131">
        <f>'Sta. Meteorologi pnk'!M12</f>
        <v>0.7</v>
      </c>
      <c r="AQ14" s="130">
        <v>5</v>
      </c>
      <c r="AR14" s="131">
        <f t="shared" si="2"/>
        <v>0</v>
      </c>
      <c r="AS14" s="131">
        <f t="shared" si="0"/>
        <v>74.719514438109243</v>
      </c>
      <c r="AT14" s="131">
        <f t="shared" si="0"/>
        <v>32.998301398911593</v>
      </c>
      <c r="AU14" s="131">
        <f t="shared" si="0"/>
        <v>3.2380529920263119</v>
      </c>
      <c r="AV14" s="131">
        <f t="shared" si="0"/>
        <v>13.292451503316055</v>
      </c>
      <c r="AW14" s="131">
        <f t="shared" si="0"/>
        <v>33.716301160891064</v>
      </c>
      <c r="AX14" s="131">
        <f t="shared" si="0"/>
        <v>0</v>
      </c>
      <c r="AY14" s="131">
        <f t="shared" si="0"/>
        <v>8.742743078471042</v>
      </c>
      <c r="AZ14" s="131">
        <f t="shared" si="0"/>
        <v>22.641627627692607</v>
      </c>
      <c r="BA14" s="131">
        <f t="shared" si="0"/>
        <v>0</v>
      </c>
      <c r="BB14" s="131">
        <f t="shared" si="0"/>
        <v>4.7333629055815809</v>
      </c>
      <c r="BC14" s="131">
        <f t="shared" si="0"/>
        <v>3.0637786841792076</v>
      </c>
      <c r="BE14" s="130">
        <v>5</v>
      </c>
      <c r="BF14" s="131">
        <f t="shared" si="3"/>
        <v>0</v>
      </c>
      <c r="BG14" s="131">
        <f t="shared" si="1"/>
        <v>69.909068331150237</v>
      </c>
      <c r="BH14" s="131">
        <f t="shared" si="1"/>
        <v>30.873869091041907</v>
      </c>
      <c r="BI14" s="131">
        <f t="shared" si="1"/>
        <v>3.6733874813438696</v>
      </c>
      <c r="BJ14" s="131">
        <f t="shared" si="1"/>
        <v>12.565442906155736</v>
      </c>
      <c r="BK14" s="131">
        <f t="shared" si="1"/>
        <v>32.575724798879058</v>
      </c>
      <c r="BL14" s="131">
        <f t="shared" si="1"/>
        <v>0</v>
      </c>
      <c r="BM14" s="131">
        <f t="shared" si="1"/>
        <v>9.918146199628449</v>
      </c>
      <c r="BN14" s="131">
        <f t="shared" si="1"/>
        <v>25.497421877615785</v>
      </c>
      <c r="BO14" s="131">
        <f t="shared" si="1"/>
        <v>0</v>
      </c>
      <c r="BP14" s="131">
        <f t="shared" si="1"/>
        <v>4.4286287630592911</v>
      </c>
      <c r="BQ14" s="131">
        <f t="shared" si="1"/>
        <v>3.3815728613810254</v>
      </c>
    </row>
    <row r="15" spans="1:69">
      <c r="A15" s="130">
        <v>6</v>
      </c>
      <c r="B15" s="131">
        <f>IF('Data 2'!B15&lt;0.1,0,'Data 2'!B15)</f>
        <v>0</v>
      </c>
      <c r="C15" s="131">
        <f>IF('Data 2'!C15&lt;0.1,0,'Data 2'!C15)</f>
        <v>51.252322682612878</v>
      </c>
      <c r="D15" s="131">
        <f>IF('Data 2'!D15&lt;0.1,0,'Data 2'!D15)</f>
        <v>20.815000081469051</v>
      </c>
      <c r="E15" s="131">
        <f>IF('Data 2'!E15&lt;0.1,0,'Data 2'!E15)</f>
        <v>33.183386831342773</v>
      </c>
      <c r="F15" s="131">
        <f>IF('Data 2'!F15&lt;0.1,0,'Data 2'!F15)</f>
        <v>34.285483844687398</v>
      </c>
      <c r="G15" s="131">
        <f>IF('Data 2'!G15&lt;0.1,0,'Data 2'!G15)</f>
        <v>12.086129079562673</v>
      </c>
      <c r="H15" s="131">
        <f>IF('Data 2'!H15&lt;0.1,0,'Data 2'!H15)</f>
        <v>42.046903361413001</v>
      </c>
      <c r="I15" s="131">
        <f>IF('Data 2'!I15&lt;0.1,0,'Data 2'!I15)</f>
        <v>0</v>
      </c>
      <c r="J15" s="131">
        <f>IF('Data 2'!J15&lt;0.1,0,'Data 2'!J15)</f>
        <v>0.16427419223437012</v>
      </c>
      <c r="K15" s="131">
        <f>IF('Data 2'!K15&lt;0.1,0,'Data 2'!K15)</f>
        <v>0</v>
      </c>
      <c r="L15" s="131">
        <f>IF('Data 2'!L15&lt;0.1,0,'Data 2'!L15)</f>
        <v>0</v>
      </c>
      <c r="M15" s="131">
        <f>IF('Data 2'!M15&lt;0.1,0,'Data 2'!M15)</f>
        <v>1</v>
      </c>
      <c r="O15" s="130">
        <v>6</v>
      </c>
      <c r="P15" s="131">
        <f>'Stasiun Pontianak Kota'!Q57</f>
        <v>0</v>
      </c>
      <c r="Q15" s="131">
        <f>'Stasiun Pontianak Kota'!R57</f>
        <v>64</v>
      </c>
      <c r="R15" s="131">
        <f>'Stasiun Pontianak Kota'!S57</f>
        <v>31</v>
      </c>
      <c r="S15" s="131">
        <f>'Stasiun Pontianak Kota'!T57</f>
        <v>0</v>
      </c>
      <c r="T15" s="131">
        <f>'Stasiun Pontianak Kota'!U57</f>
        <v>31</v>
      </c>
      <c r="U15" s="131">
        <f>'Stasiun Pontianak Kota'!V57</f>
        <v>18</v>
      </c>
      <c r="V15" s="131">
        <f>'Stasiun Pontianak Kota'!W57</f>
        <v>59</v>
      </c>
      <c r="W15" s="131">
        <f>'Stasiun Pontianak Kota'!X57</f>
        <v>0</v>
      </c>
      <c r="X15" s="131">
        <f>'Stasiun Pontianak Kota'!Y57</f>
        <v>0</v>
      </c>
      <c r="Y15" s="131">
        <f>'Stasiun Pontianak Kota'!Z57</f>
        <v>0</v>
      </c>
      <c r="Z15" s="131">
        <f>'Stasiun Pontianak Kota'!AA57</f>
        <v>0</v>
      </c>
      <c r="AA15" s="131">
        <f>'Stasiun Pontianak Kota'!AB57</f>
        <v>1</v>
      </c>
      <c r="AC15" s="130">
        <v>6</v>
      </c>
      <c r="AD15" s="131">
        <f>'Sta. Meteorologi pnk'!B13</f>
        <v>0</v>
      </c>
      <c r="AE15" s="131">
        <f>'Sta. Meteorologi pnk'!C13</f>
        <v>25.2</v>
      </c>
      <c r="AF15" s="131">
        <f>'Sta. Meteorologi pnk'!D13</f>
        <v>0</v>
      </c>
      <c r="AG15" s="131">
        <f>'Sta. Meteorologi pnk'!E13</f>
        <v>101</v>
      </c>
      <c r="AH15" s="131">
        <f>'Sta. Meteorologi pnk'!F13</f>
        <v>41</v>
      </c>
      <c r="AI15" s="131">
        <f>'Sta. Meteorologi pnk'!G13</f>
        <v>0</v>
      </c>
      <c r="AJ15" s="131">
        <f>'Sta. Meteorologi pnk'!H13</f>
        <v>7.4</v>
      </c>
      <c r="AK15" s="131">
        <f>'Sta. Meteorologi pnk'!I13</f>
        <v>0</v>
      </c>
      <c r="AL15" s="131">
        <f>'Sta. Meteorologi pnk'!J13</f>
        <v>0.5</v>
      </c>
      <c r="AM15" s="131">
        <f>'Sta. Meteorologi pnk'!K13</f>
        <v>0</v>
      </c>
      <c r="AN15" s="131">
        <f>'Sta. Meteorologi pnk'!L13</f>
        <v>0</v>
      </c>
      <c r="AO15" s="131">
        <f>'Sta. Meteorologi pnk'!M13</f>
        <v>1</v>
      </c>
      <c r="AQ15" s="130">
        <v>6</v>
      </c>
      <c r="AR15" s="131">
        <f t="shared" si="2"/>
        <v>0</v>
      </c>
      <c r="AS15" s="131">
        <f t="shared" si="0"/>
        <v>37.763645609062088</v>
      </c>
      <c r="AT15" s="131">
        <f t="shared" si="0"/>
        <v>10.037964275281567</v>
      </c>
      <c r="AU15" s="131">
        <f t="shared" si="0"/>
        <v>68.295664780534253</v>
      </c>
      <c r="AV15" s="131">
        <f t="shared" si="0"/>
        <v>37.761947007973689</v>
      </c>
      <c r="AW15" s="131">
        <f t="shared" si="0"/>
        <v>5.8284953856473614</v>
      </c>
      <c r="AX15" s="131">
        <f t="shared" si="0"/>
        <v>24.108353438855769</v>
      </c>
      <c r="AY15" s="131">
        <f t="shared" si="0"/>
        <v>0</v>
      </c>
      <c r="AZ15" s="131">
        <f t="shared" si="0"/>
        <v>0.33809735039868438</v>
      </c>
      <c r="BA15" s="131">
        <f t="shared" si="0"/>
        <v>0</v>
      </c>
      <c r="BB15" s="131">
        <f t="shared" si="0"/>
        <v>0</v>
      </c>
      <c r="BC15" s="131">
        <f t="shared" si="0"/>
        <v>1</v>
      </c>
      <c r="BE15" s="130">
        <v>6</v>
      </c>
      <c r="BF15" s="131">
        <f t="shared" si="3"/>
        <v>0</v>
      </c>
      <c r="BG15" s="131">
        <f t="shared" si="1"/>
        <v>39.452743427614216</v>
      </c>
      <c r="BH15" s="131">
        <f t="shared" si="1"/>
        <v>11.387501192165997</v>
      </c>
      <c r="BI15" s="131">
        <f t="shared" si="1"/>
        <v>63.898786438426924</v>
      </c>
      <c r="BJ15" s="131">
        <f t="shared" si="1"/>
        <v>37.326612518656134</v>
      </c>
      <c r="BK15" s="131">
        <f t="shared" si="1"/>
        <v>6.6120974664189651</v>
      </c>
      <c r="BL15" s="131">
        <f t="shared" si="1"/>
        <v>26.354679403734369</v>
      </c>
      <c r="BM15" s="131">
        <f t="shared" si="1"/>
        <v>0</v>
      </c>
      <c r="BN15" s="131">
        <f t="shared" si="1"/>
        <v>0.31633062593280648</v>
      </c>
      <c r="BO15" s="131">
        <f t="shared" si="1"/>
        <v>0</v>
      </c>
      <c r="BP15" s="131">
        <f t="shared" si="1"/>
        <v>0</v>
      </c>
      <c r="BQ15" s="131">
        <f t="shared" si="1"/>
        <v>1</v>
      </c>
    </row>
    <row r="16" spans="1:69">
      <c r="A16" s="130">
        <v>7</v>
      </c>
      <c r="B16" s="131">
        <f>IF('Data 2'!B16&lt;0.1,0,'Data 2'!B16)</f>
        <v>0</v>
      </c>
      <c r="C16" s="131">
        <f>IF('Data 2'!C16&lt;0.1,0,'Data 2'!C16)</f>
        <v>14.100483926156452</v>
      </c>
      <c r="D16" s="131">
        <f>IF('Data 2'!D16&lt;0.1,0,'Data 2'!D16)</f>
        <v>0</v>
      </c>
      <c r="E16" s="131">
        <f>IF('Data 2'!E16&lt;0.1,0,'Data 2'!E16)</f>
        <v>70.229983869128105</v>
      </c>
      <c r="F16" s="131">
        <f>IF('Data 2'!F16&lt;0.1,0,'Data 2'!F16)</f>
        <v>47.11706450719371</v>
      </c>
      <c r="G16" s="131">
        <f>IF('Data 2'!G16&lt;0.1,0,'Data 2'!G16)</f>
        <v>0</v>
      </c>
      <c r="H16" s="131">
        <f>IF('Data 2'!H16&lt;0.1,0,'Data 2'!H16)</f>
        <v>0</v>
      </c>
      <c r="I16" s="131">
        <f>IF('Data 2'!I16&lt;0.1,0,'Data 2'!I16)</f>
        <v>2.6858064621250386</v>
      </c>
      <c r="J16" s="131">
        <f>IF('Data 2'!J16&lt;0.1,0,'Data 2'!J16)</f>
        <v>0.4271128998093624</v>
      </c>
      <c r="K16" s="131">
        <f>IF('Data 2'!K16&lt;0.1,0,'Data 2'!K16)</f>
        <v>1.1170645071937169</v>
      </c>
      <c r="L16" s="131">
        <f>IF('Data 2'!L16&lt;0.1,0,'Data 2'!L16)</f>
        <v>12.123435386896515</v>
      </c>
      <c r="M16" s="131">
        <f>IF('Data 2'!M16&lt;0.1,0,'Data 2'!M16)</f>
        <v>15.883241816433934</v>
      </c>
      <c r="O16" s="130">
        <v>7</v>
      </c>
      <c r="P16" s="131">
        <f>'Stasiun Pontianak Kota'!Q58</f>
        <v>0</v>
      </c>
      <c r="Q16" s="131">
        <f>'Stasiun Pontianak Kota'!R58</f>
        <v>21</v>
      </c>
      <c r="R16" s="131">
        <f>'Stasiun Pontianak Kota'!S58</f>
        <v>0</v>
      </c>
      <c r="S16" s="131">
        <f>'Stasiun Pontianak Kota'!T58</f>
        <v>70</v>
      </c>
      <c r="T16" s="131">
        <f>'Stasiun Pontianak Kota'!U58</f>
        <v>46</v>
      </c>
      <c r="U16" s="131">
        <f>'Stasiun Pontianak Kota'!V58</f>
        <v>0</v>
      </c>
      <c r="V16" s="131">
        <f>'Stasiun Pontianak Kota'!W58</f>
        <v>0</v>
      </c>
      <c r="W16" s="131">
        <f>'Stasiun Pontianak Kota'!X58</f>
        <v>4</v>
      </c>
      <c r="X16" s="131">
        <f>'Stasiun Pontianak Kota'!Y58</f>
        <v>0</v>
      </c>
      <c r="Y16" s="131">
        <f>'Stasiun Pontianak Kota'!Z58</f>
        <v>0</v>
      </c>
      <c r="Z16" s="131">
        <f>'Stasiun Pontianak Kota'!AA58</f>
        <v>0</v>
      </c>
      <c r="AA16" s="131">
        <f>'Stasiun Pontianak Kota'!AB58</f>
        <v>1</v>
      </c>
      <c r="AC16" s="130">
        <v>7</v>
      </c>
      <c r="AD16" s="131">
        <f>'Sta. Meteorologi pnk'!B14</f>
        <v>0</v>
      </c>
      <c r="AE16" s="131">
        <f>'Sta. Meteorologi pnk'!C14</f>
        <v>0</v>
      </c>
      <c r="AF16" s="131">
        <f>'Sta. Meteorologi pnk'!D14</f>
        <v>0</v>
      </c>
      <c r="AG16" s="131">
        <f>'Sta. Meteorologi pnk'!E14</f>
        <v>70.7</v>
      </c>
      <c r="AH16" s="131">
        <f>'Sta. Meteorologi pnk'!F14</f>
        <v>49.4</v>
      </c>
      <c r="AI16" s="131">
        <f>'Sta. Meteorologi pnk'!G14</f>
        <v>0</v>
      </c>
      <c r="AJ16" s="131">
        <f>'Sta. Meteorologi pnk'!H14</f>
        <v>0</v>
      </c>
      <c r="AK16" s="131">
        <f>'Sta. Meteorologi pnk'!I14</f>
        <v>0</v>
      </c>
      <c r="AL16" s="131">
        <f>'Sta. Meteorologi pnk'!J14</f>
        <v>1.3</v>
      </c>
      <c r="AM16" s="131">
        <f>'Sta. Meteorologi pnk'!K14</f>
        <v>3.4</v>
      </c>
      <c r="AN16" s="131">
        <f>'Sta. Meteorologi pnk'!L14</f>
        <v>36.9</v>
      </c>
      <c r="AO16" s="131">
        <f>'Sta. Meteorologi pnk'!M14</f>
        <v>46.3</v>
      </c>
      <c r="AQ16" s="130">
        <v>7</v>
      </c>
      <c r="AR16" s="131">
        <f t="shared" si="2"/>
        <v>0</v>
      </c>
      <c r="AS16" s="131">
        <f t="shared" si="0"/>
        <v>6.7999112832552546</v>
      </c>
      <c r="AT16" s="131">
        <f t="shared" si="0"/>
        <v>0</v>
      </c>
      <c r="AU16" s="131">
        <f t="shared" si="0"/>
        <v>70.473336290558152</v>
      </c>
      <c r="AV16" s="131">
        <f t="shared" si="0"/>
        <v>48.299061982711052</v>
      </c>
      <c r="AW16" s="131">
        <f t="shared" si="0"/>
        <v>0</v>
      </c>
      <c r="AX16" s="131">
        <f t="shared" si="0"/>
        <v>0</v>
      </c>
      <c r="AY16" s="131">
        <f t="shared" si="0"/>
        <v>1.2952211968105249</v>
      </c>
      <c r="AZ16" s="131">
        <f t="shared" si="0"/>
        <v>0.87905311103657935</v>
      </c>
      <c r="BA16" s="131">
        <f t="shared" si="0"/>
        <v>2.2990619827110534</v>
      </c>
      <c r="BB16" s="131">
        <f t="shared" si="0"/>
        <v>24.951584459422904</v>
      </c>
      <c r="BC16" s="131">
        <f t="shared" si="0"/>
        <v>31.6316199461208</v>
      </c>
      <c r="BE16" s="130">
        <v>7</v>
      </c>
      <c r="BF16" s="131">
        <f t="shared" si="3"/>
        <v>0</v>
      </c>
      <c r="BG16" s="131">
        <f t="shared" si="1"/>
        <v>7.7141137108221267</v>
      </c>
      <c r="BH16" s="131">
        <f t="shared" si="1"/>
        <v>0</v>
      </c>
      <c r="BI16" s="131">
        <f t="shared" si="1"/>
        <v>70.442862876305938</v>
      </c>
      <c r="BJ16" s="131">
        <f t="shared" si="1"/>
        <v>48.151048256343088</v>
      </c>
      <c r="BK16" s="131">
        <f t="shared" si="1"/>
        <v>0</v>
      </c>
      <c r="BL16" s="131">
        <f t="shared" si="1"/>
        <v>0</v>
      </c>
      <c r="BM16" s="131">
        <f t="shared" si="1"/>
        <v>1.469354992537548</v>
      </c>
      <c r="BN16" s="131">
        <f t="shared" si="1"/>
        <v>0.82245962742529699</v>
      </c>
      <c r="BO16" s="131">
        <f t="shared" si="1"/>
        <v>2.1510482563430839</v>
      </c>
      <c r="BP16" s="131">
        <f t="shared" si="1"/>
        <v>23.345200193841119</v>
      </c>
      <c r="BQ16" s="131">
        <f t="shared" si="1"/>
        <v>29.659554709512271</v>
      </c>
    </row>
    <row r="17" spans="1:69">
      <c r="A17" s="130">
        <v>8</v>
      </c>
      <c r="B17" s="131">
        <f>IF('Data 2'!B17&lt;0.1,0,'Data 2'!B17)</f>
        <v>0</v>
      </c>
      <c r="C17" s="131">
        <f>IF('Data 2'!C17&lt;0.1,0,'Data 2'!C17)</f>
        <v>0</v>
      </c>
      <c r="D17" s="131">
        <f>IF('Data 2'!D17&lt;0.1,0,'Data 2'!D17)</f>
        <v>0</v>
      </c>
      <c r="E17" s="131">
        <f>IF('Data 2'!E17&lt;0.1,0,'Data 2'!E17)</f>
        <v>58.416290551219589</v>
      </c>
      <c r="F17" s="131">
        <f>IF('Data 2'!F17&lt;0.1,0,'Data 2'!F17)</f>
        <v>75.202580939501075</v>
      </c>
      <c r="G17" s="131">
        <f>IF('Data 2'!G17&lt;0.1,0,'Data 2'!G17)</f>
        <v>0</v>
      </c>
      <c r="H17" s="131">
        <f>IF('Data 2'!H17&lt;0.1,0,'Data 2'!H17)</f>
        <v>0</v>
      </c>
      <c r="I17" s="131">
        <f>IF('Data 2'!I17&lt;0.1,0,'Data 2'!I17)</f>
        <v>0</v>
      </c>
      <c r="J17" s="131">
        <f>IF('Data 2'!J17&lt;0.1,0,'Data 2'!J17)</f>
        <v>6.0430645397813363</v>
      </c>
      <c r="K17" s="131">
        <f>IF('Data 2'!K17&lt;0.1,0,'Data 2'!K17)</f>
        <v>10.845935509100093</v>
      </c>
      <c r="L17" s="131">
        <f>IF('Data 2'!L17&lt;0.1,0,'Data 2'!L17)</f>
        <v>59.759193782282111</v>
      </c>
      <c r="M17" s="131">
        <f>IF('Data 2'!M17&lt;0.1,0,'Data 2'!M17)</f>
        <v>20.043064539781337</v>
      </c>
      <c r="O17" s="130">
        <v>8</v>
      </c>
      <c r="P17" s="131">
        <f>'Stasiun Pontianak Kota'!Q59</f>
        <v>0</v>
      </c>
      <c r="Q17" s="131">
        <f>'Stasiun Pontianak Kota'!R59</f>
        <v>0</v>
      </c>
      <c r="R17" s="131">
        <f>'Stasiun Pontianak Kota'!S59</f>
        <v>0</v>
      </c>
      <c r="S17" s="131">
        <f>'Stasiun Pontianak Kota'!T59</f>
        <v>87</v>
      </c>
      <c r="T17" s="131">
        <f>'Stasiun Pontianak Kota'!U59</f>
        <v>112</v>
      </c>
      <c r="U17" s="131">
        <f>'Stasiun Pontianak Kota'!V59</f>
        <v>0</v>
      </c>
      <c r="V17" s="131">
        <f>'Stasiun Pontianak Kota'!W59</f>
        <v>0</v>
      </c>
      <c r="W17" s="131">
        <f>'Stasiun Pontianak Kota'!X59</f>
        <v>0</v>
      </c>
      <c r="X17" s="131">
        <f>'Stasiun Pontianak Kota'!Y59</f>
        <v>9</v>
      </c>
      <c r="Y17" s="131">
        <f>'Stasiun Pontianak Kota'!Z59</f>
        <v>14</v>
      </c>
      <c r="Z17" s="131">
        <f>'Stasiun Pontianak Kota'!AA59</f>
        <v>89</v>
      </c>
      <c r="AA17" s="131">
        <f>'Stasiun Pontianak Kota'!AB59</f>
        <v>23</v>
      </c>
      <c r="AC17" s="130">
        <v>8</v>
      </c>
      <c r="AD17" s="131">
        <f>'Sta. Meteorologi pnk'!B15</f>
        <v>0</v>
      </c>
      <c r="AE17" s="131">
        <f>'Sta. Meteorologi pnk'!C15</f>
        <v>0</v>
      </c>
      <c r="AF17" s="131">
        <f>'Sta. Meteorologi pnk'!D15</f>
        <v>0</v>
      </c>
      <c r="AG17" s="131">
        <f>'Sta. Meteorologi pnk'!E15</f>
        <v>0</v>
      </c>
      <c r="AH17" s="131">
        <f>'Sta. Meteorologi pnk'!F15</f>
        <v>0</v>
      </c>
      <c r="AI17" s="131">
        <f>'Sta. Meteorologi pnk'!G15</f>
        <v>0</v>
      </c>
      <c r="AJ17" s="131">
        <f>'Sta. Meteorologi pnk'!H15</f>
        <v>0.1</v>
      </c>
      <c r="AK17" s="131">
        <f>'Sta. Meteorologi pnk'!I15</f>
        <v>0</v>
      </c>
      <c r="AL17" s="131">
        <f>'Sta. Meteorologi pnk'!J15</f>
        <v>0</v>
      </c>
      <c r="AM17" s="131">
        <f>'Sta. Meteorologi pnk'!K15</f>
        <v>4.4000000000000004</v>
      </c>
      <c r="AN17" s="131">
        <f>'Sta. Meteorologi pnk'!L15</f>
        <v>0</v>
      </c>
      <c r="AO17" s="131">
        <f>'Sta. Meteorologi pnk'!M15</f>
        <v>14</v>
      </c>
      <c r="AQ17" s="130">
        <v>8</v>
      </c>
      <c r="AR17" s="131">
        <f t="shared" si="2"/>
        <v>0</v>
      </c>
      <c r="AS17" s="131">
        <f t="shared" si="0"/>
        <v>0</v>
      </c>
      <c r="AT17" s="131">
        <f t="shared" si="0"/>
        <v>0</v>
      </c>
      <c r="AU17" s="131">
        <f t="shared" si="0"/>
        <v>28.171061030628913</v>
      </c>
      <c r="AV17" s="131">
        <f t="shared" si="0"/>
        <v>36.266193510694691</v>
      </c>
      <c r="AW17" s="131">
        <f t="shared" si="0"/>
        <v>0</v>
      </c>
      <c r="AX17" s="131">
        <f t="shared" si="0"/>
        <v>6.7619470079736871E-2</v>
      </c>
      <c r="AY17" s="131">
        <f t="shared" si="0"/>
        <v>0</v>
      </c>
      <c r="AZ17" s="131">
        <f t="shared" si="0"/>
        <v>2.9142476928236807</v>
      </c>
      <c r="BA17" s="131">
        <f t="shared" si="0"/>
        <v>7.5085308723452595</v>
      </c>
      <c r="BB17" s="131">
        <f t="shared" si="0"/>
        <v>28.818671629034178</v>
      </c>
      <c r="BC17" s="131">
        <f t="shared" si="0"/>
        <v>16.914247692823679</v>
      </c>
      <c r="BE17" s="130">
        <v>8</v>
      </c>
      <c r="BF17" s="131">
        <f t="shared" si="3"/>
        <v>0</v>
      </c>
      <c r="BG17" s="131">
        <f>((C17/($BI$1^2))+(Q17/($AV$1^2))+(AE17/($AV$2^2)))/((1/($BI$1^2))+(1/($AV$1^2))+(1/($AV$2^2)))</f>
        <v>0</v>
      </c>
      <c r="BH17" s="131">
        <f t="shared" si="1"/>
        <v>0</v>
      </c>
      <c r="BI17" s="131">
        <f t="shared" si="1"/>
        <v>31.958471087691667</v>
      </c>
      <c r="BJ17" s="131">
        <f t="shared" si="1"/>
        <v>41.141939791051342</v>
      </c>
      <c r="BK17" s="131">
        <f t="shared" si="1"/>
        <v>0</v>
      </c>
      <c r="BL17" s="131">
        <f t="shared" si="1"/>
        <v>5.9151931063083127E-2</v>
      </c>
      <c r="BM17" s="131">
        <f t="shared" si="1"/>
        <v>0</v>
      </c>
      <c r="BN17" s="131">
        <f t="shared" si="1"/>
        <v>3.3060487332094826</v>
      </c>
      <c r="BO17" s="131">
        <f t="shared" si="1"/>
        <v>7.926451982090116</v>
      </c>
      <c r="BP17" s="131">
        <f t="shared" si="1"/>
        <v>32.693148583960443</v>
      </c>
      <c r="BQ17" s="131">
        <f t="shared" si="1"/>
        <v>17.306048733209483</v>
      </c>
    </row>
    <row r="18" spans="1:69">
      <c r="A18" s="130">
        <v>9</v>
      </c>
      <c r="B18" s="131">
        <f>IF('Data 2'!B18&lt;0.1,0,'Data 2'!B18)</f>
        <v>0.82137096117185071</v>
      </c>
      <c r="C18" s="131">
        <f>IF('Data 2'!C18&lt;0.1,0,'Data 2'!C18)</f>
        <v>14.916096654880807</v>
      </c>
      <c r="D18" s="131">
        <f>IF('Data 2'!D18&lt;0.1,0,'Data 2'!D18)</f>
        <v>0</v>
      </c>
      <c r="E18" s="131">
        <f>IF('Data 2'!E18&lt;0.1,0,'Data 2'!E18)</f>
        <v>0.13141935378749611</v>
      </c>
      <c r="F18" s="131">
        <f>IF('Data 2'!F18&lt;0.1,0,'Data 2'!F18)</f>
        <v>0</v>
      </c>
      <c r="G18" s="131">
        <f>IF('Data 2'!G18&lt;0.1,0,'Data 2'!G18)</f>
        <v>0</v>
      </c>
      <c r="H18" s="131">
        <f>IF('Data 2'!H18&lt;0.1,0,'Data 2'!H18)</f>
        <v>7.3859677708438571</v>
      </c>
      <c r="I18" s="131">
        <f>IF('Data 2'!I18&lt;0.1,0,'Data 2'!I18)</f>
        <v>0</v>
      </c>
      <c r="J18" s="131">
        <f>IF('Data 2'!J18&lt;0.1,0,'Data 2'!J18)</f>
        <v>0.13141935378749611</v>
      </c>
      <c r="K18" s="131">
        <f>IF('Data 2'!K18&lt;0.1,0,'Data 2'!K18)</f>
        <v>10.743225848500154</v>
      </c>
      <c r="L18" s="131">
        <f>IF('Data 2'!L18&lt;0.1,0,'Data 2'!L18)</f>
        <v>0</v>
      </c>
      <c r="M18" s="131">
        <f>IF('Data 2'!M18&lt;0.1,0,'Data 2'!M18)</f>
        <v>10.071774232968895</v>
      </c>
      <c r="O18" s="130">
        <v>9</v>
      </c>
      <c r="P18" s="131">
        <f>'Stasiun Pontianak Kota'!Q60</f>
        <v>0</v>
      </c>
      <c r="Q18" s="131">
        <f>'Stasiun Pontianak Kota'!R60</f>
        <v>0</v>
      </c>
      <c r="R18" s="131">
        <f>'Stasiun Pontianak Kota'!S60</f>
        <v>0</v>
      </c>
      <c r="S18" s="131">
        <f>'Stasiun Pontianak Kota'!T60</f>
        <v>0</v>
      </c>
      <c r="T18" s="131">
        <f>'Stasiun Pontianak Kota'!U60</f>
        <v>0</v>
      </c>
      <c r="U18" s="131">
        <f>'Stasiun Pontianak Kota'!V60</f>
        <v>0</v>
      </c>
      <c r="V18" s="131">
        <f>'Stasiun Pontianak Kota'!W60</f>
        <v>11</v>
      </c>
      <c r="W18" s="131">
        <f>'Stasiun Pontianak Kota'!X60</f>
        <v>0</v>
      </c>
      <c r="X18" s="131">
        <f>'Stasiun Pontianak Kota'!Y60</f>
        <v>0</v>
      </c>
      <c r="Y18" s="131">
        <f>'Stasiun Pontianak Kota'!Z60</f>
        <v>16</v>
      </c>
      <c r="Z18" s="131">
        <f>'Stasiun Pontianak Kota'!AA60</f>
        <v>0</v>
      </c>
      <c r="AA18" s="131">
        <f>'Stasiun Pontianak Kota'!AB60</f>
        <v>15</v>
      </c>
      <c r="AC18" s="130">
        <v>9</v>
      </c>
      <c r="AD18" s="131">
        <f>'Sta. Meteorologi pnk'!B16</f>
        <v>2.5</v>
      </c>
      <c r="AE18" s="131">
        <f>'Sta. Meteorologi pnk'!C16</f>
        <v>45.4</v>
      </c>
      <c r="AF18" s="131">
        <f>'Sta. Meteorologi pnk'!D16</f>
        <v>0</v>
      </c>
      <c r="AG18" s="131">
        <f>'Sta. Meteorologi pnk'!E16</f>
        <v>0.4</v>
      </c>
      <c r="AH18" s="131">
        <f>'Sta. Meteorologi pnk'!F16</f>
        <v>0</v>
      </c>
      <c r="AI18" s="131">
        <f>'Sta. Meteorologi pnk'!G16</f>
        <v>0</v>
      </c>
      <c r="AJ18" s="131">
        <f>'Sta. Meteorologi pnk'!H16</f>
        <v>0</v>
      </c>
      <c r="AK18" s="131">
        <f>'Sta. Meteorologi pnk'!I16</f>
        <v>0</v>
      </c>
      <c r="AL18" s="131">
        <f>'Sta. Meteorologi pnk'!J16</f>
        <v>0.4</v>
      </c>
      <c r="AM18" s="131">
        <f>'Sta. Meteorologi pnk'!K16</f>
        <v>0</v>
      </c>
      <c r="AN18" s="131">
        <f>'Sta. Meteorologi pnk'!L16</f>
        <v>0</v>
      </c>
      <c r="AO18" s="131">
        <f>'Sta. Meteorologi pnk'!M16</f>
        <v>0</v>
      </c>
      <c r="AQ18" s="130">
        <v>9</v>
      </c>
      <c r="AR18" s="131">
        <f t="shared" si="2"/>
        <v>1.6904867519934219</v>
      </c>
      <c r="AS18" s="131">
        <f t="shared" si="0"/>
        <v>30.699239416200538</v>
      </c>
      <c r="AT18" s="131">
        <f t="shared" si="0"/>
        <v>0</v>
      </c>
      <c r="AU18" s="131">
        <f t="shared" si="0"/>
        <v>0.27047788031894748</v>
      </c>
      <c r="AV18" s="131">
        <f t="shared" si="0"/>
        <v>0</v>
      </c>
      <c r="AW18" s="131">
        <f t="shared" si="0"/>
        <v>0</v>
      </c>
      <c r="AX18" s="131">
        <f t="shared" si="0"/>
        <v>3.5618582912289436</v>
      </c>
      <c r="AY18" s="131">
        <f t="shared" si="0"/>
        <v>0</v>
      </c>
      <c r="AZ18" s="131">
        <f t="shared" si="0"/>
        <v>0.27047788031894748</v>
      </c>
      <c r="BA18" s="131">
        <f t="shared" si="0"/>
        <v>5.1808847872420998</v>
      </c>
      <c r="BB18" s="131">
        <f t="shared" si="0"/>
        <v>0</v>
      </c>
      <c r="BC18" s="131">
        <f t="shared" si="0"/>
        <v>4.8570794880394681</v>
      </c>
      <c r="BE18" s="130">
        <v>9</v>
      </c>
      <c r="BF18" s="131">
        <f t="shared" si="3"/>
        <v>1.5816531296640326</v>
      </c>
      <c r="BG18" s="131">
        <f t="shared" si="1"/>
        <v>28.722820834698826</v>
      </c>
      <c r="BH18" s="131">
        <f t="shared" si="1"/>
        <v>0</v>
      </c>
      <c r="BI18" s="131">
        <f t="shared" si="1"/>
        <v>0.2530645007462452</v>
      </c>
      <c r="BJ18" s="131">
        <f t="shared" si="1"/>
        <v>0</v>
      </c>
      <c r="BK18" s="131">
        <f t="shared" si="1"/>
        <v>0</v>
      </c>
      <c r="BL18" s="131">
        <f t="shared" si="1"/>
        <v>4.0407262294782571</v>
      </c>
      <c r="BM18" s="131">
        <f t="shared" si="1"/>
        <v>0</v>
      </c>
      <c r="BN18" s="131">
        <f t="shared" si="1"/>
        <v>0.2530645007462452</v>
      </c>
      <c r="BO18" s="131">
        <f t="shared" si="1"/>
        <v>5.8774199701501919</v>
      </c>
      <c r="BP18" s="131">
        <f t="shared" si="1"/>
        <v>0</v>
      </c>
      <c r="BQ18" s="131">
        <f t="shared" si="1"/>
        <v>5.5100812220158053</v>
      </c>
    </row>
    <row r="19" spans="1:69">
      <c r="A19" s="130">
        <v>10</v>
      </c>
      <c r="B19" s="131">
        <f>IF('Data 2'!B19&lt;0.1,0,'Data 2'!B19)</f>
        <v>1.8070161145780717</v>
      </c>
      <c r="C19" s="131">
        <f>IF('Data 2'!C19&lt;0.1,0,'Data 2'!C19)</f>
        <v>36.786290388281493</v>
      </c>
      <c r="D19" s="131">
        <f>IF('Data 2'!D19&lt;0.1,0,'Data 2'!D19)</f>
        <v>0</v>
      </c>
      <c r="E19" s="131">
        <f>IF('Data 2'!E19&lt;0.1,0,'Data 2'!E19)</f>
        <v>6.2956935460218659</v>
      </c>
      <c r="F19" s="131">
        <f>IF('Data 2'!F19&lt;0.1,0,'Data 2'!F19)</f>
        <v>1.7741612761311976</v>
      </c>
      <c r="G19" s="131">
        <f>IF('Data 2'!G19&lt;0.1,0,'Data 2'!G19)</f>
        <v>1.7741612761311976</v>
      </c>
      <c r="H19" s="131">
        <f>IF('Data 2'!H19&lt;0.1,0,'Data 2'!H19)</f>
        <v>13.509403157740373</v>
      </c>
      <c r="I19" s="131">
        <f>IF('Data 2'!I19&lt;0.1,0,'Data 2'!I19)</f>
        <v>1.4456128916624573</v>
      </c>
      <c r="J19" s="131">
        <f>IF('Data 2'!J19&lt;0.1,0,'Data 2'!J19)</f>
        <v>0</v>
      </c>
      <c r="K19" s="131">
        <f>IF('Data 2'!K19&lt;0.1,0,'Data 2'!K19)</f>
        <v>8.6159516399719731</v>
      </c>
      <c r="L19" s="131">
        <f>IF('Data 2'!L19&lt;0.1,0,'Data 2'!L19)</f>
        <v>2.3655483681749301</v>
      </c>
      <c r="M19" s="131">
        <f>IF('Data 2'!M19&lt;0.1,0,'Data 2'!M19)</f>
        <v>2.9569354602186624</v>
      </c>
      <c r="O19" s="130">
        <v>10</v>
      </c>
      <c r="P19" s="131">
        <f>'Stasiun Pontianak Kota'!Q61</f>
        <v>0</v>
      </c>
      <c r="Q19" s="131">
        <f>'Stasiun Pontianak Kota'!R61</f>
        <v>45</v>
      </c>
      <c r="R19" s="131">
        <f>'Stasiun Pontianak Kota'!S61</f>
        <v>0</v>
      </c>
      <c r="S19" s="131">
        <f>'Stasiun Pontianak Kota'!T61</f>
        <v>6</v>
      </c>
      <c r="T19" s="131">
        <f>'Stasiun Pontianak Kota'!U61</f>
        <v>0</v>
      </c>
      <c r="U19" s="131">
        <f>'Stasiun Pontianak Kota'!V61</f>
        <v>0</v>
      </c>
      <c r="V19" s="131">
        <f>'Stasiun Pontianak Kota'!W61</f>
        <v>5</v>
      </c>
      <c r="W19" s="131">
        <f>'Stasiun Pontianak Kota'!X61</f>
        <v>0</v>
      </c>
      <c r="X19" s="131">
        <f>'Stasiun Pontianak Kota'!Y61</f>
        <v>0</v>
      </c>
      <c r="Y19" s="131">
        <f>'Stasiun Pontianak Kota'!Z61</f>
        <v>12</v>
      </c>
      <c r="Z19" s="131">
        <f>'Stasiun Pontianak Kota'!AA61</f>
        <v>0</v>
      </c>
      <c r="AA19" s="131">
        <f>'Stasiun Pontianak Kota'!AB61</f>
        <v>0</v>
      </c>
      <c r="AC19" s="130">
        <v>10</v>
      </c>
      <c r="AD19" s="131">
        <f>'Sta. Meteorologi pnk'!B17</f>
        <v>5.5</v>
      </c>
      <c r="AE19" s="131">
        <f>'Sta. Meteorologi pnk'!C17</f>
        <v>20</v>
      </c>
      <c r="AF19" s="131">
        <f>'Sta. Meteorologi pnk'!D17</f>
        <v>0</v>
      </c>
      <c r="AG19" s="131">
        <f>'Sta. Meteorologi pnk'!E17</f>
        <v>6.9</v>
      </c>
      <c r="AH19" s="131">
        <f>'Sta. Meteorologi pnk'!F17</f>
        <v>5.4</v>
      </c>
      <c r="AI19" s="131">
        <f>'Sta. Meteorologi pnk'!G17</f>
        <v>5.4</v>
      </c>
      <c r="AJ19" s="131">
        <f>'Sta. Meteorologi pnk'!H17</f>
        <v>30.9</v>
      </c>
      <c r="AK19" s="131">
        <f>'Sta. Meteorologi pnk'!I17</f>
        <v>4.4000000000000004</v>
      </c>
      <c r="AL19" s="131">
        <f>'Sta. Meteorologi pnk'!J17</f>
        <v>0</v>
      </c>
      <c r="AM19" s="131">
        <f>'Sta. Meteorologi pnk'!K17</f>
        <v>1.7</v>
      </c>
      <c r="AN19" s="131">
        <f>'Sta. Meteorologi pnk'!L17</f>
        <v>7.2</v>
      </c>
      <c r="AO19" s="131">
        <f>'Sta. Meteorologi pnk'!M17</f>
        <v>9</v>
      </c>
      <c r="AQ19" s="130">
        <v>10</v>
      </c>
      <c r="AR19" s="131">
        <f t="shared" si="2"/>
        <v>3.719070854385528</v>
      </c>
      <c r="AS19" s="131">
        <f t="shared" si="0"/>
        <v>28.095132480065775</v>
      </c>
      <c r="AT19" s="131">
        <f t="shared" si="0"/>
        <v>0</v>
      </c>
      <c r="AU19" s="131">
        <f t="shared" si="0"/>
        <v>6.6085752307176309</v>
      </c>
      <c r="AV19" s="131">
        <f t="shared" si="0"/>
        <v>3.651451384305791</v>
      </c>
      <c r="AW19" s="131">
        <f t="shared" si="0"/>
        <v>3.651451384305791</v>
      </c>
      <c r="AX19" s="131">
        <f t="shared" si="0"/>
        <v>22.513442750651848</v>
      </c>
      <c r="AY19" s="131">
        <f t="shared" si="0"/>
        <v>2.9752566835084227</v>
      </c>
      <c r="AZ19" s="131">
        <f t="shared" si="0"/>
        <v>0</v>
      </c>
      <c r="BA19" s="131">
        <f t="shared" si="0"/>
        <v>5.0351945817871009</v>
      </c>
      <c r="BB19" s="131">
        <f t="shared" si="0"/>
        <v>4.8686018457410549</v>
      </c>
      <c r="BC19" s="131">
        <f t="shared" si="0"/>
        <v>6.0857523071763184</v>
      </c>
      <c r="BE19" s="130">
        <v>10</v>
      </c>
      <c r="BF19" s="131">
        <f t="shared" si="3"/>
        <v>3.4796368852608714</v>
      </c>
      <c r="BG19" s="131">
        <f t="shared" si="1"/>
        <v>29.183468703359676</v>
      </c>
      <c r="BH19" s="131">
        <f t="shared" si="1"/>
        <v>0</v>
      </c>
      <c r="BI19" s="131">
        <f t="shared" si="1"/>
        <v>6.5693951266790513</v>
      </c>
      <c r="BJ19" s="131">
        <f t="shared" si="1"/>
        <v>3.4163707600743098</v>
      </c>
      <c r="BK19" s="131">
        <f t="shared" si="1"/>
        <v>3.4163707600743098</v>
      </c>
      <c r="BL19" s="131">
        <f t="shared" si="1"/>
        <v>21.385926423319376</v>
      </c>
      <c r="BM19" s="131">
        <f t="shared" si="1"/>
        <v>2.7837095082086973</v>
      </c>
      <c r="BN19" s="131">
        <f t="shared" si="1"/>
        <v>0</v>
      </c>
      <c r="BO19" s="131">
        <f t="shared" si="1"/>
        <v>5.4835891057841861</v>
      </c>
      <c r="BP19" s="131">
        <f t="shared" si="1"/>
        <v>4.5551610134324143</v>
      </c>
      <c r="BQ19" s="131">
        <f t="shared" si="1"/>
        <v>5.693951266790517</v>
      </c>
    </row>
    <row r="20" spans="1:69">
      <c r="A20" s="130">
        <v>11</v>
      </c>
      <c r="B20" s="131">
        <f>IF('Data 2'!B20&lt;0.1,0,'Data 2'!B20)</f>
        <v>4.7001613087188172</v>
      </c>
      <c r="C20" s="131">
        <f>IF('Data 2'!C20&lt;0.1,0,'Data 2'!C20)</f>
        <v>8.6858064621250382</v>
      </c>
      <c r="D20" s="131">
        <f>IF('Data 2'!D20&lt;0.1,0,'Data 2'!D20)</f>
        <v>0</v>
      </c>
      <c r="E20" s="131">
        <f>IF('Data 2'!E20&lt;0.1,0,'Data 2'!E20)</f>
        <v>16.114838772750232</v>
      </c>
      <c r="F20" s="131">
        <f>IF('Data 2'!F20&lt;0.1,0,'Data 2'!F20)</f>
        <v>5.967145161553125</v>
      </c>
      <c r="G20" s="131">
        <f>IF('Data 2'!G20&lt;0.1,0,'Data 2'!G20)</f>
        <v>16.720887035015398</v>
      </c>
      <c r="H20" s="131">
        <f>IF('Data 2'!H20&lt;0.1,0,'Data 2'!H20)</f>
        <v>3.3572580776562981</v>
      </c>
      <c r="I20" s="131">
        <f>IF('Data 2'!I20&lt;0.1,0,'Data 2'!I20)</f>
        <v>2.6858064621250386</v>
      </c>
      <c r="J20" s="131">
        <f>IF('Data 2'!J20&lt;0.1,0,'Data 2'!J20)</f>
        <v>0</v>
      </c>
      <c r="K20" s="131">
        <f>IF('Data 2'!K20&lt;0.1,0,'Data 2'!K20)</f>
        <v>16.786290388281493</v>
      </c>
      <c r="L20" s="131">
        <f>IF('Data 2'!L20&lt;0.1,0,'Data 2'!L20)</f>
        <v>8.5751128346341225</v>
      </c>
      <c r="M20" s="131">
        <f>IF('Data 2'!M20&lt;0.1,0,'Data 2'!M20)</f>
        <v>9.2424193049060666</v>
      </c>
      <c r="O20" s="130">
        <v>11</v>
      </c>
      <c r="P20" s="131">
        <f>'Stasiun Pontianak Kota'!Q62</f>
        <v>7</v>
      </c>
      <c r="Q20" s="131">
        <f>'Stasiun Pontianak Kota'!R62</f>
        <v>10</v>
      </c>
      <c r="R20" s="131">
        <f>'Stasiun Pontianak Kota'!S62</f>
        <v>0</v>
      </c>
      <c r="S20" s="131">
        <f>'Stasiun Pontianak Kota'!T62</f>
        <v>24</v>
      </c>
      <c r="T20" s="131">
        <f>'Stasiun Pontianak Kota'!U62</f>
        <v>6</v>
      </c>
      <c r="U20" s="131">
        <f>'Stasiun Pontianak Kota'!V62</f>
        <v>9</v>
      </c>
      <c r="V20" s="131">
        <f>'Stasiun Pontianak Kota'!W62</f>
        <v>5</v>
      </c>
      <c r="W20" s="131">
        <f>'Stasiun Pontianak Kota'!X62</f>
        <v>4</v>
      </c>
      <c r="X20" s="131">
        <f>'Stasiun Pontianak Kota'!Y62</f>
        <v>0</v>
      </c>
      <c r="Y20" s="131">
        <f>'Stasiun Pontianak Kota'!Z62</f>
        <v>25</v>
      </c>
      <c r="Z20" s="131">
        <f>'Stasiun Pontianak Kota'!AA62</f>
        <v>0</v>
      </c>
      <c r="AA20" s="131">
        <f>'Stasiun Pontianak Kota'!AB62</f>
        <v>3</v>
      </c>
      <c r="AC20" s="130">
        <v>11</v>
      </c>
      <c r="AD20" s="131">
        <f>'Sta. Meteorologi pnk'!B18</f>
        <v>0</v>
      </c>
      <c r="AE20" s="131">
        <f>'Sta. Meteorologi pnk'!C18</f>
        <v>6</v>
      </c>
      <c r="AF20" s="131">
        <f>'Sta. Meteorologi pnk'!D18</f>
        <v>0</v>
      </c>
      <c r="AG20" s="131">
        <f>'Sta. Meteorologi pnk'!E18</f>
        <v>0</v>
      </c>
      <c r="AH20" s="131">
        <f>'Sta. Meteorologi pnk'!F18</f>
        <v>5.9</v>
      </c>
      <c r="AI20" s="131">
        <f>'Sta. Meteorologi pnk'!G18</f>
        <v>32.5</v>
      </c>
      <c r="AJ20" s="131">
        <f>'Sta. Meteorologi pnk'!H18</f>
        <v>0</v>
      </c>
      <c r="AK20" s="131">
        <f>'Sta. Meteorologi pnk'!I18</f>
        <v>0</v>
      </c>
      <c r="AL20" s="131">
        <f>'Sta. Meteorologi pnk'!J18</f>
        <v>0</v>
      </c>
      <c r="AM20" s="131">
        <f>'Sta. Meteorologi pnk'!K18</f>
        <v>0</v>
      </c>
      <c r="AN20" s="131">
        <f>'Sta. Meteorologi pnk'!L18</f>
        <v>26.1</v>
      </c>
      <c r="AO20" s="131">
        <f>'Sta. Meteorologi pnk'!M18</f>
        <v>22</v>
      </c>
      <c r="AQ20" s="130">
        <v>11</v>
      </c>
      <c r="AR20" s="131">
        <f t="shared" si="2"/>
        <v>2.2666370944184182</v>
      </c>
      <c r="AS20" s="131">
        <f t="shared" si="0"/>
        <v>7.2952211968105258</v>
      </c>
      <c r="AT20" s="131">
        <f t="shared" si="0"/>
        <v>0</v>
      </c>
      <c r="AU20" s="131">
        <f t="shared" si="0"/>
        <v>7.7713271808631479</v>
      </c>
      <c r="AV20" s="131">
        <f t="shared" si="0"/>
        <v>5.9323805299202634</v>
      </c>
      <c r="AW20" s="131">
        <f t="shared" si="0"/>
        <v>24.890575468738163</v>
      </c>
      <c r="AX20" s="131">
        <f t="shared" si="0"/>
        <v>1.619026496013156</v>
      </c>
      <c r="AY20" s="131">
        <f t="shared" si="0"/>
        <v>1.2952211968105249</v>
      </c>
      <c r="AZ20" s="131">
        <f t="shared" si="0"/>
        <v>0</v>
      </c>
      <c r="BA20" s="131">
        <f t="shared" si="0"/>
        <v>8.0951324800657805</v>
      </c>
      <c r="BB20" s="131">
        <f t="shared" si="0"/>
        <v>17.648681690811326</v>
      </c>
      <c r="BC20" s="131">
        <f t="shared" si="0"/>
        <v>15.847699315150004</v>
      </c>
      <c r="BE20" s="130">
        <v>11</v>
      </c>
      <c r="BF20" s="131">
        <f t="shared" si="3"/>
        <v>2.5713712369407089</v>
      </c>
      <c r="BG20" s="131">
        <f t="shared" si="1"/>
        <v>7.4693549925375473</v>
      </c>
      <c r="BH20" s="131">
        <f t="shared" si="1"/>
        <v>0</v>
      </c>
      <c r="BI20" s="131">
        <f t="shared" si="1"/>
        <v>8.8161299552252874</v>
      </c>
      <c r="BJ20" s="131">
        <f t="shared" si="1"/>
        <v>5.936733874813438</v>
      </c>
      <c r="BK20" s="131">
        <f t="shared" si="1"/>
        <v>23.867539418841908</v>
      </c>
      <c r="BL20" s="131">
        <f t="shared" si="1"/>
        <v>1.8366937406719348</v>
      </c>
      <c r="BM20" s="131">
        <f t="shared" si="1"/>
        <v>1.469354992537548</v>
      </c>
      <c r="BN20" s="131">
        <f t="shared" si="1"/>
        <v>0</v>
      </c>
      <c r="BO20" s="131">
        <f t="shared" si="1"/>
        <v>9.1834687033596758</v>
      </c>
      <c r="BP20" s="131">
        <f t="shared" si="1"/>
        <v>16.512458673692503</v>
      </c>
      <c r="BQ20" s="131">
        <f t="shared" si="1"/>
        <v>15.020563785446646</v>
      </c>
    </row>
    <row r="21" spans="1:69">
      <c r="A21" s="130">
        <v>12</v>
      </c>
      <c r="B21" s="131">
        <f>IF('Data 2'!B21&lt;0.1,0,'Data 2'!B21)</f>
        <v>0</v>
      </c>
      <c r="C21" s="131">
        <f>IF('Data 2'!C21&lt;0.1,0,'Data 2'!C21)</f>
        <v>5.3716129242500772</v>
      </c>
      <c r="D21" s="131">
        <f>IF('Data 2'!D21&lt;0.1,0,'Data 2'!D21)</f>
        <v>0</v>
      </c>
      <c r="E21" s="131">
        <f>IF('Data 2'!E21&lt;0.1,0,'Data 2'!E21)</f>
        <v>0</v>
      </c>
      <c r="F21" s="131">
        <f>IF('Data 2'!F21&lt;0.1,0,'Data 2'!F21)</f>
        <v>12.848161243543577</v>
      </c>
      <c r="G21" s="131">
        <f>IF('Data 2'!G21&lt;0.1,0,'Data 2'!G21)</f>
        <v>24.237967836019095</v>
      </c>
      <c r="H21" s="131">
        <f>IF('Data 2'!H21&lt;0.1,0,'Data 2'!H21)</f>
        <v>2.6940967526436701</v>
      </c>
      <c r="I21" s="131">
        <f>IF('Data 2'!I21&lt;0.1,0,'Data 2'!I21)</f>
        <v>0</v>
      </c>
      <c r="J21" s="131">
        <f>IF('Data 2'!J21&lt;0.1,0,'Data 2'!J21)</f>
        <v>0</v>
      </c>
      <c r="K21" s="131">
        <f>IF('Data 2'!K21&lt;0.1,0,'Data 2'!K21)</f>
        <v>0</v>
      </c>
      <c r="L21" s="131">
        <f>IF('Data 2'!L21&lt;0.1,0,'Data 2'!L21)</f>
        <v>17.987564564222051</v>
      </c>
      <c r="M21" s="131">
        <f>IF('Data 2'!M21&lt;0.1,0,'Data 2'!M21)</f>
        <v>15.443387157218973</v>
      </c>
      <c r="O21" s="130">
        <v>12</v>
      </c>
      <c r="P21" s="131">
        <f>'Stasiun Pontianak Kota'!Q63</f>
        <v>0</v>
      </c>
      <c r="Q21" s="131">
        <f>'Stasiun Pontianak Kota'!R63</f>
        <v>8</v>
      </c>
      <c r="R21" s="131">
        <f>'Stasiun Pontianak Kota'!S63</f>
        <v>0</v>
      </c>
      <c r="S21" s="131">
        <f>'Stasiun Pontianak Kota'!T63</f>
        <v>0</v>
      </c>
      <c r="T21" s="131">
        <f>'Stasiun Pontianak Kota'!U63</f>
        <v>7</v>
      </c>
      <c r="U21" s="131">
        <f>'Stasiun Pontianak Kota'!V63</f>
        <v>36</v>
      </c>
      <c r="V21" s="131">
        <f>'Stasiun Pontianak Kota'!W63</f>
        <v>0</v>
      </c>
      <c r="W21" s="131">
        <f>'Stasiun Pontianak Kota'!X63</f>
        <v>0</v>
      </c>
      <c r="X21" s="131">
        <f>'Stasiun Pontianak Kota'!Y63</f>
        <v>0</v>
      </c>
      <c r="Y21" s="131">
        <f>'Stasiun Pontianak Kota'!Z63</f>
        <v>0</v>
      </c>
      <c r="Z21" s="131">
        <f>'Stasiun Pontianak Kota'!AA63</f>
        <v>24</v>
      </c>
      <c r="AA21" s="131">
        <f>'Stasiun Pontianak Kota'!AB63</f>
        <v>23</v>
      </c>
      <c r="AC21" s="130">
        <v>12</v>
      </c>
      <c r="AD21" s="131">
        <f>'Sta. Meteorologi pnk'!B19</f>
        <v>0</v>
      </c>
      <c r="AE21" s="131">
        <f>'Sta. Meteorologi pnk'!C19</f>
        <v>0</v>
      </c>
      <c r="AF21" s="131">
        <f>'Sta. Meteorologi pnk'!D19</f>
        <v>0</v>
      </c>
      <c r="AG21" s="131">
        <f>'Sta. Meteorologi pnk'!E19</f>
        <v>0</v>
      </c>
      <c r="AH21" s="131">
        <f>'Sta. Meteorologi pnk'!F19</f>
        <v>24.8</v>
      </c>
      <c r="AI21" s="131">
        <f>'Sta. Meteorologi pnk'!G19</f>
        <v>0.2</v>
      </c>
      <c r="AJ21" s="131">
        <f>'Sta. Meteorologi pnk'!H19</f>
        <v>8.1999999999999993</v>
      </c>
      <c r="AK21" s="131">
        <f>'Sta. Meteorologi pnk'!I19</f>
        <v>0</v>
      </c>
      <c r="AL21" s="131">
        <f>'Sta. Meteorologi pnk'!J19</f>
        <v>0</v>
      </c>
      <c r="AM21" s="131">
        <f>'Sta. Meteorologi pnk'!K19</f>
        <v>0</v>
      </c>
      <c r="AN21" s="131">
        <f>'Sta. Meteorologi pnk'!L19</f>
        <v>5.7</v>
      </c>
      <c r="AO21" s="131">
        <f>'Sta. Meteorologi pnk'!M19</f>
        <v>0</v>
      </c>
      <c r="AQ21" s="130">
        <v>12</v>
      </c>
      <c r="AR21" s="131">
        <f t="shared" si="2"/>
        <v>0</v>
      </c>
      <c r="AS21" s="131">
        <f t="shared" si="0"/>
        <v>2.5904423936210499</v>
      </c>
      <c r="AT21" s="131">
        <f t="shared" si="0"/>
        <v>0</v>
      </c>
      <c r="AU21" s="131">
        <f t="shared" si="0"/>
        <v>0</v>
      </c>
      <c r="AV21" s="131">
        <f t="shared" si="0"/>
        <v>19.036265674193164</v>
      </c>
      <c r="AW21" s="131">
        <f t="shared" si="0"/>
        <v>11.792229711454196</v>
      </c>
      <c r="AX21" s="131">
        <f t="shared" si="0"/>
        <v>5.5447965465384232</v>
      </c>
      <c r="AY21" s="131">
        <f t="shared" si="0"/>
        <v>0</v>
      </c>
      <c r="AZ21" s="131">
        <f t="shared" si="0"/>
        <v>0</v>
      </c>
      <c r="BA21" s="131">
        <f t="shared" si="0"/>
        <v>0</v>
      </c>
      <c r="BB21" s="131">
        <f t="shared" si="0"/>
        <v>11.625636975408149</v>
      </c>
      <c r="BC21" s="131">
        <f t="shared" si="0"/>
        <v>7.4475218816605171</v>
      </c>
      <c r="BE21" s="130">
        <v>12</v>
      </c>
      <c r="BF21" s="131">
        <f t="shared" si="3"/>
        <v>0</v>
      </c>
      <c r="BG21" s="131">
        <f t="shared" si="1"/>
        <v>2.938709985075096</v>
      </c>
      <c r="BH21" s="131">
        <f t="shared" si="1"/>
        <v>0</v>
      </c>
      <c r="BI21" s="131">
        <f t="shared" si="1"/>
        <v>0</v>
      </c>
      <c r="BJ21" s="131">
        <f t="shared" si="1"/>
        <v>18.26137028320791</v>
      </c>
      <c r="BK21" s="131">
        <f t="shared" si="1"/>
        <v>13.350727183211054</v>
      </c>
      <c r="BL21" s="131">
        <f t="shared" si="1"/>
        <v>5.1878222652980259</v>
      </c>
      <c r="BM21" s="131">
        <f t="shared" si="1"/>
        <v>0</v>
      </c>
      <c r="BN21" s="131">
        <f t="shared" si="1"/>
        <v>0</v>
      </c>
      <c r="BO21" s="131">
        <f t="shared" si="1"/>
        <v>0</v>
      </c>
      <c r="BP21" s="131">
        <f t="shared" si="1"/>
        <v>12.42229909085928</v>
      </c>
      <c r="BQ21" s="131">
        <f t="shared" si="1"/>
        <v>8.4487912070909008</v>
      </c>
    </row>
    <row r="22" spans="1:69">
      <c r="A22" s="130">
        <v>13</v>
      </c>
      <c r="B22" s="131">
        <f>IF('Data 2'!B22&lt;0.1,0,'Data 2'!B22)</f>
        <v>0</v>
      </c>
      <c r="C22" s="131">
        <f>IF('Data 2'!C22&lt;0.1,0,'Data 2'!C22)</f>
        <v>3.0226451371124101</v>
      </c>
      <c r="D22" s="131">
        <f>IF('Data 2'!D22&lt;0.1,0,'Data 2'!D22)</f>
        <v>0</v>
      </c>
      <c r="E22" s="131">
        <f>IF('Data 2'!E22&lt;0.1,0,'Data 2'!E22)</f>
        <v>0</v>
      </c>
      <c r="F22" s="131">
        <f>IF('Data 2'!F22&lt;0.1,0,'Data 2'!F22)</f>
        <v>14.985645153406219</v>
      </c>
      <c r="G22" s="131">
        <f>IF('Data 2'!G22&lt;0.1,0,'Data 2'!G22)</f>
        <v>0</v>
      </c>
      <c r="H22" s="131">
        <f>IF('Data 2'!H22&lt;0.1,0,'Data 2'!H22)</f>
        <v>39.072386880224194</v>
      </c>
      <c r="I22" s="131">
        <f>IF('Data 2'!I22&lt;0.1,0,'Data 2'!I22)</f>
        <v>2.0143548465937791</v>
      </c>
      <c r="J22" s="131">
        <f>IF('Data 2'!J22&lt;0.1,0,'Data 2'!J22)</f>
        <v>1.6427419223437014</v>
      </c>
      <c r="K22" s="131">
        <f>IF('Data 2'!K22&lt;0.1,0,'Data 2'!K22)</f>
        <v>0</v>
      </c>
      <c r="L22" s="131">
        <f>IF('Data 2'!L22&lt;0.1,0,'Data 2'!L22)</f>
        <v>3.3470483763218351</v>
      </c>
      <c r="M22" s="131">
        <f>IF('Data 2'!M22&lt;0.1,0,'Data 2'!M22)</f>
        <v>4.6653870594561111</v>
      </c>
      <c r="O22" s="130">
        <v>13</v>
      </c>
      <c r="P22" s="131">
        <f>'Stasiun Pontianak Kota'!Q64</f>
        <v>0</v>
      </c>
      <c r="Q22" s="131">
        <f>'Stasiun Pontianak Kota'!R64</f>
        <v>0</v>
      </c>
      <c r="R22" s="131">
        <f>'Stasiun Pontianak Kota'!S64</f>
        <v>0</v>
      </c>
      <c r="S22" s="131">
        <f>'Stasiun Pontianak Kota'!T64</f>
        <v>0</v>
      </c>
      <c r="T22" s="131">
        <f>'Stasiun Pontianak Kota'!U64</f>
        <v>14</v>
      </c>
      <c r="U22" s="131">
        <f>'Stasiun Pontianak Kota'!V64</f>
        <v>0</v>
      </c>
      <c r="V22" s="131">
        <f>'Stasiun Pontianak Kota'!W64</f>
        <v>12</v>
      </c>
      <c r="W22" s="131">
        <f>'Stasiun Pontianak Kota'!X64</f>
        <v>3</v>
      </c>
      <c r="X22" s="131">
        <f>'Stasiun Pontianak Kota'!Y64</f>
        <v>0</v>
      </c>
      <c r="Y22" s="131">
        <f>'Stasiun Pontianak Kota'!Z64</f>
        <v>0</v>
      </c>
      <c r="Z22" s="131">
        <f>'Stasiun Pontianak Kota'!AA64</f>
        <v>2</v>
      </c>
      <c r="AA22" s="131">
        <f>'Stasiun Pontianak Kota'!AB64</f>
        <v>0</v>
      </c>
      <c r="AC22" s="130">
        <v>13</v>
      </c>
      <c r="AD22" s="131">
        <f>'Sta. Meteorologi pnk'!B20</f>
        <v>0</v>
      </c>
      <c r="AE22" s="131">
        <f>'Sta. Meteorologi pnk'!C20</f>
        <v>9.1999999999999993</v>
      </c>
      <c r="AF22" s="131">
        <f>'Sta. Meteorologi pnk'!D20</f>
        <v>0</v>
      </c>
      <c r="AG22" s="131">
        <f>'Sta. Meteorologi pnk'!E20</f>
        <v>0.3</v>
      </c>
      <c r="AH22" s="131">
        <f>'Sta. Meteorologi pnk'!F20</f>
        <v>17</v>
      </c>
      <c r="AI22" s="131">
        <f>'Sta. Meteorologi pnk'!G20</f>
        <v>0</v>
      </c>
      <c r="AJ22" s="131">
        <f>'Sta. Meteorologi pnk'!H20</f>
        <v>94.4</v>
      </c>
      <c r="AK22" s="131">
        <f>'Sta. Meteorologi pnk'!I20</f>
        <v>0</v>
      </c>
      <c r="AL22" s="131">
        <f>'Sta. Meteorologi pnk'!J20</f>
        <v>5</v>
      </c>
      <c r="AM22" s="131">
        <f>'Sta. Meteorologi pnk'!K20</f>
        <v>0</v>
      </c>
      <c r="AN22" s="131">
        <f>'Sta. Meteorologi pnk'!L20</f>
        <v>6.1</v>
      </c>
      <c r="AO22" s="131">
        <f>'Sta. Meteorologi pnk'!M20</f>
        <v>14.2</v>
      </c>
      <c r="AQ22" s="130">
        <v>13</v>
      </c>
      <c r="AR22" s="131">
        <f t="shared" si="2"/>
        <v>0</v>
      </c>
      <c r="AS22" s="131">
        <f t="shared" si="0"/>
        <v>6.2209912473357925</v>
      </c>
      <c r="AT22" s="131">
        <f t="shared" si="0"/>
        <v>0</v>
      </c>
      <c r="AU22" s="131">
        <f t="shared" si="0"/>
        <v>0.20285841023921061</v>
      </c>
      <c r="AV22" s="131">
        <f t="shared" si="0"/>
        <v>16.028584102392102</v>
      </c>
      <c r="AW22" s="131">
        <f t="shared" si="0"/>
        <v>0</v>
      </c>
      <c r="AX22" s="131">
        <f t="shared" si="0"/>
        <v>67.718443345703193</v>
      </c>
      <c r="AY22" s="131">
        <f t="shared" si="0"/>
        <v>0.97141589760789349</v>
      </c>
      <c r="AZ22" s="131">
        <f t="shared" si="0"/>
        <v>3.3809735039868438</v>
      </c>
      <c r="BA22" s="131">
        <f t="shared" si="0"/>
        <v>0</v>
      </c>
      <c r="BB22" s="131">
        <f t="shared" si="0"/>
        <v>4.7723982732692116</v>
      </c>
      <c r="BC22" s="131">
        <f t="shared" si="0"/>
        <v>9.6019647513226367</v>
      </c>
      <c r="BE22" s="130">
        <v>13</v>
      </c>
      <c r="BF22" s="131">
        <f t="shared" si="3"/>
        <v>0</v>
      </c>
      <c r="BG22" s="131">
        <f t="shared" si="1"/>
        <v>5.8204835171636402</v>
      </c>
      <c r="BH22" s="131">
        <f t="shared" si="1"/>
        <v>0</v>
      </c>
      <c r="BI22" s="131">
        <f t="shared" si="1"/>
        <v>0.17745579318924937</v>
      </c>
      <c r="BJ22" s="131">
        <f t="shared" si="1"/>
        <v>15.897983755596838</v>
      </c>
      <c r="BK22" s="131">
        <f t="shared" si="1"/>
        <v>0</v>
      </c>
      <c r="BL22" s="131">
        <f t="shared" si="1"/>
        <v>64.131287153726518</v>
      </c>
      <c r="BM22" s="131">
        <f t="shared" si="1"/>
        <v>1.1020162444031609</v>
      </c>
      <c r="BN22" s="131">
        <f t="shared" si="1"/>
        <v>3.1633062593280652</v>
      </c>
      <c r="BO22" s="131">
        <f t="shared" si="1"/>
        <v>0</v>
      </c>
      <c r="BP22" s="131">
        <f t="shared" si="1"/>
        <v>4.593911132649013</v>
      </c>
      <c r="BQ22" s="131">
        <f t="shared" si="1"/>
        <v>8.9837897764917045</v>
      </c>
    </row>
    <row r="23" spans="1:69">
      <c r="A23" s="130">
        <v>14</v>
      </c>
      <c r="B23" s="131">
        <f>IF('Data 2'!B23&lt;0.1,0,'Data 2'!B23)</f>
        <v>0</v>
      </c>
      <c r="C23" s="131">
        <f>IF('Data 2'!C23&lt;0.1,0,'Data 2'!C23)</f>
        <v>12.069854822153063</v>
      </c>
      <c r="D23" s="131">
        <f>IF('Data 2'!D23&lt;0.1,0,'Data 2'!D23)</f>
        <v>0</v>
      </c>
      <c r="E23" s="131">
        <f>IF('Data 2'!E23&lt;0.1,0,'Data 2'!E23)</f>
        <v>9.0698548221530633</v>
      </c>
      <c r="F23" s="131">
        <f>IF('Data 2'!F23&lt;0.1,0,'Data 2'!F23)</f>
        <v>6.0430645397813363</v>
      </c>
      <c r="G23" s="131">
        <f>IF('Data 2'!G23&lt;0.1,0,'Data 2'!G23)</f>
        <v>0</v>
      </c>
      <c r="H23" s="131">
        <f>IF('Data 2'!H23&lt;0.1,0,'Data 2'!H23)</f>
        <v>30.199661088752382</v>
      </c>
      <c r="I23" s="131">
        <f>IF('Data 2'!I23&lt;0.1,0,'Data 2'!I23)</f>
        <v>0</v>
      </c>
      <c r="J23" s="131">
        <f>IF('Data 2'!J23&lt;0.1,0,'Data 2'!J23)</f>
        <v>33.450064360549426</v>
      </c>
      <c r="K23" s="131">
        <f>IF('Data 2'!K23&lt;0.1,0,'Data 2'!K23)</f>
        <v>0.22998386912811819</v>
      </c>
      <c r="L23" s="131">
        <f>IF('Data 2'!L23&lt;0.1,0,'Data 2'!L23)</f>
        <v>0</v>
      </c>
      <c r="M23" s="131">
        <f>IF('Data 2'!M23&lt;0.1,0,'Data 2'!M23)</f>
        <v>15.845935509100093</v>
      </c>
      <c r="O23" s="130">
        <v>14</v>
      </c>
      <c r="P23" s="131">
        <f>'Stasiun Pontianak Kota'!Q65</f>
        <v>0</v>
      </c>
      <c r="Q23" s="131">
        <f>'Stasiun Pontianak Kota'!R65</f>
        <v>10</v>
      </c>
      <c r="R23" s="131">
        <f>'Stasiun Pontianak Kota'!S65</f>
        <v>0</v>
      </c>
      <c r="S23" s="131">
        <f>'Stasiun Pontianak Kota'!T65</f>
        <v>7</v>
      </c>
      <c r="T23" s="131">
        <f>'Stasiun Pontianak Kota'!U65</f>
        <v>9</v>
      </c>
      <c r="U23" s="131">
        <f>'Stasiun Pontianak Kota'!V65</f>
        <v>0</v>
      </c>
      <c r="V23" s="131">
        <f>'Stasiun Pontianak Kota'!W65</f>
        <v>5</v>
      </c>
      <c r="W23" s="131">
        <f>'Stasiun Pontianak Kota'!X65</f>
        <v>0</v>
      </c>
      <c r="X23" s="131">
        <f>'Stasiun Pontianak Kota'!Y65</f>
        <v>14</v>
      </c>
      <c r="Y23" s="131">
        <f>'Stasiun Pontianak Kota'!Z65</f>
        <v>0</v>
      </c>
      <c r="Z23" s="131">
        <f>'Stasiun Pontianak Kota'!AA65</f>
        <v>0</v>
      </c>
      <c r="AA23" s="131">
        <f>'Stasiun Pontianak Kota'!AB65</f>
        <v>19</v>
      </c>
      <c r="AC23" s="130">
        <v>14</v>
      </c>
      <c r="AD23" s="131">
        <f>'Sta. Meteorologi pnk'!B21</f>
        <v>0</v>
      </c>
      <c r="AE23" s="131">
        <f>'Sta. Meteorologi pnk'!C21</f>
        <v>16.3</v>
      </c>
      <c r="AF23" s="131">
        <f>'Sta. Meteorologi pnk'!D21</f>
        <v>0</v>
      </c>
      <c r="AG23" s="131">
        <f>'Sta. Meteorologi pnk'!E21</f>
        <v>13.3</v>
      </c>
      <c r="AH23" s="131">
        <f>'Sta. Meteorologi pnk'!F21</f>
        <v>0</v>
      </c>
      <c r="AI23" s="131">
        <f>'Sta. Meteorologi pnk'!G21</f>
        <v>0</v>
      </c>
      <c r="AJ23" s="131">
        <f>'Sta. Meteorologi pnk'!H21</f>
        <v>81.7</v>
      </c>
      <c r="AK23" s="131">
        <f>'Sta. Meteorologi pnk'!I21</f>
        <v>0</v>
      </c>
      <c r="AL23" s="131">
        <f>'Sta. Meteorologi pnk'!J21</f>
        <v>73.2</v>
      </c>
      <c r="AM23" s="131">
        <f>'Sta. Meteorologi pnk'!K21</f>
        <v>0.7</v>
      </c>
      <c r="AN23" s="131">
        <f>'Sta. Meteorologi pnk'!L21</f>
        <v>0</v>
      </c>
      <c r="AO23" s="131">
        <f>'Sta. Meteorologi pnk'!M21</f>
        <v>9.4</v>
      </c>
      <c r="AQ23" s="130">
        <v>14</v>
      </c>
      <c r="AR23" s="131">
        <f t="shared" si="2"/>
        <v>0</v>
      </c>
      <c r="AS23" s="131">
        <f t="shared" si="0"/>
        <v>14.260026615023421</v>
      </c>
      <c r="AT23" s="131">
        <f t="shared" si="0"/>
        <v>0</v>
      </c>
      <c r="AU23" s="131">
        <f t="shared" si="0"/>
        <v>11.260026615023424</v>
      </c>
      <c r="AV23" s="131">
        <f t="shared" si="0"/>
        <v>2.9142476928236807</v>
      </c>
      <c r="AW23" s="131">
        <f t="shared" si="0"/>
        <v>0</v>
      </c>
      <c r="AX23" s="131">
        <f t="shared" si="0"/>
        <v>56.864133551158183</v>
      </c>
      <c r="AY23" s="131">
        <f t="shared" si="0"/>
        <v>0</v>
      </c>
      <c r="AZ23" s="131">
        <f t="shared" si="0"/>
        <v>54.030726287204224</v>
      </c>
      <c r="BA23" s="131">
        <f t="shared" si="0"/>
        <v>0.47333629055815807</v>
      </c>
      <c r="BB23" s="131">
        <f t="shared" si="0"/>
        <v>0</v>
      </c>
      <c r="BC23" s="131">
        <f t="shared" si="0"/>
        <v>12.50853087234526</v>
      </c>
      <c r="BE23" s="130">
        <v>14</v>
      </c>
      <c r="BF23" s="131">
        <f t="shared" si="3"/>
        <v>0</v>
      </c>
      <c r="BG23" s="131">
        <f t="shared" si="1"/>
        <v>13.985765886753363</v>
      </c>
      <c r="BH23" s="131">
        <f t="shared" si="1"/>
        <v>0</v>
      </c>
      <c r="BI23" s="131">
        <f t="shared" si="1"/>
        <v>10.985765886753363</v>
      </c>
      <c r="BJ23" s="131">
        <f t="shared" si="1"/>
        <v>3.3060487332094826</v>
      </c>
      <c r="BK23" s="131">
        <f t="shared" si="1"/>
        <v>0</v>
      </c>
      <c r="BL23" s="131">
        <f t="shared" si="1"/>
        <v>53.52511801809252</v>
      </c>
      <c r="BM23" s="131">
        <f t="shared" si="1"/>
        <v>0</v>
      </c>
      <c r="BN23" s="131">
        <f t="shared" si="1"/>
        <v>51.453546110444286</v>
      </c>
      <c r="BO23" s="131">
        <f t="shared" si="1"/>
        <v>0.44286287630592908</v>
      </c>
      <c r="BP23" s="131">
        <f t="shared" si="1"/>
        <v>0</v>
      </c>
      <c r="BQ23" s="131">
        <f t="shared" si="1"/>
        <v>12.926451982090116</v>
      </c>
    </row>
    <row r="24" spans="1:69">
      <c r="A24" s="130">
        <v>15</v>
      </c>
      <c r="B24" s="131">
        <f>IF('Data 2'!B24&lt;0.1,0,'Data 2'!B24)</f>
        <v>0</v>
      </c>
      <c r="C24" s="131">
        <f>IF('Data 2'!C24&lt;0.1,0,'Data 2'!C24)</f>
        <v>1.4784677301093312</v>
      </c>
      <c r="D24" s="131">
        <f>IF('Data 2'!D24&lt;0.1,0,'Data 2'!D24)</f>
        <v>0</v>
      </c>
      <c r="E24" s="131">
        <f>IF('Data 2'!E24&lt;0.1,0,'Data 2'!E24)</f>
        <v>8.7288710019063753</v>
      </c>
      <c r="F24" s="131">
        <f>IF('Data 2'!F24&lt;0.1,0,'Data 2'!F24)</f>
        <v>0</v>
      </c>
      <c r="G24" s="131">
        <f>IF('Data 2'!G24&lt;0.1,0,'Data 2'!G24)</f>
        <v>0</v>
      </c>
      <c r="H24" s="131">
        <f>IF('Data 2'!H24&lt;0.1,0,'Data 2'!H24)</f>
        <v>30.215322698906686</v>
      </c>
      <c r="I24" s="131">
        <f>IF('Data 2'!I24&lt;0.1,0,'Data 2'!I24)</f>
        <v>0</v>
      </c>
      <c r="J24" s="131">
        <f>IF('Data 2'!J24&lt;0.1,0,'Data 2'!J24)</f>
        <v>34.215322698906682</v>
      </c>
      <c r="K24" s="131">
        <f>IF('Data 2'!K24&lt;0.1,0,'Data 2'!K24)</f>
        <v>4.7001613087188172</v>
      </c>
      <c r="L24" s="131">
        <f>IF('Data 2'!L24&lt;0.1,0,'Data 2'!L24)</f>
        <v>0</v>
      </c>
      <c r="M24" s="131">
        <f>IF('Data 2'!M24&lt;0.1,0,'Data 2'!M24)</f>
        <v>13.429032310625193</v>
      </c>
      <c r="O24" s="130">
        <v>15</v>
      </c>
      <c r="P24" s="131">
        <f>'Stasiun Pontianak Kota'!Q66</f>
        <v>0</v>
      </c>
      <c r="Q24" s="131">
        <f>'Stasiun Pontianak Kota'!R66</f>
        <v>0</v>
      </c>
      <c r="R24" s="131">
        <f>'Stasiun Pontianak Kota'!S66</f>
        <v>0</v>
      </c>
      <c r="S24" s="131">
        <f>'Stasiun Pontianak Kota'!T66</f>
        <v>13</v>
      </c>
      <c r="T24" s="131">
        <f>'Stasiun Pontianak Kota'!U66</f>
        <v>0</v>
      </c>
      <c r="U24" s="131">
        <f>'Stasiun Pontianak Kota'!V66</f>
        <v>0</v>
      </c>
      <c r="V24" s="131">
        <f>'Stasiun Pontianak Kota'!W66</f>
        <v>45</v>
      </c>
      <c r="W24" s="131">
        <f>'Stasiun Pontianak Kota'!X66</f>
        <v>0</v>
      </c>
      <c r="X24" s="131">
        <f>'Stasiun Pontianak Kota'!Y66</f>
        <v>49</v>
      </c>
      <c r="Y24" s="131">
        <f>'Stasiun Pontianak Kota'!Z66</f>
        <v>7</v>
      </c>
      <c r="Z24" s="131">
        <f>'Stasiun Pontianak Kota'!AA66</f>
        <v>0</v>
      </c>
      <c r="AA24" s="131">
        <f>'Stasiun Pontianak Kota'!AB66</f>
        <v>20</v>
      </c>
      <c r="AC24" s="130">
        <v>15</v>
      </c>
      <c r="AD24" s="131">
        <f>'Sta. Meteorologi pnk'!B22</f>
        <v>0</v>
      </c>
      <c r="AE24" s="131">
        <f>'Sta. Meteorologi pnk'!C22</f>
        <v>4.5</v>
      </c>
      <c r="AF24" s="131">
        <f>'Sta. Meteorologi pnk'!D22</f>
        <v>0</v>
      </c>
      <c r="AG24" s="131">
        <f>'Sta. Meteorologi pnk'!E22</f>
        <v>0</v>
      </c>
      <c r="AH24" s="131">
        <f>'Sta. Meteorologi pnk'!F22</f>
        <v>0</v>
      </c>
      <c r="AI24" s="131">
        <f>'Sta. Meteorologi pnk'!G22</f>
        <v>0</v>
      </c>
      <c r="AJ24" s="131">
        <f>'Sta. Meteorologi pnk'!H22</f>
        <v>0</v>
      </c>
      <c r="AK24" s="131">
        <f>'Sta. Meteorologi pnk'!I22</f>
        <v>0</v>
      </c>
      <c r="AL24" s="131">
        <f>'Sta. Meteorologi pnk'!J22</f>
        <v>4</v>
      </c>
      <c r="AM24" s="131">
        <f>'Sta. Meteorologi pnk'!K22</f>
        <v>0</v>
      </c>
      <c r="AN24" s="131">
        <f>'Sta. Meteorologi pnk'!L22</f>
        <v>0</v>
      </c>
      <c r="AO24" s="131">
        <f>'Sta. Meteorologi pnk'!M22</f>
        <v>0</v>
      </c>
      <c r="AQ24" s="130">
        <v>15</v>
      </c>
      <c r="AR24" s="131">
        <f t="shared" si="2"/>
        <v>0</v>
      </c>
      <c r="AS24" s="131">
        <f t="shared" si="0"/>
        <v>3.0428761535881592</v>
      </c>
      <c r="AT24" s="131">
        <f t="shared" si="0"/>
        <v>0</v>
      </c>
      <c r="AU24" s="131">
        <f t="shared" si="0"/>
        <v>4.2094688896342056</v>
      </c>
      <c r="AV24" s="131">
        <f t="shared" si="0"/>
        <v>0</v>
      </c>
      <c r="AW24" s="131">
        <f t="shared" si="0"/>
        <v>0</v>
      </c>
      <c r="AX24" s="131">
        <f t="shared" si="0"/>
        <v>14.571238464118403</v>
      </c>
      <c r="AY24" s="131">
        <f t="shared" si="0"/>
        <v>0</v>
      </c>
      <c r="AZ24" s="131">
        <f t="shared" si="0"/>
        <v>18.571238464118402</v>
      </c>
      <c r="BA24" s="131">
        <f t="shared" si="0"/>
        <v>2.2666370944184182</v>
      </c>
      <c r="BB24" s="131">
        <f t="shared" si="0"/>
        <v>0</v>
      </c>
      <c r="BC24" s="131">
        <f t="shared" si="0"/>
        <v>6.4761059840526238</v>
      </c>
      <c r="BE24" s="130">
        <v>15</v>
      </c>
      <c r="BF24" s="131">
        <f t="shared" si="3"/>
        <v>0</v>
      </c>
      <c r="BG24" s="131">
        <f t="shared" si="1"/>
        <v>2.8469756333952585</v>
      </c>
      <c r="BH24" s="131">
        <f t="shared" si="1"/>
        <v>0</v>
      </c>
      <c r="BI24" s="131">
        <f t="shared" si="1"/>
        <v>4.7754037257470312</v>
      </c>
      <c r="BJ24" s="131">
        <f t="shared" si="1"/>
        <v>0</v>
      </c>
      <c r="BK24" s="131">
        <f t="shared" si="1"/>
        <v>0</v>
      </c>
      <c r="BL24" s="131">
        <f t="shared" si="1"/>
        <v>16.530243666047411</v>
      </c>
      <c r="BM24" s="131">
        <f t="shared" si="1"/>
        <v>0</v>
      </c>
      <c r="BN24" s="131">
        <f t="shared" si="1"/>
        <v>20.530243666047411</v>
      </c>
      <c r="BO24" s="131">
        <f t="shared" si="1"/>
        <v>2.5713712369407089</v>
      </c>
      <c r="BP24" s="131">
        <f t="shared" si="1"/>
        <v>0</v>
      </c>
      <c r="BQ24" s="131">
        <f t="shared" si="1"/>
        <v>7.3467749626877392</v>
      </c>
    </row>
    <row r="25" spans="1:69">
      <c r="A25" s="130">
        <v>16</v>
      </c>
      <c r="B25" s="131">
        <f>IF('Data 2'!B25&lt;0.1,0,'Data 2'!B25)</f>
        <v>0</v>
      </c>
      <c r="C25" s="131">
        <f>IF('Data 2'!C25&lt;0.1,0,'Data 2'!C25)</f>
        <v>12.757580695093933</v>
      </c>
      <c r="D25" s="131">
        <f>IF('Data 2'!D25&lt;0.1,0,'Data 2'!D25)</f>
        <v>26.940354879181399</v>
      </c>
      <c r="E25" s="131">
        <f>IF('Data 2'!E25&lt;0.1,0,'Data 2'!E25)</f>
        <v>0</v>
      </c>
      <c r="F25" s="131">
        <f>IF('Data 2'!F25&lt;0.1,0,'Data 2'!F25)</f>
        <v>0.73716129242500772</v>
      </c>
      <c r="G25" s="131">
        <f>IF('Data 2'!G25&lt;0.1,0,'Data 2'!G25)</f>
        <v>0</v>
      </c>
      <c r="H25" s="131">
        <f>IF('Data 2'!H25&lt;0.1,0,'Data 2'!H25)</f>
        <v>0.26283870757499223</v>
      </c>
      <c r="I25" s="131">
        <f>IF('Data 2'!I25&lt;0.1,0,'Data 2'!I25)</f>
        <v>0</v>
      </c>
      <c r="J25" s="131">
        <f>IF('Data 2'!J25&lt;0.1,0,'Data 2'!J25)</f>
        <v>20.143548465937791</v>
      </c>
      <c r="K25" s="131">
        <f>IF('Data 2'!K25&lt;0.1,0,'Data 2'!K25)</f>
        <v>0</v>
      </c>
      <c r="L25" s="131">
        <f>IF('Data 2'!L25&lt;0.1,0,'Data 2'!L25)</f>
        <v>1.7084515992374496</v>
      </c>
      <c r="M25" s="131">
        <f>IF('Data 2'!M25&lt;0.1,0,'Data 2'!M25)</f>
        <v>0</v>
      </c>
      <c r="O25" s="130">
        <v>16</v>
      </c>
      <c r="P25" s="131">
        <f>'Stasiun Pontianak Kota'!Q67</f>
        <v>0</v>
      </c>
      <c r="Q25" s="131">
        <f>'Stasiun Pontianak Kota'!R67</f>
        <v>19</v>
      </c>
      <c r="R25" s="131">
        <f>'Stasiun Pontianak Kota'!S67</f>
        <v>32</v>
      </c>
      <c r="S25" s="131">
        <f>'Stasiun Pontianak Kota'!T67</f>
        <v>0</v>
      </c>
      <c r="T25" s="131">
        <f>'Stasiun Pontianak Kota'!U67</f>
        <v>1</v>
      </c>
      <c r="U25" s="131">
        <f>'Stasiun Pontianak Kota'!V67</f>
        <v>0</v>
      </c>
      <c r="V25" s="131">
        <f>'Stasiun Pontianak Kota'!W67</f>
        <v>0</v>
      </c>
      <c r="W25" s="131">
        <f>'Stasiun Pontianak Kota'!X67</f>
        <v>0</v>
      </c>
      <c r="X25" s="131">
        <f>'Stasiun Pontianak Kota'!Y67</f>
        <v>30</v>
      </c>
      <c r="Y25" s="131">
        <f>'Stasiun Pontianak Kota'!Z67</f>
        <v>0</v>
      </c>
      <c r="Z25" s="131">
        <f>'Stasiun Pontianak Kota'!AA67</f>
        <v>0</v>
      </c>
      <c r="AA25" s="131">
        <f>'Stasiun Pontianak Kota'!AB67</f>
        <v>0</v>
      </c>
      <c r="AC25" s="130">
        <v>16</v>
      </c>
      <c r="AD25" s="131">
        <f>'Sta. Meteorologi pnk'!B23</f>
        <v>0</v>
      </c>
      <c r="AE25" s="131">
        <f>'Sta. Meteorologi pnk'!C23</f>
        <v>0</v>
      </c>
      <c r="AF25" s="131">
        <f>'Sta. Meteorologi pnk'!D23</f>
        <v>16.600000000000001</v>
      </c>
      <c r="AG25" s="131">
        <f>'Sta. Meteorologi pnk'!E23</f>
        <v>0</v>
      </c>
      <c r="AH25" s="131">
        <f>'Sta. Meteorologi pnk'!F23</f>
        <v>0.2</v>
      </c>
      <c r="AI25" s="131">
        <f>'Sta. Meteorologi pnk'!G23</f>
        <v>0</v>
      </c>
      <c r="AJ25" s="131">
        <f>'Sta. Meteorologi pnk'!H23</f>
        <v>0.8</v>
      </c>
      <c r="AK25" s="131">
        <f>'Sta. Meteorologi pnk'!I23</f>
        <v>0</v>
      </c>
      <c r="AL25" s="131">
        <f>'Sta. Meteorologi pnk'!J23</f>
        <v>0</v>
      </c>
      <c r="AM25" s="131">
        <f>'Sta. Meteorologi pnk'!K23</f>
        <v>0</v>
      </c>
      <c r="AN25" s="131">
        <f>'Sta. Meteorologi pnk'!L23</f>
        <v>5.2</v>
      </c>
      <c r="AO25" s="131">
        <f>'Sta. Meteorologi pnk'!M23</f>
        <v>0</v>
      </c>
      <c r="AQ25" s="130">
        <v>16</v>
      </c>
      <c r="AR25" s="131">
        <f t="shared" si="2"/>
        <v>0</v>
      </c>
      <c r="AS25" s="131">
        <f t="shared" si="0"/>
        <v>6.152300684849993</v>
      </c>
      <c r="AT25" s="131">
        <f t="shared" si="0"/>
        <v>21.586601607720521</v>
      </c>
      <c r="AU25" s="131">
        <f t="shared" si="0"/>
        <v>0</v>
      </c>
      <c r="AV25" s="131">
        <f t="shared" si="0"/>
        <v>0.45904423936210492</v>
      </c>
      <c r="AW25" s="131">
        <f t="shared" si="0"/>
        <v>0</v>
      </c>
      <c r="AX25" s="131">
        <f t="shared" si="0"/>
        <v>0.54095576063789497</v>
      </c>
      <c r="AY25" s="131">
        <f t="shared" si="0"/>
        <v>0</v>
      </c>
      <c r="AZ25" s="131">
        <f t="shared" si="0"/>
        <v>9.7141589760789362</v>
      </c>
      <c r="BA25" s="131">
        <f t="shared" si="0"/>
        <v>0</v>
      </c>
      <c r="BB25" s="131">
        <f t="shared" si="0"/>
        <v>3.5162124441463174</v>
      </c>
      <c r="BC25" s="131">
        <f t="shared" si="0"/>
        <v>0</v>
      </c>
      <c r="BE25" s="130">
        <v>16</v>
      </c>
      <c r="BF25" s="131">
        <f t="shared" si="3"/>
        <v>0</v>
      </c>
      <c r="BG25" s="131">
        <f t="shared" si="1"/>
        <v>6.9794362145533526</v>
      </c>
      <c r="BH25" s="131">
        <f t="shared" si="1"/>
        <v>22.257016721269562</v>
      </c>
      <c r="BI25" s="131">
        <f t="shared" si="1"/>
        <v>0</v>
      </c>
      <c r="BJ25" s="131">
        <f t="shared" si="1"/>
        <v>0.4938709985075096</v>
      </c>
      <c r="BK25" s="131">
        <f t="shared" si="1"/>
        <v>0</v>
      </c>
      <c r="BL25" s="131">
        <f t="shared" si="1"/>
        <v>0.5061290014924904</v>
      </c>
      <c r="BM25" s="131">
        <f t="shared" si="1"/>
        <v>0</v>
      </c>
      <c r="BN25" s="131">
        <f t="shared" si="1"/>
        <v>11.020162444031611</v>
      </c>
      <c r="BO25" s="131">
        <f t="shared" si="1"/>
        <v>0</v>
      </c>
      <c r="BP25" s="131">
        <f t="shared" si="1"/>
        <v>3.289838509701188</v>
      </c>
      <c r="BQ25" s="131">
        <f t="shared" si="1"/>
        <v>0</v>
      </c>
    </row>
    <row r="26" spans="1:69">
      <c r="A26" s="130">
        <v>17</v>
      </c>
      <c r="B26" s="131">
        <f>IF('Data 2'!B26&lt;0.1,0,'Data 2'!B26)</f>
        <v>0</v>
      </c>
      <c r="C26" s="131">
        <f>IF('Data 2'!C26&lt;0.1,0,'Data 2'!C26)</f>
        <v>8.2794192886122548</v>
      </c>
      <c r="D26" s="131">
        <f>IF('Data 2'!D26&lt;0.1,0,'Data 2'!D26)</f>
        <v>2.825516106431166</v>
      </c>
      <c r="E26" s="131">
        <f>IF('Data 2'!E26&lt;0.1,0,'Data 2'!E26)</f>
        <v>0</v>
      </c>
      <c r="F26" s="131">
        <f>IF('Data 2'!F26&lt;0.1,0,'Data 2'!F26)</f>
        <v>0.22998386912811819</v>
      </c>
      <c r="G26" s="131">
        <f>IF('Data 2'!G26&lt;0.1,0,'Data 2'!G26)</f>
        <v>3.7454515829436392</v>
      </c>
      <c r="H26" s="131">
        <f>IF('Data 2'!H26&lt;0.1,0,'Data 2'!H26)</f>
        <v>2.0369999837061896</v>
      </c>
      <c r="I26" s="131">
        <f>IF('Data 2'!I26&lt;0.1,0,'Data 2'!I26)</f>
        <v>0</v>
      </c>
      <c r="J26" s="131">
        <f>IF('Data 2'!J26&lt;0.1,0,'Data 2'!J26)</f>
        <v>7.655177358121648</v>
      </c>
      <c r="K26" s="131">
        <f>IF('Data 2'!K26&lt;0.1,0,'Data 2'!K26)</f>
        <v>9.4293386342528454</v>
      </c>
      <c r="L26" s="131">
        <f>IF('Data 2'!L26&lt;0.1,0,'Data 2'!L26)</f>
        <v>31.105241718671074</v>
      </c>
      <c r="M26" s="131">
        <f>IF('Data 2'!M26&lt;0.1,0,'Data 2'!M26)</f>
        <v>0</v>
      </c>
      <c r="O26" s="130">
        <v>17</v>
      </c>
      <c r="P26" s="131">
        <f>'Stasiun Pontianak Kota'!Q68</f>
        <v>0</v>
      </c>
      <c r="Q26" s="131">
        <f>'Stasiun Pontianak Kota'!R68</f>
        <v>0</v>
      </c>
      <c r="R26" s="131">
        <f>'Stasiun Pontianak Kota'!S68</f>
        <v>0</v>
      </c>
      <c r="S26" s="131">
        <f>'Stasiun Pontianak Kota'!T68</f>
        <v>0</v>
      </c>
      <c r="T26" s="131">
        <f>'Stasiun Pontianak Kota'!U68</f>
        <v>0</v>
      </c>
      <c r="U26" s="131">
        <f>'Stasiun Pontianak Kota'!V68</f>
        <v>0</v>
      </c>
      <c r="V26" s="131">
        <f>'Stasiun Pontianak Kota'!W68</f>
        <v>0</v>
      </c>
      <c r="W26" s="131">
        <f>'Stasiun Pontianak Kota'!X68</f>
        <v>0</v>
      </c>
      <c r="X26" s="131">
        <f>'Stasiun Pontianak Kota'!Y68</f>
        <v>0</v>
      </c>
      <c r="Y26" s="131">
        <f>'Stasiun Pontianak Kota'!Z68</f>
        <v>0</v>
      </c>
      <c r="Z26" s="131">
        <f>'Stasiun Pontianak Kota'!AA68</f>
        <v>4</v>
      </c>
      <c r="AA26" s="131">
        <f>'Stasiun Pontianak Kota'!AB68</f>
        <v>0</v>
      </c>
      <c r="AC26" s="130">
        <v>17</v>
      </c>
      <c r="AD26" s="131">
        <f>'Sta. Meteorologi pnk'!B24</f>
        <v>0</v>
      </c>
      <c r="AE26" s="131">
        <f>'Sta. Meteorologi pnk'!C24</f>
        <v>25.2</v>
      </c>
      <c r="AF26" s="131">
        <f>'Sta. Meteorologi pnk'!D24</f>
        <v>8.6</v>
      </c>
      <c r="AG26" s="131">
        <f>'Sta. Meteorologi pnk'!E24</f>
        <v>0</v>
      </c>
      <c r="AH26" s="131">
        <f>'Sta. Meteorologi pnk'!F24</f>
        <v>0.7</v>
      </c>
      <c r="AI26" s="131">
        <f>'Sta. Meteorologi pnk'!G24</f>
        <v>11.4</v>
      </c>
      <c r="AJ26" s="131">
        <f>'Sta. Meteorologi pnk'!H24</f>
        <v>6.2</v>
      </c>
      <c r="AK26" s="131">
        <f>'Sta. Meteorologi pnk'!I24</f>
        <v>0</v>
      </c>
      <c r="AL26" s="131">
        <f>'Sta. Meteorologi pnk'!J24</f>
        <v>23.3</v>
      </c>
      <c r="AM26" s="131">
        <f>'Sta. Meteorologi pnk'!K24</f>
        <v>28.7</v>
      </c>
      <c r="AN26" s="131">
        <f>'Sta. Meteorologi pnk'!L24</f>
        <v>86.5</v>
      </c>
      <c r="AO26" s="131">
        <f>'Sta. Meteorologi pnk'!M24</f>
        <v>0</v>
      </c>
      <c r="AQ26" s="130">
        <v>17</v>
      </c>
      <c r="AR26" s="131">
        <f t="shared" si="2"/>
        <v>0</v>
      </c>
      <c r="AS26" s="131">
        <f t="shared" si="2"/>
        <v>17.040106460093693</v>
      </c>
      <c r="AT26" s="131">
        <f t="shared" si="2"/>
        <v>5.8152744268573704</v>
      </c>
      <c r="AU26" s="131">
        <f t="shared" si="2"/>
        <v>0</v>
      </c>
      <c r="AV26" s="131">
        <f t="shared" si="2"/>
        <v>0.47333629055815807</v>
      </c>
      <c r="AW26" s="131">
        <f t="shared" si="2"/>
        <v>7.7086195890900031</v>
      </c>
      <c r="AX26" s="131">
        <f t="shared" si="2"/>
        <v>4.1924071449436866</v>
      </c>
      <c r="AY26" s="131">
        <f t="shared" si="2"/>
        <v>0</v>
      </c>
      <c r="AZ26" s="131">
        <f t="shared" si="2"/>
        <v>15.755336528578693</v>
      </c>
      <c r="BA26" s="131">
        <f t="shared" si="2"/>
        <v>19.406787912884482</v>
      </c>
      <c r="BB26" s="131">
        <f t="shared" si="2"/>
        <v>59.78606281578292</v>
      </c>
      <c r="BC26" s="131">
        <f t="shared" si="2"/>
        <v>0</v>
      </c>
      <c r="BE26" s="130">
        <v>17</v>
      </c>
      <c r="BF26" s="131">
        <f t="shared" si="3"/>
        <v>0</v>
      </c>
      <c r="BG26" s="131">
        <f t="shared" si="3"/>
        <v>15.943063547013448</v>
      </c>
      <c r="BH26" s="131">
        <f t="shared" si="3"/>
        <v>5.4408867660442715</v>
      </c>
      <c r="BI26" s="131">
        <f t="shared" si="3"/>
        <v>0</v>
      </c>
      <c r="BJ26" s="131">
        <f t="shared" si="3"/>
        <v>0.44286287630592908</v>
      </c>
      <c r="BK26" s="131">
        <f t="shared" si="3"/>
        <v>7.2123382712679884</v>
      </c>
      <c r="BL26" s="131">
        <f t="shared" si="3"/>
        <v>3.9224997615668005</v>
      </c>
      <c r="BM26" s="131">
        <f t="shared" si="3"/>
        <v>0</v>
      </c>
      <c r="BN26" s="131">
        <f t="shared" si="3"/>
        <v>14.741007168468785</v>
      </c>
      <c r="BO26" s="131">
        <f t="shared" si="3"/>
        <v>18.157377928543092</v>
      </c>
      <c r="BP26" s="131">
        <f t="shared" si="3"/>
        <v>56.19455327891307</v>
      </c>
      <c r="BQ26" s="131">
        <f t="shared" si="3"/>
        <v>0</v>
      </c>
    </row>
    <row r="27" spans="1:69">
      <c r="A27" s="130">
        <v>18</v>
      </c>
      <c r="B27" s="131">
        <f>IF('Data 2'!B27&lt;0.1,0,'Data 2'!B27)</f>
        <v>0</v>
      </c>
      <c r="C27" s="131">
        <f>IF('Data 2'!C27&lt;0.1,0,'Data 2'!C27)</f>
        <v>14.100483926156452</v>
      </c>
      <c r="D27" s="131">
        <f>IF('Data 2'!D27&lt;0.1,0,'Data 2'!D27)</f>
        <v>1.3429032310625193</v>
      </c>
      <c r="E27" s="131">
        <f>IF('Data 2'!E27&lt;0.1,0,'Data 2'!E27)</f>
        <v>2.5298225604093001</v>
      </c>
      <c r="F27" s="131">
        <f>IF('Data 2'!F27&lt;0.1,0,'Data 2'!F27)</f>
        <v>1.314193537874961</v>
      </c>
      <c r="G27" s="131">
        <f>IF('Data 2'!G27&lt;0.1,0,'Data 2'!G27)</f>
        <v>12.086129079562673</v>
      </c>
      <c r="H27" s="131">
        <f>IF('Data 2'!H27&lt;0.1,0,'Data 2'!H27)</f>
        <v>14.771935541687714</v>
      </c>
      <c r="I27" s="131">
        <f>IF('Data 2'!I27&lt;0.1,0,'Data 2'!I27)</f>
        <v>0</v>
      </c>
      <c r="J27" s="131">
        <f>IF('Data 2'!J27&lt;0.1,0,'Data 2'!J27)</f>
        <v>7.3859677708438571</v>
      </c>
      <c r="K27" s="131">
        <f>IF('Data 2'!K27&lt;0.1,0,'Data 2'!K27)</f>
        <v>28.589161357600247</v>
      </c>
      <c r="L27" s="131">
        <f>IF('Data 2'!L27&lt;0.1,0,'Data 2'!L27)</f>
        <v>51.161742134163234</v>
      </c>
      <c r="M27" s="131">
        <f>IF('Data 2'!M27&lt;0.1,0,'Data 2'!M27)</f>
        <v>10.579257979893438</v>
      </c>
      <c r="O27" s="130">
        <v>18</v>
      </c>
      <c r="P27" s="131">
        <f>'Stasiun Pontianak Kota'!Q69</f>
        <v>0</v>
      </c>
      <c r="Q27" s="131">
        <f>'Stasiun Pontianak Kota'!R69</f>
        <v>21</v>
      </c>
      <c r="R27" s="131">
        <f>'Stasiun Pontianak Kota'!S69</f>
        <v>2</v>
      </c>
      <c r="S27" s="131">
        <f>'Stasiun Pontianak Kota'!T69</f>
        <v>0</v>
      </c>
      <c r="T27" s="131">
        <f>'Stasiun Pontianak Kota'!U69</f>
        <v>0</v>
      </c>
      <c r="U27" s="131">
        <f>'Stasiun Pontianak Kota'!V69</f>
        <v>18</v>
      </c>
      <c r="V27" s="131">
        <f>'Stasiun Pontianak Kota'!W69</f>
        <v>22</v>
      </c>
      <c r="W27" s="131">
        <f>'Stasiun Pontianak Kota'!X69</f>
        <v>0</v>
      </c>
      <c r="X27" s="131">
        <f>'Stasiun Pontianak Kota'!Y69</f>
        <v>11</v>
      </c>
      <c r="Y27" s="131">
        <f>'Stasiun Pontianak Kota'!Z69</f>
        <v>37</v>
      </c>
      <c r="Z27" s="131">
        <f>'Stasiun Pontianak Kota'!AA69</f>
        <v>76</v>
      </c>
      <c r="AA27" s="131">
        <f>'Stasiun Pontianak Kota'!AB69</f>
        <v>0</v>
      </c>
      <c r="AC27" s="130">
        <v>18</v>
      </c>
      <c r="AD27" s="131">
        <f>'Sta. Meteorologi pnk'!B25</f>
        <v>0</v>
      </c>
      <c r="AE27" s="131">
        <f>'Sta. Meteorologi pnk'!C25</f>
        <v>0</v>
      </c>
      <c r="AF27" s="131">
        <f>'Sta. Meteorologi pnk'!D25</f>
        <v>0</v>
      </c>
      <c r="AG27" s="131">
        <f>'Sta. Meteorologi pnk'!E25</f>
        <v>7.7</v>
      </c>
      <c r="AH27" s="131">
        <f>'Sta. Meteorologi pnk'!F25</f>
        <v>4</v>
      </c>
      <c r="AI27" s="131">
        <f>'Sta. Meteorologi pnk'!G25</f>
        <v>0</v>
      </c>
      <c r="AJ27" s="131">
        <f>'Sta. Meteorologi pnk'!H25</f>
        <v>0</v>
      </c>
      <c r="AK27" s="131">
        <f>'Sta. Meteorologi pnk'!I25</f>
        <v>0</v>
      </c>
      <c r="AL27" s="131">
        <f>'Sta. Meteorologi pnk'!J25</f>
        <v>0</v>
      </c>
      <c r="AM27" s="131">
        <f>'Sta. Meteorologi pnk'!K25</f>
        <v>11.4</v>
      </c>
      <c r="AN27" s="131">
        <f>'Sta. Meteorologi pnk'!L25</f>
        <v>0.4</v>
      </c>
      <c r="AO27" s="131">
        <f>'Sta. Meteorologi pnk'!M25</f>
        <v>32.200000000000003</v>
      </c>
      <c r="AQ27" s="130">
        <v>18</v>
      </c>
      <c r="AR27" s="131">
        <f t="shared" si="2"/>
        <v>0</v>
      </c>
      <c r="AS27" s="131">
        <f t="shared" si="2"/>
        <v>6.7999112832552546</v>
      </c>
      <c r="AT27" s="131">
        <f t="shared" si="2"/>
        <v>0.64761059840526247</v>
      </c>
      <c r="AU27" s="131">
        <f t="shared" si="2"/>
        <v>5.2066991961397395</v>
      </c>
      <c r="AV27" s="131">
        <f t="shared" si="2"/>
        <v>2.7047788031894751</v>
      </c>
      <c r="AW27" s="131">
        <f t="shared" si="2"/>
        <v>5.8284953856473614</v>
      </c>
      <c r="AX27" s="131">
        <f t="shared" si="2"/>
        <v>7.1237165824578872</v>
      </c>
      <c r="AY27" s="131">
        <f t="shared" si="2"/>
        <v>0</v>
      </c>
      <c r="AZ27" s="131">
        <f t="shared" si="2"/>
        <v>3.5618582912289436</v>
      </c>
      <c r="BA27" s="131">
        <f t="shared" si="2"/>
        <v>19.689415659587358</v>
      </c>
      <c r="BB27" s="131">
        <f t="shared" si="2"/>
        <v>24.879680619718918</v>
      </c>
      <c r="BC27" s="131">
        <f t="shared" si="2"/>
        <v>21.773469365675275</v>
      </c>
      <c r="BE27" s="130">
        <v>18</v>
      </c>
      <c r="BF27" s="131">
        <f t="shared" si="3"/>
        <v>0</v>
      </c>
      <c r="BG27" s="131">
        <f t="shared" si="3"/>
        <v>7.7141137108221267</v>
      </c>
      <c r="BH27" s="131">
        <f t="shared" si="3"/>
        <v>0.73467749626877399</v>
      </c>
      <c r="BI27" s="131">
        <f t="shared" si="3"/>
        <v>4.8714916393652201</v>
      </c>
      <c r="BJ27" s="131">
        <f t="shared" si="3"/>
        <v>2.5306450074624518</v>
      </c>
      <c r="BK27" s="131">
        <f t="shared" si="3"/>
        <v>6.6120974664189651</v>
      </c>
      <c r="BL27" s="131">
        <f t="shared" si="3"/>
        <v>8.0814524589565142</v>
      </c>
      <c r="BM27" s="131">
        <f t="shared" si="3"/>
        <v>0</v>
      </c>
      <c r="BN27" s="131">
        <f t="shared" si="3"/>
        <v>4.0407262294782571</v>
      </c>
      <c r="BO27" s="131">
        <f t="shared" si="3"/>
        <v>20.803871952240307</v>
      </c>
      <c r="BP27" s="131">
        <f t="shared" si="3"/>
        <v>28.170809358959659</v>
      </c>
      <c r="BQ27" s="131">
        <f t="shared" si="3"/>
        <v>20.371692310072742</v>
      </c>
    </row>
    <row r="28" spans="1:69">
      <c r="A28" s="130">
        <v>19</v>
      </c>
      <c r="B28" s="131">
        <f>IF('Data 2'!B28&lt;0.1,0,'Data 2'!B28)</f>
        <v>14.554693431965195</v>
      </c>
      <c r="C28" s="131">
        <f>IF('Data 2'!C28&lt;0.1,0,'Data 2'!C28)</f>
        <v>0.45996773825623638</v>
      </c>
      <c r="D28" s="131">
        <f>IF('Data 2'!D28&lt;0.1,0,'Data 2'!D28)</f>
        <v>2.1027096605999378</v>
      </c>
      <c r="E28" s="131">
        <f>IF('Data 2'!E28&lt;0.1,0,'Data 2'!E28)</f>
        <v>2.0143548465937791</v>
      </c>
      <c r="F28" s="131">
        <f>IF('Data 2'!F28&lt;0.1,0,'Data 2'!F28)</f>
        <v>4.7001613087188172</v>
      </c>
      <c r="G28" s="131">
        <f>IF('Data 2'!G28&lt;0.1,0,'Data 2'!G28)</f>
        <v>0</v>
      </c>
      <c r="H28" s="131">
        <f>IF('Data 2'!H28&lt;0.1,0,'Data 2'!H28)</f>
        <v>18.800645234875269</v>
      </c>
      <c r="I28" s="131">
        <f>IF('Data 2'!I28&lt;0.1,0,'Data 2'!I28)</f>
        <v>0</v>
      </c>
      <c r="J28" s="131">
        <f>IF('Data 2'!J28&lt;0.1,0,'Data 2'!J28)</f>
        <v>0</v>
      </c>
      <c r="K28" s="131">
        <f>IF('Data 2'!K28&lt;0.1,0,'Data 2'!K28)</f>
        <v>7.67145161553126</v>
      </c>
      <c r="L28" s="131">
        <f>IF('Data 2'!L28&lt;0.1,0,'Data 2'!L28)</f>
        <v>0</v>
      </c>
      <c r="M28" s="131">
        <f>IF('Data 2'!M28&lt;0.1,0,'Data 2'!M28)</f>
        <v>27.712290420869113</v>
      </c>
      <c r="O28" s="130">
        <v>19</v>
      </c>
      <c r="P28" s="131">
        <f>'Stasiun Pontianak Kota'!Q70</f>
        <v>0</v>
      </c>
      <c r="Q28" s="131">
        <f>'Stasiun Pontianak Kota'!R70</f>
        <v>0</v>
      </c>
      <c r="R28" s="131">
        <f>'Stasiun Pontianak Kota'!S70</f>
        <v>0</v>
      </c>
      <c r="S28" s="131">
        <f>'Stasiun Pontianak Kota'!T70</f>
        <v>3</v>
      </c>
      <c r="T28" s="131">
        <f>'Stasiun Pontianak Kota'!U70</f>
        <v>7</v>
      </c>
      <c r="U28" s="131">
        <f>'Stasiun Pontianak Kota'!V70</f>
        <v>0</v>
      </c>
      <c r="V28" s="131">
        <f>'Stasiun Pontianak Kota'!W70</f>
        <v>28</v>
      </c>
      <c r="W28" s="131">
        <f>'Stasiun Pontianak Kota'!X70</f>
        <v>0</v>
      </c>
      <c r="X28" s="131">
        <f>'Stasiun Pontianak Kota'!Y70</f>
        <v>0</v>
      </c>
      <c r="Y28" s="131">
        <f>'Stasiun Pontianak Kota'!Z70</f>
        <v>8</v>
      </c>
      <c r="Z28" s="131">
        <f>'Stasiun Pontianak Kota'!AA70</f>
        <v>0</v>
      </c>
      <c r="AA28" s="131">
        <f>'Stasiun Pontianak Kota'!AB70</f>
        <v>40</v>
      </c>
      <c r="AC28" s="130">
        <v>19</v>
      </c>
      <c r="AD28" s="131">
        <f>'Sta. Meteorologi pnk'!B26</f>
        <v>44.3</v>
      </c>
      <c r="AE28" s="131">
        <f>'Sta. Meteorologi pnk'!C26</f>
        <v>1.4</v>
      </c>
      <c r="AF28" s="131">
        <f>'Sta. Meteorologi pnk'!D26</f>
        <v>6.4</v>
      </c>
      <c r="AG28" s="131">
        <f>'Sta. Meteorologi pnk'!E26</f>
        <v>0</v>
      </c>
      <c r="AH28" s="131">
        <f>'Sta. Meteorologi pnk'!F26</f>
        <v>0</v>
      </c>
      <c r="AI28" s="131">
        <f>'Sta. Meteorologi pnk'!G26</f>
        <v>0</v>
      </c>
      <c r="AJ28" s="131">
        <f>'Sta. Meteorologi pnk'!H26</f>
        <v>0</v>
      </c>
      <c r="AK28" s="131">
        <f>'Sta. Meteorologi pnk'!I26</f>
        <v>0</v>
      </c>
      <c r="AL28" s="131">
        <f>'Sta. Meteorologi pnk'!J26</f>
        <v>0</v>
      </c>
      <c r="AM28" s="131">
        <f>'Sta. Meteorologi pnk'!K26</f>
        <v>7</v>
      </c>
      <c r="AN28" s="131">
        <f>'Sta. Meteorologi pnk'!L26</f>
        <v>0.2</v>
      </c>
      <c r="AO28" s="131">
        <f>'Sta. Meteorologi pnk'!M26</f>
        <v>2.6</v>
      </c>
      <c r="AQ28" s="130">
        <v>19</v>
      </c>
      <c r="AR28" s="131">
        <f t="shared" si="2"/>
        <v>29.955425245323433</v>
      </c>
      <c r="AS28" s="131">
        <f t="shared" si="2"/>
        <v>0.94667258111631614</v>
      </c>
      <c r="AT28" s="131">
        <f t="shared" si="2"/>
        <v>4.3276460851031597</v>
      </c>
      <c r="AU28" s="131">
        <f t="shared" si="2"/>
        <v>0.97141589760789349</v>
      </c>
      <c r="AV28" s="131">
        <f t="shared" si="2"/>
        <v>2.2666370944184182</v>
      </c>
      <c r="AW28" s="131">
        <f t="shared" si="2"/>
        <v>0</v>
      </c>
      <c r="AX28" s="131">
        <f t="shared" si="2"/>
        <v>9.0665483776736728</v>
      </c>
      <c r="AY28" s="131">
        <f t="shared" si="2"/>
        <v>0</v>
      </c>
      <c r="AZ28" s="131">
        <f t="shared" si="2"/>
        <v>0</v>
      </c>
      <c r="BA28" s="131">
        <f t="shared" si="2"/>
        <v>7.3238052992026308</v>
      </c>
      <c r="BB28" s="131">
        <f t="shared" si="2"/>
        <v>0.13523894015947374</v>
      </c>
      <c r="BC28" s="131">
        <f t="shared" si="2"/>
        <v>14.710318190178407</v>
      </c>
      <c r="BE28" s="130">
        <v>19</v>
      </c>
      <c r="BF28" s="131">
        <f t="shared" si="3"/>
        <v>28.026893457646654</v>
      </c>
      <c r="BG28" s="131">
        <f t="shared" si="3"/>
        <v>0.88572575261185815</v>
      </c>
      <c r="BH28" s="131">
        <f t="shared" si="3"/>
        <v>4.0490320119399232</v>
      </c>
      <c r="BI28" s="131">
        <f t="shared" si="3"/>
        <v>1.1020162444031609</v>
      </c>
      <c r="BJ28" s="131">
        <f t="shared" si="3"/>
        <v>2.5713712369407089</v>
      </c>
      <c r="BK28" s="131">
        <f t="shared" si="3"/>
        <v>0</v>
      </c>
      <c r="BL28" s="131">
        <f t="shared" si="3"/>
        <v>10.285484947762836</v>
      </c>
      <c r="BM28" s="131">
        <f t="shared" si="3"/>
        <v>0</v>
      </c>
      <c r="BN28" s="131">
        <f t="shared" si="3"/>
        <v>0</v>
      </c>
      <c r="BO28" s="131">
        <f t="shared" si="3"/>
        <v>7.3673387481343875</v>
      </c>
      <c r="BP28" s="131">
        <f t="shared" si="3"/>
        <v>0.11830386212616625</v>
      </c>
      <c r="BQ28" s="131">
        <f t="shared" si="3"/>
        <v>16.338469180226074</v>
      </c>
    </row>
    <row r="29" spans="1:69">
      <c r="A29" s="130">
        <v>20</v>
      </c>
      <c r="B29" s="131">
        <f>IF('Data 2'!B29&lt;0.1,0,'Data 2'!B29)</f>
        <v>2.2484838609812132</v>
      </c>
      <c r="C29" s="131">
        <f>IF('Data 2'!C29&lt;0.1,0,'Data 2'!C29)</f>
        <v>2.0143548465937791</v>
      </c>
      <c r="D29" s="131">
        <f>IF('Data 2'!D29&lt;0.1,0,'Data 2'!D29)</f>
        <v>0.90143548465937784</v>
      </c>
      <c r="E29" s="131">
        <f>IF('Data 2'!E29&lt;0.1,0,'Data 2'!E29)</f>
        <v>0</v>
      </c>
      <c r="F29" s="131">
        <f>IF('Data 2'!F29&lt;0.1,0,'Data 2'!F29)</f>
        <v>3.2197741677936551</v>
      </c>
      <c r="G29" s="131">
        <f>IF('Data 2'!G29&lt;0.1,0,'Data 2'!G29)</f>
        <v>0</v>
      </c>
      <c r="H29" s="131">
        <f>IF('Data 2'!H29&lt;0.1,0,'Data 2'!H29)</f>
        <v>0</v>
      </c>
      <c r="I29" s="131">
        <f>IF('Data 2'!I29&lt;0.1,0,'Data 2'!I29)</f>
        <v>4.4025483518811193</v>
      </c>
      <c r="J29" s="131">
        <f>IF('Data 2'!J29&lt;0.1,0,'Data 2'!J29)</f>
        <v>0</v>
      </c>
      <c r="K29" s="131">
        <f>IF('Data 2'!K29&lt;0.1,0,'Data 2'!K29)</f>
        <v>0</v>
      </c>
      <c r="L29" s="131">
        <f>IF('Data 2'!L29&lt;0.1,0,'Data 2'!L29)</f>
        <v>0</v>
      </c>
      <c r="M29" s="131">
        <f>IF('Data 2'!M29&lt;0.1,0,'Data 2'!M29)</f>
        <v>32.197741677936548</v>
      </c>
      <c r="O29" s="130">
        <v>20</v>
      </c>
      <c r="P29" s="131">
        <f>'Stasiun Pontianak Kota'!Q71</f>
        <v>1</v>
      </c>
      <c r="Q29" s="131">
        <f>'Stasiun Pontianak Kota'!R71</f>
        <v>3</v>
      </c>
      <c r="R29" s="131">
        <f>'Stasiun Pontianak Kota'!S71</f>
        <v>1</v>
      </c>
      <c r="S29" s="131">
        <f>'Stasiun Pontianak Kota'!T71</f>
        <v>0</v>
      </c>
      <c r="T29" s="131">
        <f>'Stasiun Pontianak Kota'!U71</f>
        <v>0</v>
      </c>
      <c r="U29" s="131">
        <f>'Stasiun Pontianak Kota'!V71</f>
        <v>0</v>
      </c>
      <c r="V29" s="131">
        <f>'Stasiun Pontianak Kota'!W71</f>
        <v>0</v>
      </c>
      <c r="W29" s="131">
        <f>'Stasiun Pontianak Kota'!X71</f>
        <v>0</v>
      </c>
      <c r="X29" s="131">
        <f>'Stasiun Pontianak Kota'!Y71</f>
        <v>0</v>
      </c>
      <c r="Y29" s="131">
        <f>'Stasiun Pontianak Kota'!Z71</f>
        <v>0</v>
      </c>
      <c r="Z29" s="131">
        <f>'Stasiun Pontianak Kota'!AA71</f>
        <v>0</v>
      </c>
      <c r="AA29" s="131">
        <f>'Stasiun Pontianak Kota'!AB71</f>
        <v>0</v>
      </c>
      <c r="AC29" s="130">
        <v>20</v>
      </c>
      <c r="AD29" s="131">
        <f>'Sta. Meteorologi pnk'!B27</f>
        <v>4.8</v>
      </c>
      <c r="AE29" s="131">
        <f>'Sta. Meteorologi pnk'!C27</f>
        <v>0</v>
      </c>
      <c r="AF29" s="131">
        <f>'Sta. Meteorologi pnk'!D27</f>
        <v>0.7</v>
      </c>
      <c r="AG29" s="131">
        <f>'Sta. Meteorologi pnk'!E27</f>
        <v>0</v>
      </c>
      <c r="AH29" s="131">
        <f>'Sta. Meteorologi pnk'!F27</f>
        <v>9.8000000000000007</v>
      </c>
      <c r="AI29" s="131">
        <f>'Sta. Meteorologi pnk'!G27</f>
        <v>0</v>
      </c>
      <c r="AJ29" s="131">
        <f>'Sta. Meteorologi pnk'!H27</f>
        <v>0</v>
      </c>
      <c r="AK29" s="131">
        <f>'Sta. Meteorologi pnk'!I27</f>
        <v>13.4</v>
      </c>
      <c r="AL29" s="131">
        <f>'Sta. Meteorologi pnk'!J27</f>
        <v>0</v>
      </c>
      <c r="AM29" s="131">
        <f>'Sta. Meteorologi pnk'!K27</f>
        <v>0</v>
      </c>
      <c r="AN29" s="131">
        <f>'Sta. Meteorologi pnk'!L27</f>
        <v>0</v>
      </c>
      <c r="AO29" s="131">
        <f>'Sta. Meteorologi pnk'!M27</f>
        <v>98</v>
      </c>
      <c r="AQ29" s="130">
        <v>20</v>
      </c>
      <c r="AR29" s="131">
        <f t="shared" si="2"/>
        <v>3.569539863030001</v>
      </c>
      <c r="AS29" s="131">
        <f t="shared" si="2"/>
        <v>0.97141589760789349</v>
      </c>
      <c r="AT29" s="131">
        <f t="shared" si="2"/>
        <v>0.7971415897607893</v>
      </c>
      <c r="AU29" s="131">
        <f t="shared" si="2"/>
        <v>0</v>
      </c>
      <c r="AV29" s="131">
        <f t="shared" si="2"/>
        <v>6.6267080678142145</v>
      </c>
      <c r="AW29" s="131">
        <f t="shared" si="2"/>
        <v>0</v>
      </c>
      <c r="AX29" s="131">
        <f t="shared" si="2"/>
        <v>0</v>
      </c>
      <c r="AY29" s="131">
        <f t="shared" si="2"/>
        <v>9.0610089906847424</v>
      </c>
      <c r="AZ29" s="131">
        <f t="shared" si="2"/>
        <v>0</v>
      </c>
      <c r="BA29" s="131">
        <f t="shared" si="2"/>
        <v>0</v>
      </c>
      <c r="BB29" s="131">
        <f t="shared" si="2"/>
        <v>0</v>
      </c>
      <c r="BC29" s="131">
        <f t="shared" si="2"/>
        <v>66.267080678142136</v>
      </c>
      <c r="BE29" s="130">
        <v>20</v>
      </c>
      <c r="BF29" s="131">
        <f t="shared" si="3"/>
        <v>3.4041127570893295</v>
      </c>
      <c r="BG29" s="131">
        <f t="shared" si="3"/>
        <v>1.1020162444031609</v>
      </c>
      <c r="BH29" s="131">
        <f t="shared" si="3"/>
        <v>0.81020162444031607</v>
      </c>
      <c r="BI29" s="131">
        <f t="shared" si="3"/>
        <v>0</v>
      </c>
      <c r="BJ29" s="131">
        <f t="shared" si="3"/>
        <v>6.2000802682830081</v>
      </c>
      <c r="BK29" s="131">
        <f t="shared" si="3"/>
        <v>0</v>
      </c>
      <c r="BL29" s="131">
        <f t="shared" si="3"/>
        <v>0</v>
      </c>
      <c r="BM29" s="131">
        <f t="shared" si="3"/>
        <v>8.4776607749992152</v>
      </c>
      <c r="BN29" s="131">
        <f t="shared" si="3"/>
        <v>0</v>
      </c>
      <c r="BO29" s="131">
        <f t="shared" si="3"/>
        <v>0</v>
      </c>
      <c r="BP29" s="131">
        <f t="shared" si="3"/>
        <v>0</v>
      </c>
      <c r="BQ29" s="131">
        <f t="shared" si="3"/>
        <v>62.000802682830077</v>
      </c>
    </row>
    <row r="30" spans="1:69">
      <c r="A30" s="130">
        <v>21</v>
      </c>
      <c r="B30" s="131">
        <f>IF('Data 2'!B30&lt;0.1,0,'Data 2'!B30)</f>
        <v>10.203193586756392</v>
      </c>
      <c r="C30" s="131">
        <f>IF('Data 2'!C30&lt;0.1,0,'Data 2'!C30)</f>
        <v>0.82137096117185071</v>
      </c>
      <c r="D30" s="131">
        <f>IF('Data 2'!D30&lt;0.1,0,'Data 2'!D30)</f>
        <v>2.2998386912811819</v>
      </c>
      <c r="E30" s="131">
        <f>IF('Data 2'!E30&lt;0.1,0,'Data 2'!E30)</f>
        <v>1.0184999918530948</v>
      </c>
      <c r="F30" s="131">
        <f>IF('Data 2'!F30&lt;0.1,0,'Data 2'!F30)</f>
        <v>0.19712903068124416</v>
      </c>
      <c r="G30" s="131">
        <f>IF('Data 2'!G30&lt;0.1,0,'Data 2'!G30)</f>
        <v>0</v>
      </c>
      <c r="H30" s="131">
        <f>IF('Data 2'!H30&lt;0.1,0,'Data 2'!H30)</f>
        <v>0</v>
      </c>
      <c r="I30" s="131">
        <f>IF('Data 2'!I30&lt;0.1,0,'Data 2'!I30)</f>
        <v>0</v>
      </c>
      <c r="J30" s="131">
        <f>IF('Data 2'!J30&lt;0.1,0,'Data 2'!J30)</f>
        <v>1.7741612761311976</v>
      </c>
      <c r="K30" s="131">
        <f>IF('Data 2'!K30&lt;0.1,0,'Data 2'!K30)</f>
        <v>25.373838658693561</v>
      </c>
      <c r="L30" s="131">
        <f>IF('Data 2'!L30&lt;0.1,0,'Data 2'!L30)</f>
        <v>0.55853225359685843</v>
      </c>
      <c r="M30" s="131">
        <f>IF('Data 2'!M30&lt;0.1,0,'Data 2'!M30)</f>
        <v>0.16427419223437012</v>
      </c>
      <c r="O30" s="130">
        <v>21</v>
      </c>
      <c r="P30" s="131">
        <f>'Stasiun Pontianak Kota'!Q72</f>
        <v>15</v>
      </c>
      <c r="Q30" s="131">
        <f>'Stasiun Pontianak Kota'!R72</f>
        <v>0</v>
      </c>
      <c r="R30" s="131">
        <f>'Stasiun Pontianak Kota'!S72</f>
        <v>0</v>
      </c>
      <c r="S30" s="131">
        <f>'Stasiun Pontianak Kota'!T72</f>
        <v>0</v>
      </c>
      <c r="T30" s="131">
        <f>'Stasiun Pontianak Kota'!U72</f>
        <v>0</v>
      </c>
      <c r="U30" s="131">
        <f>'Stasiun Pontianak Kota'!V72</f>
        <v>0</v>
      </c>
      <c r="V30" s="131">
        <f>'Stasiun Pontianak Kota'!W72</f>
        <v>0</v>
      </c>
      <c r="W30" s="131">
        <f>'Stasiun Pontianak Kota'!X72</f>
        <v>0</v>
      </c>
      <c r="X30" s="131">
        <f>'Stasiun Pontianak Kota'!Y72</f>
        <v>0</v>
      </c>
      <c r="Y30" s="131">
        <f>'Stasiun Pontianak Kota'!Z72</f>
        <v>19</v>
      </c>
      <c r="Z30" s="131">
        <f>'Stasiun Pontianak Kota'!AA72</f>
        <v>0</v>
      </c>
      <c r="AA30" s="131">
        <f>'Stasiun Pontianak Kota'!AB72</f>
        <v>0</v>
      </c>
      <c r="AC30" s="130">
        <v>21</v>
      </c>
      <c r="AD30" s="131">
        <f>'Sta. Meteorologi pnk'!B28</f>
        <v>0.4</v>
      </c>
      <c r="AE30" s="131">
        <f>'Sta. Meteorologi pnk'!C28</f>
        <v>2.5</v>
      </c>
      <c r="AF30" s="131">
        <f>'Sta. Meteorologi pnk'!D28</f>
        <v>7</v>
      </c>
      <c r="AG30" s="131">
        <f>'Sta. Meteorologi pnk'!E28</f>
        <v>3.1</v>
      </c>
      <c r="AH30" s="131">
        <f>'Sta. Meteorologi pnk'!F28</f>
        <v>0.6</v>
      </c>
      <c r="AI30" s="131">
        <f>'Sta. Meteorologi pnk'!G28</f>
        <v>0</v>
      </c>
      <c r="AJ30" s="131">
        <f>'Sta. Meteorologi pnk'!H28</f>
        <v>0</v>
      </c>
      <c r="AK30" s="131">
        <f>'Sta. Meteorologi pnk'!I28</f>
        <v>0</v>
      </c>
      <c r="AL30" s="131">
        <f>'Sta. Meteorologi pnk'!J28</f>
        <v>5.4</v>
      </c>
      <c r="AM30" s="131">
        <f>'Sta. Meteorologi pnk'!K28</f>
        <v>38.4</v>
      </c>
      <c r="AN30" s="131">
        <f>'Sta. Meteorologi pnk'!L28</f>
        <v>1.7</v>
      </c>
      <c r="AO30" s="131">
        <f>'Sta. Meteorologi pnk'!M28</f>
        <v>0.5</v>
      </c>
      <c r="AQ30" s="130">
        <v>21</v>
      </c>
      <c r="AR30" s="131">
        <f t="shared" si="2"/>
        <v>5.1275573683584152</v>
      </c>
      <c r="AS30" s="131">
        <f t="shared" si="2"/>
        <v>1.6904867519934219</v>
      </c>
      <c r="AT30" s="131">
        <f t="shared" si="2"/>
        <v>4.7333629055815809</v>
      </c>
      <c r="AU30" s="131">
        <f t="shared" si="2"/>
        <v>2.0962035724718433</v>
      </c>
      <c r="AV30" s="131">
        <f t="shared" si="2"/>
        <v>0.40571682047842123</v>
      </c>
      <c r="AW30" s="131">
        <f t="shared" si="2"/>
        <v>0</v>
      </c>
      <c r="AX30" s="131">
        <f t="shared" si="2"/>
        <v>0</v>
      </c>
      <c r="AY30" s="131">
        <f t="shared" si="2"/>
        <v>0</v>
      </c>
      <c r="AZ30" s="131">
        <f t="shared" si="2"/>
        <v>3.651451384305791</v>
      </c>
      <c r="BA30" s="131">
        <f t="shared" si="2"/>
        <v>32.118177195468952</v>
      </c>
      <c r="BB30" s="131">
        <f t="shared" si="2"/>
        <v>1.1495309913555267</v>
      </c>
      <c r="BC30" s="131">
        <f t="shared" si="2"/>
        <v>0.33809735039868438</v>
      </c>
      <c r="BE30" s="130">
        <v>21</v>
      </c>
      <c r="BF30" s="131">
        <f t="shared" si="3"/>
        <v>5.7631457227620508</v>
      </c>
      <c r="BG30" s="131">
        <f t="shared" si="3"/>
        <v>1.5816531296640326</v>
      </c>
      <c r="BH30" s="131">
        <f t="shared" si="3"/>
        <v>4.4286287630592911</v>
      </c>
      <c r="BI30" s="131">
        <f t="shared" si="3"/>
        <v>1.9612498807834002</v>
      </c>
      <c r="BJ30" s="131">
        <f t="shared" si="3"/>
        <v>0.37959675111936775</v>
      </c>
      <c r="BK30" s="131">
        <f t="shared" si="3"/>
        <v>0</v>
      </c>
      <c r="BL30" s="131">
        <f t="shared" si="3"/>
        <v>0</v>
      </c>
      <c r="BM30" s="131">
        <f t="shared" si="3"/>
        <v>0</v>
      </c>
      <c r="BN30" s="131">
        <f t="shared" si="3"/>
        <v>3.4163707600743098</v>
      </c>
      <c r="BO30" s="131">
        <f t="shared" si="3"/>
        <v>31.273628286192892</v>
      </c>
      <c r="BP30" s="131">
        <f t="shared" si="3"/>
        <v>1.075524128171542</v>
      </c>
      <c r="BQ30" s="131">
        <f t="shared" si="3"/>
        <v>0.31633062593280648</v>
      </c>
    </row>
    <row r="31" spans="1:69">
      <c r="A31" s="130">
        <v>22</v>
      </c>
      <c r="B31" s="131">
        <f>IF('Data 2'!B31&lt;0.1,0,'Data 2'!B31)</f>
        <v>14.470483763218351</v>
      </c>
      <c r="C31" s="131">
        <f>IF('Data 2'!C31&lt;0.1,0,'Data 2'!C31)</f>
        <v>0</v>
      </c>
      <c r="D31" s="131">
        <f>IF('Data 2'!D31&lt;0.1,0,'Data 2'!D31)</f>
        <v>31.731403059977509</v>
      </c>
      <c r="E31" s="131">
        <f>IF('Data 2'!E31&lt;0.1,0,'Data 2'!E31)</f>
        <v>19.234435338015082</v>
      </c>
      <c r="F31" s="131">
        <f>IF('Data 2'!F31&lt;0.1,0,'Data 2'!F31)</f>
        <v>6.646887067603017</v>
      </c>
      <c r="G31" s="131">
        <f>IF('Data 2'!G31&lt;0.1,0,'Data 2'!G31)</f>
        <v>0</v>
      </c>
      <c r="H31" s="131">
        <f>IF('Data 2'!H31&lt;0.1,0,'Data 2'!H31)</f>
        <v>0</v>
      </c>
      <c r="I31" s="131">
        <f>IF('Data 2'!I31&lt;0.1,0,'Data 2'!I31)</f>
        <v>0.45996773825623638</v>
      </c>
      <c r="J31" s="131">
        <f>IF('Data 2'!J31&lt;0.1,0,'Data 2'!J31)</f>
        <v>0</v>
      </c>
      <c r="K31" s="131">
        <f>IF('Data 2'!K31&lt;0.1,0,'Data 2'!K31)</f>
        <v>23.9936291202972</v>
      </c>
      <c r="L31" s="131">
        <f>IF('Data 2'!L31&lt;0.1,0,'Data 2'!L31)</f>
        <v>8.0574193863751162</v>
      </c>
      <c r="M31" s="131">
        <f>IF('Data 2'!M31&lt;0.1,0,'Data 2'!M31)</f>
        <v>84.266677529206646</v>
      </c>
      <c r="O31" s="130">
        <v>22</v>
      </c>
      <c r="P31" s="131">
        <f>'Stasiun Pontianak Kota'!Q73</f>
        <v>1</v>
      </c>
      <c r="Q31" s="131">
        <f>'Stasiun Pontianak Kota'!R73</f>
        <v>0</v>
      </c>
      <c r="R31" s="131">
        <f>'Stasiun Pontianak Kota'!S73</f>
        <v>11</v>
      </c>
      <c r="S31" s="131">
        <f>'Stasiun Pontianak Kota'!T73</f>
        <v>1</v>
      </c>
      <c r="T31" s="131">
        <f>'Stasiun Pontianak Kota'!U73</f>
        <v>3</v>
      </c>
      <c r="U31" s="131">
        <f>'Stasiun Pontianak Kota'!V73</f>
        <v>0</v>
      </c>
      <c r="V31" s="131">
        <f>'Stasiun Pontianak Kota'!W73</f>
        <v>0</v>
      </c>
      <c r="W31" s="131">
        <f>'Stasiun Pontianak Kota'!X73</f>
        <v>0</v>
      </c>
      <c r="X31" s="131">
        <f>'Stasiun Pontianak Kota'!Y73</f>
        <v>0</v>
      </c>
      <c r="Y31" s="131">
        <f>'Stasiun Pontianak Kota'!Z73</f>
        <v>35</v>
      </c>
      <c r="Z31" s="131">
        <f>'Stasiun Pontianak Kota'!AA73</f>
        <v>12</v>
      </c>
      <c r="AA31" s="131">
        <f>'Stasiun Pontianak Kota'!AB73</f>
        <v>98</v>
      </c>
      <c r="AC31" s="130">
        <v>22</v>
      </c>
      <c r="AD31" s="131">
        <f>'Sta. Meteorologi pnk'!B29</f>
        <v>42</v>
      </c>
      <c r="AE31" s="131">
        <f>'Sta. Meteorologi pnk'!C29</f>
        <v>0</v>
      </c>
      <c r="AF31" s="131">
        <f>'Sta. Meteorologi pnk'!D29</f>
        <v>74.099999999999994</v>
      </c>
      <c r="AG31" s="131">
        <f>'Sta. Meteorologi pnk'!E29</f>
        <v>56.5</v>
      </c>
      <c r="AH31" s="131">
        <f>'Sta. Meteorologi pnk'!F29</f>
        <v>14.1</v>
      </c>
      <c r="AI31" s="131">
        <f>'Sta. Meteorologi pnk'!G29</f>
        <v>0</v>
      </c>
      <c r="AJ31" s="131">
        <f>'Sta. Meteorologi pnk'!H29</f>
        <v>0</v>
      </c>
      <c r="AK31" s="131">
        <f>'Sta. Meteorologi pnk'!I29</f>
        <v>1.4</v>
      </c>
      <c r="AL31" s="131">
        <f>'Sta. Meteorologi pnk'!J29</f>
        <v>0</v>
      </c>
      <c r="AM31" s="131">
        <f>'Sta. Meteorologi pnk'!K29</f>
        <v>1.5</v>
      </c>
      <c r="AN31" s="131">
        <f>'Sta. Meteorologi pnk'!L29</f>
        <v>0</v>
      </c>
      <c r="AO31" s="131">
        <f>'Sta. Meteorologi pnk'!M29</f>
        <v>56.2</v>
      </c>
      <c r="AQ31" s="130">
        <v>22</v>
      </c>
      <c r="AR31" s="131">
        <f t="shared" si="2"/>
        <v>28.723982732692118</v>
      </c>
      <c r="AS31" s="131">
        <f t="shared" si="2"/>
        <v>0</v>
      </c>
      <c r="AT31" s="131">
        <f t="shared" si="2"/>
        <v>53.66788562031396</v>
      </c>
      <c r="AU31" s="131">
        <f t="shared" si="2"/>
        <v>38.528805894253964</v>
      </c>
      <c r="AV31" s="131">
        <f t="shared" si="2"/>
        <v>10.505761178850793</v>
      </c>
      <c r="AW31" s="131">
        <f t="shared" si="2"/>
        <v>0</v>
      </c>
      <c r="AX31" s="131">
        <f t="shared" si="2"/>
        <v>0</v>
      </c>
      <c r="AY31" s="131">
        <f t="shared" si="2"/>
        <v>0.94667258111631614</v>
      </c>
      <c r="AZ31" s="131">
        <f t="shared" si="2"/>
        <v>0</v>
      </c>
      <c r="BA31" s="131">
        <f t="shared" si="2"/>
        <v>12.347477523288145</v>
      </c>
      <c r="BB31" s="131">
        <f t="shared" si="2"/>
        <v>3.8856635904315739</v>
      </c>
      <c r="BC31" s="131">
        <f t="shared" si="2"/>
        <v>69.735061506669993</v>
      </c>
      <c r="BE31" s="130">
        <v>22</v>
      </c>
      <c r="BF31" s="131">
        <f t="shared" si="3"/>
        <v>26.939111326490135</v>
      </c>
      <c r="BG31" s="131">
        <f t="shared" si="3"/>
        <v>0</v>
      </c>
      <c r="BH31" s="131">
        <f t="shared" si="3"/>
        <v>50.920924992720174</v>
      </c>
      <c r="BI31" s="131">
        <f t="shared" si="3"/>
        <v>36.112699478541522</v>
      </c>
      <c r="BJ31" s="131">
        <f t="shared" si="3"/>
        <v>10.022539895708304</v>
      </c>
      <c r="BK31" s="131">
        <f t="shared" si="3"/>
        <v>0</v>
      </c>
      <c r="BL31" s="131">
        <f t="shared" si="3"/>
        <v>0</v>
      </c>
      <c r="BM31" s="131">
        <f t="shared" si="3"/>
        <v>0.88572575261185815</v>
      </c>
      <c r="BN31" s="131">
        <f t="shared" si="3"/>
        <v>0</v>
      </c>
      <c r="BO31" s="131">
        <f t="shared" si="3"/>
        <v>13.805848062501964</v>
      </c>
      <c r="BP31" s="131">
        <f t="shared" si="3"/>
        <v>4.4080649776126437</v>
      </c>
      <c r="BQ31" s="131">
        <f t="shared" si="3"/>
        <v>71.554759672017383</v>
      </c>
    </row>
    <row r="32" spans="1:69">
      <c r="A32" s="130">
        <v>23</v>
      </c>
      <c r="B32" s="131">
        <f>IF('Data 2'!B32&lt;0.1,0,'Data 2'!B32)</f>
        <v>15.7023870431623</v>
      </c>
      <c r="C32" s="131">
        <f>IF('Data 2'!C32&lt;0.1,0,'Data 2'!C32)</f>
        <v>1.0842096687468428</v>
      </c>
      <c r="D32" s="131">
        <f>IF('Data 2'!D32&lt;0.1,0,'Data 2'!D32)</f>
        <v>0.39425806136248831</v>
      </c>
      <c r="E32" s="131">
        <f>IF('Data 2'!E32&lt;0.1,0,'Data 2'!E32)</f>
        <v>69.808629201766237</v>
      </c>
      <c r="F32" s="131">
        <f>IF('Data 2'!F32&lt;0.1,0,'Data 2'!F32)</f>
        <v>16.698241897902985</v>
      </c>
      <c r="G32" s="131">
        <f>IF('Data 2'!G32&lt;0.1,0,'Data 2'!G32)</f>
        <v>0</v>
      </c>
      <c r="H32" s="131">
        <f>IF('Data 2'!H32&lt;0.1,0,'Data 2'!H32)</f>
        <v>0</v>
      </c>
      <c r="I32" s="131">
        <f>IF('Data 2'!I32&lt;0.1,0,'Data 2'!I32)</f>
        <v>0</v>
      </c>
      <c r="J32" s="131">
        <f>IF('Data 2'!J32&lt;0.1,0,'Data 2'!J32)</f>
        <v>0</v>
      </c>
      <c r="K32" s="131">
        <f>IF('Data 2'!K32&lt;0.1,0,'Data 2'!K32)</f>
        <v>22.562677398856174</v>
      </c>
      <c r="L32" s="131">
        <f>IF('Data 2'!L32&lt;0.1,0,'Data 2'!L32)</f>
        <v>0</v>
      </c>
      <c r="M32" s="131">
        <f>IF('Data 2'!M32&lt;0.1,0,'Data 2'!M32)</f>
        <v>37.833500073322142</v>
      </c>
      <c r="O32" s="130">
        <v>23</v>
      </c>
      <c r="P32" s="131">
        <f>'Stasiun Pontianak Kota'!Q74</f>
        <v>9</v>
      </c>
      <c r="Q32" s="131">
        <f>'Stasiun Pontianak Kota'!R74</f>
        <v>0</v>
      </c>
      <c r="R32" s="131">
        <f>'Stasiun Pontianak Kota'!S74</f>
        <v>0</v>
      </c>
      <c r="S32" s="131">
        <f>'Stasiun Pontianak Kota'!T74</f>
        <v>91</v>
      </c>
      <c r="T32" s="131">
        <f>'Stasiun Pontianak Kota'!U74</f>
        <v>12</v>
      </c>
      <c r="U32" s="131">
        <f>'Stasiun Pontianak Kota'!V74</f>
        <v>0</v>
      </c>
      <c r="V32" s="131">
        <f>'Stasiun Pontianak Kota'!W74</f>
        <v>0</v>
      </c>
      <c r="W32" s="131">
        <f>'Stasiun Pontianak Kota'!X74</f>
        <v>0</v>
      </c>
      <c r="X32" s="131">
        <f>'Stasiun Pontianak Kota'!Y74</f>
        <v>0</v>
      </c>
      <c r="Y32" s="131">
        <f>'Stasiun Pontianak Kota'!Z74</f>
        <v>20</v>
      </c>
      <c r="Z32" s="131">
        <f>'Stasiun Pontianak Kota'!AA74</f>
        <v>0</v>
      </c>
      <c r="AA32" s="131">
        <f>'Stasiun Pontianak Kota'!AB74</f>
        <v>47</v>
      </c>
      <c r="AC32" s="130">
        <v>23</v>
      </c>
      <c r="AD32" s="131">
        <f>'Sta. Meteorologi pnk'!B30</f>
        <v>29.4</v>
      </c>
      <c r="AE32" s="131">
        <f>'Sta. Meteorologi pnk'!C30</f>
        <v>3.3</v>
      </c>
      <c r="AF32" s="131">
        <f>'Sta. Meteorologi pnk'!D30</f>
        <v>1.2</v>
      </c>
      <c r="AG32" s="131">
        <f>'Sta. Meteorologi pnk'!E30</f>
        <v>26.5</v>
      </c>
      <c r="AH32" s="131">
        <f>'Sta. Meteorologi pnk'!F30</f>
        <v>26.3</v>
      </c>
      <c r="AI32" s="131">
        <f>'Sta. Meteorologi pnk'!G30</f>
        <v>0</v>
      </c>
      <c r="AJ32" s="131">
        <f>'Sta. Meteorologi pnk'!H30</f>
        <v>0</v>
      </c>
      <c r="AK32" s="131">
        <f>'Sta. Meteorologi pnk'!I30</f>
        <v>0</v>
      </c>
      <c r="AL32" s="131">
        <f>'Sta. Meteorologi pnk'!J30</f>
        <v>0</v>
      </c>
      <c r="AM32" s="131">
        <f>'Sta. Meteorologi pnk'!K30</f>
        <v>27.8</v>
      </c>
      <c r="AN32" s="131">
        <f>'Sta. Meteorologi pnk'!L30</f>
        <v>0</v>
      </c>
      <c r="AO32" s="131">
        <f>'Sta. Meteorologi pnk'!M30</f>
        <v>19.100000000000001</v>
      </c>
      <c r="AQ32" s="130">
        <v>23</v>
      </c>
      <c r="AR32" s="131">
        <f t="shared" si="2"/>
        <v>22.79437189626632</v>
      </c>
      <c r="AS32" s="131">
        <f t="shared" si="2"/>
        <v>2.2314425126313169</v>
      </c>
      <c r="AT32" s="131">
        <f t="shared" si="2"/>
        <v>0.81143364095684245</v>
      </c>
      <c r="AU32" s="131">
        <f t="shared" si="2"/>
        <v>47.385441798569708</v>
      </c>
      <c r="AV32" s="131">
        <f t="shared" si="2"/>
        <v>21.669584221402371</v>
      </c>
      <c r="AW32" s="131">
        <f t="shared" si="2"/>
        <v>0</v>
      </c>
      <c r="AX32" s="131">
        <f t="shared" si="2"/>
        <v>0</v>
      </c>
      <c r="AY32" s="131">
        <f t="shared" si="2"/>
        <v>0</v>
      </c>
      <c r="AZ32" s="131">
        <f t="shared" si="2"/>
        <v>0</v>
      </c>
      <c r="BA32" s="131">
        <f t="shared" si="2"/>
        <v>25.274318666219475</v>
      </c>
      <c r="BB32" s="131">
        <f t="shared" si="2"/>
        <v>0</v>
      </c>
      <c r="BC32" s="131">
        <f t="shared" si="2"/>
        <v>28.13416784775341</v>
      </c>
      <c r="BE32" s="130">
        <v>23</v>
      </c>
      <c r="BF32" s="131">
        <f t="shared" si="3"/>
        <v>21.906289538058505</v>
      </c>
      <c r="BG32" s="131">
        <f t="shared" si="3"/>
        <v>2.0877821311565228</v>
      </c>
      <c r="BH32" s="131">
        <f t="shared" si="3"/>
        <v>0.7591935022387355</v>
      </c>
      <c r="BI32" s="131">
        <f t="shared" si="3"/>
        <v>50.193349254667957</v>
      </c>
      <c r="BJ32" s="131">
        <f t="shared" si="3"/>
        <v>21.047055901678263</v>
      </c>
      <c r="BK32" s="131">
        <f t="shared" si="3"/>
        <v>0</v>
      </c>
      <c r="BL32" s="131">
        <f t="shared" si="3"/>
        <v>0</v>
      </c>
      <c r="BM32" s="131">
        <f t="shared" si="3"/>
        <v>0</v>
      </c>
      <c r="BN32" s="131">
        <f t="shared" si="3"/>
        <v>0</v>
      </c>
      <c r="BO32" s="131">
        <f t="shared" si="3"/>
        <v>24.934757764551783</v>
      </c>
      <c r="BP32" s="131">
        <f t="shared" si="3"/>
        <v>0</v>
      </c>
      <c r="BQ32" s="131">
        <f t="shared" si="3"/>
        <v>29.348751072949394</v>
      </c>
    </row>
    <row r="33" spans="1:70">
      <c r="A33" s="130">
        <v>24</v>
      </c>
      <c r="B33" s="131">
        <f>IF('Data 2'!B33&lt;0.1,0,'Data 2'!B33)</f>
        <v>36.929838854219284</v>
      </c>
      <c r="C33" s="131">
        <f>IF('Data 2'!C33&lt;0.1,0,'Data 2'!C33)</f>
        <v>14.499193456405909</v>
      </c>
      <c r="D33" s="131">
        <f>IF('Data 2'!D33&lt;0.1,0,'Data 2'!D33)</f>
        <v>0</v>
      </c>
      <c r="E33" s="131">
        <f>IF('Data 2'!E33&lt;0.1,0,'Data 2'!E33)</f>
        <v>9.4003226174376344</v>
      </c>
      <c r="F33" s="131">
        <f>IF('Data 2'!F33&lt;0.1,0,'Data 2'!F33)</f>
        <v>8.3202580939501072</v>
      </c>
      <c r="G33" s="131">
        <f>IF('Data 2'!G33&lt;0.1,0,'Data 2'!G33)</f>
        <v>0</v>
      </c>
      <c r="H33" s="131">
        <f>IF('Data 2'!H33&lt;0.1,0,'Data 2'!H33)</f>
        <v>0</v>
      </c>
      <c r="I33" s="131">
        <f>IF('Data 2'!I33&lt;0.1,0,'Data 2'!I33)</f>
        <v>0</v>
      </c>
      <c r="J33" s="131">
        <f>IF('Data 2'!J33&lt;0.1,0,'Data 2'!J33)</f>
        <v>0</v>
      </c>
      <c r="K33" s="131">
        <f>IF('Data 2'!K33&lt;0.1,0,'Data 2'!K33)</f>
        <v>61.485144933439784</v>
      </c>
      <c r="L33" s="131">
        <f>IF('Data 2'!L33&lt;0.1,0,'Data 2'!L33)</f>
        <v>0</v>
      </c>
      <c r="M33" s="131">
        <f>IF('Data 2'!M33&lt;0.1,0,'Data 2'!M33)</f>
        <v>14.771935541687714</v>
      </c>
      <c r="O33" s="130">
        <v>24</v>
      </c>
      <c r="P33" s="131">
        <f>'Stasiun Pontianak Kota'!Q75</f>
        <v>55</v>
      </c>
      <c r="Q33" s="131">
        <f>'Stasiun Pontianak Kota'!R75</f>
        <v>3</v>
      </c>
      <c r="R33" s="131">
        <f>'Stasiun Pontianak Kota'!S75</f>
        <v>0</v>
      </c>
      <c r="S33" s="131">
        <f>'Stasiun Pontianak Kota'!T75</f>
        <v>14</v>
      </c>
      <c r="T33" s="131">
        <f>'Stasiun Pontianak Kota'!U75</f>
        <v>12</v>
      </c>
      <c r="U33" s="131">
        <f>'Stasiun Pontianak Kota'!V75</f>
        <v>0</v>
      </c>
      <c r="V33" s="131">
        <f>'Stasiun Pontianak Kota'!W75</f>
        <v>0</v>
      </c>
      <c r="W33" s="131">
        <f>'Stasiun Pontianak Kota'!X75</f>
        <v>0</v>
      </c>
      <c r="X33" s="131">
        <f>'Stasiun Pontianak Kota'!Y75</f>
        <v>0</v>
      </c>
      <c r="Y33" s="131">
        <f>'Stasiun Pontianak Kota'!Z75</f>
        <v>33</v>
      </c>
      <c r="Z33" s="131">
        <f>'Stasiun Pontianak Kota'!AA75</f>
        <v>0</v>
      </c>
      <c r="AA33" s="131">
        <f>'Stasiun Pontianak Kota'!AB75</f>
        <v>22</v>
      </c>
      <c r="AC33" s="130">
        <v>24</v>
      </c>
      <c r="AD33" s="131">
        <f>'Sta. Meteorologi pnk'!B31</f>
        <v>0</v>
      </c>
      <c r="AE33" s="131">
        <f>'Sta. Meteorologi pnk'!C31</f>
        <v>38</v>
      </c>
      <c r="AF33" s="131">
        <f>'Sta. Meteorologi pnk'!D31</f>
        <v>0</v>
      </c>
      <c r="AG33" s="131">
        <f>'Sta. Meteorologi pnk'!E31</f>
        <v>0</v>
      </c>
      <c r="AH33" s="131">
        <f>'Sta. Meteorologi pnk'!F31</f>
        <v>0.8</v>
      </c>
      <c r="AI33" s="131">
        <f>'Sta. Meteorologi pnk'!G31</f>
        <v>0</v>
      </c>
      <c r="AJ33" s="131">
        <f>'Sta. Meteorologi pnk'!H31</f>
        <v>0</v>
      </c>
      <c r="AK33" s="131">
        <f>'Sta. Meteorologi pnk'!I31</f>
        <v>0</v>
      </c>
      <c r="AL33" s="131">
        <f>'Sta. Meteorologi pnk'!J31</f>
        <v>0</v>
      </c>
      <c r="AM33" s="131">
        <f>'Sta. Meteorologi pnk'!K31</f>
        <v>119.7</v>
      </c>
      <c r="AN33" s="131">
        <f>'Sta. Meteorologi pnk'!L31</f>
        <v>0</v>
      </c>
      <c r="AO33" s="131">
        <f>'Sta. Meteorologi pnk'!M31</f>
        <v>0</v>
      </c>
      <c r="AQ33" s="130">
        <v>24</v>
      </c>
      <c r="AR33" s="131">
        <f t="shared" si="2"/>
        <v>17.809291456144717</v>
      </c>
      <c r="AS33" s="131">
        <f t="shared" si="2"/>
        <v>26.666814527907903</v>
      </c>
      <c r="AT33" s="131">
        <f t="shared" si="2"/>
        <v>0</v>
      </c>
      <c r="AU33" s="131">
        <f t="shared" si="2"/>
        <v>4.5332741888368364</v>
      </c>
      <c r="AV33" s="131">
        <f t="shared" si="2"/>
        <v>4.4266193510694691</v>
      </c>
      <c r="AW33" s="131">
        <f t="shared" si="2"/>
        <v>0</v>
      </c>
      <c r="AX33" s="131">
        <f t="shared" si="2"/>
        <v>0</v>
      </c>
      <c r="AY33" s="131">
        <f t="shared" si="2"/>
        <v>0</v>
      </c>
      <c r="AZ33" s="131">
        <f t="shared" si="2"/>
        <v>0</v>
      </c>
      <c r="BA33" s="131">
        <f t="shared" si="2"/>
        <v>91.626080559131879</v>
      </c>
      <c r="BB33" s="131">
        <f t="shared" si="2"/>
        <v>0</v>
      </c>
      <c r="BC33" s="131">
        <f t="shared" si="2"/>
        <v>7.1237165824578872</v>
      </c>
      <c r="BE33" s="130">
        <v>24</v>
      </c>
      <c r="BF33" s="131">
        <f t="shared" si="3"/>
        <v>20.203631147391285</v>
      </c>
      <c r="BG33" s="131">
        <f t="shared" si="3"/>
        <v>25.143143815296455</v>
      </c>
      <c r="BH33" s="131">
        <f t="shared" si="3"/>
        <v>0</v>
      </c>
      <c r="BI33" s="131">
        <f t="shared" si="3"/>
        <v>5.1427424738814178</v>
      </c>
      <c r="BJ33" s="131">
        <f t="shared" si="3"/>
        <v>4.9141939791051339</v>
      </c>
      <c r="BK33" s="131">
        <f t="shared" si="3"/>
        <v>0</v>
      </c>
      <c r="BL33" s="131">
        <f t="shared" si="3"/>
        <v>0</v>
      </c>
      <c r="BM33" s="131">
        <f t="shared" si="3"/>
        <v>0</v>
      </c>
      <c r="BN33" s="131">
        <f t="shared" si="3"/>
        <v>0</v>
      </c>
      <c r="BO33" s="131">
        <f t="shared" si="3"/>
        <v>87.851730536748647</v>
      </c>
      <c r="BP33" s="131">
        <f t="shared" si="3"/>
        <v>0</v>
      </c>
      <c r="BQ33" s="131">
        <f t="shared" si="3"/>
        <v>8.0814524589565142</v>
      </c>
    </row>
    <row r="34" spans="1:70">
      <c r="A34" s="130">
        <v>25</v>
      </c>
      <c r="B34" s="131">
        <f>IF('Data 2'!B34&lt;0.1,0,'Data 2'!B34)</f>
        <v>0</v>
      </c>
      <c r="C34" s="131">
        <f>IF('Data 2'!C34&lt;0.1,0,'Data 2'!C34)</f>
        <v>22.355032343212816</v>
      </c>
      <c r="D34" s="131">
        <f>IF('Data 2'!D34&lt;0.1,0,'Data 2'!D34)</f>
        <v>0</v>
      </c>
      <c r="E34" s="131">
        <f>IF('Data 2'!E34&lt;0.1,0,'Data 2'!E34)</f>
        <v>0.45996773825623638</v>
      </c>
      <c r="F34" s="131">
        <f>IF('Data 2'!F34&lt;0.1,0,'Data 2'!F34)</f>
        <v>5.1601290469750536</v>
      </c>
      <c r="G34" s="131">
        <f>IF('Data 2'!G34&lt;0.1,0,'Data 2'!G34)</f>
        <v>0</v>
      </c>
      <c r="H34" s="131">
        <f>IF('Data 2'!H34&lt;0.1,0,'Data 2'!H34)</f>
        <v>12.845935509100093</v>
      </c>
      <c r="I34" s="131">
        <f>IF('Data 2'!I34&lt;0.1,0,'Data 2'!I34)</f>
        <v>0</v>
      </c>
      <c r="J34" s="131">
        <f>IF('Data 2'!J34&lt;0.1,0,'Data 2'!J34)</f>
        <v>6.7228064458312282</v>
      </c>
      <c r="K34" s="131">
        <f>IF('Data 2'!K34&lt;0.1,0,'Data 2'!K34)</f>
        <v>9.6816613168657213</v>
      </c>
      <c r="L34" s="131">
        <f>IF('Data 2'!L34&lt;0.1,0,'Data 2'!L34)</f>
        <v>1.314193537874961</v>
      </c>
      <c r="M34" s="131">
        <f>IF('Data 2'!M34&lt;0.1,0,'Data 2'!M34)</f>
        <v>0.29569354602186626</v>
      </c>
      <c r="O34" s="130">
        <v>25</v>
      </c>
      <c r="P34" s="131">
        <f>'Stasiun Pontianak Kota'!Q76</f>
        <v>0</v>
      </c>
      <c r="Q34" s="131">
        <f>'Stasiun Pontianak Kota'!R76</f>
        <v>33</v>
      </c>
      <c r="R34" s="131">
        <f>'Stasiun Pontianak Kota'!S76</f>
        <v>0</v>
      </c>
      <c r="S34" s="131">
        <f>'Stasiun Pontianak Kota'!T76</f>
        <v>0</v>
      </c>
      <c r="T34" s="131">
        <f>'Stasiun Pontianak Kota'!U76</f>
        <v>7</v>
      </c>
      <c r="U34" s="131">
        <f>'Stasiun Pontianak Kota'!V76</f>
        <v>0</v>
      </c>
      <c r="V34" s="131">
        <f>'Stasiun Pontianak Kota'!W76</f>
        <v>16</v>
      </c>
      <c r="W34" s="131">
        <f>'Stasiun Pontianak Kota'!X76</f>
        <v>0</v>
      </c>
      <c r="X34" s="131">
        <f>'Stasiun Pontianak Kota'!Y76</f>
        <v>6</v>
      </c>
      <c r="Y34" s="131">
        <f>'Stasiun Pontianak Kota'!Z76</f>
        <v>13</v>
      </c>
      <c r="Z34" s="131">
        <f>'Stasiun Pontianak Kota'!AA76</f>
        <v>0</v>
      </c>
      <c r="AA34" s="131">
        <f>'Stasiun Pontianak Kota'!AB76</f>
        <v>0</v>
      </c>
      <c r="AC34" s="130">
        <v>25</v>
      </c>
      <c r="AD34" s="131">
        <f>'Sta. Meteorologi pnk'!B32</f>
        <v>0</v>
      </c>
      <c r="AE34" s="131">
        <f>'Sta. Meteorologi pnk'!C32</f>
        <v>0.6</v>
      </c>
      <c r="AF34" s="131">
        <f>'Sta. Meteorologi pnk'!D32</f>
        <v>0</v>
      </c>
      <c r="AG34" s="131">
        <f>'Sta. Meteorologi pnk'!E32</f>
        <v>1.4</v>
      </c>
      <c r="AH34" s="131">
        <f>'Sta. Meteorologi pnk'!F32</f>
        <v>1.4</v>
      </c>
      <c r="AI34" s="131">
        <f>'Sta. Meteorologi pnk'!G32</f>
        <v>0</v>
      </c>
      <c r="AJ34" s="131">
        <f>'Sta. Meteorologi pnk'!H32</f>
        <v>6.4</v>
      </c>
      <c r="AK34" s="131">
        <f>'Sta. Meteorologi pnk'!I32</f>
        <v>0</v>
      </c>
      <c r="AL34" s="131">
        <f>'Sta. Meteorologi pnk'!J32</f>
        <v>8.1999999999999993</v>
      </c>
      <c r="AM34" s="131">
        <f>'Sta. Meteorologi pnk'!K32</f>
        <v>2.9</v>
      </c>
      <c r="AN34" s="131">
        <f>'Sta. Meteorologi pnk'!L32</f>
        <v>4</v>
      </c>
      <c r="AO34" s="131">
        <f>'Sta. Meteorologi pnk'!M32</f>
        <v>0.9</v>
      </c>
      <c r="AQ34" s="130">
        <v>25</v>
      </c>
      <c r="AR34" s="131">
        <f t="shared" si="2"/>
        <v>0</v>
      </c>
      <c r="AS34" s="131">
        <f t="shared" si="2"/>
        <v>11.09129169416525</v>
      </c>
      <c r="AT34" s="131">
        <f t="shared" si="2"/>
        <v>0</v>
      </c>
      <c r="AU34" s="131">
        <f t="shared" si="2"/>
        <v>0.94667258111631614</v>
      </c>
      <c r="AV34" s="131">
        <f t="shared" si="2"/>
        <v>3.2133096755347346</v>
      </c>
      <c r="AW34" s="131">
        <f t="shared" si="2"/>
        <v>0</v>
      </c>
      <c r="AX34" s="131">
        <f t="shared" si="2"/>
        <v>9.5085308723452595</v>
      </c>
      <c r="AY34" s="131">
        <f t="shared" si="2"/>
        <v>0</v>
      </c>
      <c r="AZ34" s="131">
        <f t="shared" si="2"/>
        <v>7.4876283417542098</v>
      </c>
      <c r="BA34" s="131">
        <f t="shared" si="2"/>
        <v>6.1704335219465749</v>
      </c>
      <c r="BB34" s="131">
        <f t="shared" si="2"/>
        <v>2.7047788031894751</v>
      </c>
      <c r="BC34" s="131">
        <f t="shared" si="2"/>
        <v>0.60857523071763187</v>
      </c>
      <c r="BE34" s="130">
        <v>25</v>
      </c>
      <c r="BF34" s="131">
        <f t="shared" si="3"/>
        <v>0</v>
      </c>
      <c r="BG34" s="131">
        <f t="shared" si="3"/>
        <v>12.501775439554137</v>
      </c>
      <c r="BH34" s="131">
        <f t="shared" si="3"/>
        <v>0</v>
      </c>
      <c r="BI34" s="131">
        <f t="shared" si="3"/>
        <v>0.88572575261185815</v>
      </c>
      <c r="BJ34" s="131">
        <f t="shared" si="3"/>
        <v>3.4570969895525669</v>
      </c>
      <c r="BK34" s="131">
        <f t="shared" si="3"/>
        <v>0</v>
      </c>
      <c r="BL34" s="131">
        <f t="shared" si="3"/>
        <v>9.926451982090116</v>
      </c>
      <c r="BM34" s="131">
        <f t="shared" si="3"/>
        <v>0</v>
      </c>
      <c r="BN34" s="131">
        <f t="shared" si="3"/>
        <v>7.3918547541043473</v>
      </c>
      <c r="BO34" s="131">
        <f t="shared" si="3"/>
        <v>6.6101213561573084</v>
      </c>
      <c r="BP34" s="131">
        <f t="shared" si="3"/>
        <v>2.5306450074624518</v>
      </c>
      <c r="BQ34" s="131">
        <f t="shared" si="3"/>
        <v>0.56939512667905179</v>
      </c>
    </row>
    <row r="35" spans="1:70">
      <c r="A35" s="130">
        <v>26</v>
      </c>
      <c r="B35" s="131">
        <f>IF('Data 2'!B35&lt;0.1,0,'Data 2'!B35)</f>
        <v>0</v>
      </c>
      <c r="C35" s="131">
        <f>IF('Data 2'!C35&lt;0.1,0,'Data 2'!C35)</f>
        <v>1.3429032310625193</v>
      </c>
      <c r="D35" s="131">
        <f>IF('Data 2'!D35&lt;0.1,0,'Data 2'!D35)</f>
        <v>0</v>
      </c>
      <c r="E35" s="131">
        <f>IF('Data 2'!E35&lt;0.1,0,'Data 2'!E35)</f>
        <v>16.48483860981213</v>
      </c>
      <c r="F35" s="131">
        <f>IF('Data 2'!F35&lt;0.1,0,'Data 2'!F35)</f>
        <v>2.5400322617437636</v>
      </c>
      <c r="G35" s="131">
        <f>IF('Data 2'!G35&lt;0.1,0,'Data 2'!G35)</f>
        <v>0</v>
      </c>
      <c r="H35" s="131">
        <f>IF('Data 2'!H35&lt;0.1,0,'Data 2'!H35)</f>
        <v>0</v>
      </c>
      <c r="I35" s="131">
        <f>IF('Data 2'!I35&lt;0.1,0,'Data 2'!I35)</f>
        <v>20.041451452593154</v>
      </c>
      <c r="J35" s="131">
        <f>IF('Data 2'!J35&lt;0.1,0,'Data 2'!J35)</f>
        <v>9.1664999266778526</v>
      </c>
      <c r="K35" s="131">
        <f>IF('Data 2'!K35&lt;0.1,0,'Data 2'!K35)</f>
        <v>3.3572580776562981</v>
      </c>
      <c r="L35" s="131">
        <f>IF('Data 2'!L35&lt;0.1,0,'Data 2'!L35)</f>
        <v>8.0574193863751162</v>
      </c>
      <c r="M35" s="131">
        <f>IF('Data 2'!M35&lt;0.1,0,'Data 2'!M35)</f>
        <v>4.3799032147687091</v>
      </c>
      <c r="O35" s="130">
        <v>26</v>
      </c>
      <c r="P35" s="131">
        <f>'Stasiun Pontianak Kota'!Q77</f>
        <v>0</v>
      </c>
      <c r="Q35" s="131">
        <f>'Stasiun Pontianak Kota'!R77</f>
        <v>2</v>
      </c>
      <c r="R35" s="131">
        <f>'Stasiun Pontianak Kota'!S77</f>
        <v>0</v>
      </c>
      <c r="S35" s="131">
        <f>'Stasiun Pontianak Kota'!T77</f>
        <v>4</v>
      </c>
      <c r="T35" s="131">
        <f>'Stasiun Pontianak Kota'!U77</f>
        <v>3</v>
      </c>
      <c r="U35" s="131">
        <f>'Stasiun Pontianak Kota'!V77</f>
        <v>0</v>
      </c>
      <c r="V35" s="131">
        <f>'Stasiun Pontianak Kota'!W77</f>
        <v>0</v>
      </c>
      <c r="W35" s="131">
        <f>'Stasiun Pontianak Kota'!X77</f>
        <v>0</v>
      </c>
      <c r="X35" s="131">
        <f>'Stasiun Pontianak Kota'!Y77</f>
        <v>0</v>
      </c>
      <c r="Y35" s="131">
        <f>'Stasiun Pontianak Kota'!Z77</f>
        <v>5</v>
      </c>
      <c r="Z35" s="131">
        <f>'Stasiun Pontianak Kota'!AA77</f>
        <v>12</v>
      </c>
      <c r="AA35" s="131">
        <f>'Stasiun Pontianak Kota'!AB77</f>
        <v>3</v>
      </c>
      <c r="AC35" s="130">
        <v>26</v>
      </c>
      <c r="AD35" s="131">
        <f>'Sta. Meteorologi pnk'!B33</f>
        <v>0</v>
      </c>
      <c r="AE35" s="131">
        <f>'Sta. Meteorologi pnk'!C33</f>
        <v>0</v>
      </c>
      <c r="AF35" s="131">
        <f>'Sta. Meteorologi pnk'!D33</f>
        <v>0</v>
      </c>
      <c r="AG35" s="131">
        <f>'Sta. Meteorologi pnk'!E33</f>
        <v>42</v>
      </c>
      <c r="AH35" s="131">
        <f>'Sta. Meteorologi pnk'!F33</f>
        <v>1.6</v>
      </c>
      <c r="AI35" s="131">
        <f>'Sta. Meteorologi pnk'!G33</f>
        <v>0</v>
      </c>
      <c r="AJ35" s="131">
        <f>'Sta. Meteorologi pnk'!H33</f>
        <v>0</v>
      </c>
      <c r="AK35" s="131">
        <f>'Sta. Meteorologi pnk'!I33</f>
        <v>61</v>
      </c>
      <c r="AL35" s="131">
        <f>'Sta. Meteorologi pnk'!J33</f>
        <v>27.9</v>
      </c>
      <c r="AM35" s="131">
        <f>'Sta. Meteorologi pnk'!K33</f>
        <v>0</v>
      </c>
      <c r="AN35" s="131">
        <f>'Sta. Meteorologi pnk'!L33</f>
        <v>0</v>
      </c>
      <c r="AO35" s="131">
        <f>'Sta. Meteorologi pnk'!M33</f>
        <v>7.2</v>
      </c>
      <c r="AQ35" s="130">
        <v>26</v>
      </c>
      <c r="AR35" s="131">
        <f t="shared" si="2"/>
        <v>0</v>
      </c>
      <c r="AS35" s="131">
        <f t="shared" si="2"/>
        <v>0.64761059840526247</v>
      </c>
      <c r="AT35" s="131">
        <f t="shared" si="2"/>
        <v>0</v>
      </c>
      <c r="AU35" s="131">
        <f t="shared" si="2"/>
        <v>29.695398630300009</v>
      </c>
      <c r="AV35" s="131">
        <f t="shared" si="2"/>
        <v>2.0533274188836836</v>
      </c>
      <c r="AW35" s="131">
        <f t="shared" si="2"/>
        <v>0</v>
      </c>
      <c r="AX35" s="131">
        <f t="shared" si="2"/>
        <v>0</v>
      </c>
      <c r="AY35" s="131">
        <f t="shared" si="2"/>
        <v>41.247876748639491</v>
      </c>
      <c r="AZ35" s="131">
        <f t="shared" si="2"/>
        <v>18.865832152246586</v>
      </c>
      <c r="BA35" s="131">
        <f t="shared" si="2"/>
        <v>1.619026496013156</v>
      </c>
      <c r="BB35" s="131">
        <f t="shared" si="2"/>
        <v>3.8856635904315739</v>
      </c>
      <c r="BC35" s="131">
        <f t="shared" si="2"/>
        <v>5.8400177433489482</v>
      </c>
      <c r="BE35" s="130">
        <v>26</v>
      </c>
      <c r="BF35" s="131">
        <f t="shared" si="3"/>
        <v>0</v>
      </c>
      <c r="BG35" s="131">
        <f t="shared" si="3"/>
        <v>0.73467749626877399</v>
      </c>
      <c r="BH35" s="131">
        <f t="shared" si="3"/>
        <v>0</v>
      </c>
      <c r="BI35" s="131">
        <f t="shared" si="3"/>
        <v>28.041127570893295</v>
      </c>
      <c r="BJ35" s="131">
        <f t="shared" si="3"/>
        <v>2.114274247388142</v>
      </c>
      <c r="BK35" s="131">
        <f t="shared" si="3"/>
        <v>0</v>
      </c>
      <c r="BL35" s="131">
        <f t="shared" si="3"/>
        <v>0</v>
      </c>
      <c r="BM35" s="131">
        <f t="shared" si="3"/>
        <v>38.592336363802396</v>
      </c>
      <c r="BN35" s="131">
        <f t="shared" si="3"/>
        <v>17.651248927050602</v>
      </c>
      <c r="BO35" s="131">
        <f t="shared" si="3"/>
        <v>1.8366937406719348</v>
      </c>
      <c r="BP35" s="131">
        <f t="shared" si="3"/>
        <v>4.4080649776126437</v>
      </c>
      <c r="BQ35" s="131">
        <f t="shared" si="3"/>
        <v>5.6571772578355741</v>
      </c>
    </row>
    <row r="36" spans="1:70">
      <c r="A36" s="130">
        <v>27</v>
      </c>
      <c r="B36" s="131">
        <f>IF('Data 2'!B36&lt;0.1,0,'Data 2'!B36)</f>
        <v>0</v>
      </c>
      <c r="C36" s="131">
        <f>IF('Data 2'!C36&lt;0.1,0,'Data 2'!C36)</f>
        <v>0</v>
      </c>
      <c r="D36" s="131">
        <f>IF('Data 2'!D36&lt;0.1,0,'Data 2'!D36)</f>
        <v>1.6427419223437014</v>
      </c>
      <c r="E36" s="131">
        <f>IF('Data 2'!E36&lt;0.1,0,'Data 2'!E36)</f>
        <v>32.901129161031726</v>
      </c>
      <c r="F36" s="131">
        <f>IF('Data 2'!F36&lt;0.1,0,'Data 2'!F36)</f>
        <v>1.7371612924250077</v>
      </c>
      <c r="G36" s="131">
        <f>IF('Data 2'!G36&lt;0.1,0,'Data 2'!G36)</f>
        <v>0</v>
      </c>
      <c r="H36" s="131">
        <f>IF('Data 2'!H36&lt;0.1,0,'Data 2'!H36)</f>
        <v>0</v>
      </c>
      <c r="I36" s="131">
        <f>IF('Data 2'!I36&lt;0.1,0,'Data 2'!I36)</f>
        <v>17.870500057028337</v>
      </c>
      <c r="J36" s="131">
        <f>IF('Data 2'!J36&lt;0.1,0,'Data 2'!J36)</f>
        <v>8.2114838772750236</v>
      </c>
      <c r="K36" s="131">
        <f>IF('Data 2'!K36&lt;0.1,0,'Data 2'!K36)</f>
        <v>0</v>
      </c>
      <c r="L36" s="131">
        <f>IF('Data 2'!L36&lt;0.1,0,'Data 2'!L36)</f>
        <v>10.053580564743454</v>
      </c>
      <c r="M36" s="131">
        <f>IF('Data 2'!M36&lt;0.1,0,'Data 2'!M36)</f>
        <v>0.13141935378749611</v>
      </c>
      <c r="O36" s="130">
        <v>27</v>
      </c>
      <c r="P36" s="131">
        <f>'Stasiun Pontianak Kota'!Q78</f>
        <v>0</v>
      </c>
      <c r="Q36" s="131">
        <f>'Stasiun Pontianak Kota'!R78</f>
        <v>0</v>
      </c>
      <c r="R36" s="131">
        <f>'Stasiun Pontianak Kota'!S78</f>
        <v>0</v>
      </c>
      <c r="S36" s="131">
        <f>'Stasiun Pontianak Kota'!T78</f>
        <v>49</v>
      </c>
      <c r="T36" s="131">
        <f>'Stasiun Pontianak Kota'!U78</f>
        <v>2</v>
      </c>
      <c r="U36" s="131">
        <f>'Stasiun Pontianak Kota'!V78</f>
        <v>0</v>
      </c>
      <c r="V36" s="131">
        <f>'Stasiun Pontianak Kota'!W78</f>
        <v>0</v>
      </c>
      <c r="W36" s="131">
        <f>'Stasiun Pontianak Kota'!X78</f>
        <v>25</v>
      </c>
      <c r="X36" s="131">
        <f>'Stasiun Pontianak Kota'!Y78</f>
        <v>9</v>
      </c>
      <c r="Y36" s="131">
        <f>'Stasiun Pontianak Kota'!Z78</f>
        <v>0</v>
      </c>
      <c r="Z36" s="131">
        <f>'Stasiun Pontianak Kota'!AA78</f>
        <v>0</v>
      </c>
      <c r="AA36" s="131">
        <f>'Stasiun Pontianak Kota'!AB78</f>
        <v>0</v>
      </c>
      <c r="AC36" s="130">
        <v>27</v>
      </c>
      <c r="AD36" s="131">
        <f>'Sta. Meteorologi pnk'!B34</f>
        <v>0</v>
      </c>
      <c r="AE36" s="131">
        <f>'Sta. Meteorologi pnk'!C34</f>
        <v>0</v>
      </c>
      <c r="AF36" s="131">
        <f>'Sta. Meteorologi pnk'!D34</f>
        <v>5</v>
      </c>
      <c r="AG36" s="131">
        <f>'Sta. Meteorologi pnk'!E34</f>
        <v>0</v>
      </c>
      <c r="AH36" s="131">
        <f>'Sta. Meteorologi pnk'!F34</f>
        <v>1.2</v>
      </c>
      <c r="AI36" s="131">
        <f>'Sta. Meteorologi pnk'!G34</f>
        <v>0</v>
      </c>
      <c r="AJ36" s="131">
        <f>'Sta. Meteorologi pnk'!H34</f>
        <v>0</v>
      </c>
      <c r="AK36" s="131">
        <f>'Sta. Meteorologi pnk'!I34</f>
        <v>3.3</v>
      </c>
      <c r="AL36" s="131">
        <f>'Sta. Meteorologi pnk'!J34</f>
        <v>6.6</v>
      </c>
      <c r="AM36" s="131">
        <f>'Sta. Meteorologi pnk'!K34</f>
        <v>0</v>
      </c>
      <c r="AN36" s="131">
        <f>'Sta. Meteorologi pnk'!L34</f>
        <v>30.6</v>
      </c>
      <c r="AO36" s="131">
        <f>'Sta. Meteorologi pnk'!M34</f>
        <v>0.4</v>
      </c>
      <c r="AQ36" s="130">
        <v>27</v>
      </c>
      <c r="AR36" s="131">
        <f t="shared" si="2"/>
        <v>0</v>
      </c>
      <c r="AS36" s="131">
        <f t="shared" si="2"/>
        <v>0</v>
      </c>
      <c r="AT36" s="131">
        <f t="shared" si="2"/>
        <v>3.3809735039868438</v>
      </c>
      <c r="AU36" s="131">
        <f t="shared" si="2"/>
        <v>15.866459660928928</v>
      </c>
      <c r="AV36" s="131">
        <f t="shared" si="2"/>
        <v>1.459044239362105</v>
      </c>
      <c r="AW36" s="131">
        <f t="shared" si="2"/>
        <v>0</v>
      </c>
      <c r="AX36" s="131">
        <f t="shared" si="2"/>
        <v>0</v>
      </c>
      <c r="AY36" s="131">
        <f t="shared" si="2"/>
        <v>10.326574992697097</v>
      </c>
      <c r="AZ36" s="131">
        <f t="shared" si="2"/>
        <v>7.3771327180863144</v>
      </c>
      <c r="BA36" s="131">
        <f t="shared" si="2"/>
        <v>0</v>
      </c>
      <c r="BB36" s="131">
        <f t="shared" si="2"/>
        <v>20.691557844399483</v>
      </c>
      <c r="BC36" s="131">
        <f t="shared" si="2"/>
        <v>0.27047788031894748</v>
      </c>
      <c r="BE36" s="130">
        <v>27</v>
      </c>
      <c r="BF36" s="131">
        <f>((B36/($BI$1^2))+(P36/($AV$1^2))+(AD36/($AV$2^2)))/((1/($BI$1^2))+(1/($AV$1^2))+(1/($AV$2^2)))</f>
        <v>0</v>
      </c>
      <c r="BG36" s="131">
        <f t="shared" si="3"/>
        <v>0</v>
      </c>
      <c r="BH36" s="131">
        <f t="shared" si="3"/>
        <v>3.1633062593280652</v>
      </c>
      <c r="BI36" s="131">
        <f t="shared" si="3"/>
        <v>17.999598658584961</v>
      </c>
      <c r="BJ36" s="131">
        <f t="shared" si="3"/>
        <v>1.4938709985075098</v>
      </c>
      <c r="BK36" s="131">
        <f t="shared" si="3"/>
        <v>0</v>
      </c>
      <c r="BL36" s="131">
        <f t="shared" si="3"/>
        <v>0</v>
      </c>
      <c r="BM36" s="131">
        <f t="shared" si="3"/>
        <v>11.271250834516197</v>
      </c>
      <c r="BN36" s="131">
        <f t="shared" si="3"/>
        <v>7.4816129955225286</v>
      </c>
      <c r="BO36" s="131">
        <f t="shared" si="3"/>
        <v>0</v>
      </c>
      <c r="BP36" s="131">
        <f t="shared" si="3"/>
        <v>19.35943430708776</v>
      </c>
      <c r="BQ36" s="131">
        <f t="shared" si="3"/>
        <v>0.2530645007462452</v>
      </c>
    </row>
    <row r="37" spans="1:70">
      <c r="A37" s="130">
        <v>28</v>
      </c>
      <c r="B37" s="131">
        <f>IF('Data 2'!B37&lt;0.1,0,'Data 2'!B37)</f>
        <v>0</v>
      </c>
      <c r="C37" s="131">
        <f>IF('Data 2'!C37&lt;0.1,0,'Data 2'!C37)</f>
        <v>0</v>
      </c>
      <c r="D37" s="131">
        <f>IF('Data 2'!D37&lt;0.1,0,'Data 2'!D37)</f>
        <v>3.7454515829436392</v>
      </c>
      <c r="E37" s="131">
        <f>IF('Data 2'!E37&lt;0.1,0,'Data 2'!E37)</f>
        <v>0</v>
      </c>
      <c r="F37" s="131">
        <f>IF('Data 2'!F37&lt;0.1,0,'Data 2'!F37)</f>
        <v>3.16427419223437</v>
      </c>
      <c r="G37" s="131">
        <f>IF('Data 2'!G37&lt;0.1,0,'Data 2'!G37)</f>
        <v>0</v>
      </c>
      <c r="H37" s="131">
        <f>IF('Data 2'!H37&lt;0.1,0,'Data 2'!H37)</f>
        <v>0</v>
      </c>
      <c r="I37" s="131">
        <f>IF('Data 2'!I37&lt;0.1,0,'Data 2'!I37)</f>
        <v>14.771935541687714</v>
      </c>
      <c r="J37" s="131">
        <f>IF('Data 2'!J37&lt;0.1,0,'Data 2'!J37)</f>
        <v>14.086129079562673</v>
      </c>
      <c r="K37" s="131">
        <f>IF('Data 2'!K37&lt;0.1,0,'Data 2'!K37)</f>
        <v>4.0287096931875581</v>
      </c>
      <c r="L37" s="131">
        <f>IF('Data 2'!L37&lt;0.1,0,'Data 2'!L37)</f>
        <v>36.652645300050516</v>
      </c>
      <c r="M37" s="131">
        <f>IF('Data 2'!M37&lt;0.1,0,'Data 2'!M37)</f>
        <v>1.5770322454499532</v>
      </c>
      <c r="O37" s="130">
        <v>28</v>
      </c>
      <c r="P37" s="131">
        <f>'Stasiun Pontianak Kota'!Q79</f>
        <v>0</v>
      </c>
      <c r="Q37" s="131">
        <f>'Stasiun Pontianak Kota'!R79</f>
        <v>0</v>
      </c>
      <c r="R37" s="131">
        <f>'Stasiun Pontianak Kota'!S79</f>
        <v>0</v>
      </c>
      <c r="S37" s="131">
        <f>'Stasiun Pontianak Kota'!T79</f>
        <v>0</v>
      </c>
      <c r="T37" s="131">
        <f>'Stasiun Pontianak Kota'!U79</f>
        <v>3</v>
      </c>
      <c r="U37" s="131">
        <f>'Stasiun Pontianak Kota'!V79</f>
        <v>0</v>
      </c>
      <c r="V37" s="131">
        <f>'Stasiun Pontianak Kota'!W79</f>
        <v>0</v>
      </c>
      <c r="W37" s="131">
        <f>'Stasiun Pontianak Kota'!X79</f>
        <v>22</v>
      </c>
      <c r="X37" s="131">
        <f>'Stasiun Pontianak Kota'!Y79</f>
        <v>20</v>
      </c>
      <c r="Y37" s="131">
        <f>'Stasiun Pontianak Kota'!Z79</f>
        <v>6</v>
      </c>
      <c r="Z37" s="131">
        <f>'Stasiun Pontianak Kota'!AA79</f>
        <v>54</v>
      </c>
      <c r="AA37" s="131">
        <f>'Stasiun Pontianak Kota'!AB79</f>
        <v>0</v>
      </c>
      <c r="AC37" s="130">
        <v>28</v>
      </c>
      <c r="AD37" s="131">
        <f>'Sta. Meteorologi pnk'!B35</f>
        <v>0</v>
      </c>
      <c r="AE37" s="131">
        <f>'Sta. Meteorologi pnk'!C35</f>
        <v>0</v>
      </c>
      <c r="AF37" s="131">
        <f>'Sta. Meteorologi pnk'!D35</f>
        <v>11.4</v>
      </c>
      <c r="AG37" s="131">
        <f>'Sta. Meteorologi pnk'!E35</f>
        <v>0.2</v>
      </c>
      <c r="AH37" s="131">
        <f>'Sta. Meteorologi pnk'!F35</f>
        <v>3.5</v>
      </c>
      <c r="AI37" s="131">
        <f>'Sta. Meteorologi pnk'!G35</f>
        <v>0</v>
      </c>
      <c r="AJ37" s="131">
        <f>'Sta. Meteorologi pnk'!H35</f>
        <v>0</v>
      </c>
      <c r="AK37" s="131">
        <f>'Sta. Meteorologi pnk'!I35</f>
        <v>0</v>
      </c>
      <c r="AL37" s="131">
        <f>'Sta. Meteorologi pnk'!J35</f>
        <v>2</v>
      </c>
      <c r="AM37" s="131">
        <f>'Sta. Meteorologi pnk'!K35</f>
        <v>0</v>
      </c>
      <c r="AN37" s="131">
        <f>'Sta. Meteorologi pnk'!L35</f>
        <v>1.2</v>
      </c>
      <c r="AO37" s="131">
        <f>'Sta. Meteorologi pnk'!M35</f>
        <v>4.8</v>
      </c>
      <c r="AQ37" s="130">
        <v>28</v>
      </c>
      <c r="AR37" s="131">
        <f t="shared" si="2"/>
        <v>0</v>
      </c>
      <c r="AS37" s="131">
        <f t="shared" si="2"/>
        <v>0</v>
      </c>
      <c r="AT37" s="131">
        <f t="shared" si="2"/>
        <v>7.7086195890900031</v>
      </c>
      <c r="AU37" s="131">
        <f t="shared" si="2"/>
        <v>0.13523894015947374</v>
      </c>
      <c r="AV37" s="131">
        <f t="shared" si="2"/>
        <v>3.3380973503986842</v>
      </c>
      <c r="AW37" s="131">
        <f t="shared" si="2"/>
        <v>0</v>
      </c>
      <c r="AX37" s="131">
        <f t="shared" si="2"/>
        <v>0</v>
      </c>
      <c r="AY37" s="131">
        <f t="shared" si="2"/>
        <v>7.1237165824578872</v>
      </c>
      <c r="AZ37" s="131">
        <f t="shared" si="2"/>
        <v>7.8284953856473614</v>
      </c>
      <c r="BA37" s="131">
        <f t="shared" si="2"/>
        <v>1.942831795215787</v>
      </c>
      <c r="BB37" s="131">
        <f t="shared" si="2"/>
        <v>18.296919797898926</v>
      </c>
      <c r="BC37" s="131">
        <f t="shared" si="2"/>
        <v>3.2457345638273698</v>
      </c>
      <c r="BE37" s="130">
        <v>28</v>
      </c>
      <c r="BF37" s="131">
        <f t="shared" si="3"/>
        <v>0</v>
      </c>
      <c r="BG37" s="131">
        <f t="shared" si="3"/>
        <v>0</v>
      </c>
      <c r="BH37" s="131">
        <f t="shared" si="3"/>
        <v>7.2123382712679884</v>
      </c>
      <c r="BI37" s="131">
        <f t="shared" si="3"/>
        <v>0.11830386212616625</v>
      </c>
      <c r="BJ37" s="131">
        <f t="shared" si="3"/>
        <v>3.3163306259328067</v>
      </c>
      <c r="BK37" s="131">
        <f t="shared" si="3"/>
        <v>0</v>
      </c>
      <c r="BL37" s="131">
        <f t="shared" si="3"/>
        <v>0</v>
      </c>
      <c r="BM37" s="131">
        <f t="shared" si="3"/>
        <v>8.0814524589565142</v>
      </c>
      <c r="BN37" s="131">
        <f t="shared" si="3"/>
        <v>8.612097466418966</v>
      </c>
      <c r="BO37" s="131">
        <f t="shared" si="3"/>
        <v>2.2040324888063219</v>
      </c>
      <c r="BP37" s="131">
        <f t="shared" si="3"/>
        <v>20.595485901495636</v>
      </c>
      <c r="BQ37" s="131">
        <f t="shared" si="3"/>
        <v>3.036774008954942</v>
      </c>
    </row>
    <row r="38" spans="1:70">
      <c r="A38" s="130">
        <v>29</v>
      </c>
      <c r="B38" s="131">
        <f>IF('Data 2'!B38&lt;0.1,0,'Data 2'!B38)</f>
        <v>0</v>
      </c>
      <c r="C38" s="131">
        <f>IF('Data 2'!C38&lt;0.1,0,'Data 2'!C38)</f>
        <v>0</v>
      </c>
      <c r="D38" s="131">
        <f>IF('Data 2'!D38&lt;0.1,0,'Data 2'!D38)</f>
        <v>5.3716129242500772</v>
      </c>
      <c r="E38" s="131">
        <f>IF('Data 2'!E38&lt;0.1,0,'Data 2'!E38)</f>
        <v>2.8583709448780401</v>
      </c>
      <c r="F38" s="131">
        <f>IF('Data 2'!F38&lt;0.1,0,'Data 2'!F38)</f>
        <v>3.6529516236781645</v>
      </c>
      <c r="G38" s="131">
        <f>IF('Data 2'!G38&lt;0.1,0,'Data 2'!G38)</f>
        <v>0.32854838446874024</v>
      </c>
      <c r="H38" s="131">
        <f>IF('Data 2'!H38&lt;0.1,0,'Data 2'!H38)</f>
        <v>9.4003226174376344</v>
      </c>
      <c r="I38" s="131">
        <f>IF('Data 2'!I38&lt;0.1,0,'Data 2'!I38)</f>
        <v>4.2711289980936229</v>
      </c>
      <c r="J38" s="131">
        <f>IF('Data 2'!J38&lt;0.1,0,'Data 2'!J38)</f>
        <v>0</v>
      </c>
      <c r="K38" s="131">
        <f>IF('Data 2'!K38&lt;0.1,0,'Data 2'!K38)</f>
        <v>11.893451517768399</v>
      </c>
      <c r="L38" s="131">
        <f>IF('Data 2'!L38&lt;0.1,0,'Data 2'!L38)</f>
        <v>13.207645055643361</v>
      </c>
      <c r="M38" s="131">
        <f>IF('Data 2'!M38&lt;0.1,0,'Data 2'!M38)</f>
        <v>1.3429032310625193</v>
      </c>
      <c r="O38" s="130">
        <v>29</v>
      </c>
      <c r="P38" s="131">
        <f>'Stasiun Pontianak Kota'!Q80</f>
        <v>0</v>
      </c>
      <c r="Q38" s="131">
        <f>'Stasiun Pontianak Kota'!R80</f>
        <v>0</v>
      </c>
      <c r="R38" s="131">
        <f>'Stasiun Pontianak Kota'!S80</f>
        <v>8</v>
      </c>
      <c r="S38" s="131">
        <f>'Stasiun Pontianak Kota'!T80</f>
        <v>0</v>
      </c>
      <c r="T38" s="131">
        <f>'Stasiun Pontianak Kota'!U80</f>
        <v>5</v>
      </c>
      <c r="U38" s="131">
        <f>'Stasiun Pontianak Kota'!V80</f>
        <v>0</v>
      </c>
      <c r="V38" s="131">
        <f>'Stasiun Pontianak Kota'!W80</f>
        <v>14</v>
      </c>
      <c r="W38" s="131">
        <f>'Stasiun Pontianak Kota'!X80</f>
        <v>0</v>
      </c>
      <c r="X38" s="131">
        <f>'Stasiun Pontianak Kota'!Y80</f>
        <v>0</v>
      </c>
      <c r="Y38" s="131">
        <f>'Stasiun Pontianak Kota'!Z80</f>
        <v>0</v>
      </c>
      <c r="Z38" s="131">
        <f>'Stasiun Pontianak Kota'!AA80</f>
        <v>0</v>
      </c>
      <c r="AA38" s="131">
        <f>'Stasiun Pontianak Kota'!AB80</f>
        <v>2</v>
      </c>
      <c r="AC38" s="130">
        <v>29</v>
      </c>
      <c r="AD38" s="131">
        <f>'Sta. Meteorologi pnk'!B36</f>
        <v>0</v>
      </c>
      <c r="AE38" s="131">
        <f>'Sta. Meteorologi pnk'!C36</f>
        <v>0</v>
      </c>
      <c r="AF38" s="131">
        <f>'Sta. Meteorologi pnk'!D36</f>
        <v>0</v>
      </c>
      <c r="AG38" s="131">
        <f>'Sta. Meteorologi pnk'!E36</f>
        <v>8.6999999999999993</v>
      </c>
      <c r="AH38" s="131">
        <f>'Sta. Meteorologi pnk'!F36</f>
        <v>0.9</v>
      </c>
      <c r="AI38" s="131">
        <f>'Sta. Meteorologi pnk'!G36</f>
        <v>1</v>
      </c>
      <c r="AJ38" s="131">
        <f>'Sta. Meteorologi pnk'!H36</f>
        <v>0</v>
      </c>
      <c r="AK38" s="131">
        <f>'Sta. Meteorologi pnk'!I36</f>
        <v>13</v>
      </c>
      <c r="AL38" s="131">
        <f>'Sta. Meteorologi pnk'!J36</f>
        <v>0</v>
      </c>
      <c r="AM38" s="131">
        <f>'Sta. Meteorologi pnk'!K36</f>
        <v>36.200000000000003</v>
      </c>
      <c r="AN38" s="131">
        <f>'Sta. Meteorologi pnk'!L36</f>
        <v>40.200000000000003</v>
      </c>
      <c r="AO38" s="131">
        <f>'Sta. Meteorologi pnk'!M36</f>
        <v>0</v>
      </c>
      <c r="AQ38" s="130">
        <v>29</v>
      </c>
      <c r="AR38" s="131">
        <f t="shared" si="2"/>
        <v>0</v>
      </c>
      <c r="AS38" s="131">
        <f t="shared" si="2"/>
        <v>0</v>
      </c>
      <c r="AT38" s="131">
        <f t="shared" si="2"/>
        <v>2.5904423936210499</v>
      </c>
      <c r="AU38" s="131">
        <f t="shared" si="2"/>
        <v>5.8828938969371078</v>
      </c>
      <c r="AV38" s="131">
        <f t="shared" si="2"/>
        <v>2.2276017267307879</v>
      </c>
      <c r="AW38" s="131">
        <f t="shared" si="2"/>
        <v>0.67619470079736876</v>
      </c>
      <c r="AX38" s="131">
        <f t="shared" si="2"/>
        <v>4.5332741888368364</v>
      </c>
      <c r="AY38" s="131">
        <f t="shared" si="2"/>
        <v>8.7905311103657926</v>
      </c>
      <c r="AZ38" s="131">
        <f t="shared" si="2"/>
        <v>0</v>
      </c>
      <c r="BA38" s="131">
        <f t="shared" si="2"/>
        <v>24.478248168864752</v>
      </c>
      <c r="BB38" s="131">
        <f t="shared" si="2"/>
        <v>27.183026972054225</v>
      </c>
      <c r="BC38" s="131">
        <f t="shared" si="2"/>
        <v>0.64761059840526247</v>
      </c>
      <c r="BE38" s="130">
        <v>29</v>
      </c>
      <c r="BF38" s="131">
        <f t="shared" si="3"/>
        <v>0</v>
      </c>
      <c r="BG38" s="131">
        <f t="shared" si="3"/>
        <v>0</v>
      </c>
      <c r="BH38" s="131">
        <f t="shared" si="3"/>
        <v>2.938709985075096</v>
      </c>
      <c r="BI38" s="131">
        <f t="shared" si="3"/>
        <v>5.5041528912308326</v>
      </c>
      <c r="BJ38" s="131">
        <f t="shared" si="3"/>
        <v>2.406088867350987</v>
      </c>
      <c r="BK38" s="131">
        <f t="shared" si="3"/>
        <v>0.63266125186561295</v>
      </c>
      <c r="BL38" s="131">
        <f t="shared" si="3"/>
        <v>5.1427424738814178</v>
      </c>
      <c r="BM38" s="131">
        <f t="shared" si="3"/>
        <v>8.2245962742529688</v>
      </c>
      <c r="BN38" s="131">
        <f t="shared" si="3"/>
        <v>0</v>
      </c>
      <c r="BO38" s="131">
        <f t="shared" si="3"/>
        <v>22.902337317535196</v>
      </c>
      <c r="BP38" s="131">
        <f t="shared" si="3"/>
        <v>25.432982324997646</v>
      </c>
      <c r="BQ38" s="131">
        <f t="shared" si="3"/>
        <v>0.73467749626877399</v>
      </c>
    </row>
    <row r="39" spans="1:70">
      <c r="A39" s="130">
        <v>30</v>
      </c>
      <c r="B39" s="131">
        <f>IF('Data 2'!B39&lt;0.1,0,'Data 2'!B39)</f>
        <v>5.3716129242500772</v>
      </c>
      <c r="C39" s="131">
        <f>IF('Data 2'!C39&lt;0.1,0,'Data 2'!C39)</f>
        <v>0</v>
      </c>
      <c r="D39" s="131">
        <f>IF('Data 2'!D39&lt;0.1,0,'Data 2'!D39)</f>
        <v>3.149919345640591</v>
      </c>
      <c r="E39" s="131">
        <f>IF('Data 2'!E39&lt;0.1,0,'Data 2'!E39)</f>
        <v>64.72250012220357</v>
      </c>
      <c r="F39" s="131">
        <f>IF('Data 2'!F39&lt;0.1,0,'Data 2'!F39)</f>
        <v>0.36140322291561433</v>
      </c>
      <c r="G39" s="131">
        <f>IF('Data 2'!G39&lt;0.1,0,'Data 2'!G39)</f>
        <v>5.6570967689374809</v>
      </c>
      <c r="H39" s="131">
        <f>IF('Data 2'!H39&lt;0.1,0,'Data 2'!H39)</f>
        <v>1.3429032310625193</v>
      </c>
      <c r="I39" s="131">
        <f>IF('Data 2'!I39&lt;0.1,0,'Data 2'!I39)</f>
        <v>2.4743225848500154</v>
      </c>
      <c r="J39" s="131">
        <f>IF('Data 2'!J39&lt;0.1,0,'Data 2'!J39)</f>
        <v>0.13141935378749611</v>
      </c>
      <c r="K39" s="131">
        <f>IF('Data 2'!K39&lt;0.1,0,'Data 2'!K39)</f>
        <v>16.786290388281493</v>
      </c>
      <c r="L39" s="131">
        <f>IF('Data 2'!L39&lt;0.1,0,'Data 2'!L39)</f>
        <v>22.030935427631043</v>
      </c>
      <c r="M39" s="131">
        <f>IF('Data 2'!M39&lt;0.1,0,'Data 2'!M39)</f>
        <v>0.45996773825623638</v>
      </c>
      <c r="O39" s="130">
        <v>30</v>
      </c>
      <c r="P39" s="131">
        <f>'Stasiun Pontianak Kota'!Q81</f>
        <v>8</v>
      </c>
      <c r="Q39" s="131">
        <f>'Stasiun Pontianak Kota'!R81</f>
        <v>0</v>
      </c>
      <c r="R39" s="131">
        <f>'Stasiun Pontianak Kota'!S81</f>
        <v>2</v>
      </c>
      <c r="S39" s="131">
        <f>'Stasiun Pontianak Kota'!T81</f>
        <v>80</v>
      </c>
      <c r="T39" s="131">
        <f>'Stasiun Pontianak Kota'!U81</f>
        <v>0</v>
      </c>
      <c r="U39" s="131">
        <f>'Stasiun Pontianak Kota'!V81</f>
        <v>5</v>
      </c>
      <c r="V39" s="131">
        <f>'Stasiun Pontianak Kota'!W81</f>
        <v>2</v>
      </c>
      <c r="W39" s="131">
        <f>'Stasiun Pontianak Kota'!X81</f>
        <v>3</v>
      </c>
      <c r="X39" s="131">
        <f>'Stasiun Pontianak Kota'!Y81</f>
        <v>0</v>
      </c>
      <c r="Y39" s="131">
        <f>'Stasiun Pontianak Kota'!Z81</f>
        <v>25</v>
      </c>
      <c r="Z39" s="131">
        <f>'Stasiun Pontianak Kota'!AA81</f>
        <v>15</v>
      </c>
      <c r="AA39" s="131">
        <f>'Stasiun Pontianak Kota'!AB81</f>
        <v>0</v>
      </c>
      <c r="AC39" s="130">
        <v>30</v>
      </c>
      <c r="AD39" s="131">
        <f>'Sta. Meteorologi pnk'!B37</f>
        <v>0</v>
      </c>
      <c r="AE39" s="131">
        <f>'Sta. Meteorologi pnk'!C37</f>
        <v>0</v>
      </c>
      <c r="AF39" s="131">
        <f>'Sta. Meteorologi pnk'!D37</f>
        <v>5.5</v>
      </c>
      <c r="AG39" s="131">
        <f>'Sta. Meteorologi pnk'!E37</f>
        <v>33.5</v>
      </c>
      <c r="AH39" s="131">
        <f>'Sta. Meteorologi pnk'!F37</f>
        <v>1.1000000000000001</v>
      </c>
      <c r="AI39" s="131">
        <f>'Sta. Meteorologi pnk'!G37</f>
        <v>7</v>
      </c>
      <c r="AJ39" s="131">
        <f>'Sta. Meteorologi pnk'!H37</f>
        <v>0</v>
      </c>
      <c r="AK39" s="131">
        <f>'Sta. Meteorologi pnk'!I37</f>
        <v>1.4</v>
      </c>
      <c r="AL39" s="131">
        <f>'Sta. Meteorologi pnk'!J37</f>
        <v>0.4</v>
      </c>
      <c r="AM39" s="131">
        <f>'Sta. Meteorologi pnk'!K37</f>
        <v>0</v>
      </c>
      <c r="AN39" s="131">
        <f>'Sta. Meteorologi pnk'!L37</f>
        <v>36.4</v>
      </c>
      <c r="AO39" s="131">
        <f>'Sta. Meteorologi pnk'!M37</f>
        <v>1.4</v>
      </c>
      <c r="AQ39" s="130">
        <v>30</v>
      </c>
      <c r="AR39" s="131">
        <f t="shared" si="2"/>
        <v>2.5904423936210499</v>
      </c>
      <c r="AS39" s="131">
        <f t="shared" si="2"/>
        <v>0</v>
      </c>
      <c r="AT39" s="131">
        <f t="shared" si="2"/>
        <v>4.3666814527907905</v>
      </c>
      <c r="AU39" s="131">
        <f t="shared" si="2"/>
        <v>48.55694641292235</v>
      </c>
      <c r="AV39" s="131">
        <f t="shared" si="2"/>
        <v>0.74381417087710566</v>
      </c>
      <c r="AW39" s="131">
        <f t="shared" si="2"/>
        <v>6.3523894015947375</v>
      </c>
      <c r="AX39" s="131">
        <f t="shared" si="2"/>
        <v>0.64761059840526247</v>
      </c>
      <c r="AY39" s="131">
        <f t="shared" si="2"/>
        <v>1.9180884787242098</v>
      </c>
      <c r="AZ39" s="131">
        <f t="shared" si="2"/>
        <v>0.27047788031894748</v>
      </c>
      <c r="BA39" s="131">
        <f t="shared" si="2"/>
        <v>8.0951324800657805</v>
      </c>
      <c r="BB39" s="131">
        <f t="shared" si="2"/>
        <v>29.470566597063687</v>
      </c>
      <c r="BC39" s="131">
        <f t="shared" si="2"/>
        <v>0.94667258111631614</v>
      </c>
      <c r="BE39" s="130">
        <v>30</v>
      </c>
      <c r="BF39" s="131">
        <f t="shared" si="3"/>
        <v>2.938709985075096</v>
      </c>
      <c r="BG39" s="131">
        <f t="shared" si="3"/>
        <v>0</v>
      </c>
      <c r="BH39" s="131">
        <f t="shared" si="3"/>
        <v>4.2143143815296451</v>
      </c>
      <c r="BI39" s="131">
        <f t="shared" si="3"/>
        <v>50.581251788248991</v>
      </c>
      <c r="BJ39" s="131">
        <f t="shared" si="3"/>
        <v>0.69592737705217433</v>
      </c>
      <c r="BK39" s="131">
        <f t="shared" si="3"/>
        <v>6.2653225037312259</v>
      </c>
      <c r="BL39" s="131">
        <f t="shared" si="3"/>
        <v>0.73467749626877399</v>
      </c>
      <c r="BM39" s="131">
        <f t="shared" si="3"/>
        <v>1.987741997015019</v>
      </c>
      <c r="BN39" s="131">
        <f t="shared" si="3"/>
        <v>0.2530645007462452</v>
      </c>
      <c r="BO39" s="131">
        <f t="shared" si="3"/>
        <v>9.1834687033596758</v>
      </c>
      <c r="BP39" s="131">
        <f t="shared" si="3"/>
        <v>28.538950789924119</v>
      </c>
      <c r="BQ39" s="131">
        <f t="shared" si="3"/>
        <v>0.88572575261185815</v>
      </c>
    </row>
    <row r="40" spans="1:70" ht="15.75" thickBot="1">
      <c r="A40" s="133">
        <v>31</v>
      </c>
      <c r="B40" s="131">
        <f>IF('Data 2'!B40&lt;0.1,0,'Data 2'!B40)</f>
        <v>0</v>
      </c>
      <c r="C40" s="131">
        <f>IF('Data 2'!C40&lt;0.1,0,'Data 2'!C40)</f>
        <v>0</v>
      </c>
      <c r="D40" s="131">
        <f>IF('Data 2'!D40&lt;0.1,0,'Data 2'!D40)</f>
        <v>2</v>
      </c>
      <c r="E40" s="131">
        <f>IF('Data 2'!E40&lt;0.1,0,'Data 2'!E40)</f>
        <v>0</v>
      </c>
      <c r="F40" s="131">
        <f>IF('Data 2'!F40&lt;0.1,0,'Data 2'!F40)</f>
        <v>1.3429032310625193</v>
      </c>
      <c r="G40" s="131">
        <f>IF('Data 2'!G40&lt;0.1,0,'Data 2'!G40)</f>
        <v>0</v>
      </c>
      <c r="H40" s="131">
        <f>IF('Data 2'!H40&lt;0.1,0,'Data 2'!H40)</f>
        <v>0</v>
      </c>
      <c r="I40" s="131">
        <f>IF('Data 2'!I40&lt;0.1,0,'Data 2'!I40)</f>
        <v>37.601290469750538</v>
      </c>
      <c r="J40" s="131">
        <f>IF('Data 2'!J40&lt;0.1,0,'Data 2'!J40)</f>
        <v>0</v>
      </c>
      <c r="K40" s="131">
        <f>IF('Data 2'!K40&lt;0.1,0,'Data 2'!K40)</f>
        <v>0</v>
      </c>
      <c r="L40" s="131">
        <f>IF('Data 2'!L40&lt;0.1,0,'Data 2'!L40)</f>
        <v>0</v>
      </c>
      <c r="M40" s="131">
        <f>IF('Data 2'!M40&lt;0.1,0,'Data 2'!M40)</f>
        <v>1.182774184087465</v>
      </c>
      <c r="O40" s="133">
        <v>31</v>
      </c>
      <c r="P40" s="131">
        <f>'Stasiun Pontianak Kota'!Q82</f>
        <v>0</v>
      </c>
      <c r="Q40" s="131">
        <f>'Stasiun Pontianak Kota'!R82</f>
        <v>0</v>
      </c>
      <c r="R40" s="131">
        <f>'Stasiun Pontianak Kota'!S82</f>
        <v>2</v>
      </c>
      <c r="S40" s="131">
        <f>'Stasiun Pontianak Kota'!T82</f>
        <v>0</v>
      </c>
      <c r="T40" s="131">
        <f>'Stasiun Pontianak Kota'!U82</f>
        <v>2</v>
      </c>
      <c r="U40" s="131">
        <f>'Stasiun Pontianak Kota'!V82</f>
        <v>0</v>
      </c>
      <c r="V40" s="131">
        <f>'Stasiun Pontianak Kota'!W82</f>
        <v>0</v>
      </c>
      <c r="W40" s="131">
        <f>'Stasiun Pontianak Kota'!X82</f>
        <v>56</v>
      </c>
      <c r="X40" s="131">
        <f>'Stasiun Pontianak Kota'!Y82</f>
        <v>0</v>
      </c>
      <c r="Y40" s="131">
        <f>'Stasiun Pontianak Kota'!Z82</f>
        <v>0</v>
      </c>
      <c r="Z40" s="131">
        <f>'Stasiun Pontianak Kota'!AA82</f>
        <v>0</v>
      </c>
      <c r="AA40" s="131">
        <f>'Stasiun Pontianak Kota'!AB82</f>
        <v>0</v>
      </c>
      <c r="AC40" s="133">
        <v>31</v>
      </c>
      <c r="AD40" s="131">
        <f>'Sta. Meteorologi pnk'!B38</f>
        <v>0</v>
      </c>
      <c r="AE40" s="131">
        <f>'Sta. Meteorologi pnk'!C38</f>
        <v>0</v>
      </c>
      <c r="AF40" s="131">
        <f>'Sta. Meteorologi pnk'!D38</f>
        <v>2</v>
      </c>
      <c r="AG40" s="131">
        <f>'Sta. Meteorologi pnk'!E38</f>
        <v>0</v>
      </c>
      <c r="AH40" s="131">
        <f>'Sta. Meteorologi pnk'!F38</f>
        <v>0</v>
      </c>
      <c r="AI40" s="131">
        <f>'Sta. Meteorologi pnk'!G38</f>
        <v>0</v>
      </c>
      <c r="AJ40" s="131">
        <f>'Sta. Meteorologi pnk'!H38</f>
        <v>0</v>
      </c>
      <c r="AK40" s="131">
        <f>'Sta. Meteorologi pnk'!I38</f>
        <v>0</v>
      </c>
      <c r="AL40" s="131">
        <f>'Sta. Meteorologi pnk'!J38</f>
        <v>0</v>
      </c>
      <c r="AM40" s="131">
        <f>'Sta. Meteorologi pnk'!K38</f>
        <v>0</v>
      </c>
      <c r="AN40" s="131">
        <f>'Sta. Meteorologi pnk'!L38</f>
        <v>0</v>
      </c>
      <c r="AO40" s="131">
        <f>'Sta. Meteorologi pnk'!M38</f>
        <v>3.6</v>
      </c>
      <c r="AQ40" s="133">
        <v>31</v>
      </c>
      <c r="AR40" s="131">
        <f t="shared" si="2"/>
        <v>0</v>
      </c>
      <c r="AS40" s="131">
        <f t="shared" si="2"/>
        <v>0</v>
      </c>
      <c r="AT40" s="131">
        <f t="shared" si="2"/>
        <v>2</v>
      </c>
      <c r="AU40" s="131">
        <f t="shared" si="2"/>
        <v>0</v>
      </c>
      <c r="AV40" s="131">
        <f t="shared" si="2"/>
        <v>0.64761059840526247</v>
      </c>
      <c r="AW40" s="131">
        <f t="shared" si="2"/>
        <v>0</v>
      </c>
      <c r="AX40" s="131">
        <f t="shared" si="2"/>
        <v>0</v>
      </c>
      <c r="AY40" s="131">
        <f t="shared" si="2"/>
        <v>18.133096755347346</v>
      </c>
      <c r="AZ40" s="131">
        <f t="shared" si="2"/>
        <v>0</v>
      </c>
      <c r="BA40" s="131">
        <f t="shared" si="2"/>
        <v>0</v>
      </c>
      <c r="BB40" s="131">
        <f t="shared" si="2"/>
        <v>0</v>
      </c>
      <c r="BC40" s="131">
        <f t="shared" si="2"/>
        <v>2.4343009228705275</v>
      </c>
      <c r="BE40" s="133">
        <v>31</v>
      </c>
      <c r="BF40" s="131">
        <f t="shared" si="3"/>
        <v>0</v>
      </c>
      <c r="BG40" s="131">
        <f t="shared" si="3"/>
        <v>0</v>
      </c>
      <c r="BH40" s="131">
        <f t="shared" si="3"/>
        <v>2</v>
      </c>
      <c r="BI40" s="131">
        <f t="shared" si="3"/>
        <v>0</v>
      </c>
      <c r="BJ40" s="131">
        <f t="shared" si="3"/>
        <v>0.73467749626877399</v>
      </c>
      <c r="BK40" s="131">
        <f t="shared" si="3"/>
        <v>0</v>
      </c>
      <c r="BL40" s="131">
        <f t="shared" si="3"/>
        <v>0</v>
      </c>
      <c r="BM40" s="131">
        <f t="shared" si="3"/>
        <v>20.570969895525671</v>
      </c>
      <c r="BN40" s="131">
        <f t="shared" si="3"/>
        <v>0</v>
      </c>
      <c r="BO40" s="131">
        <f t="shared" si="3"/>
        <v>0</v>
      </c>
      <c r="BP40" s="131">
        <f t="shared" si="3"/>
        <v>0</v>
      </c>
      <c r="BQ40" s="131">
        <f t="shared" si="3"/>
        <v>2.2775805067162072</v>
      </c>
    </row>
    <row r="41" spans="1:70">
      <c r="A41" s="135" t="s">
        <v>28</v>
      </c>
      <c r="B41" s="136">
        <f>SUM(B10:B40)</f>
        <v>142.3161129486908</v>
      </c>
      <c r="C41" s="136">
        <f t="shared" ref="C41:M41" si="4">SUM(C10:C40)</f>
        <v>298.56712886774318</v>
      </c>
      <c r="D41" s="136">
        <f t="shared" si="4"/>
        <v>121.42772554706467</v>
      </c>
      <c r="E41" s="136">
        <f t="shared" si="4"/>
        <v>436.19459697261004</v>
      </c>
      <c r="F41" s="136">
        <f t="shared" si="4"/>
        <v>358.33208088247267</v>
      </c>
      <c r="G41" s="136">
        <f t="shared" si="4"/>
        <v>101.44146774640313</v>
      </c>
      <c r="H41" s="136">
        <f t="shared" si="4"/>
        <v>264.1537581672722</v>
      </c>
      <c r="I41" s="136">
        <f t="shared" si="4"/>
        <v>144.8500806543594</v>
      </c>
      <c r="J41" s="136">
        <f t="shared" si="4"/>
        <v>242.77001613087185</v>
      </c>
      <c r="K41" s="136">
        <f t="shared" si="4"/>
        <v>277.8912257833249</v>
      </c>
      <c r="L41" s="136">
        <f t="shared" si="4"/>
        <v>313.67751617160644</v>
      </c>
      <c r="M41" s="136">
        <f t="shared" si="4"/>
        <v>392.48069346455287</v>
      </c>
      <c r="N41" s="137"/>
      <c r="O41" s="135" t="s">
        <v>28</v>
      </c>
      <c r="P41" s="136">
        <f>SUM(P10:P40)</f>
        <v>148</v>
      </c>
      <c r="Q41" s="136">
        <f t="shared" ref="Q41:AA41" si="5">SUM(Q10:Q40)</f>
        <v>278</v>
      </c>
      <c r="R41" s="136">
        <f t="shared" si="5"/>
        <v>89</v>
      </c>
      <c r="S41" s="136">
        <f t="shared" si="5"/>
        <v>461</v>
      </c>
      <c r="T41" s="136">
        <f t="shared" si="5"/>
        <v>388</v>
      </c>
      <c r="U41" s="136">
        <f t="shared" si="5"/>
        <v>102</v>
      </c>
      <c r="V41" s="136">
        <f t="shared" si="5"/>
        <v>277</v>
      </c>
      <c r="W41" s="136">
        <f t="shared" si="5"/>
        <v>146</v>
      </c>
      <c r="X41" s="136">
        <f t="shared" si="5"/>
        <v>243</v>
      </c>
      <c r="Y41" s="136">
        <f t="shared" si="5"/>
        <v>275</v>
      </c>
      <c r="Z41" s="136">
        <f t="shared" si="5"/>
        <v>319</v>
      </c>
      <c r="AA41" s="136">
        <f t="shared" si="5"/>
        <v>382</v>
      </c>
      <c r="AB41" s="137"/>
      <c r="AC41" s="135" t="s">
        <v>28</v>
      </c>
      <c r="AD41" s="136">
        <f>SUM(AD10:AD40)</f>
        <v>130.69999999999999</v>
      </c>
      <c r="AE41" s="136">
        <f t="shared" ref="AE41:AO41" si="6">SUM(AE10:AE40)</f>
        <v>340.59999999999997</v>
      </c>
      <c r="AF41" s="136">
        <f t="shared" si="6"/>
        <v>187.7</v>
      </c>
      <c r="AG41" s="136">
        <f t="shared" si="6"/>
        <v>386</v>
      </c>
      <c r="AH41" s="136">
        <f t="shared" si="6"/>
        <v>297.70000000000005</v>
      </c>
      <c r="AI41" s="136">
        <f t="shared" si="6"/>
        <v>100.60000000000001</v>
      </c>
      <c r="AJ41" s="136">
        <f t="shared" si="6"/>
        <v>238.00000000000003</v>
      </c>
      <c r="AK41" s="136">
        <f t="shared" si="6"/>
        <v>142.5</v>
      </c>
      <c r="AL41" s="136">
        <f t="shared" si="6"/>
        <v>242.3</v>
      </c>
      <c r="AM41" s="136">
        <f t="shared" si="6"/>
        <v>283.8</v>
      </c>
      <c r="AN41" s="136">
        <f t="shared" si="6"/>
        <v>302.99999999999994</v>
      </c>
      <c r="AO41" s="136">
        <f t="shared" si="6"/>
        <v>413.89999999999992</v>
      </c>
      <c r="AP41" s="137"/>
      <c r="AQ41" s="135" t="s">
        <v>28</v>
      </c>
      <c r="AR41" s="136">
        <f>SUM(AR10:AR40)</f>
        <v>136.3018316762055</v>
      </c>
      <c r="AS41" s="136">
        <f t="shared" ref="AS41:BC41" si="7">SUM(AS10:AS40)</f>
        <v>320.32978826991524</v>
      </c>
      <c r="AT41" s="136">
        <f t="shared" si="7"/>
        <v>155.74041696870029</v>
      </c>
      <c r="AU41" s="136">
        <f t="shared" si="7"/>
        <v>410.28539744019736</v>
      </c>
      <c r="AV41" s="136">
        <f t="shared" si="7"/>
        <v>326.93961851799747</v>
      </c>
      <c r="AW41" s="136">
        <f t="shared" si="7"/>
        <v>101.05332741888368</v>
      </c>
      <c r="AX41" s="136">
        <f t="shared" si="7"/>
        <v>250.62840666890261</v>
      </c>
      <c r="AY41" s="136">
        <f t="shared" si="7"/>
        <v>143.63331854720917</v>
      </c>
      <c r="AZ41" s="136">
        <f t="shared" si="7"/>
        <v>242.52666370944178</v>
      </c>
      <c r="BA41" s="136">
        <f t="shared" si="7"/>
        <v>280.95051336701681</v>
      </c>
      <c r="BB41" s="136">
        <f t="shared" si="7"/>
        <v>308.18088478724206</v>
      </c>
      <c r="BC41" s="136">
        <f t="shared" si="7"/>
        <v>403.57061095543611</v>
      </c>
      <c r="BD41" s="137"/>
      <c r="BE41" s="135" t="s">
        <v>28</v>
      </c>
      <c r="BF41" s="136">
        <f>SUM(BF10:BF40)</f>
        <v>137.05496034272488</v>
      </c>
      <c r="BG41" s="136">
        <f t="shared" ref="BG41:BQ41" si="8">SUM(BG10:BG40)</f>
        <v>317.6045943667873</v>
      </c>
      <c r="BH41" s="136">
        <f t="shared" si="8"/>
        <v>151.44366555913598</v>
      </c>
      <c r="BI41" s="136">
        <f t="shared" si="8"/>
        <v>413.52983513946157</v>
      </c>
      <c r="BJ41" s="136">
        <f t="shared" si="8"/>
        <v>330.87068895653516</v>
      </c>
      <c r="BK41" s="136">
        <f t="shared" si="8"/>
        <v>101.1019316650177</v>
      </c>
      <c r="BL41" s="136">
        <f t="shared" si="8"/>
        <v>252.32209698311763</v>
      </c>
      <c r="BM41" s="136">
        <f t="shared" si="8"/>
        <v>143.78568561847038</v>
      </c>
      <c r="BN41" s="136">
        <f t="shared" si="8"/>
        <v>242.55713712369408</v>
      </c>
      <c r="BO41" s="136">
        <f t="shared" si="8"/>
        <v>280.56741901641738</v>
      </c>
      <c r="BP41" s="136">
        <f t="shared" si="8"/>
        <v>308.86919158190318</v>
      </c>
      <c r="BQ41" s="136">
        <f t="shared" si="8"/>
        <v>402.18189393451303</v>
      </c>
      <c r="BR41" s="137"/>
    </row>
    <row r="42" spans="1:70">
      <c r="A42" s="138" t="s">
        <v>29</v>
      </c>
      <c r="B42" s="139">
        <f>MAX(B10:B40)</f>
        <v>36.929838854219284</v>
      </c>
      <c r="C42" s="139">
        <f t="shared" ref="C42:M42" si="9">MAX(C10:C40)</f>
        <v>51.252322682612878</v>
      </c>
      <c r="D42" s="139">
        <f t="shared" si="9"/>
        <v>31.731403059977509</v>
      </c>
      <c r="E42" s="139">
        <f t="shared" si="9"/>
        <v>70.229983869128105</v>
      </c>
      <c r="F42" s="139">
        <f t="shared" si="9"/>
        <v>75.202580939501075</v>
      </c>
      <c r="G42" s="139">
        <f t="shared" si="9"/>
        <v>24.607967673080992</v>
      </c>
      <c r="H42" s="139">
        <f t="shared" si="9"/>
        <v>42.046903361413001</v>
      </c>
      <c r="I42" s="139">
        <f t="shared" si="9"/>
        <v>37.601290469750538</v>
      </c>
      <c r="J42" s="139">
        <f t="shared" si="9"/>
        <v>45.447225978850639</v>
      </c>
      <c r="K42" s="139">
        <f t="shared" si="9"/>
        <v>61.485144933439784</v>
      </c>
      <c r="L42" s="139">
        <f t="shared" si="9"/>
        <v>59.759193782282111</v>
      </c>
      <c r="M42" s="139">
        <f t="shared" si="9"/>
        <v>84.266677529206646</v>
      </c>
      <c r="O42" s="138" t="s">
        <v>29</v>
      </c>
      <c r="P42" s="139">
        <f>MAX(P10:P40)</f>
        <v>55</v>
      </c>
      <c r="Q42" s="139">
        <f t="shared" ref="Q42:AA42" si="10">MAX(Q10:Q40)</f>
        <v>64</v>
      </c>
      <c r="R42" s="139">
        <f t="shared" si="10"/>
        <v>32</v>
      </c>
      <c r="S42" s="139">
        <f t="shared" si="10"/>
        <v>91</v>
      </c>
      <c r="T42" s="139">
        <f t="shared" si="10"/>
        <v>112</v>
      </c>
      <c r="U42" s="139">
        <f t="shared" si="10"/>
        <v>36</v>
      </c>
      <c r="V42" s="139">
        <f t="shared" si="10"/>
        <v>59</v>
      </c>
      <c r="W42" s="139">
        <f t="shared" si="10"/>
        <v>56</v>
      </c>
      <c r="X42" s="139">
        <f t="shared" si="10"/>
        <v>67</v>
      </c>
      <c r="Y42" s="139">
        <f t="shared" si="10"/>
        <v>37</v>
      </c>
      <c r="Z42" s="139">
        <f t="shared" si="10"/>
        <v>89</v>
      </c>
      <c r="AA42" s="139">
        <f t="shared" si="10"/>
        <v>98</v>
      </c>
      <c r="AC42" s="138" t="s">
        <v>29</v>
      </c>
      <c r="AD42" s="139">
        <f>MAX(AD10:AD40)</f>
        <v>44.3</v>
      </c>
      <c r="AE42" s="139">
        <f t="shared" ref="AE42:AO42" si="11">MAX(AE10:AE40)</f>
        <v>110.5</v>
      </c>
      <c r="AF42" s="139">
        <f t="shared" si="11"/>
        <v>74.099999999999994</v>
      </c>
      <c r="AG42" s="139">
        <f t="shared" si="11"/>
        <v>101</v>
      </c>
      <c r="AH42" s="139">
        <f t="shared" si="11"/>
        <v>67</v>
      </c>
      <c r="AI42" s="139">
        <f t="shared" si="11"/>
        <v>42.2</v>
      </c>
      <c r="AJ42" s="139">
        <f t="shared" si="11"/>
        <v>94.4</v>
      </c>
      <c r="AK42" s="139">
        <f t="shared" si="11"/>
        <v>61</v>
      </c>
      <c r="AL42" s="139">
        <f t="shared" si="11"/>
        <v>73.2</v>
      </c>
      <c r="AM42" s="139">
        <f t="shared" si="11"/>
        <v>119.7</v>
      </c>
      <c r="AN42" s="139">
        <f t="shared" si="11"/>
        <v>86.5</v>
      </c>
      <c r="AO42" s="139">
        <f t="shared" si="11"/>
        <v>98</v>
      </c>
      <c r="AQ42" s="138" t="s">
        <v>29</v>
      </c>
      <c r="AR42" s="139">
        <f>MAX(AR10:AR40)</f>
        <v>29.955425245323433</v>
      </c>
      <c r="AS42" s="139">
        <f t="shared" ref="AS42:BC42" si="12">MAX(AS10:AS40)</f>
        <v>74.719514438109243</v>
      </c>
      <c r="AT42" s="139">
        <f t="shared" si="12"/>
        <v>53.66788562031396</v>
      </c>
      <c r="AU42" s="139">
        <f t="shared" si="12"/>
        <v>70.473336290558152</v>
      </c>
      <c r="AV42" s="139">
        <f t="shared" si="12"/>
        <v>48.299061982711052</v>
      </c>
      <c r="AW42" s="139">
        <f t="shared" si="12"/>
        <v>33.716301160891064</v>
      </c>
      <c r="AX42" s="139">
        <f t="shared" si="12"/>
        <v>67.718443345703193</v>
      </c>
      <c r="AY42" s="139">
        <f t="shared" si="12"/>
        <v>41.247876748639491</v>
      </c>
      <c r="AZ42" s="139">
        <f t="shared" si="12"/>
        <v>54.030726287204224</v>
      </c>
      <c r="BA42" s="139">
        <f t="shared" si="12"/>
        <v>91.626080559131879</v>
      </c>
      <c r="BB42" s="139">
        <f t="shared" si="12"/>
        <v>59.78606281578292</v>
      </c>
      <c r="BC42" s="139">
        <f t="shared" si="12"/>
        <v>69.735061506669993</v>
      </c>
      <c r="BE42" s="138" t="s">
        <v>29</v>
      </c>
      <c r="BF42" s="139">
        <f>MAX(BF10:BF40)</f>
        <v>28.026893457646654</v>
      </c>
      <c r="BG42" s="139">
        <f t="shared" ref="BG42:BQ42" si="13">MAX(BG10:BG40)</f>
        <v>69.909068331150237</v>
      </c>
      <c r="BH42" s="139">
        <f t="shared" si="13"/>
        <v>50.920924992720174</v>
      </c>
      <c r="BI42" s="139">
        <f t="shared" si="13"/>
        <v>70.442862876305938</v>
      </c>
      <c r="BJ42" s="139">
        <f t="shared" si="13"/>
        <v>48.151048256343088</v>
      </c>
      <c r="BK42" s="139">
        <f t="shared" si="13"/>
        <v>32.575724798879058</v>
      </c>
      <c r="BL42" s="139">
        <f t="shared" si="13"/>
        <v>64.131287153726518</v>
      </c>
      <c r="BM42" s="139">
        <f t="shared" si="13"/>
        <v>38.592336363802396</v>
      </c>
      <c r="BN42" s="139">
        <f t="shared" si="13"/>
        <v>51.453546110444286</v>
      </c>
      <c r="BO42" s="139">
        <f t="shared" si="13"/>
        <v>87.851730536748647</v>
      </c>
      <c r="BP42" s="139">
        <f t="shared" si="13"/>
        <v>56.19455327891307</v>
      </c>
      <c r="BQ42" s="139">
        <f t="shared" si="13"/>
        <v>71.554759672017383</v>
      </c>
    </row>
    <row r="43" spans="1:70">
      <c r="A43" s="130" t="s">
        <v>30</v>
      </c>
      <c r="B43" s="131">
        <f>SUM(B10:B24)</f>
        <v>42.835419484137979</v>
      </c>
      <c r="C43" s="131">
        <f t="shared" ref="C43:M43" si="14">SUM(C10:C24)</f>
        <v>220.85261271243058</v>
      </c>
      <c r="D43" s="131">
        <f t="shared" si="14"/>
        <v>36.979580597331072</v>
      </c>
      <c r="E43" s="131">
        <f t="shared" si="14"/>
        <v>214.76172584035322</v>
      </c>
      <c r="F43" s="131">
        <f t="shared" si="14"/>
        <v>298.3094357453603</v>
      </c>
      <c r="G43" s="131">
        <f t="shared" si="14"/>
        <v>79.624241930490598</v>
      </c>
      <c r="H43" s="131">
        <f t="shared" si="14"/>
        <v>204.69217734182783</v>
      </c>
      <c r="I43" s="131">
        <f t="shared" si="14"/>
        <v>42.956935460218659</v>
      </c>
      <c r="J43" s="131">
        <f t="shared" si="14"/>
        <v>167.49282257670311</v>
      </c>
      <c r="K43" s="131">
        <f t="shared" si="14"/>
        <v>53.038613070894371</v>
      </c>
      <c r="L43" s="131">
        <f t="shared" si="14"/>
        <v>129.76970980724423</v>
      </c>
      <c r="M43" s="131">
        <f t="shared" si="14"/>
        <v>175.58532253596857</v>
      </c>
      <c r="O43" s="130" t="s">
        <v>30</v>
      </c>
      <c r="P43" s="131">
        <f>SUM(P10:P24)</f>
        <v>59</v>
      </c>
      <c r="Q43" s="131">
        <f t="shared" ref="Q43:AA43" si="15">SUM(Q10:Q24)</f>
        <v>197</v>
      </c>
      <c r="R43" s="131">
        <f t="shared" si="15"/>
        <v>31</v>
      </c>
      <c r="S43" s="131">
        <f t="shared" si="15"/>
        <v>219</v>
      </c>
      <c r="T43" s="131">
        <f t="shared" si="15"/>
        <v>331</v>
      </c>
      <c r="U43" s="131">
        <f t="shared" si="15"/>
        <v>79</v>
      </c>
      <c r="V43" s="131">
        <f t="shared" si="15"/>
        <v>195</v>
      </c>
      <c r="W43" s="131">
        <f t="shared" si="15"/>
        <v>40</v>
      </c>
      <c r="X43" s="131">
        <f t="shared" si="15"/>
        <v>167</v>
      </c>
      <c r="Y43" s="131">
        <f t="shared" si="15"/>
        <v>74</v>
      </c>
      <c r="Z43" s="131">
        <f t="shared" si="15"/>
        <v>146</v>
      </c>
      <c r="AA43" s="131">
        <f t="shared" si="15"/>
        <v>170</v>
      </c>
      <c r="AC43" s="130" t="s">
        <v>30</v>
      </c>
      <c r="AD43" s="131">
        <f>SUM(AD10:AD24)</f>
        <v>9.8000000000000007</v>
      </c>
      <c r="AE43" s="131">
        <f t="shared" ref="AE43:AO43" si="16">SUM(AE10:AE24)</f>
        <v>269.59999999999997</v>
      </c>
      <c r="AF43" s="131">
        <f t="shared" si="16"/>
        <v>49.199999999999996</v>
      </c>
      <c r="AG43" s="131">
        <f t="shared" si="16"/>
        <v>206.40000000000003</v>
      </c>
      <c r="AH43" s="131">
        <f t="shared" si="16"/>
        <v>231.50000000000003</v>
      </c>
      <c r="AI43" s="131">
        <f t="shared" si="16"/>
        <v>81.2</v>
      </c>
      <c r="AJ43" s="131">
        <f t="shared" si="16"/>
        <v>224.60000000000002</v>
      </c>
      <c r="AK43" s="131">
        <f t="shared" si="16"/>
        <v>49</v>
      </c>
      <c r="AL43" s="131">
        <f t="shared" si="16"/>
        <v>168.5</v>
      </c>
      <c r="AM43" s="131">
        <f t="shared" si="16"/>
        <v>10.199999999999999</v>
      </c>
      <c r="AN43" s="131">
        <f t="shared" si="16"/>
        <v>96.600000000000009</v>
      </c>
      <c r="AO43" s="131">
        <f t="shared" si="16"/>
        <v>187</v>
      </c>
      <c r="AQ43" s="130" t="s">
        <v>30</v>
      </c>
      <c r="AR43" s="131">
        <f>SUM(AR10:AR24)</f>
        <v>25.731220720769453</v>
      </c>
      <c r="AS43" s="131">
        <f t="shared" ref="AS43:BC43" si="17">SUM(AS10:AS24)</f>
        <v>246.09173527788897</v>
      </c>
      <c r="AT43" s="131">
        <f t="shared" si="17"/>
        <v>43.30674355451211</v>
      </c>
      <c r="AU43" s="131">
        <f t="shared" si="17"/>
        <v>210.47994676995316</v>
      </c>
      <c r="AV43" s="131">
        <f t="shared" si="17"/>
        <v>263.71862727066173</v>
      </c>
      <c r="AW43" s="131">
        <f t="shared" si="17"/>
        <v>80.487628341754217</v>
      </c>
      <c r="AX43" s="131">
        <f t="shared" si="17"/>
        <v>215.01536314360212</v>
      </c>
      <c r="AY43" s="131">
        <f t="shared" si="17"/>
        <v>46.085752307176307</v>
      </c>
      <c r="AZ43" s="131">
        <f t="shared" si="17"/>
        <v>168.01429205119604</v>
      </c>
      <c r="BA43" s="131">
        <f t="shared" si="17"/>
        <v>30.85877808912787</v>
      </c>
      <c r="BB43" s="131">
        <f t="shared" si="17"/>
        <v>112.59598178060999</v>
      </c>
      <c r="BC43" s="131">
        <f t="shared" si="17"/>
        <v>181.49530991355527</v>
      </c>
      <c r="BE43" s="130" t="s">
        <v>30</v>
      </c>
      <c r="BF43" s="131">
        <f>SUM(BF10:BF24)</f>
        <v>27.873066408211837</v>
      </c>
      <c r="BG43" s="131">
        <f t="shared" ref="BG43:BQ43" si="18">SUM(BG10:BG24)</f>
        <v>242.93120688544349</v>
      </c>
      <c r="BH43" s="131">
        <f t="shared" si="18"/>
        <v>42.514434783954151</v>
      </c>
      <c r="BI43" s="131">
        <f t="shared" si="18"/>
        <v>211.01612564412281</v>
      </c>
      <c r="BJ43" s="131">
        <f t="shared" si="18"/>
        <v>268.0502054393715</v>
      </c>
      <c r="BK43" s="131">
        <f t="shared" si="18"/>
        <v>80.379512171733907</v>
      </c>
      <c r="BL43" s="131">
        <f t="shared" si="18"/>
        <v>213.72265886109869</v>
      </c>
      <c r="BM43" s="131">
        <f t="shared" si="18"/>
        <v>45.693951266790513</v>
      </c>
      <c r="BN43" s="131">
        <f t="shared" si="18"/>
        <v>167.94899187779845</v>
      </c>
      <c r="BO43" s="131">
        <f t="shared" si="18"/>
        <v>33.636212130973895</v>
      </c>
      <c r="BP43" s="131">
        <f t="shared" si="18"/>
        <v>114.74653415783872</v>
      </c>
      <c r="BQ43" s="131">
        <f t="shared" si="18"/>
        <v>180.75524128171543</v>
      </c>
    </row>
    <row r="44" spans="1:70">
      <c r="A44" s="140" t="s">
        <v>31</v>
      </c>
      <c r="B44" s="141">
        <f>SUM(B25:B40)</f>
        <v>99.480693464552814</v>
      </c>
      <c r="C44" s="141">
        <f t="shared" ref="C44:M44" si="19">SUM(C25:C40)</f>
        <v>77.714516155312594</v>
      </c>
      <c r="D44" s="141">
        <f t="shared" si="19"/>
        <v>84.448144949733603</v>
      </c>
      <c r="E44" s="141">
        <f t="shared" si="19"/>
        <v>221.43287113225682</v>
      </c>
      <c r="F44" s="141">
        <f t="shared" si="19"/>
        <v>60.022645137112406</v>
      </c>
      <c r="G44" s="141">
        <f t="shared" si="19"/>
        <v>21.817225815912533</v>
      </c>
      <c r="H44" s="141">
        <f t="shared" si="19"/>
        <v>59.461580825444415</v>
      </c>
      <c r="I44" s="141">
        <f t="shared" si="19"/>
        <v>101.89314519414074</v>
      </c>
      <c r="J44" s="141">
        <f t="shared" si="19"/>
        <v>75.277193554168747</v>
      </c>
      <c r="K44" s="141">
        <f t="shared" si="19"/>
        <v>224.85261271243053</v>
      </c>
      <c r="L44" s="141">
        <f t="shared" si="19"/>
        <v>183.90780636436219</v>
      </c>
      <c r="M44" s="141">
        <f t="shared" si="19"/>
        <v>216.89537092858421</v>
      </c>
      <c r="O44" s="140" t="s">
        <v>31</v>
      </c>
      <c r="P44" s="141">
        <f>SUM(P25:P40)</f>
        <v>89</v>
      </c>
      <c r="Q44" s="141">
        <f t="shared" ref="Q44:AA44" si="20">SUM(Q25:Q40)</f>
        <v>81</v>
      </c>
      <c r="R44" s="141">
        <f t="shared" si="20"/>
        <v>58</v>
      </c>
      <c r="S44" s="141">
        <f t="shared" si="20"/>
        <v>242</v>
      </c>
      <c r="T44" s="141">
        <f t="shared" si="20"/>
        <v>57</v>
      </c>
      <c r="U44" s="141">
        <f t="shared" si="20"/>
        <v>23</v>
      </c>
      <c r="V44" s="141">
        <f t="shared" si="20"/>
        <v>82</v>
      </c>
      <c r="W44" s="141">
        <f t="shared" si="20"/>
        <v>106</v>
      </c>
      <c r="X44" s="141">
        <f t="shared" si="20"/>
        <v>76</v>
      </c>
      <c r="Y44" s="141">
        <f t="shared" si="20"/>
        <v>201</v>
      </c>
      <c r="Z44" s="141">
        <f t="shared" si="20"/>
        <v>173</v>
      </c>
      <c r="AA44" s="141">
        <f t="shared" si="20"/>
        <v>212</v>
      </c>
      <c r="AC44" s="140" t="s">
        <v>31</v>
      </c>
      <c r="AD44" s="141">
        <f>SUM(AD25:AD40)</f>
        <v>120.9</v>
      </c>
      <c r="AE44" s="141">
        <f t="shared" ref="AE44:AO44" si="21">SUM(AE25:AE40)</f>
        <v>71</v>
      </c>
      <c r="AF44" s="141">
        <f t="shared" si="21"/>
        <v>138.5</v>
      </c>
      <c r="AG44" s="141">
        <f t="shared" si="21"/>
        <v>179.59999999999997</v>
      </c>
      <c r="AH44" s="141">
        <f t="shared" si="21"/>
        <v>66.2</v>
      </c>
      <c r="AI44" s="141">
        <f t="shared" si="21"/>
        <v>19.399999999999999</v>
      </c>
      <c r="AJ44" s="141">
        <f t="shared" si="21"/>
        <v>13.4</v>
      </c>
      <c r="AK44" s="141">
        <f t="shared" si="21"/>
        <v>93.5</v>
      </c>
      <c r="AL44" s="141">
        <f t="shared" si="21"/>
        <v>73.800000000000011</v>
      </c>
      <c r="AM44" s="141">
        <f t="shared" si="21"/>
        <v>273.60000000000002</v>
      </c>
      <c r="AN44" s="141">
        <f t="shared" si="21"/>
        <v>206.4</v>
      </c>
      <c r="AO44" s="141">
        <f t="shared" si="21"/>
        <v>226.9</v>
      </c>
      <c r="AQ44" s="140" t="s">
        <v>31</v>
      </c>
      <c r="AR44" s="141">
        <f>SUM(AR25:AR40)</f>
        <v>110.57061095543605</v>
      </c>
      <c r="AS44" s="141">
        <f t="shared" ref="AS44:BC44" si="22">SUM(AS25:AS40)</f>
        <v>74.238052992026311</v>
      </c>
      <c r="AT44" s="141">
        <f t="shared" si="22"/>
        <v>112.43367341418816</v>
      </c>
      <c r="AU44" s="141">
        <f t="shared" si="22"/>
        <v>199.80545067024417</v>
      </c>
      <c r="AV44" s="141">
        <f t="shared" si="22"/>
        <v>63.220991247335796</v>
      </c>
      <c r="AW44" s="141">
        <f t="shared" si="22"/>
        <v>20.565699077129469</v>
      </c>
      <c r="AX44" s="141">
        <f t="shared" si="22"/>
        <v>35.613043525300505</v>
      </c>
      <c r="AY44" s="141">
        <f t="shared" si="22"/>
        <v>97.547566240032893</v>
      </c>
      <c r="AZ44" s="141">
        <f t="shared" si="22"/>
        <v>74.512371658245783</v>
      </c>
      <c r="BA44" s="141">
        <f t="shared" si="22"/>
        <v>250.09173527788897</v>
      </c>
      <c r="BB44" s="141">
        <f t="shared" si="22"/>
        <v>195.58490300663209</v>
      </c>
      <c r="BC44" s="141">
        <f t="shared" si="22"/>
        <v>222.07530104188078</v>
      </c>
      <c r="BE44" s="140" t="s">
        <v>31</v>
      </c>
      <c r="BF44" s="141">
        <f>SUM(BF25:BF40)</f>
        <v>109.18189393451306</v>
      </c>
      <c r="BG44" s="141">
        <f t="shared" ref="BG44:BQ44" si="23">SUM(BG25:BG40)</f>
        <v>74.673387481343866</v>
      </c>
      <c r="BH44" s="141">
        <f t="shared" si="23"/>
        <v>108.92923077518185</v>
      </c>
      <c r="BI44" s="141">
        <f t="shared" si="23"/>
        <v>202.51370949533879</v>
      </c>
      <c r="BJ44" s="141">
        <f t="shared" si="23"/>
        <v>62.82048351716363</v>
      </c>
      <c r="BK44" s="141">
        <f t="shared" si="23"/>
        <v>20.722419493283795</v>
      </c>
      <c r="BL44" s="141">
        <f t="shared" si="23"/>
        <v>38.599438122018952</v>
      </c>
      <c r="BM44" s="141">
        <f t="shared" si="23"/>
        <v>98.091734351679861</v>
      </c>
      <c r="BN44" s="141">
        <f t="shared" si="23"/>
        <v>74.608145245895642</v>
      </c>
      <c r="BO44" s="141">
        <f t="shared" si="23"/>
        <v>246.93120688544352</v>
      </c>
      <c r="BP44" s="141">
        <f t="shared" si="23"/>
        <v>194.12265742406453</v>
      </c>
      <c r="BQ44" s="141">
        <f t="shared" si="23"/>
        <v>221.42665265279763</v>
      </c>
    </row>
    <row r="45" spans="1:70" ht="15.75" thickBot="1">
      <c r="A45" s="133" t="s">
        <v>32</v>
      </c>
      <c r="B45" s="134">
        <f>COUNTIF(B12:B42,"&gt;0")</f>
        <v>14</v>
      </c>
      <c r="C45" s="134">
        <f t="shared" ref="C45:M45" si="24">COUNTIF(C12:C42,"&gt;0")</f>
        <v>24</v>
      </c>
      <c r="D45" s="134">
        <f t="shared" si="24"/>
        <v>18</v>
      </c>
      <c r="E45" s="134">
        <f t="shared" si="24"/>
        <v>23</v>
      </c>
      <c r="F45" s="134">
        <f t="shared" si="24"/>
        <v>29</v>
      </c>
      <c r="G45" s="134">
        <f t="shared" si="24"/>
        <v>12</v>
      </c>
      <c r="H45" s="134">
        <f t="shared" si="24"/>
        <v>19</v>
      </c>
      <c r="I45" s="134">
        <f t="shared" si="24"/>
        <v>16</v>
      </c>
      <c r="J45" s="134">
        <f t="shared" si="24"/>
        <v>21</v>
      </c>
      <c r="K45" s="134">
        <f t="shared" si="24"/>
        <v>21</v>
      </c>
      <c r="L45" s="134">
        <f t="shared" si="24"/>
        <v>22</v>
      </c>
      <c r="M45" s="134">
        <f t="shared" si="24"/>
        <v>29</v>
      </c>
      <c r="O45" s="133" t="s">
        <v>32</v>
      </c>
      <c r="P45" s="134">
        <f>COUNTIF(P10:P40,"&gt;0")</f>
        <v>9</v>
      </c>
      <c r="Q45" s="134">
        <f t="shared" ref="Q45:AA45" si="25">COUNTIF(Q10:Q40,"&gt;0")</f>
        <v>13</v>
      </c>
      <c r="R45" s="134">
        <f t="shared" si="25"/>
        <v>8</v>
      </c>
      <c r="S45" s="134">
        <f t="shared" si="25"/>
        <v>15</v>
      </c>
      <c r="T45" s="134">
        <f t="shared" si="25"/>
        <v>22</v>
      </c>
      <c r="U45" s="134">
        <f t="shared" si="25"/>
        <v>6</v>
      </c>
      <c r="V45" s="134">
        <f t="shared" si="25"/>
        <v>15</v>
      </c>
      <c r="W45" s="134">
        <f t="shared" si="25"/>
        <v>9</v>
      </c>
      <c r="X45" s="134">
        <f t="shared" si="25"/>
        <v>13</v>
      </c>
      <c r="Y45" s="134">
        <f t="shared" si="25"/>
        <v>15</v>
      </c>
      <c r="Z45" s="134">
        <f t="shared" si="25"/>
        <v>11</v>
      </c>
      <c r="AA45" s="134">
        <f t="shared" si="25"/>
        <v>19</v>
      </c>
      <c r="AC45" s="133" t="s">
        <v>32</v>
      </c>
      <c r="AD45" s="134">
        <f>COUNTIF(AD10:AD40,"&gt;0")</f>
        <v>10</v>
      </c>
      <c r="AE45" s="134">
        <f t="shared" ref="AE45:AO45" si="26">COUNTIF(AE10:AE40,"&gt;0")</f>
        <v>17</v>
      </c>
      <c r="AF45" s="134">
        <f t="shared" si="26"/>
        <v>13</v>
      </c>
      <c r="AG45" s="134">
        <f t="shared" si="26"/>
        <v>17</v>
      </c>
      <c r="AH45" s="134">
        <f t="shared" si="26"/>
        <v>25</v>
      </c>
      <c r="AI45" s="134">
        <f t="shared" si="26"/>
        <v>9</v>
      </c>
      <c r="AJ45" s="134">
        <f t="shared" si="26"/>
        <v>12</v>
      </c>
      <c r="AK45" s="134">
        <f t="shared" si="26"/>
        <v>8</v>
      </c>
      <c r="AL45" s="134">
        <f t="shared" si="26"/>
        <v>18</v>
      </c>
      <c r="AM45" s="134">
        <f t="shared" si="26"/>
        <v>13</v>
      </c>
      <c r="AN45" s="134">
        <f t="shared" si="26"/>
        <v>18</v>
      </c>
      <c r="AO45" s="134">
        <f t="shared" si="26"/>
        <v>24</v>
      </c>
      <c r="AQ45" s="133" t="s">
        <v>32</v>
      </c>
      <c r="AR45" s="134">
        <f>COUNTIF(AR10:AR40,"&gt;0")</f>
        <v>14</v>
      </c>
      <c r="AS45" s="134">
        <f t="shared" ref="AS45:BC45" si="27">COUNTIF(AS10:AS40,"&gt;0")</f>
        <v>24</v>
      </c>
      <c r="AT45" s="134">
        <f t="shared" si="27"/>
        <v>16</v>
      </c>
      <c r="AU45" s="134">
        <f t="shared" si="27"/>
        <v>24</v>
      </c>
      <c r="AV45" s="134">
        <f t="shared" si="27"/>
        <v>29</v>
      </c>
      <c r="AW45" s="134">
        <f t="shared" si="27"/>
        <v>11</v>
      </c>
      <c r="AX45" s="134">
        <f t="shared" si="27"/>
        <v>20</v>
      </c>
      <c r="AY45" s="134">
        <f t="shared" si="27"/>
        <v>15</v>
      </c>
      <c r="AZ45" s="134">
        <f t="shared" si="27"/>
        <v>21</v>
      </c>
      <c r="BA45" s="134">
        <f t="shared" si="27"/>
        <v>19</v>
      </c>
      <c r="BB45" s="134">
        <f t="shared" si="27"/>
        <v>22</v>
      </c>
      <c r="BC45" s="134">
        <f t="shared" si="27"/>
        <v>29</v>
      </c>
      <c r="BE45" s="133" t="s">
        <v>32</v>
      </c>
      <c r="BF45" s="134">
        <f>COUNTIF(BF10:BF40,"&gt;0")</f>
        <v>14</v>
      </c>
      <c r="BG45" s="134">
        <f t="shared" ref="BG45:BQ45" si="28">COUNTIF(BG10:BG40,"&gt;0")</f>
        <v>24</v>
      </c>
      <c r="BH45" s="134">
        <f t="shared" si="28"/>
        <v>16</v>
      </c>
      <c r="BI45" s="134">
        <f t="shared" si="28"/>
        <v>24</v>
      </c>
      <c r="BJ45" s="134">
        <f t="shared" si="28"/>
        <v>29</v>
      </c>
      <c r="BK45" s="134">
        <f t="shared" si="28"/>
        <v>11</v>
      </c>
      <c r="BL45" s="134">
        <f t="shared" si="28"/>
        <v>20</v>
      </c>
      <c r="BM45" s="134">
        <f t="shared" si="28"/>
        <v>15</v>
      </c>
      <c r="BN45" s="134">
        <f t="shared" si="28"/>
        <v>21</v>
      </c>
      <c r="BO45" s="134">
        <f t="shared" si="28"/>
        <v>19</v>
      </c>
      <c r="BP45" s="134">
        <f t="shared" si="28"/>
        <v>22</v>
      </c>
      <c r="BQ45" s="134">
        <f t="shared" si="28"/>
        <v>29</v>
      </c>
    </row>
    <row r="46" spans="1:70" ht="15.75" thickBot="1"/>
    <row r="47" spans="1:70">
      <c r="A47" s="147" t="s">
        <v>33</v>
      </c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9"/>
      <c r="O47" s="147" t="s">
        <v>33</v>
      </c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9"/>
      <c r="AC47" s="147" t="s">
        <v>33</v>
      </c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9"/>
      <c r="AQ47" s="147" t="s">
        <v>33</v>
      </c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9"/>
      <c r="BE47" s="147" t="s">
        <v>33</v>
      </c>
      <c r="BF47" s="148"/>
      <c r="BG47" s="148"/>
      <c r="BH47" s="148"/>
      <c r="BI47" s="148"/>
      <c r="BJ47" s="148"/>
      <c r="BK47" s="148"/>
      <c r="BL47" s="148"/>
      <c r="BM47" s="148"/>
      <c r="BN47" s="148"/>
      <c r="BO47" s="148"/>
      <c r="BP47" s="148"/>
      <c r="BQ47" s="149"/>
    </row>
    <row r="48" spans="1:70">
      <c r="A48" s="144"/>
      <c r="B48" s="145" t="s">
        <v>15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6"/>
      <c r="O48" s="144"/>
      <c r="P48" s="145" t="s">
        <v>15</v>
      </c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6"/>
      <c r="AC48" s="144"/>
      <c r="AD48" s="145" t="s">
        <v>15</v>
      </c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6"/>
      <c r="AQ48" s="144"/>
      <c r="AR48" s="145" t="s">
        <v>15</v>
      </c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6"/>
      <c r="BE48" s="144"/>
      <c r="BF48" s="145" t="s">
        <v>15</v>
      </c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6"/>
    </row>
    <row r="49" spans="1:69">
      <c r="A49" s="144"/>
      <c r="B49" s="131" t="s">
        <v>16</v>
      </c>
      <c r="C49" s="131" t="s">
        <v>17</v>
      </c>
      <c r="D49" s="131" t="s">
        <v>18</v>
      </c>
      <c r="E49" s="131" t="s">
        <v>19</v>
      </c>
      <c r="F49" s="131" t="s">
        <v>20</v>
      </c>
      <c r="G49" s="131" t="s">
        <v>21</v>
      </c>
      <c r="H49" s="131" t="s">
        <v>22</v>
      </c>
      <c r="I49" s="131" t="s">
        <v>23</v>
      </c>
      <c r="J49" s="131" t="s">
        <v>24</v>
      </c>
      <c r="K49" s="131" t="s">
        <v>25</v>
      </c>
      <c r="L49" s="131" t="s">
        <v>26</v>
      </c>
      <c r="M49" s="132" t="s">
        <v>27</v>
      </c>
      <c r="O49" s="144"/>
      <c r="P49" s="131" t="s">
        <v>16</v>
      </c>
      <c r="Q49" s="131" t="s">
        <v>17</v>
      </c>
      <c r="R49" s="131" t="s">
        <v>18</v>
      </c>
      <c r="S49" s="131" t="s">
        <v>19</v>
      </c>
      <c r="T49" s="131" t="s">
        <v>20</v>
      </c>
      <c r="U49" s="131" t="s">
        <v>21</v>
      </c>
      <c r="V49" s="131" t="s">
        <v>22</v>
      </c>
      <c r="W49" s="131" t="s">
        <v>23</v>
      </c>
      <c r="X49" s="131" t="s">
        <v>24</v>
      </c>
      <c r="Y49" s="131" t="s">
        <v>25</v>
      </c>
      <c r="Z49" s="131" t="s">
        <v>26</v>
      </c>
      <c r="AA49" s="132" t="s">
        <v>27</v>
      </c>
      <c r="AC49" s="144"/>
      <c r="AD49" s="131" t="s">
        <v>16</v>
      </c>
      <c r="AE49" s="131" t="s">
        <v>17</v>
      </c>
      <c r="AF49" s="131" t="s">
        <v>18</v>
      </c>
      <c r="AG49" s="131" t="s">
        <v>19</v>
      </c>
      <c r="AH49" s="131" t="s">
        <v>20</v>
      </c>
      <c r="AI49" s="131" t="s">
        <v>21</v>
      </c>
      <c r="AJ49" s="131" t="s">
        <v>22</v>
      </c>
      <c r="AK49" s="131" t="s">
        <v>23</v>
      </c>
      <c r="AL49" s="131" t="s">
        <v>24</v>
      </c>
      <c r="AM49" s="131" t="s">
        <v>25</v>
      </c>
      <c r="AN49" s="131" t="s">
        <v>26</v>
      </c>
      <c r="AO49" s="132" t="s">
        <v>27</v>
      </c>
      <c r="AQ49" s="144"/>
      <c r="AR49" s="131" t="s">
        <v>16</v>
      </c>
      <c r="AS49" s="131" t="s">
        <v>17</v>
      </c>
      <c r="AT49" s="131" t="s">
        <v>18</v>
      </c>
      <c r="AU49" s="131" t="s">
        <v>19</v>
      </c>
      <c r="AV49" s="131" t="s">
        <v>20</v>
      </c>
      <c r="AW49" s="131" t="s">
        <v>21</v>
      </c>
      <c r="AX49" s="131" t="s">
        <v>22</v>
      </c>
      <c r="AY49" s="131" t="s">
        <v>23</v>
      </c>
      <c r="AZ49" s="131" t="s">
        <v>24</v>
      </c>
      <c r="BA49" s="131" t="s">
        <v>25</v>
      </c>
      <c r="BB49" s="131" t="s">
        <v>26</v>
      </c>
      <c r="BC49" s="132" t="s">
        <v>27</v>
      </c>
      <c r="BE49" s="144"/>
      <c r="BF49" s="131" t="s">
        <v>16</v>
      </c>
      <c r="BG49" s="131" t="s">
        <v>17</v>
      </c>
      <c r="BH49" s="131" t="s">
        <v>18</v>
      </c>
      <c r="BI49" s="131" t="s">
        <v>19</v>
      </c>
      <c r="BJ49" s="131" t="s">
        <v>20</v>
      </c>
      <c r="BK49" s="131" t="s">
        <v>21</v>
      </c>
      <c r="BL49" s="131" t="s">
        <v>22</v>
      </c>
      <c r="BM49" s="131" t="s">
        <v>23</v>
      </c>
      <c r="BN49" s="131" t="s">
        <v>24</v>
      </c>
      <c r="BO49" s="131" t="s">
        <v>25</v>
      </c>
      <c r="BP49" s="131" t="s">
        <v>26</v>
      </c>
      <c r="BQ49" s="132" t="s">
        <v>27</v>
      </c>
    </row>
    <row r="50" spans="1:69">
      <c r="A50" s="130">
        <v>1</v>
      </c>
      <c r="B50" s="131">
        <f>IF('Data 2'!B50&lt;0.1,0,'Data 2'!B50)</f>
        <v>10.1192902416372</v>
      </c>
      <c r="C50" s="131">
        <f>IF('Data 2'!C50&lt;0.1,0,'Data 2'!C50)</f>
        <v>0</v>
      </c>
      <c r="D50" s="131">
        <f>IF('Data 2'!D50&lt;0.1,0,'Data 2'!D50)</f>
        <v>11.414677464031413</v>
      </c>
      <c r="E50" s="131">
        <f>IF('Data 2'!E50&lt;0.1,0,'Data 2'!E50)</f>
        <v>38.944193700813059</v>
      </c>
      <c r="F50" s="131">
        <f>IF('Data 2'!F50&lt;0.1,0,'Data 2'!F50)</f>
        <v>0</v>
      </c>
      <c r="G50" s="131">
        <f>IF('Data 2'!G50&lt;0.1,0,'Data 2'!G50)</f>
        <v>8.9693708959966099</v>
      </c>
      <c r="H50" s="131">
        <f>IF('Data 2'!H50&lt;0.1,0,'Data 2'!H50)</f>
        <v>0</v>
      </c>
      <c r="I50" s="131">
        <f>IF('Data 2'!I50&lt;0.1,0,'Data 2'!I50)</f>
        <v>2.0143548465937791</v>
      </c>
      <c r="J50" s="131">
        <f>IF('Data 2'!J50&lt;0.1,0,'Data 2'!J50)</f>
        <v>0</v>
      </c>
      <c r="K50" s="131">
        <f>IF('Data 2'!K50&lt;0.1,0,'Data 2'!K50)</f>
        <v>31.222500122203577</v>
      </c>
      <c r="L50" s="131">
        <f>IF('Data 2'!L50&lt;0.1,0,'Data 2'!L50)</f>
        <v>1.6114838772750231</v>
      </c>
      <c r="M50" s="131">
        <f>IF('Data 2'!M50&lt;0.1,0,'Data 2'!M50)</f>
        <v>25.867467778990761</v>
      </c>
      <c r="O50" s="130">
        <v>1</v>
      </c>
      <c r="P50" s="131">
        <f>'Stasiun Pontianak Kota'!Q96</f>
        <v>0</v>
      </c>
      <c r="Q50" s="131">
        <f>'Stasiun Pontianak Kota'!R96</f>
        <v>0</v>
      </c>
      <c r="R50" s="131">
        <f>'Stasiun Pontianak Kota'!S96</f>
        <v>17</v>
      </c>
      <c r="S50" s="131">
        <f>'Stasiun Pontianak Kota'!T96</f>
        <v>58</v>
      </c>
      <c r="T50" s="131">
        <f>'Stasiun Pontianak Kota'!U96</f>
        <v>0</v>
      </c>
      <c r="U50" s="131">
        <f>'Stasiun Pontianak Kota'!V96</f>
        <v>0</v>
      </c>
      <c r="V50" s="131">
        <f>'Stasiun Pontianak Kota'!W96</f>
        <v>0</v>
      </c>
      <c r="W50" s="131">
        <f>'Stasiun Pontianak Kota'!X96</f>
        <v>3</v>
      </c>
      <c r="X50" s="131">
        <f>'Stasiun Pontianak Kota'!Y96</f>
        <v>0</v>
      </c>
      <c r="Y50" s="131">
        <f>'Stasiun Pontianak Kota'!Z96</f>
        <v>46.5</v>
      </c>
      <c r="Z50" s="131">
        <f>'Stasiun Pontianak Kota'!AA96</f>
        <v>2.4</v>
      </c>
      <c r="AA50" s="131">
        <f>'Stasiun Pontianak Kota'!AB96</f>
        <v>30.5</v>
      </c>
      <c r="AC50" s="130">
        <v>1</v>
      </c>
      <c r="AD50" s="131">
        <f>'Sta. Meteorologi pnk'!B53</f>
        <v>30.8</v>
      </c>
      <c r="AE50" s="131">
        <f>'Sta. Meteorologi pnk'!C53</f>
        <v>0</v>
      </c>
      <c r="AF50" s="131">
        <f>'Sta. Meteorologi pnk'!D53</f>
        <v>0</v>
      </c>
      <c r="AG50" s="131">
        <f>'Sta. Meteorologi pnk'!E53</f>
        <v>0</v>
      </c>
      <c r="AH50" s="131">
        <f>'Sta. Meteorologi pnk'!F53</f>
        <v>0</v>
      </c>
      <c r="AI50" s="131">
        <f>'Sta. Meteorologi pnk'!G53</f>
        <v>27.3</v>
      </c>
      <c r="AJ50" s="131">
        <f>'Sta. Meteorologi pnk'!H53</f>
        <v>0</v>
      </c>
      <c r="AK50" s="131">
        <f>'Sta. Meteorologi pnk'!I53</f>
        <v>0</v>
      </c>
      <c r="AL50" s="131">
        <f>'Sta. Meteorologi pnk'!J53</f>
        <v>0</v>
      </c>
      <c r="AM50" s="131">
        <f>'Sta. Meteorologi pnk'!K53</f>
        <v>0</v>
      </c>
      <c r="AN50" s="131">
        <f>'Sta. Meteorologi pnk'!L53</f>
        <v>0</v>
      </c>
      <c r="AO50" s="131">
        <f>'Sta. Meteorologi pnk'!M53</f>
        <v>16.399999999999999</v>
      </c>
      <c r="AQ50" s="130">
        <v>1</v>
      </c>
      <c r="AR50" s="131">
        <f>((P50/($AV$1^2))+(AD50/($AV$2^2)))/((1/($AV$1^2))+(1/($AV$2^2)))</f>
        <v>20.826796784558958</v>
      </c>
      <c r="AS50" s="131">
        <f t="shared" ref="AS50:BC73" si="29">((Q50/($AV$1^2))+(AE50/($AV$2^2)))/((1/($AV$1^2))+(1/($AV$2^2)))</f>
        <v>0</v>
      </c>
      <c r="AT50" s="131">
        <f t="shared" si="29"/>
        <v>5.5046900864447297</v>
      </c>
      <c r="AU50" s="131">
        <f t="shared" si="29"/>
        <v>18.780707353752607</v>
      </c>
      <c r="AV50" s="131">
        <f t="shared" si="29"/>
        <v>0</v>
      </c>
      <c r="AW50" s="131">
        <f t="shared" si="29"/>
        <v>18.460115331768169</v>
      </c>
      <c r="AX50" s="131">
        <f t="shared" si="29"/>
        <v>0</v>
      </c>
      <c r="AY50" s="131">
        <f t="shared" si="29"/>
        <v>0.97141589760789349</v>
      </c>
      <c r="AZ50" s="131">
        <f t="shared" si="29"/>
        <v>0</v>
      </c>
      <c r="BA50" s="131">
        <f t="shared" si="29"/>
        <v>15.05694641292235</v>
      </c>
      <c r="BB50" s="131">
        <f t="shared" si="29"/>
        <v>0.77713271808631479</v>
      </c>
      <c r="BC50" s="131">
        <f t="shared" si="29"/>
        <v>20.965654718757101</v>
      </c>
      <c r="BE50" s="130">
        <v>1</v>
      </c>
      <c r="BF50" s="131">
        <f>((B50/($BI$1^2))+(P50/($AV$1^2))+(AD50/($AV$2^2)))/((1/($BI$1^2))+(1/($AV$1^2))+(1/($AV$2^2)))</f>
        <v>19.48596655746088</v>
      </c>
      <c r="BG50" s="131">
        <f t="shared" ref="BG50:BQ73" si="30">((C50/($BI$1^2))+(Q50/($AV$1^2))+(AE50/($AV$2^2)))/((1/($BI$1^2))+(1/($AV$1^2))+(1/($AV$2^2)))</f>
        <v>0</v>
      </c>
      <c r="BH50" s="131">
        <f t="shared" si="30"/>
        <v>6.2447587182845785</v>
      </c>
      <c r="BI50" s="131">
        <f t="shared" si="30"/>
        <v>21.305647391794444</v>
      </c>
      <c r="BJ50" s="131">
        <f t="shared" si="30"/>
        <v>0</v>
      </c>
      <c r="BK50" s="131">
        <f t="shared" si="30"/>
        <v>17.271652175931237</v>
      </c>
      <c r="BL50" s="131">
        <f t="shared" si="30"/>
        <v>0</v>
      </c>
      <c r="BM50" s="131">
        <f t="shared" si="30"/>
        <v>1.1020162444031609</v>
      </c>
      <c r="BN50" s="131">
        <f t="shared" si="30"/>
        <v>0</v>
      </c>
      <c r="BO50" s="131">
        <f t="shared" si="30"/>
        <v>17.081251788248995</v>
      </c>
      <c r="BP50" s="131">
        <f t="shared" si="30"/>
        <v>0.88161299552252881</v>
      </c>
      <c r="BQ50" s="131">
        <f t="shared" si="30"/>
        <v>21.579476348694858</v>
      </c>
    </row>
    <row r="51" spans="1:69">
      <c r="A51" s="130">
        <v>2</v>
      </c>
      <c r="B51" s="131">
        <f>IF('Data 2'!B51&lt;0.1,0,'Data 2'!B51)</f>
        <v>27.529516236781646</v>
      </c>
      <c r="C51" s="131">
        <f>IF('Data 2'!C51&lt;0.1,0,'Data 2'!C51)</f>
        <v>0</v>
      </c>
      <c r="D51" s="131">
        <f>IF('Data 2'!D51&lt;0.1,0,'Data 2'!D51)</f>
        <v>0</v>
      </c>
      <c r="E51" s="131">
        <f>IF('Data 2'!E51&lt;0.1,0,'Data 2'!E51)</f>
        <v>2.9569354602186624</v>
      </c>
      <c r="F51" s="131">
        <f>IF('Data 2'!F51&lt;0.1,0,'Data 2'!F51)</f>
        <v>2.1684193374936855</v>
      </c>
      <c r="G51" s="131">
        <f>IF('Data 2'!G51&lt;0.1,0,'Data 2'!G51)</f>
        <v>32.026483958744073</v>
      </c>
      <c r="H51" s="131">
        <f>IF('Data 2'!H51&lt;0.1,0,'Data 2'!H51)</f>
        <v>2.0143548465937791</v>
      </c>
      <c r="I51" s="131">
        <f>IF('Data 2'!I51&lt;0.1,0,'Data 2'!I51)</f>
        <v>0</v>
      </c>
      <c r="J51" s="131">
        <f>IF('Data 2'!J51&lt;0.1,0,'Data 2'!J51)</f>
        <v>4.5996773825623638</v>
      </c>
      <c r="K51" s="131">
        <f>IF('Data 2'!K51&lt;0.1,0,'Data 2'!K51)</f>
        <v>1.182774184087465</v>
      </c>
      <c r="L51" s="131">
        <f>IF('Data 2'!L51&lt;0.1,0,'Data 2'!L51)</f>
        <v>0</v>
      </c>
      <c r="M51" s="131">
        <f>IF('Data 2'!M51&lt;0.1,0,'Data 2'!M51)</f>
        <v>12.891871018200185</v>
      </c>
      <c r="O51" s="130">
        <v>2</v>
      </c>
      <c r="P51" s="131">
        <f>'Stasiun Pontianak Kota'!Q97</f>
        <v>41</v>
      </c>
      <c r="Q51" s="131">
        <f>'Stasiun Pontianak Kota'!R97</f>
        <v>0</v>
      </c>
      <c r="R51" s="131">
        <f>'Stasiun Pontianak Kota'!S97</f>
        <v>0</v>
      </c>
      <c r="S51" s="131">
        <f>'Stasiun Pontianak Kota'!T97</f>
        <v>0</v>
      </c>
      <c r="T51" s="131">
        <f>'Stasiun Pontianak Kota'!U97</f>
        <v>0</v>
      </c>
      <c r="U51" s="131">
        <f>'Stasiun Pontianak Kota'!V97</f>
        <v>43</v>
      </c>
      <c r="V51" s="131">
        <f>'Stasiun Pontianak Kota'!W97</f>
        <v>3</v>
      </c>
      <c r="W51" s="131">
        <f>'Stasiun Pontianak Kota'!X97</f>
        <v>0</v>
      </c>
      <c r="X51" s="131">
        <f>'Stasiun Pontianak Kota'!Y97</f>
        <v>0</v>
      </c>
      <c r="Y51" s="131">
        <f>'Stasiun Pontianak Kota'!Z97</f>
        <v>0</v>
      </c>
      <c r="Z51" s="131">
        <f>'Stasiun Pontianak Kota'!AA97</f>
        <v>0</v>
      </c>
      <c r="AA51" s="131">
        <f>'Stasiun Pontianak Kota'!AB97</f>
        <v>19.2</v>
      </c>
      <c r="AC51" s="130">
        <v>2</v>
      </c>
      <c r="AD51" s="131">
        <f>'Sta. Meteorologi pnk'!B54</f>
        <v>0</v>
      </c>
      <c r="AE51" s="131">
        <f>'Sta. Meteorologi pnk'!C54</f>
        <v>0</v>
      </c>
      <c r="AF51" s="131">
        <f>'Sta. Meteorologi pnk'!D54</f>
        <v>0</v>
      </c>
      <c r="AG51" s="131">
        <f>'Sta. Meteorologi pnk'!E54</f>
        <v>9</v>
      </c>
      <c r="AH51" s="131">
        <f>'Sta. Meteorologi pnk'!F54</f>
        <v>6.6</v>
      </c>
      <c r="AI51" s="131">
        <f>'Sta. Meteorologi pnk'!G54</f>
        <v>9.6</v>
      </c>
      <c r="AJ51" s="131">
        <f>'Sta. Meteorologi pnk'!H54</f>
        <v>0</v>
      </c>
      <c r="AK51" s="131">
        <f>'Sta. Meteorologi pnk'!I54</f>
        <v>0</v>
      </c>
      <c r="AL51" s="131">
        <f>'Sta. Meteorologi pnk'!J54</f>
        <v>14</v>
      </c>
      <c r="AM51" s="131">
        <f>'Sta. Meteorologi pnk'!K54</f>
        <v>3.6</v>
      </c>
      <c r="AN51" s="131">
        <f>'Sta. Meteorologi pnk'!L54</f>
        <v>0</v>
      </c>
      <c r="AO51" s="131">
        <f>'Sta. Meteorologi pnk'!M54</f>
        <v>0</v>
      </c>
      <c r="AQ51" s="130">
        <v>2</v>
      </c>
      <c r="AR51" s="131">
        <f t="shared" ref="AR51:AT80" si="31">((P51/($AV$1^2))+(AD51/($AV$2^2)))/((1/($AV$1^2))+(1/($AV$2^2)))</f>
        <v>13.27601726730788</v>
      </c>
      <c r="AS51" s="131">
        <f t="shared" si="29"/>
        <v>0</v>
      </c>
      <c r="AT51" s="131">
        <f t="shared" si="29"/>
        <v>0</v>
      </c>
      <c r="AU51" s="131">
        <f t="shared" si="29"/>
        <v>6.0857523071763184</v>
      </c>
      <c r="AV51" s="131">
        <f t="shared" si="29"/>
        <v>4.4628850252626338</v>
      </c>
      <c r="AW51" s="131">
        <f t="shared" si="29"/>
        <v>20.415096993367879</v>
      </c>
      <c r="AX51" s="131">
        <f t="shared" si="29"/>
        <v>0.97141589760789349</v>
      </c>
      <c r="AY51" s="131">
        <f t="shared" si="29"/>
        <v>0</v>
      </c>
      <c r="AZ51" s="131">
        <f t="shared" si="29"/>
        <v>9.4667258111631618</v>
      </c>
      <c r="BA51" s="131">
        <f t="shared" si="29"/>
        <v>2.4343009228705275</v>
      </c>
      <c r="BB51" s="131">
        <f t="shared" si="29"/>
        <v>0</v>
      </c>
      <c r="BC51" s="131">
        <f t="shared" si="29"/>
        <v>6.2170617446905183</v>
      </c>
      <c r="BE51" s="130">
        <v>2</v>
      </c>
      <c r="BF51" s="131">
        <f t="shared" ref="BF51:BH80" si="32">((B51/($BI$1^2))+(P51/($AV$1^2))+(AD51/($AV$2^2)))/((1/($BI$1^2))+(1/($AV$1^2))+(1/($AV$2^2)))</f>
        <v>15.060888673509867</v>
      </c>
      <c r="BG51" s="131">
        <f t="shared" si="30"/>
        <v>0</v>
      </c>
      <c r="BH51" s="131">
        <f t="shared" si="30"/>
        <v>0</v>
      </c>
      <c r="BI51" s="131">
        <f t="shared" si="30"/>
        <v>5.693951266790517</v>
      </c>
      <c r="BJ51" s="131">
        <f t="shared" si="30"/>
        <v>4.1755642623130456</v>
      </c>
      <c r="BK51" s="131">
        <f t="shared" si="30"/>
        <v>21.869114187688524</v>
      </c>
      <c r="BL51" s="131">
        <f t="shared" si="30"/>
        <v>1.1020162444031609</v>
      </c>
      <c r="BM51" s="131">
        <f t="shared" si="30"/>
        <v>0</v>
      </c>
      <c r="BN51" s="131">
        <f t="shared" si="30"/>
        <v>8.8572575261185822</v>
      </c>
      <c r="BO51" s="131">
        <f t="shared" si="30"/>
        <v>2.2775805067162072</v>
      </c>
      <c r="BP51" s="131">
        <f t="shared" si="30"/>
        <v>0</v>
      </c>
      <c r="BQ51" s="131">
        <f t="shared" si="30"/>
        <v>7.0529039641802305</v>
      </c>
    </row>
    <row r="52" spans="1:69">
      <c r="A52" s="130">
        <v>3</v>
      </c>
      <c r="B52" s="131">
        <f>IF('Data 2'!B52&lt;0.1,0,'Data 2'!B52)</f>
        <v>0</v>
      </c>
      <c r="C52" s="131">
        <f>IF('Data 2'!C52&lt;0.1,0,'Data 2'!C52)</f>
        <v>0</v>
      </c>
      <c r="D52" s="131">
        <f>IF('Data 2'!D52&lt;0.1,0,'Data 2'!D52)</f>
        <v>0</v>
      </c>
      <c r="E52" s="131">
        <f>IF('Data 2'!E52&lt;0.1,0,'Data 2'!E52)</f>
        <v>6.5728871001906377</v>
      </c>
      <c r="F52" s="131">
        <f>IF('Data 2'!F52&lt;0.1,0,'Data 2'!F52)</f>
        <v>14.100483926156452</v>
      </c>
      <c r="G52" s="131">
        <f>IF('Data 2'!G52&lt;0.1,0,'Data 2'!G52)</f>
        <v>5.3716129242500772</v>
      </c>
      <c r="H52" s="131">
        <f>IF('Data 2'!H52&lt;0.1,0,'Data 2'!H52)</f>
        <v>0</v>
      </c>
      <c r="I52" s="131">
        <f>IF('Data 2'!I52&lt;0.1,0,'Data 2'!I52)</f>
        <v>0.32854838446874024</v>
      </c>
      <c r="J52" s="131">
        <f>IF('Data 2'!J52&lt;0.1,0,'Data 2'!J52)</f>
        <v>1.3429032310625193</v>
      </c>
      <c r="K52" s="131">
        <f>IF('Data 2'!K52&lt;0.1,0,'Data 2'!K52)</f>
        <v>4.1630000162938101</v>
      </c>
      <c r="L52" s="131">
        <f>IF('Data 2'!L52&lt;0.1,0,'Data 2'!L52)</f>
        <v>22.292193635637823</v>
      </c>
      <c r="M52" s="131">
        <f>IF('Data 2'!M52&lt;0.1,0,'Data 2'!M52)</f>
        <v>0</v>
      </c>
      <c r="O52" s="130">
        <v>3</v>
      </c>
      <c r="P52" s="131">
        <f>'Stasiun Pontianak Kota'!Q98</f>
        <v>0</v>
      </c>
      <c r="Q52" s="131">
        <f>'Stasiun Pontianak Kota'!R98</f>
        <v>0</v>
      </c>
      <c r="R52" s="131">
        <f>'Stasiun Pontianak Kota'!S98</f>
        <v>0</v>
      </c>
      <c r="S52" s="131">
        <f>'Stasiun Pontianak Kota'!T98</f>
        <v>7</v>
      </c>
      <c r="T52" s="131">
        <f>'Stasiun Pontianak Kota'!U98</f>
        <v>21</v>
      </c>
      <c r="U52" s="131">
        <f>'Stasiun Pontianak Kota'!V98</f>
        <v>8</v>
      </c>
      <c r="V52" s="131">
        <f>'Stasiun Pontianak Kota'!W98</f>
        <v>0</v>
      </c>
      <c r="W52" s="131">
        <f>'Stasiun Pontianak Kota'!X98</f>
        <v>0</v>
      </c>
      <c r="X52" s="131">
        <f>'Stasiun Pontianak Kota'!Y98</f>
        <v>2</v>
      </c>
      <c r="Y52" s="131">
        <f>'Stasiun Pontianak Kota'!Z98</f>
        <v>6.2</v>
      </c>
      <c r="Z52" s="131">
        <f>'Stasiun Pontianak Kota'!AA98</f>
        <v>33.200000000000003</v>
      </c>
      <c r="AA52" s="131">
        <f>'Stasiun Pontianak Kota'!AB98</f>
        <v>0</v>
      </c>
      <c r="AC52" s="130">
        <v>3</v>
      </c>
      <c r="AD52" s="131">
        <f>'Sta. Meteorologi pnk'!B55</f>
        <v>0</v>
      </c>
      <c r="AE52" s="131">
        <f>'Sta. Meteorologi pnk'!C55</f>
        <v>0</v>
      </c>
      <c r="AF52" s="131">
        <f>'Sta. Meteorologi pnk'!D55</f>
        <v>0</v>
      </c>
      <c r="AG52" s="131">
        <f>'Sta. Meteorologi pnk'!E55</f>
        <v>5.7</v>
      </c>
      <c r="AH52" s="131">
        <f>'Sta. Meteorologi pnk'!F55</f>
        <v>0</v>
      </c>
      <c r="AI52" s="131">
        <f>'Sta. Meteorologi pnk'!G55</f>
        <v>0</v>
      </c>
      <c r="AJ52" s="131">
        <f>'Sta. Meteorologi pnk'!H55</f>
        <v>0</v>
      </c>
      <c r="AK52" s="131">
        <f>'Sta. Meteorologi pnk'!I55</f>
        <v>1</v>
      </c>
      <c r="AL52" s="131">
        <f>'Sta. Meteorologi pnk'!J55</f>
        <v>0</v>
      </c>
      <c r="AM52" s="131">
        <f>'Sta. Meteorologi pnk'!K55</f>
        <v>0</v>
      </c>
      <c r="AN52" s="131">
        <f>'Sta. Meteorologi pnk'!L55</f>
        <v>0</v>
      </c>
      <c r="AO52" s="131">
        <f>'Sta. Meteorologi pnk'!M55</f>
        <v>0</v>
      </c>
      <c r="AQ52" s="130">
        <v>3</v>
      </c>
      <c r="AR52" s="131">
        <f t="shared" si="31"/>
        <v>0</v>
      </c>
      <c r="AS52" s="131">
        <f t="shared" si="29"/>
        <v>0</v>
      </c>
      <c r="AT52" s="131">
        <f t="shared" si="29"/>
        <v>0</v>
      </c>
      <c r="AU52" s="131">
        <f t="shared" si="29"/>
        <v>6.1209468889634202</v>
      </c>
      <c r="AV52" s="131">
        <f t="shared" si="29"/>
        <v>6.7999112832552546</v>
      </c>
      <c r="AW52" s="131">
        <f t="shared" si="29"/>
        <v>2.5904423936210499</v>
      </c>
      <c r="AX52" s="131">
        <f t="shared" si="29"/>
        <v>0</v>
      </c>
      <c r="AY52" s="131">
        <f t="shared" si="29"/>
        <v>0.67619470079736876</v>
      </c>
      <c r="AZ52" s="131">
        <f t="shared" si="29"/>
        <v>0.64761059840526247</v>
      </c>
      <c r="BA52" s="131">
        <f t="shared" si="29"/>
        <v>2.0075928550563136</v>
      </c>
      <c r="BB52" s="131">
        <f t="shared" si="29"/>
        <v>10.750335933527357</v>
      </c>
      <c r="BC52" s="131">
        <f t="shared" si="29"/>
        <v>0</v>
      </c>
      <c r="BE52" s="130">
        <v>3</v>
      </c>
      <c r="BF52" s="131">
        <f t="shared" si="32"/>
        <v>0</v>
      </c>
      <c r="BG52" s="131">
        <f t="shared" si="30"/>
        <v>0</v>
      </c>
      <c r="BH52" s="131">
        <f t="shared" si="30"/>
        <v>0</v>
      </c>
      <c r="BI52" s="131">
        <f t="shared" si="30"/>
        <v>6.1775403725747022</v>
      </c>
      <c r="BJ52" s="131">
        <f t="shared" si="30"/>
        <v>7.7141137108221267</v>
      </c>
      <c r="BK52" s="131">
        <f t="shared" si="30"/>
        <v>2.938709985075096</v>
      </c>
      <c r="BL52" s="131">
        <f t="shared" si="30"/>
        <v>0</v>
      </c>
      <c r="BM52" s="131">
        <f t="shared" si="30"/>
        <v>0.63266125186561295</v>
      </c>
      <c r="BN52" s="131">
        <f t="shared" si="30"/>
        <v>0.73467749626877399</v>
      </c>
      <c r="BO52" s="131">
        <f t="shared" si="30"/>
        <v>2.2775002384331993</v>
      </c>
      <c r="BP52" s="131">
        <f t="shared" si="30"/>
        <v>12.195646438061649</v>
      </c>
      <c r="BQ52" s="131">
        <f t="shared" si="30"/>
        <v>0</v>
      </c>
    </row>
    <row r="53" spans="1:69">
      <c r="A53" s="130">
        <v>4</v>
      </c>
      <c r="B53" s="131">
        <f>IF('Data 2'!B53&lt;0.1,0,'Data 2'!B53)</f>
        <v>1.314193537874961</v>
      </c>
      <c r="C53" s="131">
        <f>IF('Data 2'!C53&lt;0.1,0,'Data 2'!C53)</f>
        <v>0</v>
      </c>
      <c r="D53" s="131">
        <f>IF('Data 2'!D53&lt;0.1,0,'Data 2'!D53)</f>
        <v>0</v>
      </c>
      <c r="E53" s="131">
        <f>IF('Data 2'!E53&lt;0.1,0,'Data 2'!E53)</f>
        <v>25.632225897381588</v>
      </c>
      <c r="F53" s="131">
        <f>IF('Data 2'!F53&lt;0.1,0,'Data 2'!F53)</f>
        <v>0</v>
      </c>
      <c r="G53" s="131">
        <f>IF('Data 2'!G53&lt;0.1,0,'Data 2'!G53)</f>
        <v>0</v>
      </c>
      <c r="H53" s="131">
        <f>IF('Data 2'!H53&lt;0.1,0,'Data 2'!H53)</f>
        <v>0.32854838446874024</v>
      </c>
      <c r="I53" s="131">
        <f>IF('Data 2'!I53&lt;0.1,0,'Data 2'!I53)</f>
        <v>0</v>
      </c>
      <c r="J53" s="131">
        <f>IF('Data 2'!J53&lt;0.1,0,'Data 2'!J53)</f>
        <v>0</v>
      </c>
      <c r="K53" s="131">
        <f>IF('Data 2'!K53&lt;0.1,0,'Data 2'!K53)</f>
        <v>0</v>
      </c>
      <c r="L53" s="131">
        <f>IF('Data 2'!L53&lt;0.1,0,'Data 2'!L53)</f>
        <v>5.4539031821810893</v>
      </c>
      <c r="M53" s="131">
        <f>IF('Data 2'!M53&lt;0.1,0,'Data 2'!M53)</f>
        <v>0.4271128998093624</v>
      </c>
      <c r="O53" s="130">
        <v>4</v>
      </c>
      <c r="P53" s="131">
        <f>'Stasiun Pontianak Kota'!Q99</f>
        <v>0</v>
      </c>
      <c r="Q53" s="131">
        <f>'Stasiun Pontianak Kota'!R99</f>
        <v>0</v>
      </c>
      <c r="R53" s="131">
        <f>'Stasiun Pontianak Kota'!S99</f>
        <v>0</v>
      </c>
      <c r="S53" s="131">
        <f>'Stasiun Pontianak Kota'!T99</f>
        <v>37</v>
      </c>
      <c r="T53" s="131">
        <f>'Stasiun Pontianak Kota'!U99</f>
        <v>0</v>
      </c>
      <c r="U53" s="131">
        <f>'Stasiun Pontianak Kota'!V99</f>
        <v>0</v>
      </c>
      <c r="V53" s="131">
        <f>'Stasiun Pontianak Kota'!W99</f>
        <v>0</v>
      </c>
      <c r="W53" s="131">
        <f>'Stasiun Pontianak Kota'!X99</f>
        <v>0</v>
      </c>
      <c r="X53" s="131">
        <f>'Stasiun Pontianak Kota'!Y99</f>
        <v>0</v>
      </c>
      <c r="Y53" s="131">
        <f>'Stasiun Pontianak Kota'!Z99</f>
        <v>0</v>
      </c>
      <c r="Z53" s="131">
        <f>'Stasiun Pontianak Kota'!AA99</f>
        <v>0</v>
      </c>
      <c r="AA53" s="131">
        <f>'Stasiun Pontianak Kota'!AB99</f>
        <v>0</v>
      </c>
      <c r="AC53" s="130">
        <v>4</v>
      </c>
      <c r="AD53" s="131">
        <f>'Sta. Meteorologi pnk'!B56</f>
        <v>4</v>
      </c>
      <c r="AE53" s="131">
        <f>'Sta. Meteorologi pnk'!C56</f>
        <v>0</v>
      </c>
      <c r="AF53" s="131">
        <f>'Sta. Meteorologi pnk'!D56</f>
        <v>0</v>
      </c>
      <c r="AG53" s="131">
        <f>'Sta. Meteorologi pnk'!E56</f>
        <v>2.4</v>
      </c>
      <c r="AH53" s="131">
        <f>'Sta. Meteorologi pnk'!F56</f>
        <v>0</v>
      </c>
      <c r="AI53" s="131">
        <f>'Sta. Meteorologi pnk'!G56</f>
        <v>0</v>
      </c>
      <c r="AJ53" s="131">
        <f>'Sta. Meteorologi pnk'!H56</f>
        <v>1</v>
      </c>
      <c r="AK53" s="131">
        <f>'Sta. Meteorologi pnk'!I56</f>
        <v>0</v>
      </c>
      <c r="AL53" s="131">
        <f>'Sta. Meteorologi pnk'!J56</f>
        <v>0</v>
      </c>
      <c r="AM53" s="131">
        <f>'Sta. Meteorologi pnk'!K56</f>
        <v>0</v>
      </c>
      <c r="AN53" s="131">
        <f>'Sta. Meteorologi pnk'!L56</f>
        <v>16.600000000000001</v>
      </c>
      <c r="AO53" s="131">
        <f>'Sta. Meteorologi pnk'!M56</f>
        <v>1.3</v>
      </c>
      <c r="AQ53" s="130">
        <v>4</v>
      </c>
      <c r="AR53" s="131">
        <f t="shared" si="31"/>
        <v>2.7047788031894751</v>
      </c>
      <c r="AS53" s="131">
        <f t="shared" si="29"/>
        <v>0</v>
      </c>
      <c r="AT53" s="131">
        <f t="shared" si="29"/>
        <v>0</v>
      </c>
      <c r="AU53" s="131">
        <f t="shared" si="29"/>
        <v>13.60366335241104</v>
      </c>
      <c r="AV53" s="131">
        <f t="shared" si="29"/>
        <v>0</v>
      </c>
      <c r="AW53" s="131">
        <f t="shared" si="29"/>
        <v>0</v>
      </c>
      <c r="AX53" s="131">
        <f t="shared" si="29"/>
        <v>0.67619470079736876</v>
      </c>
      <c r="AY53" s="131">
        <f t="shared" si="29"/>
        <v>0</v>
      </c>
      <c r="AZ53" s="131">
        <f t="shared" si="29"/>
        <v>0</v>
      </c>
      <c r="BA53" s="131">
        <f t="shared" si="29"/>
        <v>0</v>
      </c>
      <c r="BB53" s="131">
        <f t="shared" si="29"/>
        <v>11.224832033236321</v>
      </c>
      <c r="BC53" s="131">
        <f t="shared" si="29"/>
        <v>0.87905311103657935</v>
      </c>
      <c r="BE53" s="130">
        <v>4</v>
      </c>
      <c r="BF53" s="131">
        <f t="shared" si="32"/>
        <v>2.5306450074624518</v>
      </c>
      <c r="BG53" s="131">
        <f t="shared" si="30"/>
        <v>0</v>
      </c>
      <c r="BH53" s="131">
        <f t="shared" si="30"/>
        <v>0</v>
      </c>
      <c r="BI53" s="131">
        <f t="shared" si="30"/>
        <v>15.109920685449792</v>
      </c>
      <c r="BJ53" s="131">
        <f t="shared" si="30"/>
        <v>0</v>
      </c>
      <c r="BK53" s="131">
        <f t="shared" si="30"/>
        <v>0</v>
      </c>
      <c r="BL53" s="131">
        <f t="shared" si="30"/>
        <v>0.63266125186561295</v>
      </c>
      <c r="BM53" s="131">
        <f t="shared" si="30"/>
        <v>0</v>
      </c>
      <c r="BN53" s="131">
        <f t="shared" si="30"/>
        <v>0</v>
      </c>
      <c r="BO53" s="131">
        <f t="shared" si="30"/>
        <v>0</v>
      </c>
      <c r="BP53" s="131">
        <f t="shared" si="30"/>
        <v>10.502176780969178</v>
      </c>
      <c r="BQ53" s="131">
        <f t="shared" si="30"/>
        <v>0.82245962742529699</v>
      </c>
    </row>
    <row r="54" spans="1:69">
      <c r="A54" s="130">
        <v>5</v>
      </c>
      <c r="B54" s="131">
        <f>IF('Data 2'!B54&lt;0.1,0,'Data 2'!B54)</f>
        <v>4.7843709774656604</v>
      </c>
      <c r="C54" s="131">
        <f>IF('Data 2'!C54&lt;0.1,0,'Data 2'!C54)</f>
        <v>0</v>
      </c>
      <c r="D54" s="131">
        <f>IF('Data 2'!D54&lt;0.1,0,'Data 2'!D54)</f>
        <v>0</v>
      </c>
      <c r="E54" s="131">
        <f>IF('Data 2'!E54&lt;0.1,0,'Data 2'!E54)</f>
        <v>10.554387108337542</v>
      </c>
      <c r="F54" s="131">
        <f>IF('Data 2'!F54&lt;0.1,0,'Data 2'!F54)</f>
        <v>0</v>
      </c>
      <c r="G54" s="131">
        <f>IF('Data 2'!G54&lt;0.1,0,'Data 2'!G54)</f>
        <v>15.573193423818289</v>
      </c>
      <c r="H54" s="131">
        <f>IF('Data 2'!H54&lt;0.1,0,'Data 2'!H54)</f>
        <v>0</v>
      </c>
      <c r="I54" s="131">
        <f>IF('Data 2'!I54&lt;0.1,0,'Data 2'!I54)</f>
        <v>5.7167418897560802</v>
      </c>
      <c r="J54" s="131">
        <f>IF('Data 2'!J54&lt;0.1,0,'Data 2'!J54)</f>
        <v>0</v>
      </c>
      <c r="K54" s="131">
        <f>IF('Data 2'!K54&lt;0.1,0,'Data 2'!K54)</f>
        <v>0</v>
      </c>
      <c r="L54" s="131">
        <f>IF('Data 2'!L54&lt;0.1,0,'Data 2'!L54)</f>
        <v>38.309096834112715</v>
      </c>
      <c r="M54" s="131">
        <f>IF('Data 2'!M54&lt;0.1,0,'Data 2'!M54)</f>
        <v>0</v>
      </c>
      <c r="O54" s="130">
        <v>5</v>
      </c>
      <c r="P54" s="131">
        <f>'Stasiun Pontianak Kota'!Q100</f>
        <v>6</v>
      </c>
      <c r="Q54" s="131">
        <f>'Stasiun Pontianak Kota'!R100</f>
        <v>0</v>
      </c>
      <c r="R54" s="131">
        <f>'Stasiun Pontianak Kota'!S100</f>
        <v>0</v>
      </c>
      <c r="S54" s="131">
        <f>'Stasiun Pontianak Kota'!T100</f>
        <v>12</v>
      </c>
      <c r="T54" s="131">
        <f>'Stasiun Pontianak Kota'!U100</f>
        <v>0</v>
      </c>
      <c r="U54" s="131">
        <f>'Stasiun Pontianak Kota'!V100</f>
        <v>0</v>
      </c>
      <c r="V54" s="131">
        <f>'Stasiun Pontianak Kota'!W100</f>
        <v>0</v>
      </c>
      <c r="W54" s="131">
        <f>'Stasiun Pontianak Kota'!X100</f>
        <v>0</v>
      </c>
      <c r="X54" s="131">
        <f>'Stasiun Pontianak Kota'!Y100</f>
        <v>0</v>
      </c>
      <c r="Y54" s="131">
        <f>'Stasiun Pontianak Kota'!Z100</f>
        <v>0</v>
      </c>
      <c r="Z54" s="131">
        <f>'Stasiun Pontianak Kota'!AA100</f>
        <v>45.8</v>
      </c>
      <c r="AA54" s="131">
        <f>'Stasiun Pontianak Kota'!AB100</f>
        <v>0</v>
      </c>
      <c r="AC54" s="130">
        <v>5</v>
      </c>
      <c r="AD54" s="131">
        <f>'Sta. Meteorologi pnk'!B57</f>
        <v>2.2999999999999998</v>
      </c>
      <c r="AE54" s="131">
        <f>'Sta. Meteorologi pnk'!C57</f>
        <v>0</v>
      </c>
      <c r="AF54" s="131">
        <f>'Sta. Meteorologi pnk'!D57</f>
        <v>0</v>
      </c>
      <c r="AG54" s="131">
        <f>'Sta. Meteorologi pnk'!E57</f>
        <v>7.6</v>
      </c>
      <c r="AH54" s="131">
        <f>'Sta. Meteorologi pnk'!F57</f>
        <v>0</v>
      </c>
      <c r="AI54" s="131">
        <f>'Sta. Meteorologi pnk'!G57</f>
        <v>47.4</v>
      </c>
      <c r="AJ54" s="131">
        <f>'Sta. Meteorologi pnk'!H57</f>
        <v>0</v>
      </c>
      <c r="AK54" s="131">
        <f>'Sta. Meteorologi pnk'!I57</f>
        <v>17.399999999999999</v>
      </c>
      <c r="AL54" s="131">
        <f>'Sta. Meteorologi pnk'!J57</f>
        <v>0</v>
      </c>
      <c r="AM54" s="131">
        <f>'Sta. Meteorologi pnk'!K57</f>
        <v>0</v>
      </c>
      <c r="AN54" s="131">
        <f>'Sta. Meteorologi pnk'!L57</f>
        <v>23</v>
      </c>
      <c r="AO54" s="131">
        <f>'Sta. Meteorologi pnk'!M57</f>
        <v>0</v>
      </c>
      <c r="AQ54" s="130">
        <v>5</v>
      </c>
      <c r="AR54" s="131">
        <f t="shared" si="31"/>
        <v>3.4980796070497351</v>
      </c>
      <c r="AS54" s="131">
        <f t="shared" si="29"/>
        <v>0</v>
      </c>
      <c r="AT54" s="131">
        <f t="shared" si="29"/>
        <v>0</v>
      </c>
      <c r="AU54" s="131">
        <f t="shared" si="29"/>
        <v>9.0247433164915751</v>
      </c>
      <c r="AV54" s="131">
        <f t="shared" si="29"/>
        <v>0</v>
      </c>
      <c r="AW54" s="131">
        <f t="shared" si="29"/>
        <v>32.051628817795276</v>
      </c>
      <c r="AX54" s="131">
        <f t="shared" si="29"/>
        <v>0</v>
      </c>
      <c r="AY54" s="131">
        <f t="shared" si="29"/>
        <v>11.765787793874216</v>
      </c>
      <c r="AZ54" s="131">
        <f t="shared" si="29"/>
        <v>0</v>
      </c>
      <c r="BA54" s="131">
        <f t="shared" si="29"/>
        <v>0</v>
      </c>
      <c r="BB54" s="131">
        <f t="shared" si="29"/>
        <v>30.382760821819993</v>
      </c>
      <c r="BC54" s="131">
        <f t="shared" si="29"/>
        <v>0</v>
      </c>
      <c r="BE54" s="130">
        <v>5</v>
      </c>
      <c r="BF54" s="131">
        <f t="shared" si="32"/>
        <v>3.6591533680972317</v>
      </c>
      <c r="BG54" s="131">
        <f t="shared" si="30"/>
        <v>0</v>
      </c>
      <c r="BH54" s="131">
        <f t="shared" si="30"/>
        <v>0</v>
      </c>
      <c r="BI54" s="131">
        <f t="shared" si="30"/>
        <v>9.2162904917913018</v>
      </c>
      <c r="BJ54" s="131">
        <f t="shared" si="30"/>
        <v>0</v>
      </c>
      <c r="BK54" s="131">
        <f t="shared" si="30"/>
        <v>29.988143338430053</v>
      </c>
      <c r="BL54" s="131">
        <f t="shared" si="30"/>
        <v>0</v>
      </c>
      <c r="BM54" s="131">
        <f t="shared" si="30"/>
        <v>11.008305782461665</v>
      </c>
      <c r="BN54" s="131">
        <f t="shared" si="30"/>
        <v>0</v>
      </c>
      <c r="BO54" s="131">
        <f t="shared" si="30"/>
        <v>0</v>
      </c>
      <c r="BP54" s="131">
        <f t="shared" si="30"/>
        <v>31.37532345746402</v>
      </c>
      <c r="BQ54" s="131">
        <f t="shared" si="30"/>
        <v>0</v>
      </c>
    </row>
    <row r="55" spans="1:69">
      <c r="A55" s="130">
        <v>6</v>
      </c>
      <c r="B55" s="131">
        <f>IF('Data 2'!B55&lt;0.1,0,'Data 2'!B55)</f>
        <v>1.3757580695093934</v>
      </c>
      <c r="C55" s="131">
        <f>IF('Data 2'!C55&lt;0.1,0,'Data 2'!C55)</f>
        <v>0</v>
      </c>
      <c r="D55" s="131">
        <f>IF('Data 2'!D55&lt;0.1,0,'Data 2'!D55)</f>
        <v>0</v>
      </c>
      <c r="E55" s="131">
        <f>IF('Data 2'!E55&lt;0.1,0,'Data 2'!E55)</f>
        <v>4.9630000162938099</v>
      </c>
      <c r="F55" s="131">
        <f>IF('Data 2'!F55&lt;0.1,0,'Data 2'!F55)</f>
        <v>6.5381128509279316</v>
      </c>
      <c r="G55" s="131">
        <f>IF('Data 2'!G55&lt;0.1,0,'Data 2'!G55)</f>
        <v>51.015967933781951</v>
      </c>
      <c r="H55" s="131">
        <f>IF('Data 2'!H55&lt;0.1,0,'Data 2'!H55)</f>
        <v>0</v>
      </c>
      <c r="I55" s="131">
        <f>IF('Data 2'!I55&lt;0.1,0,'Data 2'!I55)</f>
        <v>1.3429032310625193</v>
      </c>
      <c r="J55" s="131">
        <f>IF('Data 2'!J55&lt;0.1,0,'Data 2'!J55)</f>
        <v>0.32854838446874024</v>
      </c>
      <c r="K55" s="131">
        <f>IF('Data 2'!K55&lt;0.1,0,'Data 2'!K55)</f>
        <v>1.1170645071937169</v>
      </c>
      <c r="L55" s="131">
        <f>IF('Data 2'!L55&lt;0.1,0,'Data 2'!L55)</f>
        <v>7.5159516399719752</v>
      </c>
      <c r="M55" s="131">
        <f>IF('Data 2'!M55&lt;0.1,0,'Data 2'!M55)</f>
        <v>0</v>
      </c>
      <c r="O55" s="130">
        <v>6</v>
      </c>
      <c r="P55" s="131">
        <f>'Stasiun Pontianak Kota'!Q101</f>
        <v>2</v>
      </c>
      <c r="Q55" s="131">
        <f>'Stasiun Pontianak Kota'!R101</f>
        <v>0</v>
      </c>
      <c r="R55" s="131">
        <f>'Stasiun Pontianak Kota'!S101</f>
        <v>0</v>
      </c>
      <c r="S55" s="131">
        <f>'Stasiun Pontianak Kota'!T101</f>
        <v>7</v>
      </c>
      <c r="T55" s="131">
        <f>'Stasiun Pontianak Kota'!U101</f>
        <v>0</v>
      </c>
      <c r="U55" s="131">
        <f>'Stasiun Pontianak Kota'!V101</f>
        <v>75</v>
      </c>
      <c r="V55" s="131">
        <f>'Stasiun Pontianak Kota'!W101</f>
        <v>0</v>
      </c>
      <c r="W55" s="131">
        <f>'Stasiun Pontianak Kota'!X101</f>
        <v>2</v>
      </c>
      <c r="X55" s="131">
        <f>'Stasiun Pontianak Kota'!Y101</f>
        <v>0</v>
      </c>
      <c r="Y55" s="131">
        <f>'Stasiun Pontianak Kota'!Z101</f>
        <v>0</v>
      </c>
      <c r="Z55" s="131">
        <f>'Stasiun Pontianak Kota'!AA101</f>
        <v>10.9</v>
      </c>
      <c r="AA55" s="131">
        <f>'Stasiun Pontianak Kota'!AB101</f>
        <v>0</v>
      </c>
      <c r="AC55" s="130">
        <v>6</v>
      </c>
      <c r="AD55" s="131">
        <f>'Sta. Meteorologi pnk'!B58</f>
        <v>0.1</v>
      </c>
      <c r="AE55" s="131">
        <f>'Sta. Meteorologi pnk'!C58</f>
        <v>0</v>
      </c>
      <c r="AF55" s="131">
        <f>'Sta. Meteorologi pnk'!D58</f>
        <v>0</v>
      </c>
      <c r="AG55" s="131">
        <f>'Sta. Meteorologi pnk'!E58</f>
        <v>0.8</v>
      </c>
      <c r="AH55" s="131">
        <f>'Sta. Meteorologi pnk'!F58</f>
        <v>19.899999999999999</v>
      </c>
      <c r="AI55" s="131">
        <f>'Sta. Meteorologi pnk'!G58</f>
        <v>2</v>
      </c>
      <c r="AJ55" s="131">
        <f>'Sta. Meteorologi pnk'!H58</f>
        <v>0</v>
      </c>
      <c r="AK55" s="131">
        <f>'Sta. Meteorologi pnk'!I58</f>
        <v>0</v>
      </c>
      <c r="AL55" s="131">
        <f>'Sta. Meteorologi pnk'!J58</f>
        <v>1</v>
      </c>
      <c r="AM55" s="131">
        <f>'Sta. Meteorologi pnk'!K58</f>
        <v>3.4</v>
      </c>
      <c r="AN55" s="131">
        <f>'Sta. Meteorologi pnk'!L58</f>
        <v>0.6</v>
      </c>
      <c r="AO55" s="131">
        <f>'Sta. Meteorologi pnk'!M58</f>
        <v>0</v>
      </c>
      <c r="AQ55" s="130">
        <v>6</v>
      </c>
      <c r="AR55" s="131">
        <f t="shared" si="31"/>
        <v>0.71523006848499937</v>
      </c>
      <c r="AS55" s="131">
        <f t="shared" si="29"/>
        <v>0</v>
      </c>
      <c r="AT55" s="131">
        <f t="shared" si="29"/>
        <v>0</v>
      </c>
      <c r="AU55" s="131">
        <f t="shared" si="29"/>
        <v>2.8075928550563134</v>
      </c>
      <c r="AV55" s="131">
        <f t="shared" si="29"/>
        <v>13.456274545867636</v>
      </c>
      <c r="AW55" s="131">
        <f t="shared" si="29"/>
        <v>25.637786841792074</v>
      </c>
      <c r="AX55" s="131">
        <f t="shared" si="29"/>
        <v>0</v>
      </c>
      <c r="AY55" s="131">
        <f t="shared" si="29"/>
        <v>0.64761059840526247</v>
      </c>
      <c r="AZ55" s="131">
        <f t="shared" si="29"/>
        <v>0.67619470079736876</v>
      </c>
      <c r="BA55" s="131">
        <f t="shared" si="29"/>
        <v>2.2990619827110534</v>
      </c>
      <c r="BB55" s="131">
        <f t="shared" si="29"/>
        <v>3.9351945817871017</v>
      </c>
      <c r="BC55" s="131">
        <f t="shared" si="29"/>
        <v>0</v>
      </c>
      <c r="BE55" s="130">
        <v>6</v>
      </c>
      <c r="BF55" s="131">
        <f t="shared" si="32"/>
        <v>0.79794362145533526</v>
      </c>
      <c r="BG55" s="131">
        <f t="shared" si="30"/>
        <v>0</v>
      </c>
      <c r="BH55" s="131">
        <f t="shared" si="30"/>
        <v>0</v>
      </c>
      <c r="BI55" s="131">
        <f t="shared" si="30"/>
        <v>3.0775002384331991</v>
      </c>
      <c r="BJ55" s="131">
        <f t="shared" si="30"/>
        <v>12.589958912125697</v>
      </c>
      <c r="BK55" s="131">
        <f t="shared" si="30"/>
        <v>28.815728613810247</v>
      </c>
      <c r="BL55" s="131">
        <f t="shared" si="30"/>
        <v>0</v>
      </c>
      <c r="BM55" s="131">
        <f t="shared" si="30"/>
        <v>0.73467749626877399</v>
      </c>
      <c r="BN55" s="131">
        <f t="shared" si="30"/>
        <v>0.63266125186561295</v>
      </c>
      <c r="BO55" s="131">
        <f t="shared" si="30"/>
        <v>2.1510482563430839</v>
      </c>
      <c r="BP55" s="131">
        <f t="shared" si="30"/>
        <v>4.3835891057841865</v>
      </c>
      <c r="BQ55" s="131">
        <f t="shared" si="30"/>
        <v>0</v>
      </c>
    </row>
    <row r="56" spans="1:69">
      <c r="A56" s="130">
        <v>7</v>
      </c>
      <c r="B56" s="131">
        <f>IF('Data 2'!B56&lt;0.1,0,'Data 2'!B56)</f>
        <v>1.7084515992374496</v>
      </c>
      <c r="C56" s="131">
        <f>IF('Data 2'!C56&lt;0.1,0,'Data 2'!C56)</f>
        <v>0</v>
      </c>
      <c r="D56" s="131">
        <f>IF('Data 2'!D56&lt;0.1,0,'Data 2'!D56)</f>
        <v>0</v>
      </c>
      <c r="E56" s="131">
        <f>IF('Data 2'!E56&lt;0.1,0,'Data 2'!E56)</f>
        <v>9.4003226174376344</v>
      </c>
      <c r="F56" s="131">
        <f>IF('Data 2'!F56&lt;0.1,0,'Data 2'!F56)</f>
        <v>11.663161325012627</v>
      </c>
      <c r="G56" s="131">
        <f>IF('Data 2'!G56&lt;0.1,0,'Data 2'!G56)</f>
        <v>0</v>
      </c>
      <c r="H56" s="131">
        <f>IF('Data 2'!H56&lt;0.1,0,'Data 2'!H56)</f>
        <v>1.248483860981213</v>
      </c>
      <c r="I56" s="131">
        <f>IF('Data 2'!I56&lt;0.1,0,'Data 2'!I56)</f>
        <v>0</v>
      </c>
      <c r="J56" s="131">
        <f>IF('Data 2'!J56&lt;0.1,0,'Data 2'!J56)</f>
        <v>2.0143548465937791</v>
      </c>
      <c r="K56" s="131">
        <f>IF('Data 2'!K56&lt;0.1,0,'Data 2'!K56)</f>
        <v>26.858064621250385</v>
      </c>
      <c r="L56" s="131">
        <f>IF('Data 2'!L56&lt;0.1,0,'Data 2'!L56)</f>
        <v>24.246870773793031</v>
      </c>
      <c r="M56" s="131">
        <f>IF('Data 2'!M56&lt;0.1,0,'Data 2'!M56)</f>
        <v>0</v>
      </c>
      <c r="O56" s="130">
        <v>7</v>
      </c>
      <c r="P56" s="131">
        <f>'Stasiun Pontianak Kota'!Q102</f>
        <v>0</v>
      </c>
      <c r="Q56" s="131">
        <f>'Stasiun Pontianak Kota'!R102</f>
        <v>0</v>
      </c>
      <c r="R56" s="131">
        <f>'Stasiun Pontianak Kota'!S102</f>
        <v>0</v>
      </c>
      <c r="S56" s="131">
        <f>'Stasiun Pontianak Kota'!T102</f>
        <v>14</v>
      </c>
      <c r="T56" s="131">
        <f>'Stasiun Pontianak Kota'!U102</f>
        <v>16</v>
      </c>
      <c r="U56" s="131">
        <f>'Stasiun Pontianak Kota'!V102</f>
        <v>0</v>
      </c>
      <c r="V56" s="131">
        <f>'Stasiun Pontianak Kota'!W102</f>
        <v>0</v>
      </c>
      <c r="W56" s="131">
        <f>'Stasiun Pontianak Kota'!X102</f>
        <v>0</v>
      </c>
      <c r="X56" s="131">
        <f>'Stasiun Pontianak Kota'!Y102</f>
        <v>3</v>
      </c>
      <c r="Y56" s="131">
        <f>'Stasiun Pontianak Kota'!Z102</f>
        <v>40</v>
      </c>
      <c r="Z56" s="131">
        <f>'Stasiun Pontianak Kota'!AA102</f>
        <v>0</v>
      </c>
      <c r="AA56" s="131">
        <f>'Stasiun Pontianak Kota'!AB102</f>
        <v>0</v>
      </c>
      <c r="AC56" s="130">
        <v>7</v>
      </c>
      <c r="AD56" s="131">
        <f>'Sta. Meteorologi pnk'!B59</f>
        <v>5.2</v>
      </c>
      <c r="AE56" s="131">
        <f>'Sta. Meteorologi pnk'!C59</f>
        <v>0</v>
      </c>
      <c r="AF56" s="131">
        <f>'Sta. Meteorologi pnk'!D59</f>
        <v>0</v>
      </c>
      <c r="AG56" s="131">
        <f>'Sta. Meteorologi pnk'!E59</f>
        <v>0</v>
      </c>
      <c r="AH56" s="131">
        <f>'Sta. Meteorologi pnk'!F59</f>
        <v>2.8</v>
      </c>
      <c r="AI56" s="131">
        <f>'Sta. Meteorologi pnk'!G59</f>
        <v>0</v>
      </c>
      <c r="AJ56" s="131">
        <f>'Sta. Meteorologi pnk'!H59</f>
        <v>3.8</v>
      </c>
      <c r="AK56" s="131">
        <f>'Sta. Meteorologi pnk'!I59</f>
        <v>0</v>
      </c>
      <c r="AL56" s="131">
        <f>'Sta. Meteorologi pnk'!J59</f>
        <v>0</v>
      </c>
      <c r="AM56" s="131">
        <f>'Sta. Meteorologi pnk'!K59</f>
        <v>0</v>
      </c>
      <c r="AN56" s="131">
        <f>'Sta. Meteorologi pnk'!L59</f>
        <v>73.8</v>
      </c>
      <c r="AO56" s="131">
        <f>'Sta. Meteorologi pnk'!M59</f>
        <v>0</v>
      </c>
      <c r="AQ56" s="130">
        <v>7</v>
      </c>
      <c r="AR56" s="131">
        <f t="shared" si="31"/>
        <v>3.5162124441463174</v>
      </c>
      <c r="AS56" s="131">
        <f t="shared" si="29"/>
        <v>0</v>
      </c>
      <c r="AT56" s="131">
        <f t="shared" si="29"/>
        <v>0</v>
      </c>
      <c r="AU56" s="131">
        <f t="shared" si="29"/>
        <v>4.5332741888368364</v>
      </c>
      <c r="AV56" s="131">
        <f t="shared" si="29"/>
        <v>7.0742299494747316</v>
      </c>
      <c r="AW56" s="131">
        <f t="shared" si="29"/>
        <v>0</v>
      </c>
      <c r="AX56" s="131">
        <f t="shared" si="29"/>
        <v>2.569539863030001</v>
      </c>
      <c r="AY56" s="131">
        <f t="shared" si="29"/>
        <v>0</v>
      </c>
      <c r="AZ56" s="131">
        <f t="shared" si="29"/>
        <v>0.97141589760789349</v>
      </c>
      <c r="BA56" s="131">
        <f t="shared" si="29"/>
        <v>12.952211968105248</v>
      </c>
      <c r="BB56" s="131">
        <f t="shared" si="29"/>
        <v>49.903168918845807</v>
      </c>
      <c r="BC56" s="131">
        <f t="shared" si="29"/>
        <v>0</v>
      </c>
      <c r="BE56" s="130">
        <v>7</v>
      </c>
      <c r="BF56" s="131">
        <f t="shared" si="32"/>
        <v>3.289838509701188</v>
      </c>
      <c r="BG56" s="131">
        <f t="shared" si="30"/>
        <v>0</v>
      </c>
      <c r="BH56" s="131">
        <f t="shared" si="30"/>
        <v>0</v>
      </c>
      <c r="BI56" s="131">
        <f t="shared" si="30"/>
        <v>5.1427424738814178</v>
      </c>
      <c r="BJ56" s="131">
        <f t="shared" si="30"/>
        <v>7.648871475373908</v>
      </c>
      <c r="BK56" s="131">
        <f t="shared" si="30"/>
        <v>0</v>
      </c>
      <c r="BL56" s="131">
        <f t="shared" si="30"/>
        <v>2.4041127570893295</v>
      </c>
      <c r="BM56" s="131">
        <f t="shared" si="30"/>
        <v>0</v>
      </c>
      <c r="BN56" s="131">
        <f t="shared" si="30"/>
        <v>1.1020162444031609</v>
      </c>
      <c r="BO56" s="131">
        <f t="shared" si="30"/>
        <v>14.693549925375478</v>
      </c>
      <c r="BP56" s="131">
        <f t="shared" si="30"/>
        <v>46.690400387682239</v>
      </c>
      <c r="BQ56" s="131">
        <f t="shared" si="30"/>
        <v>0</v>
      </c>
    </row>
    <row r="57" spans="1:69">
      <c r="A57" s="130">
        <v>8</v>
      </c>
      <c r="B57" s="131">
        <f>IF('Data 2'!B57&lt;0.1,0,'Data 2'!B57)</f>
        <v>2.6858064621250386</v>
      </c>
      <c r="C57" s="131">
        <f>IF('Data 2'!C57&lt;0.1,0,'Data 2'!C57)</f>
        <v>0</v>
      </c>
      <c r="D57" s="131">
        <f>IF('Data 2'!D57&lt;0.1,0,'Data 2'!D57)</f>
        <v>0</v>
      </c>
      <c r="E57" s="131">
        <f>IF('Data 2'!E57&lt;0.1,0,'Data 2'!E57)</f>
        <v>3.1869193293467806</v>
      </c>
      <c r="F57" s="131">
        <f>IF('Data 2'!F57&lt;0.1,0,'Data 2'!F57)</f>
        <v>17.051661153927618</v>
      </c>
      <c r="G57" s="131">
        <f>IF('Data 2'!G57&lt;0.1,0,'Data 2'!G57)</f>
        <v>8.7288710019063753</v>
      </c>
      <c r="H57" s="131">
        <f>IF('Data 2'!H57&lt;0.1,0,'Data 2'!H57)</f>
        <v>9.9260000325876199</v>
      </c>
      <c r="I57" s="131">
        <f>IF('Data 2'!I57&lt;0.1,0,'Data 2'!I57)</f>
        <v>0</v>
      </c>
      <c r="J57" s="131">
        <f>IF('Data 2'!J57&lt;0.1,0,'Data 2'!J57)</f>
        <v>0</v>
      </c>
      <c r="K57" s="131">
        <f>IF('Data 2'!K57&lt;0.1,0,'Data 2'!K57)</f>
        <v>0</v>
      </c>
      <c r="L57" s="131">
        <f>IF('Data 2'!L57&lt;0.1,0,'Data 2'!L57)</f>
        <v>23.98883874016261</v>
      </c>
      <c r="M57" s="131">
        <f>IF('Data 2'!M57&lt;0.1,0,'Data 2'!M57)</f>
        <v>3.5483225522623951</v>
      </c>
      <c r="O57" s="130">
        <v>8</v>
      </c>
      <c r="P57" s="131">
        <f>'Stasiun Pontianak Kota'!Q103</f>
        <v>4</v>
      </c>
      <c r="Q57" s="131">
        <f>'Stasiun Pontianak Kota'!R103</f>
        <v>0</v>
      </c>
      <c r="R57" s="131">
        <f>'Stasiun Pontianak Kota'!S103</f>
        <v>0</v>
      </c>
      <c r="S57" s="131">
        <f>'Stasiun Pontianak Kota'!T103</f>
        <v>0</v>
      </c>
      <c r="T57" s="131">
        <f>'Stasiun Pontianak Kota'!U103</f>
        <v>0</v>
      </c>
      <c r="U57" s="131">
        <f>'Stasiun Pontianak Kota'!V103</f>
        <v>13</v>
      </c>
      <c r="V57" s="131">
        <f>'Stasiun Pontianak Kota'!W103</f>
        <v>14</v>
      </c>
      <c r="W57" s="131">
        <f>'Stasiun Pontianak Kota'!X103</f>
        <v>0</v>
      </c>
      <c r="X57" s="131">
        <f>'Stasiun Pontianak Kota'!Y103</f>
        <v>0</v>
      </c>
      <c r="Y57" s="131">
        <f>'Stasiun Pontianak Kota'!Z103</f>
        <v>0</v>
      </c>
      <c r="Z57" s="131">
        <f>'Stasiun Pontianak Kota'!AA103</f>
        <v>27.8</v>
      </c>
      <c r="AA57" s="131">
        <f>'Stasiun Pontianak Kota'!AB103</f>
        <v>0</v>
      </c>
      <c r="AC57" s="130">
        <v>8</v>
      </c>
      <c r="AD57" s="131">
        <f>'Sta. Meteorologi pnk'!B60</f>
        <v>0</v>
      </c>
      <c r="AE57" s="131">
        <f>'Sta. Meteorologi pnk'!C60</f>
        <v>0</v>
      </c>
      <c r="AF57" s="131">
        <f>'Sta. Meteorologi pnk'!D60</f>
        <v>0</v>
      </c>
      <c r="AG57" s="131">
        <f>'Sta. Meteorologi pnk'!E60</f>
        <v>9.6999999999999993</v>
      </c>
      <c r="AH57" s="131">
        <f>'Sta. Meteorologi pnk'!F60</f>
        <v>51.9</v>
      </c>
      <c r="AI57" s="131">
        <f>'Sta. Meteorologi pnk'!G60</f>
        <v>0</v>
      </c>
      <c r="AJ57" s="131">
        <f>'Sta. Meteorologi pnk'!H60</f>
        <v>1.6</v>
      </c>
      <c r="AK57" s="131">
        <f>'Sta. Meteorologi pnk'!I60</f>
        <v>0</v>
      </c>
      <c r="AL57" s="131">
        <f>'Sta. Meteorologi pnk'!J60</f>
        <v>0</v>
      </c>
      <c r="AM57" s="131">
        <f>'Sta. Meteorologi pnk'!K60</f>
        <v>0</v>
      </c>
      <c r="AN57" s="131">
        <f>'Sta. Meteorologi pnk'!L60</f>
        <v>16.2</v>
      </c>
      <c r="AO57" s="131">
        <f>'Sta. Meteorologi pnk'!M60</f>
        <v>10.8</v>
      </c>
      <c r="AQ57" s="130">
        <v>8</v>
      </c>
      <c r="AR57" s="131">
        <f t="shared" si="31"/>
        <v>1.2952211968105249</v>
      </c>
      <c r="AS57" s="131">
        <f t="shared" si="29"/>
        <v>0</v>
      </c>
      <c r="AT57" s="131">
        <f t="shared" si="29"/>
        <v>0</v>
      </c>
      <c r="AU57" s="131">
        <f t="shared" si="29"/>
        <v>6.5590885977344762</v>
      </c>
      <c r="AV57" s="131">
        <f t="shared" si="29"/>
        <v>35.094504971383436</v>
      </c>
      <c r="AW57" s="131">
        <f t="shared" si="29"/>
        <v>4.2094688896342056</v>
      </c>
      <c r="AX57" s="131">
        <f t="shared" si="29"/>
        <v>5.6151857101126268</v>
      </c>
      <c r="AY57" s="131">
        <f t="shared" si="29"/>
        <v>0</v>
      </c>
      <c r="AZ57" s="131">
        <f t="shared" si="29"/>
        <v>0</v>
      </c>
      <c r="BA57" s="131">
        <f t="shared" si="29"/>
        <v>0</v>
      </c>
      <c r="BB57" s="131">
        <f t="shared" si="29"/>
        <v>19.95614147075052</v>
      </c>
      <c r="BC57" s="131">
        <f t="shared" si="29"/>
        <v>7.3029027686115819</v>
      </c>
      <c r="BE57" s="130">
        <v>8</v>
      </c>
      <c r="BF57" s="131">
        <f t="shared" si="32"/>
        <v>1.469354992537548</v>
      </c>
      <c r="BG57" s="131">
        <f t="shared" si="30"/>
        <v>0</v>
      </c>
      <c r="BH57" s="131">
        <f t="shared" si="30"/>
        <v>0</v>
      </c>
      <c r="BI57" s="131">
        <f t="shared" si="30"/>
        <v>6.1368141430964451</v>
      </c>
      <c r="BJ57" s="131">
        <f t="shared" si="30"/>
        <v>32.835118971825317</v>
      </c>
      <c r="BK57" s="131">
        <f t="shared" si="30"/>
        <v>4.7754037257470312</v>
      </c>
      <c r="BL57" s="131">
        <f t="shared" si="30"/>
        <v>6.1550004768663982</v>
      </c>
      <c r="BM57" s="131">
        <f t="shared" si="30"/>
        <v>0</v>
      </c>
      <c r="BN57" s="131">
        <f t="shared" si="30"/>
        <v>0</v>
      </c>
      <c r="BO57" s="131">
        <f t="shared" si="30"/>
        <v>0</v>
      </c>
      <c r="BP57" s="131">
        <f t="shared" si="30"/>
        <v>20.461129478358888</v>
      </c>
      <c r="BQ57" s="131">
        <f t="shared" si="30"/>
        <v>6.8327415201486197</v>
      </c>
    </row>
    <row r="58" spans="1:69">
      <c r="A58" s="130">
        <v>9</v>
      </c>
      <c r="B58" s="131">
        <f>IF('Data 2'!B58&lt;0.1,0,'Data 2'!B58)</f>
        <v>0</v>
      </c>
      <c r="C58" s="131">
        <f>IF('Data 2'!C58&lt;0.1,0,'Data 2'!C58)</f>
        <v>0</v>
      </c>
      <c r="D58" s="131">
        <f>IF('Data 2'!D58&lt;0.1,0,'Data 2'!D58)</f>
        <v>0.22998386912811819</v>
      </c>
      <c r="E58" s="131">
        <f>IF('Data 2'!E58&lt;0.1,0,'Data 2'!E58)</f>
        <v>11.414677464031413</v>
      </c>
      <c r="F58" s="131">
        <f>IF('Data 2'!F58&lt;0.1,0,'Data 2'!F58)</f>
        <v>26.632225897381588</v>
      </c>
      <c r="G58" s="131">
        <f>IF('Data 2'!G58&lt;0.1,0,'Data 2'!G58)</f>
        <v>0</v>
      </c>
      <c r="H58" s="131">
        <f>IF('Data 2'!H58&lt;0.1,0,'Data 2'!H58)</f>
        <v>8.2401935704625817</v>
      </c>
      <c r="I58" s="131">
        <f>IF('Data 2'!I58&lt;0.1,0,'Data 2'!I58)</f>
        <v>1.5113225685562051</v>
      </c>
      <c r="J58" s="131">
        <f>IF('Data 2'!J58&lt;0.1,0,'Data 2'!J58)</f>
        <v>0</v>
      </c>
      <c r="K58" s="131">
        <f>IF('Data 2'!K58&lt;0.1,0,'Data 2'!K58)</f>
        <v>0</v>
      </c>
      <c r="L58" s="131">
        <f>IF('Data 2'!L58&lt;0.1,0,'Data 2'!L58)</f>
        <v>12.860290355693872</v>
      </c>
      <c r="M58" s="131">
        <f>IF('Data 2'!M58&lt;0.1,0,'Data 2'!M58)</f>
        <v>11.301758102097015</v>
      </c>
      <c r="O58" s="130">
        <v>9</v>
      </c>
      <c r="P58" s="131">
        <f>'Stasiun Pontianak Kota'!Q104</f>
        <v>0</v>
      </c>
      <c r="Q58" s="131">
        <f>'Stasiun Pontianak Kota'!R104</f>
        <v>0</v>
      </c>
      <c r="R58" s="131">
        <f>'Stasiun Pontianak Kota'!S104</f>
        <v>0</v>
      </c>
      <c r="S58" s="131">
        <f>'Stasiun Pontianak Kota'!T104</f>
        <v>17</v>
      </c>
      <c r="T58" s="131">
        <f>'Stasiun Pontianak Kota'!U104</f>
        <v>38</v>
      </c>
      <c r="U58" s="131">
        <f>'Stasiun Pontianak Kota'!V104</f>
        <v>0</v>
      </c>
      <c r="V58" s="131">
        <f>'Stasiun Pontianak Kota'!W104</f>
        <v>11</v>
      </c>
      <c r="W58" s="131">
        <f>'Stasiun Pontianak Kota'!X104</f>
        <v>0</v>
      </c>
      <c r="X58" s="131">
        <f>'Stasiun Pontianak Kota'!Y104</f>
        <v>0</v>
      </c>
      <c r="Y58" s="131">
        <f>'Stasiun Pontianak Kota'!Z104</f>
        <v>0</v>
      </c>
      <c r="Z58" s="131">
        <f>'Stasiun Pontianak Kota'!AA104</f>
        <v>17</v>
      </c>
      <c r="AA58" s="131">
        <f>'Stasiun Pontianak Kota'!AB104</f>
        <v>16</v>
      </c>
      <c r="AC58" s="130">
        <v>9</v>
      </c>
      <c r="AD58" s="131">
        <f>'Sta. Meteorologi pnk'!B61</f>
        <v>0.1</v>
      </c>
      <c r="AE58" s="131">
        <f>'Sta. Meteorologi pnk'!C61</f>
        <v>0</v>
      </c>
      <c r="AF58" s="131">
        <f>'Sta. Meteorologi pnk'!D61</f>
        <v>0.7</v>
      </c>
      <c r="AG58" s="131">
        <f>'Sta. Meteorologi pnk'!E61</f>
        <v>0</v>
      </c>
      <c r="AH58" s="131">
        <f>'Sta. Meteorologi pnk'!F61</f>
        <v>3.4</v>
      </c>
      <c r="AI58" s="131">
        <f>'Sta. Meteorologi pnk'!G61</f>
        <v>0</v>
      </c>
      <c r="AJ58" s="131">
        <f>'Sta. Meteorologi pnk'!H61</f>
        <v>2.6</v>
      </c>
      <c r="AK58" s="131">
        <f>'Sta. Meteorologi pnk'!I61</f>
        <v>4.5999999999999996</v>
      </c>
      <c r="AL58" s="131">
        <f>'Sta. Meteorologi pnk'!J61</f>
        <v>0</v>
      </c>
      <c r="AM58" s="131">
        <f>'Sta. Meteorologi pnk'!K61</f>
        <v>0</v>
      </c>
      <c r="AN58" s="131">
        <f>'Sta. Meteorologi pnk'!L61</f>
        <v>4.4000000000000004</v>
      </c>
      <c r="AO58" s="131">
        <f>'Sta. Meteorologi pnk'!M61</f>
        <v>1.7</v>
      </c>
      <c r="AQ58" s="130">
        <v>9</v>
      </c>
      <c r="AR58" s="131">
        <f t="shared" si="31"/>
        <v>6.7619470079736871E-2</v>
      </c>
      <c r="AS58" s="131">
        <f t="shared" si="29"/>
        <v>0</v>
      </c>
      <c r="AT58" s="131">
        <f t="shared" si="29"/>
        <v>0.47333629055815807</v>
      </c>
      <c r="AU58" s="131">
        <f t="shared" si="29"/>
        <v>5.5046900864447297</v>
      </c>
      <c r="AV58" s="131">
        <f t="shared" si="29"/>
        <v>14.603663352411038</v>
      </c>
      <c r="AW58" s="131">
        <f t="shared" si="29"/>
        <v>0</v>
      </c>
      <c r="AX58" s="131">
        <f t="shared" si="29"/>
        <v>5.3199645133021018</v>
      </c>
      <c r="AY58" s="131">
        <f t="shared" si="29"/>
        <v>3.1104956236678962</v>
      </c>
      <c r="AZ58" s="131">
        <f t="shared" si="29"/>
        <v>0</v>
      </c>
      <c r="BA58" s="131">
        <f t="shared" si="29"/>
        <v>0</v>
      </c>
      <c r="BB58" s="131">
        <f t="shared" si="29"/>
        <v>8.4799467699531519</v>
      </c>
      <c r="BC58" s="131">
        <f t="shared" si="29"/>
        <v>6.3304157785976258</v>
      </c>
      <c r="BE58" s="130">
        <v>9</v>
      </c>
      <c r="BF58" s="131">
        <f t="shared" si="32"/>
        <v>5.9151931063083127E-2</v>
      </c>
      <c r="BG58" s="131">
        <f t="shared" si="30"/>
        <v>0</v>
      </c>
      <c r="BH58" s="131">
        <f t="shared" si="30"/>
        <v>0.44286287630592908</v>
      </c>
      <c r="BI58" s="131">
        <f t="shared" si="30"/>
        <v>6.2447587182845785</v>
      </c>
      <c r="BJ58" s="131">
        <f t="shared" si="30"/>
        <v>16.10992068544979</v>
      </c>
      <c r="BK58" s="131">
        <f t="shared" si="30"/>
        <v>0</v>
      </c>
      <c r="BL58" s="131">
        <f t="shared" si="30"/>
        <v>5.6856454843288518</v>
      </c>
      <c r="BM58" s="131">
        <f t="shared" si="30"/>
        <v>2.9102417585818201</v>
      </c>
      <c r="BN58" s="131">
        <f t="shared" si="30"/>
        <v>0</v>
      </c>
      <c r="BO58" s="131">
        <f t="shared" si="30"/>
        <v>0</v>
      </c>
      <c r="BP58" s="131">
        <f t="shared" si="30"/>
        <v>9.0284682264932758</v>
      </c>
      <c r="BQ58" s="131">
        <f t="shared" si="30"/>
        <v>6.9529440983217343</v>
      </c>
    </row>
    <row r="59" spans="1:69">
      <c r="A59" s="130">
        <v>10</v>
      </c>
      <c r="B59" s="131">
        <f>IF('Data 2'!B59&lt;0.1,0,'Data 2'!B59)</f>
        <v>2.825516106431166</v>
      </c>
      <c r="C59" s="131">
        <f>IF('Data 2'!C59&lt;0.1,0,'Data 2'!C59)</f>
        <v>0</v>
      </c>
      <c r="D59" s="131">
        <f>IF('Data 2'!D59&lt;0.1,0,'Data 2'!D59)</f>
        <v>16.786290388281493</v>
      </c>
      <c r="E59" s="131">
        <f>IF('Data 2'!E59&lt;0.1,0,'Data 2'!E59)</f>
        <v>0</v>
      </c>
      <c r="F59" s="131">
        <f>IF('Data 2'!F59&lt;0.1,0,'Data 2'!F59)</f>
        <v>1.3429032310625193</v>
      </c>
      <c r="G59" s="131">
        <f>IF('Data 2'!G59&lt;0.1,0,'Data 2'!G59)</f>
        <v>0</v>
      </c>
      <c r="H59" s="131">
        <f>IF('Data 2'!H59&lt;0.1,0,'Data 2'!H59)</f>
        <v>4.2197741677936547</v>
      </c>
      <c r="I59" s="131">
        <f>IF('Data 2'!I59&lt;0.1,0,'Data 2'!I59)</f>
        <v>15.784677301093312</v>
      </c>
      <c r="J59" s="131">
        <f>IF('Data 2'!J59&lt;0.1,0,'Data 2'!J59)</f>
        <v>0</v>
      </c>
      <c r="K59" s="131">
        <f>IF('Data 2'!K59&lt;0.1,0,'Data 2'!K59)</f>
        <v>9.4621934726997203</v>
      </c>
      <c r="L59" s="131">
        <f>IF('Data 2'!L59&lt;0.1,0,'Data 2'!L59)</f>
        <v>2.496967721962426</v>
      </c>
      <c r="M59" s="131">
        <f>IF('Data 2'!M59&lt;0.1,0,'Data 2'!M59)</f>
        <v>0</v>
      </c>
      <c r="O59" s="130">
        <v>10</v>
      </c>
      <c r="P59" s="131">
        <f>'Stasiun Pontianak Kota'!Q105</f>
        <v>0</v>
      </c>
      <c r="Q59" s="131">
        <f>'Stasiun Pontianak Kota'!R105</f>
        <v>0</v>
      </c>
      <c r="R59" s="131">
        <f>'Stasiun Pontianak Kota'!S105</f>
        <v>25</v>
      </c>
      <c r="S59" s="131">
        <f>'Stasiun Pontianak Kota'!T105</f>
        <v>0</v>
      </c>
      <c r="T59" s="131">
        <f>'Stasiun Pontianak Kota'!U105</f>
        <v>2</v>
      </c>
      <c r="U59" s="131">
        <f>'Stasiun Pontianak Kota'!V105</f>
        <v>0</v>
      </c>
      <c r="V59" s="131">
        <f>'Stasiun Pontianak Kota'!W105</f>
        <v>1</v>
      </c>
      <c r="W59" s="131">
        <f>'Stasiun Pontianak Kota'!X105</f>
        <v>1</v>
      </c>
      <c r="X59" s="131">
        <f>'Stasiun Pontianak Kota'!Y105</f>
        <v>0</v>
      </c>
      <c r="Y59" s="131">
        <f>'Stasiun Pontianak Kota'!Z105</f>
        <v>0</v>
      </c>
      <c r="Z59" s="131">
        <f>'Stasiun Pontianak Kota'!AA105</f>
        <v>0</v>
      </c>
      <c r="AA59" s="131">
        <f>'Stasiun Pontianak Kota'!AB105</f>
        <v>0</v>
      </c>
      <c r="AC59" s="130">
        <v>10</v>
      </c>
      <c r="AD59" s="131">
        <f>'Sta. Meteorologi pnk'!B62</f>
        <v>8.6</v>
      </c>
      <c r="AE59" s="131">
        <f>'Sta. Meteorologi pnk'!C62</f>
        <v>0</v>
      </c>
      <c r="AF59" s="131">
        <f>'Sta. Meteorologi pnk'!D62</f>
        <v>0</v>
      </c>
      <c r="AG59" s="131">
        <f>'Sta. Meteorologi pnk'!E62</f>
        <v>0</v>
      </c>
      <c r="AH59" s="131">
        <f>'Sta. Meteorologi pnk'!F62</f>
        <v>0</v>
      </c>
      <c r="AI59" s="131">
        <f>'Sta. Meteorologi pnk'!G62</f>
        <v>0</v>
      </c>
      <c r="AJ59" s="131">
        <f>'Sta. Meteorologi pnk'!H62</f>
        <v>10.8</v>
      </c>
      <c r="AK59" s="131">
        <f>'Sta. Meteorologi pnk'!I62</f>
        <v>46</v>
      </c>
      <c r="AL59" s="131">
        <f>'Sta. Meteorologi pnk'!J62</f>
        <v>0</v>
      </c>
      <c r="AM59" s="131">
        <f>'Sta. Meteorologi pnk'!K62</f>
        <v>28.8</v>
      </c>
      <c r="AN59" s="131">
        <f>'Sta. Meteorologi pnk'!L62</f>
        <v>7.6</v>
      </c>
      <c r="AO59" s="131">
        <f>'Sta. Meteorologi pnk'!M62</f>
        <v>0</v>
      </c>
      <c r="AQ59" s="130">
        <v>10</v>
      </c>
      <c r="AR59" s="131">
        <f t="shared" si="31"/>
        <v>5.8152744268573704</v>
      </c>
      <c r="AS59" s="131">
        <f t="shared" si="29"/>
        <v>0</v>
      </c>
      <c r="AT59" s="131">
        <f t="shared" si="29"/>
        <v>8.0951324800657805</v>
      </c>
      <c r="AU59" s="131">
        <f t="shared" si="29"/>
        <v>0</v>
      </c>
      <c r="AV59" s="131">
        <f t="shared" si="29"/>
        <v>0.64761059840526247</v>
      </c>
      <c r="AW59" s="131">
        <f t="shared" si="29"/>
        <v>0</v>
      </c>
      <c r="AX59" s="131">
        <f t="shared" si="29"/>
        <v>7.6267080678142127</v>
      </c>
      <c r="AY59" s="131">
        <f t="shared" si="29"/>
        <v>31.428761535881588</v>
      </c>
      <c r="AZ59" s="131">
        <f t="shared" si="29"/>
        <v>0</v>
      </c>
      <c r="BA59" s="131">
        <f t="shared" si="29"/>
        <v>19.47440738296422</v>
      </c>
      <c r="BB59" s="131">
        <f t="shared" si="29"/>
        <v>5.1390797260600021</v>
      </c>
      <c r="BC59" s="131">
        <f t="shared" si="29"/>
        <v>0</v>
      </c>
      <c r="BE59" s="130">
        <v>10</v>
      </c>
      <c r="BF59" s="131">
        <f t="shared" si="32"/>
        <v>5.4408867660442715</v>
      </c>
      <c r="BG59" s="131">
        <f t="shared" si="30"/>
        <v>0</v>
      </c>
      <c r="BH59" s="131">
        <f t="shared" si="30"/>
        <v>9.1834687033596758</v>
      </c>
      <c r="BI59" s="131">
        <f t="shared" si="30"/>
        <v>0</v>
      </c>
      <c r="BJ59" s="131">
        <f t="shared" si="30"/>
        <v>0.73467749626877399</v>
      </c>
      <c r="BK59" s="131">
        <f t="shared" si="30"/>
        <v>0</v>
      </c>
      <c r="BL59" s="131">
        <f t="shared" si="30"/>
        <v>7.2000802682830072</v>
      </c>
      <c r="BM59" s="131">
        <f t="shared" si="30"/>
        <v>29.469756333952585</v>
      </c>
      <c r="BN59" s="131">
        <f t="shared" si="30"/>
        <v>0</v>
      </c>
      <c r="BO59" s="131">
        <f t="shared" si="30"/>
        <v>18.220644053729657</v>
      </c>
      <c r="BP59" s="131">
        <f t="shared" si="30"/>
        <v>4.808225514178659</v>
      </c>
      <c r="BQ59" s="131">
        <f t="shared" si="30"/>
        <v>0</v>
      </c>
    </row>
    <row r="60" spans="1:69">
      <c r="A60" s="130">
        <v>11</v>
      </c>
      <c r="B60" s="131">
        <f>IF('Data 2'!B60&lt;0.1,0,'Data 2'!B60)</f>
        <v>6.7145161553125963</v>
      </c>
      <c r="C60" s="131">
        <f>IF('Data 2'!C60&lt;0.1,0,'Data 2'!C60)</f>
        <v>0</v>
      </c>
      <c r="D60" s="131">
        <f>IF('Data 2'!D60&lt;0.1,0,'Data 2'!D60)</f>
        <v>0</v>
      </c>
      <c r="E60" s="131">
        <f>IF('Data 2'!E60&lt;0.1,0,'Data 2'!E60)</f>
        <v>0</v>
      </c>
      <c r="F60" s="131">
        <f>IF('Data 2'!F60&lt;0.1,0,'Data 2'!F60)</f>
        <v>4.4025483518811193</v>
      </c>
      <c r="G60" s="131">
        <f>IF('Data 2'!G60&lt;0.1,0,'Data 2'!G60)</f>
        <v>0</v>
      </c>
      <c r="H60" s="131">
        <f>IF('Data 2'!H60&lt;0.1,0,'Data 2'!H60)</f>
        <v>3.1170645071937173</v>
      </c>
      <c r="I60" s="131">
        <f>IF('Data 2'!I60&lt;0.1,0,'Data 2'!I60)</f>
        <v>48.418822609290729</v>
      </c>
      <c r="J60" s="131">
        <f>IF('Data 2'!J60&lt;0.1,0,'Data 2'!J60)</f>
        <v>0</v>
      </c>
      <c r="K60" s="131">
        <f>IF('Data 2'!K60&lt;0.1,0,'Data 2'!K60)</f>
        <v>23.165080735828461</v>
      </c>
      <c r="L60" s="131">
        <f>IF('Data 2'!L60&lt;0.1,0,'Data 2'!L60)</f>
        <v>16.733322470793343</v>
      </c>
      <c r="M60" s="131">
        <f>IF('Data 2'!M60&lt;0.1,0,'Data 2'!M60)</f>
        <v>0</v>
      </c>
      <c r="O60" s="130">
        <v>11</v>
      </c>
      <c r="P60" s="131">
        <f>'Stasiun Pontianak Kota'!Q106</f>
        <v>10</v>
      </c>
      <c r="Q60" s="131">
        <f>'Stasiun Pontianak Kota'!R106</f>
        <v>0</v>
      </c>
      <c r="R60" s="131">
        <f>'Stasiun Pontianak Kota'!S106</f>
        <v>0</v>
      </c>
      <c r="S60" s="131">
        <f>'Stasiun Pontianak Kota'!T106</f>
        <v>0</v>
      </c>
      <c r="T60" s="131">
        <f>'Stasiun Pontianak Kota'!U106</f>
        <v>0</v>
      </c>
      <c r="U60" s="131">
        <f>'Stasiun Pontianak Kota'!V106</f>
        <v>0</v>
      </c>
      <c r="V60" s="131">
        <f>'Stasiun Pontianak Kota'!W106</f>
        <v>2</v>
      </c>
      <c r="W60" s="131">
        <f>'Stasiun Pontianak Kota'!X106</f>
        <v>52</v>
      </c>
      <c r="X60" s="131">
        <f>'Stasiun Pontianak Kota'!Y106</f>
        <v>0</v>
      </c>
      <c r="Y60" s="131">
        <f>'Stasiun Pontianak Kota'!Z106</f>
        <v>34.5</v>
      </c>
      <c r="Z60" s="131">
        <f>'Stasiun Pontianak Kota'!AA106</f>
        <v>3</v>
      </c>
      <c r="AA60" s="131">
        <f>'Stasiun Pontianak Kota'!AB106</f>
        <v>0</v>
      </c>
      <c r="AC60" s="130">
        <v>11</v>
      </c>
      <c r="AD60" s="131">
        <f>'Sta. Meteorologi pnk'!B63</f>
        <v>0</v>
      </c>
      <c r="AE60" s="131">
        <f>'Sta. Meteorologi pnk'!C63</f>
        <v>0</v>
      </c>
      <c r="AF60" s="131">
        <f>'Sta. Meteorologi pnk'!D63</f>
        <v>0</v>
      </c>
      <c r="AG60" s="131">
        <f>'Sta. Meteorologi pnk'!E63</f>
        <v>0</v>
      </c>
      <c r="AH60" s="131">
        <f>'Sta. Meteorologi pnk'!F63</f>
        <v>13.4</v>
      </c>
      <c r="AI60" s="131">
        <f>'Sta. Meteorologi pnk'!G63</f>
        <v>0</v>
      </c>
      <c r="AJ60" s="131">
        <f>'Sta. Meteorologi pnk'!H63</f>
        <v>5.4</v>
      </c>
      <c r="AK60" s="131">
        <f>'Sta. Meteorologi pnk'!I63</f>
        <v>41.1</v>
      </c>
      <c r="AL60" s="131">
        <f>'Sta. Meteorologi pnk'!J63</f>
        <v>0</v>
      </c>
      <c r="AM60" s="131">
        <f>'Sta. Meteorologi pnk'!K63</f>
        <v>0</v>
      </c>
      <c r="AN60" s="131">
        <f>'Sta. Meteorologi pnk'!L63</f>
        <v>44.8</v>
      </c>
      <c r="AO60" s="131">
        <f>'Sta. Meteorologi pnk'!M63</f>
        <v>0</v>
      </c>
      <c r="AQ60" s="130">
        <v>11</v>
      </c>
      <c r="AR60" s="131">
        <f t="shared" si="31"/>
        <v>3.2380529920263119</v>
      </c>
      <c r="AS60" s="131">
        <f t="shared" si="29"/>
        <v>0</v>
      </c>
      <c r="AT60" s="131">
        <f t="shared" si="29"/>
        <v>0</v>
      </c>
      <c r="AU60" s="131">
        <f t="shared" si="29"/>
        <v>0</v>
      </c>
      <c r="AV60" s="131">
        <f t="shared" si="29"/>
        <v>9.0610089906847424</v>
      </c>
      <c r="AW60" s="131">
        <f t="shared" si="29"/>
        <v>0</v>
      </c>
      <c r="AX60" s="131">
        <f t="shared" si="29"/>
        <v>4.2990619827110539</v>
      </c>
      <c r="AY60" s="131">
        <f t="shared" si="29"/>
        <v>44.629477761308678</v>
      </c>
      <c r="AZ60" s="131">
        <f t="shared" si="29"/>
        <v>0</v>
      </c>
      <c r="BA60" s="131">
        <f t="shared" si="29"/>
        <v>11.171282822490776</v>
      </c>
      <c r="BB60" s="131">
        <f t="shared" si="29"/>
        <v>31.264938493330011</v>
      </c>
      <c r="BC60" s="131">
        <f t="shared" si="29"/>
        <v>0</v>
      </c>
      <c r="BE60" s="130">
        <v>11</v>
      </c>
      <c r="BF60" s="131">
        <f t="shared" si="32"/>
        <v>3.6733874813438696</v>
      </c>
      <c r="BG60" s="131">
        <f t="shared" si="30"/>
        <v>0</v>
      </c>
      <c r="BH60" s="131">
        <f t="shared" si="30"/>
        <v>0</v>
      </c>
      <c r="BI60" s="131">
        <f t="shared" si="30"/>
        <v>0</v>
      </c>
      <c r="BJ60" s="131">
        <f t="shared" si="30"/>
        <v>8.4776607749992152</v>
      </c>
      <c r="BK60" s="131">
        <f t="shared" si="30"/>
        <v>0</v>
      </c>
      <c r="BL60" s="131">
        <f t="shared" si="30"/>
        <v>4.1510482563430839</v>
      </c>
      <c r="BM60" s="131">
        <f t="shared" si="30"/>
        <v>45.103992354664818</v>
      </c>
      <c r="BN60" s="131">
        <f t="shared" si="30"/>
        <v>0</v>
      </c>
      <c r="BO60" s="131">
        <f t="shared" si="30"/>
        <v>12.67318681063635</v>
      </c>
      <c r="BP60" s="131">
        <f t="shared" si="30"/>
        <v>29.445240327982621</v>
      </c>
      <c r="BQ60" s="131">
        <f t="shared" si="30"/>
        <v>0</v>
      </c>
    </row>
    <row r="61" spans="1:69">
      <c r="A61" s="130">
        <v>12</v>
      </c>
      <c r="B61" s="131">
        <f>IF('Data 2'!B61&lt;0.1,0,'Data 2'!B61)</f>
        <v>6.0124354357779479</v>
      </c>
      <c r="C61" s="131">
        <f>IF('Data 2'!C61&lt;0.1,0,'Data 2'!C61)</f>
        <v>0</v>
      </c>
      <c r="D61" s="131">
        <f>IF('Data 2'!D61&lt;0.1,0,'Data 2'!D61)</f>
        <v>3.5483225522623951</v>
      </c>
      <c r="E61" s="131">
        <f>IF('Data 2'!E61&lt;0.1,0,'Data 2'!E61)</f>
        <v>0</v>
      </c>
      <c r="F61" s="131">
        <f>IF('Data 2'!F61&lt;0.1,0,'Data 2'!F61)</f>
        <v>0.45996773825623638</v>
      </c>
      <c r="G61" s="131">
        <f>IF('Data 2'!G61&lt;0.1,0,'Data 2'!G61)</f>
        <v>0</v>
      </c>
      <c r="H61" s="131">
        <f>IF('Data 2'!H61&lt;0.1,0,'Data 2'!H61)</f>
        <v>40.18722565297444</v>
      </c>
      <c r="I61" s="131">
        <f>IF('Data 2'!I61&lt;0.1,0,'Data 2'!I61)</f>
        <v>20.93237091229042</v>
      </c>
      <c r="J61" s="131">
        <f>IF('Data 2'!J61&lt;0.1,0,'Data 2'!J61)</f>
        <v>0</v>
      </c>
      <c r="K61" s="131">
        <f>IF('Data 2'!K61&lt;0.1,0,'Data 2'!K61)</f>
        <v>0</v>
      </c>
      <c r="L61" s="131">
        <f>IF('Data 2'!L61&lt;0.1,0,'Data 2'!L61)</f>
        <v>16.450564580515863</v>
      </c>
      <c r="M61" s="131">
        <f>IF('Data 2'!M61&lt;0.1,0,'Data 2'!M61)</f>
        <v>0</v>
      </c>
      <c r="O61" s="130">
        <v>12</v>
      </c>
      <c r="P61" s="131">
        <f>'Stasiun Pontianak Kota'!Q107</f>
        <v>0</v>
      </c>
      <c r="Q61" s="131">
        <f>'Stasiun Pontianak Kota'!R107</f>
        <v>0</v>
      </c>
      <c r="R61" s="131">
        <f>'Stasiun Pontianak Kota'!S107</f>
        <v>0</v>
      </c>
      <c r="S61" s="131">
        <f>'Stasiun Pontianak Kota'!T107</f>
        <v>0</v>
      </c>
      <c r="T61" s="131">
        <f>'Stasiun Pontianak Kota'!U107</f>
        <v>0</v>
      </c>
      <c r="U61" s="131">
        <f>'Stasiun Pontianak Kota'!V107</f>
        <v>0</v>
      </c>
      <c r="V61" s="131">
        <f>'Stasiun Pontianak Kota'!W107</f>
        <v>21</v>
      </c>
      <c r="W61" s="131">
        <f>'Stasiun Pontianak Kota'!X107</f>
        <v>14</v>
      </c>
      <c r="X61" s="131">
        <f>'Stasiun Pontianak Kota'!Y107</f>
        <v>0</v>
      </c>
      <c r="Y61" s="131">
        <f>'Stasiun Pontianak Kota'!Z107</f>
        <v>0</v>
      </c>
      <c r="Z61" s="131">
        <f>'Stasiun Pontianak Kota'!AA107</f>
        <v>24.5</v>
      </c>
      <c r="AA61" s="131">
        <f>'Stasiun Pontianak Kota'!AB107</f>
        <v>0</v>
      </c>
      <c r="AC61" s="130">
        <v>12</v>
      </c>
      <c r="AD61" s="131">
        <f>'Sta. Meteorologi pnk'!B64</f>
        <v>18.3</v>
      </c>
      <c r="AE61" s="131">
        <f>'Sta. Meteorologi pnk'!C64</f>
        <v>0</v>
      </c>
      <c r="AF61" s="131">
        <f>'Sta. Meteorologi pnk'!D64</f>
        <v>10.8</v>
      </c>
      <c r="AG61" s="131">
        <f>'Sta. Meteorologi pnk'!E64</f>
        <v>0</v>
      </c>
      <c r="AH61" s="131">
        <f>'Sta. Meteorologi pnk'!F64</f>
        <v>1.4</v>
      </c>
      <c r="AI61" s="131">
        <f>'Sta. Meteorologi pnk'!G64</f>
        <v>0</v>
      </c>
      <c r="AJ61" s="131">
        <f>'Sta. Meteorologi pnk'!H64</f>
        <v>79.400000000000006</v>
      </c>
      <c r="AK61" s="131">
        <f>'Sta. Meteorologi pnk'!I64</f>
        <v>35.1</v>
      </c>
      <c r="AL61" s="131">
        <f>'Sta. Meteorologi pnk'!J64</f>
        <v>0</v>
      </c>
      <c r="AM61" s="131">
        <f>'Sta. Meteorologi pnk'!K64</f>
        <v>0</v>
      </c>
      <c r="AN61" s="131">
        <f>'Sta. Meteorologi pnk'!L64</f>
        <v>0</v>
      </c>
      <c r="AO61" s="131">
        <f>'Sta. Meteorologi pnk'!M64</f>
        <v>0</v>
      </c>
      <c r="AQ61" s="130">
        <v>12</v>
      </c>
      <c r="AR61" s="131">
        <f t="shared" si="31"/>
        <v>12.374363024591847</v>
      </c>
      <c r="AS61" s="131">
        <f t="shared" si="29"/>
        <v>0</v>
      </c>
      <c r="AT61" s="131">
        <f t="shared" si="29"/>
        <v>7.3029027686115819</v>
      </c>
      <c r="AU61" s="131">
        <f t="shared" si="29"/>
        <v>0</v>
      </c>
      <c r="AV61" s="131">
        <f t="shared" si="29"/>
        <v>0.94667258111631614</v>
      </c>
      <c r="AW61" s="131">
        <f t="shared" si="29"/>
        <v>0</v>
      </c>
      <c r="AX61" s="131">
        <f t="shared" si="29"/>
        <v>60.489770526566339</v>
      </c>
      <c r="AY61" s="131">
        <f t="shared" si="29"/>
        <v>28.267708186824478</v>
      </c>
      <c r="AZ61" s="131">
        <f t="shared" si="29"/>
        <v>0</v>
      </c>
      <c r="BA61" s="131">
        <f t="shared" si="29"/>
        <v>0</v>
      </c>
      <c r="BB61" s="131">
        <f t="shared" si="29"/>
        <v>7.9332298304644642</v>
      </c>
      <c r="BC61" s="131">
        <f t="shared" si="29"/>
        <v>0</v>
      </c>
      <c r="BE61" s="130">
        <v>12</v>
      </c>
      <c r="BF61" s="131">
        <f t="shared" si="32"/>
        <v>11.577700909140717</v>
      </c>
      <c r="BG61" s="131">
        <f t="shared" si="30"/>
        <v>0</v>
      </c>
      <c r="BH61" s="131">
        <f t="shared" si="30"/>
        <v>6.8327415201486197</v>
      </c>
      <c r="BI61" s="131">
        <f t="shared" si="30"/>
        <v>0</v>
      </c>
      <c r="BJ61" s="131">
        <f t="shared" si="30"/>
        <v>0.88572575261185815</v>
      </c>
      <c r="BK61" s="131">
        <f t="shared" si="30"/>
        <v>0</v>
      </c>
      <c r="BL61" s="131">
        <f t="shared" si="30"/>
        <v>57.947417108951804</v>
      </c>
      <c r="BM61" s="131">
        <f t="shared" si="30"/>
        <v>27.349152414364433</v>
      </c>
      <c r="BN61" s="131">
        <f t="shared" si="30"/>
        <v>0</v>
      </c>
      <c r="BO61" s="131">
        <f t="shared" si="30"/>
        <v>0</v>
      </c>
      <c r="BP61" s="131">
        <f t="shared" si="30"/>
        <v>8.9997993292924807</v>
      </c>
      <c r="BQ61" s="131">
        <f t="shared" si="30"/>
        <v>0</v>
      </c>
    </row>
    <row r="62" spans="1:69">
      <c r="A62" s="130">
        <v>13</v>
      </c>
      <c r="B62" s="131">
        <f>IF('Data 2'!B62&lt;0.1,0,'Data 2'!B62)</f>
        <v>8.8315806625063136</v>
      </c>
      <c r="C62" s="131">
        <f>IF('Data 2'!C62&lt;0.1,0,'Data 2'!C62)</f>
        <v>0</v>
      </c>
      <c r="D62" s="131">
        <f>IF('Data 2'!D62&lt;0.1,0,'Data 2'!D62)</f>
        <v>21.377677480325222</v>
      </c>
      <c r="E62" s="131">
        <f>IF('Data 2'!E62&lt;0.1,0,'Data 2'!E62)</f>
        <v>0</v>
      </c>
      <c r="F62" s="131">
        <f>IF('Data 2'!F62&lt;0.1,0,'Data 2'!F62)</f>
        <v>1.3429032310625193</v>
      </c>
      <c r="G62" s="131">
        <f>IF('Data 2'!G62&lt;0.1,0,'Data 2'!G62)</f>
        <v>2.0369999837061896</v>
      </c>
      <c r="H62" s="131">
        <f>IF('Data 2'!H62&lt;0.1,0,'Data 2'!H62)</f>
        <v>30.215322698906686</v>
      </c>
      <c r="I62" s="131">
        <f>IF('Data 2'!I62&lt;0.1,0,'Data 2'!I62)</f>
        <v>22.143548465937791</v>
      </c>
      <c r="J62" s="131">
        <f>IF('Data 2'!J62&lt;0.1,0,'Data 2'!J62)</f>
        <v>16.55883857722451</v>
      </c>
      <c r="K62" s="131">
        <f>IF('Data 2'!K62&lt;0.1,0,'Data 2'!K62)</f>
        <v>0</v>
      </c>
      <c r="L62" s="131">
        <f>IF('Data 2'!L62&lt;0.1,0,'Data 2'!L62)</f>
        <v>46.78528994834862</v>
      </c>
      <c r="M62" s="131">
        <f>IF('Data 2'!M62&lt;0.1,0,'Data 2'!M62)</f>
        <v>0</v>
      </c>
      <c r="O62" s="130">
        <v>13</v>
      </c>
      <c r="P62" s="131">
        <f>'Stasiun Pontianak Kota'!Q108</f>
        <v>11</v>
      </c>
      <c r="Q62" s="131">
        <f>'Stasiun Pontianak Kota'!R108</f>
        <v>0</v>
      </c>
      <c r="R62" s="131">
        <f>'Stasiun Pontianak Kota'!S108</f>
        <v>29</v>
      </c>
      <c r="S62" s="131">
        <f>'Stasiun Pontianak Kota'!T108</f>
        <v>0</v>
      </c>
      <c r="T62" s="131">
        <f>'Stasiun Pontianak Kota'!U108</f>
        <v>2</v>
      </c>
      <c r="U62" s="131">
        <f>'Stasiun Pontianak Kota'!V108</f>
        <v>0</v>
      </c>
      <c r="V62" s="131">
        <f>'Stasiun Pontianak Kota'!W108</f>
        <v>45</v>
      </c>
      <c r="W62" s="131">
        <f>'Stasiun Pontianak Kota'!X108</f>
        <v>32</v>
      </c>
      <c r="X62" s="131">
        <f>'Stasiun Pontianak Kota'!Y108</f>
        <v>0</v>
      </c>
      <c r="Y62" s="131">
        <f>'Stasiun Pontianak Kota'!Z108</f>
        <v>0</v>
      </c>
      <c r="Z62" s="131">
        <f>'Stasiun Pontianak Kota'!AA108</f>
        <v>0</v>
      </c>
      <c r="AA62" s="131">
        <f>'Stasiun Pontianak Kota'!AB108</f>
        <v>0</v>
      </c>
      <c r="AC62" s="130">
        <v>13</v>
      </c>
      <c r="AD62" s="131">
        <f>'Sta. Meteorologi pnk'!B65</f>
        <v>4.4000000000000004</v>
      </c>
      <c r="AE62" s="131">
        <f>'Sta. Meteorologi pnk'!C65</f>
        <v>0</v>
      </c>
      <c r="AF62" s="131">
        <f>'Sta. Meteorologi pnk'!D65</f>
        <v>5.8</v>
      </c>
      <c r="AG62" s="131">
        <f>'Sta. Meteorologi pnk'!E65</f>
        <v>0</v>
      </c>
      <c r="AH62" s="131">
        <f>'Sta. Meteorologi pnk'!F65</f>
        <v>0</v>
      </c>
      <c r="AI62" s="131">
        <f>'Sta. Meteorologi pnk'!G65</f>
        <v>6.2</v>
      </c>
      <c r="AJ62" s="131">
        <f>'Sta. Meteorologi pnk'!H65</f>
        <v>0</v>
      </c>
      <c r="AK62" s="131">
        <f>'Sta. Meteorologi pnk'!I65</f>
        <v>2</v>
      </c>
      <c r="AL62" s="131">
        <f>'Sta. Meteorologi pnk'!J65</f>
        <v>50.4</v>
      </c>
      <c r="AM62" s="131">
        <f>'Sta. Meteorologi pnk'!K65</f>
        <v>0</v>
      </c>
      <c r="AN62" s="131">
        <f>'Sta. Meteorologi pnk'!L65</f>
        <v>142.4</v>
      </c>
      <c r="AO62" s="131">
        <f>'Sta. Meteorologi pnk'!M65</f>
        <v>0</v>
      </c>
      <c r="AQ62" s="130">
        <v>13</v>
      </c>
      <c r="AR62" s="131">
        <f t="shared" si="31"/>
        <v>6.5371149747373662</v>
      </c>
      <c r="AS62" s="131">
        <f t="shared" si="29"/>
        <v>0</v>
      </c>
      <c r="AT62" s="131">
        <f t="shared" si="29"/>
        <v>13.312282941501044</v>
      </c>
      <c r="AU62" s="131">
        <f t="shared" si="29"/>
        <v>0</v>
      </c>
      <c r="AV62" s="131">
        <f t="shared" si="29"/>
        <v>0.64761059840526247</v>
      </c>
      <c r="AW62" s="131">
        <f t="shared" si="29"/>
        <v>4.1924071449436866</v>
      </c>
      <c r="AX62" s="131">
        <f t="shared" si="29"/>
        <v>14.571238464118403</v>
      </c>
      <c r="AY62" s="131">
        <f t="shared" si="29"/>
        <v>11.714158976078936</v>
      </c>
      <c r="AZ62" s="131">
        <f t="shared" si="29"/>
        <v>34.080212920187385</v>
      </c>
      <c r="BA62" s="131">
        <f t="shared" si="29"/>
        <v>0</v>
      </c>
      <c r="BB62" s="131">
        <f t="shared" si="29"/>
        <v>96.29012539354531</v>
      </c>
      <c r="BC62" s="131">
        <f t="shared" si="29"/>
        <v>0</v>
      </c>
      <c r="BE62" s="130">
        <v>13</v>
      </c>
      <c r="BF62" s="131">
        <f t="shared" si="32"/>
        <v>6.8244357376869536</v>
      </c>
      <c r="BG62" s="131">
        <f t="shared" si="30"/>
        <v>0</v>
      </c>
      <c r="BH62" s="131">
        <f t="shared" si="30"/>
        <v>14.322258956717777</v>
      </c>
      <c r="BI62" s="131">
        <f t="shared" si="30"/>
        <v>0</v>
      </c>
      <c r="BJ62" s="131">
        <f t="shared" si="30"/>
        <v>0.73467749626877399</v>
      </c>
      <c r="BK62" s="131">
        <f t="shared" si="30"/>
        <v>3.9224997615668005</v>
      </c>
      <c r="BL62" s="131">
        <f t="shared" si="30"/>
        <v>16.530243666047411</v>
      </c>
      <c r="BM62" s="131">
        <f t="shared" si="30"/>
        <v>13.020162444031611</v>
      </c>
      <c r="BN62" s="131">
        <f t="shared" si="30"/>
        <v>31.886127094026897</v>
      </c>
      <c r="BO62" s="131">
        <f t="shared" si="30"/>
        <v>0</v>
      </c>
      <c r="BP62" s="131">
        <f t="shared" si="30"/>
        <v>90.090962265663308</v>
      </c>
      <c r="BQ62" s="131">
        <f t="shared" si="30"/>
        <v>0</v>
      </c>
    </row>
    <row r="63" spans="1:69">
      <c r="A63" s="130">
        <v>14</v>
      </c>
      <c r="B63" s="131">
        <f>IF('Data 2'!B63&lt;0.1,0,'Data 2'!B63)</f>
        <v>0</v>
      </c>
      <c r="C63" s="131">
        <f>IF('Data 2'!C63&lt;0.1,0,'Data 2'!C63)</f>
        <v>0</v>
      </c>
      <c r="D63" s="131">
        <f>IF('Data 2'!D63&lt;0.1,0,'Data 2'!D63)</f>
        <v>6.4373226011438245</v>
      </c>
      <c r="E63" s="131">
        <f>IF('Data 2'!E63&lt;0.1,0,'Data 2'!E63)</f>
        <v>0</v>
      </c>
      <c r="F63" s="131">
        <f>IF('Data 2'!F63&lt;0.1,0,'Data 2'!F63)</f>
        <v>0.16427419223437012</v>
      </c>
      <c r="G63" s="131">
        <f>IF('Data 2'!G63&lt;0.1,0,'Data 2'!G63)</f>
        <v>41.791354504423765</v>
      </c>
      <c r="H63" s="131">
        <f>IF('Data 2'!H63&lt;0.1,0,'Data 2'!H63)</f>
        <v>0</v>
      </c>
      <c r="I63" s="131">
        <f>IF('Data 2'!I63&lt;0.1,0,'Data 2'!I63)</f>
        <v>52.784064653838008</v>
      </c>
      <c r="J63" s="131">
        <f>IF('Data 2'!J63&lt;0.1,0,'Data 2'!J63)</f>
        <v>19.47209685040653</v>
      </c>
      <c r="K63" s="131">
        <f>IF('Data 2'!K63&lt;0.1,0,'Data 2'!K63)</f>
        <v>8.8708063806559885</v>
      </c>
      <c r="L63" s="131">
        <f>IF('Data 2'!L63&lt;0.1,0,'Data 2'!L63)</f>
        <v>64.050742183044662</v>
      </c>
      <c r="M63" s="131">
        <f>IF('Data 2'!M63&lt;0.1,0,'Data 2'!M63)</f>
        <v>0.52567741514998445</v>
      </c>
      <c r="O63" s="130">
        <v>14</v>
      </c>
      <c r="P63" s="131">
        <f>'Stasiun Pontianak Kota'!Q109</f>
        <v>0</v>
      </c>
      <c r="Q63" s="131">
        <f>'Stasiun Pontianak Kota'!R109</f>
        <v>0</v>
      </c>
      <c r="R63" s="131">
        <f>'Stasiun Pontianak Kota'!S109</f>
        <v>9</v>
      </c>
      <c r="S63" s="131">
        <f>'Stasiun Pontianak Kota'!T109</f>
        <v>0</v>
      </c>
      <c r="T63" s="131">
        <f>'Stasiun Pontianak Kota'!U109</f>
        <v>0</v>
      </c>
      <c r="U63" s="131">
        <f>'Stasiun Pontianak Kota'!V109</f>
        <v>0</v>
      </c>
      <c r="V63" s="131">
        <f>'Stasiun Pontianak Kota'!W109</f>
        <v>0</v>
      </c>
      <c r="W63" s="131">
        <f>'Stasiun Pontianak Kota'!X109</f>
        <v>70</v>
      </c>
      <c r="X63" s="131">
        <f>'Stasiun Pontianak Kota'!Y109</f>
        <v>29</v>
      </c>
      <c r="Y63" s="131">
        <f>'Stasiun Pontianak Kota'!Z109</f>
        <v>0</v>
      </c>
      <c r="Z63" s="131">
        <f>'Stasiun Pontianak Kota'!AA109</f>
        <v>95</v>
      </c>
      <c r="AA63" s="131">
        <f>'Stasiun Pontianak Kota'!AB109</f>
        <v>0</v>
      </c>
      <c r="AC63" s="130">
        <v>14</v>
      </c>
      <c r="AD63" s="131">
        <f>'Sta. Meteorologi pnk'!B66</f>
        <v>0</v>
      </c>
      <c r="AE63" s="131">
        <f>'Sta. Meteorologi pnk'!C66</f>
        <v>0</v>
      </c>
      <c r="AF63" s="131">
        <f>'Sta. Meteorologi pnk'!D66</f>
        <v>1.2</v>
      </c>
      <c r="AG63" s="131">
        <f>'Sta. Meteorologi pnk'!E66</f>
        <v>0</v>
      </c>
      <c r="AH63" s="131">
        <f>'Sta. Meteorologi pnk'!F66</f>
        <v>0.5</v>
      </c>
      <c r="AI63" s="131">
        <f>'Sta. Meteorologi pnk'!G66</f>
        <v>127.2</v>
      </c>
      <c r="AJ63" s="131">
        <f>'Sta. Meteorologi pnk'!H66</f>
        <v>0</v>
      </c>
      <c r="AK63" s="131">
        <f>'Sta. Meteorologi pnk'!I66</f>
        <v>17.600000000000001</v>
      </c>
      <c r="AL63" s="131">
        <f>'Sta. Meteorologi pnk'!J66</f>
        <v>0</v>
      </c>
      <c r="AM63" s="131">
        <f>'Sta. Meteorologi pnk'!K66</f>
        <v>27</v>
      </c>
      <c r="AN63" s="131">
        <f>'Sta. Meteorologi pnk'!L66</f>
        <v>0.8</v>
      </c>
      <c r="AO63" s="131">
        <f>'Sta. Meteorologi pnk'!M66</f>
        <v>1.6</v>
      </c>
      <c r="AQ63" s="130">
        <v>14</v>
      </c>
      <c r="AR63" s="131">
        <f t="shared" si="31"/>
        <v>0</v>
      </c>
      <c r="AS63" s="131">
        <f t="shared" si="29"/>
        <v>0</v>
      </c>
      <c r="AT63" s="131">
        <f t="shared" si="29"/>
        <v>3.725681333780523</v>
      </c>
      <c r="AU63" s="131">
        <f t="shared" si="29"/>
        <v>0</v>
      </c>
      <c r="AV63" s="131">
        <f t="shared" si="29"/>
        <v>0.33809735039868438</v>
      </c>
      <c r="AW63" s="131">
        <f t="shared" si="29"/>
        <v>86.011965941425302</v>
      </c>
      <c r="AX63" s="131">
        <f t="shared" si="29"/>
        <v>0</v>
      </c>
      <c r="AY63" s="131">
        <f t="shared" si="29"/>
        <v>34.567397678217873</v>
      </c>
      <c r="AZ63" s="131">
        <f t="shared" si="29"/>
        <v>9.3903536768763036</v>
      </c>
      <c r="BA63" s="131">
        <f t="shared" si="29"/>
        <v>18.257256921528953</v>
      </c>
      <c r="BB63" s="131">
        <f t="shared" si="29"/>
        <v>31.302459184887859</v>
      </c>
      <c r="BC63" s="131">
        <f t="shared" si="29"/>
        <v>1.0819115212757899</v>
      </c>
      <c r="BE63" s="130">
        <v>14</v>
      </c>
      <c r="BF63" s="131">
        <f t="shared" si="32"/>
        <v>0</v>
      </c>
      <c r="BG63" s="131">
        <f t="shared" si="30"/>
        <v>0</v>
      </c>
      <c r="BH63" s="131">
        <f t="shared" si="30"/>
        <v>4.0652422354482178</v>
      </c>
      <c r="BI63" s="131">
        <f t="shared" si="30"/>
        <v>0</v>
      </c>
      <c r="BJ63" s="131">
        <f t="shared" si="30"/>
        <v>0.31633062593280648</v>
      </c>
      <c r="BK63" s="131">
        <f t="shared" si="30"/>
        <v>80.474511237305975</v>
      </c>
      <c r="BL63" s="131">
        <f t="shared" si="30"/>
        <v>0</v>
      </c>
      <c r="BM63" s="131">
        <f t="shared" si="30"/>
        <v>36.848550402241884</v>
      </c>
      <c r="BN63" s="131">
        <f t="shared" si="30"/>
        <v>10.652823695897222</v>
      </c>
      <c r="BO63" s="131">
        <f t="shared" si="30"/>
        <v>17.081853800371547</v>
      </c>
      <c r="BP63" s="131">
        <f t="shared" si="30"/>
        <v>35.403310074259252</v>
      </c>
      <c r="BQ63" s="131">
        <f t="shared" si="30"/>
        <v>1.0122580029849808</v>
      </c>
    </row>
    <row r="64" spans="1:69">
      <c r="A64" s="130">
        <v>15</v>
      </c>
      <c r="B64" s="131">
        <f>IF('Data 2'!B64&lt;0.1,0,'Data 2'!B64)</f>
        <v>0</v>
      </c>
      <c r="C64" s="131">
        <f>IF('Data 2'!C64&lt;0.1,0,'Data 2'!C64)</f>
        <v>2.1684193374936855</v>
      </c>
      <c r="D64" s="131">
        <f>IF('Data 2'!D64&lt;0.1,0,'Data 2'!D64)</f>
        <v>0</v>
      </c>
      <c r="E64" s="131">
        <f>IF('Data 2'!E64&lt;0.1,0,'Data 2'!E64)</f>
        <v>0</v>
      </c>
      <c r="F64" s="131">
        <f>IF('Data 2'!F64&lt;0.1,0,'Data 2'!F64)</f>
        <v>0</v>
      </c>
      <c r="G64" s="131">
        <f>IF('Data 2'!G64&lt;0.1,0,'Data 2'!G64)</f>
        <v>40.287096931875581</v>
      </c>
      <c r="H64" s="131">
        <f>IF('Data 2'!H64&lt;0.1,0,'Data 2'!H64)</f>
        <v>0</v>
      </c>
      <c r="I64" s="131">
        <f>IF('Data 2'!I64&lt;0.1,0,'Data 2'!I64)</f>
        <v>12.129499942971664</v>
      </c>
      <c r="J64" s="131">
        <f>IF('Data 2'!J64&lt;0.1,0,'Data 2'!J64)</f>
        <v>0</v>
      </c>
      <c r="K64" s="131">
        <f>IF('Data 2'!K64&lt;0.1,0,'Data 2'!K64)</f>
        <v>24.427758134684634</v>
      </c>
      <c r="L64" s="131">
        <f>IF('Data 2'!L64&lt;0.1,0,'Data 2'!L64)</f>
        <v>2.7328548384468738</v>
      </c>
      <c r="M64" s="131">
        <f>IF('Data 2'!M64&lt;0.1,0,'Data 2'!M64)</f>
        <v>5.105580629918693</v>
      </c>
      <c r="O64" s="130">
        <v>15</v>
      </c>
      <c r="P64" s="131">
        <f>'Stasiun Pontianak Kota'!Q110</f>
        <v>0</v>
      </c>
      <c r="Q64" s="131">
        <f>'Stasiun Pontianak Kota'!R110</f>
        <v>0</v>
      </c>
      <c r="R64" s="131">
        <f>'Stasiun Pontianak Kota'!S110</f>
        <v>0</v>
      </c>
      <c r="S64" s="131">
        <f>'Stasiun Pontianak Kota'!T110</f>
        <v>0</v>
      </c>
      <c r="T64" s="131">
        <f>'Stasiun Pontianak Kota'!U110</f>
        <v>0</v>
      </c>
      <c r="U64" s="131">
        <f>'Stasiun Pontianak Kota'!V110</f>
        <v>60</v>
      </c>
      <c r="V64" s="131">
        <f>'Stasiun Pontianak Kota'!W110</f>
        <v>0</v>
      </c>
      <c r="W64" s="131">
        <f>'Stasiun Pontianak Kota'!X110</f>
        <v>5</v>
      </c>
      <c r="X64" s="131">
        <f>'Stasiun Pontianak Kota'!Y110</f>
        <v>0</v>
      </c>
      <c r="Y64" s="131">
        <f>'Stasiun Pontianak Kota'!Z110</f>
        <v>33.200000000000003</v>
      </c>
      <c r="Z64" s="131">
        <f>'Stasiun Pontianak Kota'!AA110</f>
        <v>2.7</v>
      </c>
      <c r="AA64" s="131">
        <f>'Stasiun Pontianak Kota'!AB110</f>
        <v>3.2</v>
      </c>
      <c r="AC64" s="130">
        <v>15</v>
      </c>
      <c r="AD64" s="131">
        <f>'Sta. Meteorologi pnk'!B67</f>
        <v>0</v>
      </c>
      <c r="AE64" s="131">
        <f>'Sta. Meteorologi pnk'!C67</f>
        <v>6.6</v>
      </c>
      <c r="AF64" s="131">
        <f>'Sta. Meteorologi pnk'!D67</f>
        <v>0</v>
      </c>
      <c r="AG64" s="131">
        <f>'Sta. Meteorologi pnk'!E67</f>
        <v>0</v>
      </c>
      <c r="AH64" s="131">
        <f>'Sta. Meteorologi pnk'!F67</f>
        <v>0</v>
      </c>
      <c r="AI64" s="131">
        <f>'Sta. Meteorologi pnk'!G67</f>
        <v>0</v>
      </c>
      <c r="AJ64" s="131">
        <f>'Sta. Meteorologi pnk'!H67</f>
        <v>0</v>
      </c>
      <c r="AK64" s="131">
        <f>'Sta. Meteorologi pnk'!I67</f>
        <v>26.7</v>
      </c>
      <c r="AL64" s="131">
        <f>'Sta. Meteorologi pnk'!J67</f>
        <v>0</v>
      </c>
      <c r="AM64" s="131">
        <f>'Sta. Meteorologi pnk'!K67</f>
        <v>6.5</v>
      </c>
      <c r="AN64" s="131">
        <f>'Sta. Meteorologi pnk'!L67</f>
        <v>2.8</v>
      </c>
      <c r="AO64" s="131">
        <f>'Sta. Meteorologi pnk'!M67</f>
        <v>9</v>
      </c>
      <c r="AQ64" s="130">
        <v>15</v>
      </c>
      <c r="AR64" s="131">
        <f t="shared" si="31"/>
        <v>0</v>
      </c>
      <c r="AS64" s="131">
        <f t="shared" si="29"/>
        <v>4.4628850252626338</v>
      </c>
      <c r="AT64" s="131">
        <f t="shared" si="29"/>
        <v>0</v>
      </c>
      <c r="AU64" s="131">
        <f t="shared" si="29"/>
        <v>0</v>
      </c>
      <c r="AV64" s="131">
        <f t="shared" si="29"/>
        <v>0</v>
      </c>
      <c r="AW64" s="131">
        <f t="shared" si="29"/>
        <v>19.428317952157872</v>
      </c>
      <c r="AX64" s="131">
        <f t="shared" si="29"/>
        <v>0</v>
      </c>
      <c r="AY64" s="131">
        <f t="shared" si="29"/>
        <v>19.673425007302903</v>
      </c>
      <c r="AZ64" s="131">
        <f t="shared" si="29"/>
        <v>0</v>
      </c>
      <c r="BA64" s="131">
        <f t="shared" si="29"/>
        <v>15.145601488710254</v>
      </c>
      <c r="BB64" s="131">
        <f t="shared" si="29"/>
        <v>2.7676194700797367</v>
      </c>
      <c r="BC64" s="131">
        <f t="shared" si="29"/>
        <v>7.1219292646247387</v>
      </c>
      <c r="BE64" s="130">
        <v>15</v>
      </c>
      <c r="BF64" s="131">
        <f t="shared" si="32"/>
        <v>0</v>
      </c>
      <c r="BG64" s="131">
        <f t="shared" si="30"/>
        <v>4.1755642623130456</v>
      </c>
      <c r="BH64" s="131">
        <f t="shared" si="30"/>
        <v>0</v>
      </c>
      <c r="BI64" s="131">
        <f t="shared" si="30"/>
        <v>0</v>
      </c>
      <c r="BJ64" s="131">
        <f t="shared" si="30"/>
        <v>0</v>
      </c>
      <c r="BK64" s="131">
        <f t="shared" si="30"/>
        <v>22.040324888063221</v>
      </c>
      <c r="BL64" s="131">
        <f t="shared" si="30"/>
        <v>0</v>
      </c>
      <c r="BM64" s="131">
        <f t="shared" si="30"/>
        <v>18.728749165483801</v>
      </c>
      <c r="BN64" s="131">
        <f t="shared" si="30"/>
        <v>0</v>
      </c>
      <c r="BO64" s="131">
        <f t="shared" si="30"/>
        <v>16.307944575188134</v>
      </c>
      <c r="BP64" s="131">
        <f t="shared" si="30"/>
        <v>2.7632661251865609</v>
      </c>
      <c r="BQ64" s="131">
        <f t="shared" si="30"/>
        <v>6.8694352608205556</v>
      </c>
    </row>
    <row r="65" spans="1:69">
      <c r="A65" s="130">
        <v>16</v>
      </c>
      <c r="B65" s="131">
        <f>IF('Data 2'!B65&lt;0.1,0,'Data 2'!B65)</f>
        <v>0</v>
      </c>
      <c r="C65" s="131">
        <f>IF('Data 2'!C65&lt;0.1,0,'Data 2'!C65)</f>
        <v>0</v>
      </c>
      <c r="D65" s="131">
        <f>IF('Data 2'!D65&lt;0.1,0,'Data 2'!D65)</f>
        <v>20.778612745018165</v>
      </c>
      <c r="E65" s="131">
        <f>IF('Data 2'!E65&lt;0.1,0,'Data 2'!E65)</f>
        <v>0</v>
      </c>
      <c r="F65" s="131">
        <f>IF('Data 2'!F65&lt;0.1,0,'Data 2'!F65)</f>
        <v>4.9282257670311038</v>
      </c>
      <c r="G65" s="131">
        <f>IF('Data 2'!G65&lt;0.1,0,'Data 2'!G65)</f>
        <v>0</v>
      </c>
      <c r="H65" s="131">
        <f>IF('Data 2'!H65&lt;0.1,0,'Data 2'!H65)</f>
        <v>0</v>
      </c>
      <c r="I65" s="131">
        <f>IF('Data 2'!I65&lt;0.1,0,'Data 2'!I65)</f>
        <v>4.8315806625063136</v>
      </c>
      <c r="J65" s="131">
        <f>IF('Data 2'!J65&lt;0.1,0,'Data 2'!J65)</f>
        <v>0</v>
      </c>
      <c r="K65" s="131">
        <f>IF('Data 2'!K65&lt;0.1,0,'Data 2'!K65)</f>
        <v>29.660612973131506</v>
      </c>
      <c r="L65" s="131">
        <f>IF('Data 2'!L65&lt;0.1,0,'Data 2'!L65)</f>
        <v>0</v>
      </c>
      <c r="M65" s="131">
        <f>IF('Data 2'!M65&lt;0.1,0,'Data 2'!M65)</f>
        <v>16.111967803431476</v>
      </c>
      <c r="O65" s="130">
        <v>16</v>
      </c>
      <c r="P65" s="131">
        <f>'Stasiun Pontianak Kota'!Q111</f>
        <v>0</v>
      </c>
      <c r="Q65" s="131">
        <f>'Stasiun Pontianak Kota'!R111</f>
        <v>0</v>
      </c>
      <c r="R65" s="131">
        <f>'Stasiun Pontianak Kota'!S111</f>
        <v>1</v>
      </c>
      <c r="S65" s="131">
        <f>'Stasiun Pontianak Kota'!T111</f>
        <v>0</v>
      </c>
      <c r="T65" s="131">
        <f>'Stasiun Pontianak Kota'!U111</f>
        <v>0</v>
      </c>
      <c r="U65" s="131">
        <f>'Stasiun Pontianak Kota'!V111</f>
        <v>0</v>
      </c>
      <c r="V65" s="131">
        <f>'Stasiun Pontianak Kota'!W111</f>
        <v>0</v>
      </c>
      <c r="W65" s="131">
        <f>'Stasiun Pontianak Kota'!X111</f>
        <v>7</v>
      </c>
      <c r="X65" s="131">
        <f>'Stasiun Pontianak Kota'!Y111</f>
        <v>0</v>
      </c>
      <c r="Y65" s="131">
        <f>'Stasiun Pontianak Kota'!Z111</f>
        <v>38.4</v>
      </c>
      <c r="Z65" s="131">
        <f>'Stasiun Pontianak Kota'!AA111</f>
        <v>0</v>
      </c>
      <c r="AA65" s="131">
        <f>'Stasiun Pontianak Kota'!AB111</f>
        <v>23.8</v>
      </c>
      <c r="AC65" s="130">
        <v>16</v>
      </c>
      <c r="AD65" s="131">
        <f>'Sta. Meteorologi pnk'!B68</f>
        <v>0</v>
      </c>
      <c r="AE65" s="131">
        <f>'Sta. Meteorologi pnk'!C68</f>
        <v>0</v>
      </c>
      <c r="AF65" s="131">
        <f>'Sta. Meteorologi pnk'!D68</f>
        <v>61.2</v>
      </c>
      <c r="AG65" s="131">
        <f>'Sta. Meteorologi pnk'!E68</f>
        <v>0</v>
      </c>
      <c r="AH65" s="131">
        <f>'Sta. Meteorologi pnk'!F68</f>
        <v>15</v>
      </c>
      <c r="AI65" s="131">
        <f>'Sta. Meteorologi pnk'!G68</f>
        <v>0</v>
      </c>
      <c r="AJ65" s="131">
        <f>'Sta. Meteorologi pnk'!H68</f>
        <v>0</v>
      </c>
      <c r="AK65" s="131">
        <f>'Sta. Meteorologi pnk'!I68</f>
        <v>0.4</v>
      </c>
      <c r="AL65" s="131">
        <f>'Sta. Meteorologi pnk'!J68</f>
        <v>0</v>
      </c>
      <c r="AM65" s="131">
        <f>'Sta. Meteorologi pnk'!K68</f>
        <v>11.8</v>
      </c>
      <c r="AN65" s="131">
        <f>'Sta. Meteorologi pnk'!L68</f>
        <v>0.2</v>
      </c>
      <c r="AO65" s="131">
        <f>'Sta. Meteorologi pnk'!M68</f>
        <v>0.4</v>
      </c>
      <c r="AQ65" s="130">
        <v>16</v>
      </c>
      <c r="AR65" s="131">
        <f t="shared" si="31"/>
        <v>0</v>
      </c>
      <c r="AS65" s="131">
        <f t="shared" si="29"/>
        <v>0</v>
      </c>
      <c r="AT65" s="131">
        <f t="shared" si="29"/>
        <v>41.706920988001599</v>
      </c>
      <c r="AU65" s="131">
        <f t="shared" si="29"/>
        <v>0</v>
      </c>
      <c r="AV65" s="131">
        <f t="shared" si="29"/>
        <v>10.142920511960531</v>
      </c>
      <c r="AW65" s="131">
        <f t="shared" si="29"/>
        <v>0</v>
      </c>
      <c r="AX65" s="131">
        <f t="shared" si="29"/>
        <v>0</v>
      </c>
      <c r="AY65" s="131">
        <f t="shared" si="29"/>
        <v>2.5371149747373658</v>
      </c>
      <c r="AZ65" s="131">
        <f t="shared" si="29"/>
        <v>0</v>
      </c>
      <c r="BA65" s="131">
        <f t="shared" si="29"/>
        <v>20.413220958789989</v>
      </c>
      <c r="BB65" s="131">
        <f t="shared" si="29"/>
        <v>0.13523894015947374</v>
      </c>
      <c r="BC65" s="131">
        <f t="shared" si="29"/>
        <v>7.9770440013415707</v>
      </c>
      <c r="BE65" s="130">
        <v>16</v>
      </c>
      <c r="BF65" s="131">
        <f t="shared" si="32"/>
        <v>0</v>
      </c>
      <c r="BG65" s="131">
        <f t="shared" si="30"/>
        <v>0</v>
      </c>
      <c r="BH65" s="131">
        <f t="shared" si="30"/>
        <v>39.086207362309906</v>
      </c>
      <c r="BI65" s="131">
        <f t="shared" si="30"/>
        <v>0</v>
      </c>
      <c r="BJ65" s="131">
        <f t="shared" si="30"/>
        <v>9.4899187779841956</v>
      </c>
      <c r="BK65" s="131">
        <f t="shared" si="30"/>
        <v>0</v>
      </c>
      <c r="BL65" s="131">
        <f t="shared" si="30"/>
        <v>0</v>
      </c>
      <c r="BM65" s="131">
        <f t="shared" si="30"/>
        <v>2.824435737686954</v>
      </c>
      <c r="BN65" s="131">
        <f t="shared" si="30"/>
        <v>0</v>
      </c>
      <c r="BO65" s="131">
        <f t="shared" si="30"/>
        <v>21.571210700374692</v>
      </c>
      <c r="BP65" s="131">
        <f t="shared" si="30"/>
        <v>0.11830386212616625</v>
      </c>
      <c r="BQ65" s="131">
        <f t="shared" si="30"/>
        <v>8.9957267063446551</v>
      </c>
    </row>
    <row r="66" spans="1:69">
      <c r="A66" s="130">
        <v>17</v>
      </c>
      <c r="B66" s="131">
        <f>IF('Data 2'!B66&lt;0.1,0,'Data 2'!B66)</f>
        <v>0</v>
      </c>
      <c r="C66" s="131">
        <f>IF('Data 2'!C66&lt;0.1,0,'Data 2'!C66)</f>
        <v>0</v>
      </c>
      <c r="D66" s="131">
        <f>IF('Data 2'!D66&lt;0.1,0,'Data 2'!D66)</f>
        <v>25.472096850406526</v>
      </c>
      <c r="E66" s="131">
        <f>IF('Data 2'!E66&lt;0.1,0,'Data 2'!E66)</f>
        <v>1.9712903068124417</v>
      </c>
      <c r="F66" s="131">
        <f>IF('Data 2'!F66&lt;0.1,0,'Data 2'!F66)</f>
        <v>25.429644957880498</v>
      </c>
      <c r="G66" s="131">
        <f>IF('Data 2'!G66&lt;0.1,0,'Data 2'!G66)</f>
        <v>0</v>
      </c>
      <c r="H66" s="131">
        <f>IF('Data 2'!H66&lt;0.1,0,'Data 2'!H66)</f>
        <v>0</v>
      </c>
      <c r="I66" s="131">
        <f>IF('Data 2'!I66&lt;0.1,0,'Data 2'!I66)</f>
        <v>8.1457742003812754</v>
      </c>
      <c r="J66" s="131">
        <f>IF('Data 2'!J66&lt;0.1,0,'Data 2'!J66)</f>
        <v>0</v>
      </c>
      <c r="K66" s="131">
        <f>IF('Data 2'!K66&lt;0.1,0,'Data 2'!K66)</f>
        <v>0</v>
      </c>
      <c r="L66" s="131">
        <f>IF('Data 2'!L66&lt;0.1,0,'Data 2'!L66)</f>
        <v>1.4456128916624573</v>
      </c>
      <c r="M66" s="131">
        <f>IF('Data 2'!M66&lt;0.1,0,'Data 2'!M66)</f>
        <v>0</v>
      </c>
      <c r="O66" s="130">
        <v>17</v>
      </c>
      <c r="P66" s="131">
        <f>'Stasiun Pontianak Kota'!Q112</f>
        <v>0</v>
      </c>
      <c r="Q66" s="131">
        <f>'Stasiun Pontianak Kota'!R112</f>
        <v>0</v>
      </c>
      <c r="R66" s="131">
        <f>'Stasiun Pontianak Kota'!S112</f>
        <v>35</v>
      </c>
      <c r="S66" s="131">
        <f>'Stasiun Pontianak Kota'!T112</f>
        <v>0</v>
      </c>
      <c r="T66" s="131">
        <f>'Stasiun Pontianak Kota'!U112</f>
        <v>0</v>
      </c>
      <c r="U66" s="131">
        <f>'Stasiun Pontianak Kota'!V112</f>
        <v>0</v>
      </c>
      <c r="V66" s="131">
        <f>'Stasiun Pontianak Kota'!W112</f>
        <v>0</v>
      </c>
      <c r="W66" s="131">
        <f>'Stasiun Pontianak Kota'!X112</f>
        <v>9</v>
      </c>
      <c r="X66" s="131">
        <f>'Stasiun Pontianak Kota'!Y112</f>
        <v>0</v>
      </c>
      <c r="Y66" s="131">
        <f>'Stasiun Pontianak Kota'!Z112</f>
        <v>0</v>
      </c>
      <c r="Z66" s="131">
        <f>'Stasiun Pontianak Kota'!AA112</f>
        <v>0</v>
      </c>
      <c r="AA66" s="131">
        <f>'Stasiun Pontianak Kota'!AB112</f>
        <v>0</v>
      </c>
      <c r="AC66" s="130">
        <v>17</v>
      </c>
      <c r="AD66" s="131">
        <f>'Sta. Meteorologi pnk'!B69</f>
        <v>0</v>
      </c>
      <c r="AE66" s="131">
        <f>'Sta. Meteorologi pnk'!C69</f>
        <v>0</v>
      </c>
      <c r="AF66" s="131">
        <f>'Sta. Meteorologi pnk'!D69</f>
        <v>6</v>
      </c>
      <c r="AG66" s="131">
        <f>'Sta. Meteorologi pnk'!E69</f>
        <v>6</v>
      </c>
      <c r="AH66" s="131">
        <f>'Sta. Meteorologi pnk'!F69</f>
        <v>77.400000000000006</v>
      </c>
      <c r="AI66" s="131">
        <f>'Sta. Meteorologi pnk'!G69</f>
        <v>0</v>
      </c>
      <c r="AJ66" s="131">
        <f>'Sta. Meteorologi pnk'!H69</f>
        <v>0</v>
      </c>
      <c r="AK66" s="131">
        <f>'Sta. Meteorologi pnk'!I69</f>
        <v>6.4</v>
      </c>
      <c r="AL66" s="131">
        <f>'Sta. Meteorologi pnk'!J69</f>
        <v>0</v>
      </c>
      <c r="AM66" s="131">
        <f>'Sta. Meteorologi pnk'!K69</f>
        <v>0</v>
      </c>
      <c r="AN66" s="131">
        <f>'Sta. Meteorologi pnk'!L69</f>
        <v>4.4000000000000004</v>
      </c>
      <c r="AO66" s="131">
        <f>'Sta. Meteorologi pnk'!M69</f>
        <v>0</v>
      </c>
      <c r="AQ66" s="130">
        <v>17</v>
      </c>
      <c r="AR66" s="131">
        <f t="shared" si="31"/>
        <v>0</v>
      </c>
      <c r="AS66" s="131">
        <f t="shared" si="29"/>
        <v>0</v>
      </c>
      <c r="AT66" s="131">
        <f t="shared" si="29"/>
        <v>15.390353676876304</v>
      </c>
      <c r="AU66" s="131">
        <f t="shared" si="29"/>
        <v>4.0571682047842126</v>
      </c>
      <c r="AV66" s="131">
        <f t="shared" si="29"/>
        <v>52.337469841716342</v>
      </c>
      <c r="AW66" s="131">
        <f t="shared" si="29"/>
        <v>0</v>
      </c>
      <c r="AX66" s="131">
        <f t="shared" si="29"/>
        <v>0</v>
      </c>
      <c r="AY66" s="131">
        <f t="shared" si="29"/>
        <v>7.2418937779268404</v>
      </c>
      <c r="AZ66" s="131">
        <f t="shared" si="29"/>
        <v>0</v>
      </c>
      <c r="BA66" s="131">
        <f t="shared" si="29"/>
        <v>0</v>
      </c>
      <c r="BB66" s="131">
        <f t="shared" si="29"/>
        <v>2.9752566835084227</v>
      </c>
      <c r="BC66" s="131">
        <f t="shared" si="29"/>
        <v>0</v>
      </c>
      <c r="BE66" s="130">
        <v>17</v>
      </c>
      <c r="BF66" s="131">
        <f t="shared" si="32"/>
        <v>0</v>
      </c>
      <c r="BG66" s="131">
        <f t="shared" si="30"/>
        <v>0</v>
      </c>
      <c r="BH66" s="131">
        <f t="shared" si="30"/>
        <v>16.652823695897222</v>
      </c>
      <c r="BI66" s="131">
        <f t="shared" si="30"/>
        <v>3.7959675111936781</v>
      </c>
      <c r="BJ66" s="131">
        <f t="shared" si="30"/>
        <v>48.967980894398451</v>
      </c>
      <c r="BK66" s="131">
        <f t="shared" si="30"/>
        <v>0</v>
      </c>
      <c r="BL66" s="131">
        <f t="shared" si="30"/>
        <v>0</v>
      </c>
      <c r="BM66" s="131">
        <f t="shared" si="30"/>
        <v>7.3550807451494062</v>
      </c>
      <c r="BN66" s="131">
        <f t="shared" si="30"/>
        <v>0</v>
      </c>
      <c r="BO66" s="131">
        <f t="shared" si="30"/>
        <v>0</v>
      </c>
      <c r="BP66" s="131">
        <f t="shared" si="30"/>
        <v>2.7837095082086973</v>
      </c>
      <c r="BQ66" s="131">
        <f t="shared" si="30"/>
        <v>0</v>
      </c>
    </row>
    <row r="67" spans="1:69">
      <c r="A67" s="130">
        <v>18</v>
      </c>
      <c r="B67" s="131">
        <f>IF('Data 2'!B67&lt;0.1,0,'Data 2'!B67)</f>
        <v>0</v>
      </c>
      <c r="C67" s="131">
        <f>IF('Data 2'!C67&lt;0.1,0,'Data 2'!C67)</f>
        <v>0</v>
      </c>
      <c r="D67" s="131">
        <f>IF('Data 2'!D67&lt;0.1,0,'Data 2'!D67)</f>
        <v>5.1929838854219277</v>
      </c>
      <c r="E67" s="131">
        <f>IF('Data 2'!E67&lt;0.1,0,'Data 2'!E67)</f>
        <v>8.5751128346341225</v>
      </c>
      <c r="F67" s="131">
        <f>IF('Data 2'!F67&lt;0.1,0,'Data 2'!F67)</f>
        <v>69.830968015251003</v>
      </c>
      <c r="G67" s="131">
        <f>IF('Data 2'!G67&lt;0.1,0,'Data 2'!G67)</f>
        <v>0</v>
      </c>
      <c r="H67" s="131">
        <f>IF('Data 2'!H67&lt;0.1,0,'Data 2'!H67)</f>
        <v>0</v>
      </c>
      <c r="I67" s="131">
        <f>IF('Data 2'!I67&lt;0.1,0,'Data 2'!I67)</f>
        <v>2.6858064621250386</v>
      </c>
      <c r="J67" s="131">
        <f>IF('Data 2'!J67&lt;0.1,0,'Data 2'!J67)</f>
        <v>1.6427419223437014</v>
      </c>
      <c r="K67" s="131">
        <f>IF('Data 2'!K67&lt;0.1,0,'Data 2'!K67)</f>
        <v>2.0369999837061896</v>
      </c>
      <c r="L67" s="131">
        <f>IF('Data 2'!L67&lt;0.1,0,'Data 2'!L67)</f>
        <v>0.98564515340622083</v>
      </c>
      <c r="M67" s="131">
        <f>IF('Data 2'!M67&lt;0.1,0,'Data 2'!M67)</f>
        <v>0</v>
      </c>
      <c r="O67" s="130">
        <v>18</v>
      </c>
      <c r="P67" s="131">
        <f>'Stasiun Pontianak Kota'!Q113</f>
        <v>0</v>
      </c>
      <c r="Q67" s="131">
        <f>'Stasiun Pontianak Kota'!R113</f>
        <v>0</v>
      </c>
      <c r="R67" s="131">
        <f>'Stasiun Pontianak Kota'!S113</f>
        <v>7</v>
      </c>
      <c r="S67" s="131">
        <f>'Stasiun Pontianak Kota'!T113</f>
        <v>0</v>
      </c>
      <c r="T67" s="131">
        <f>'Stasiun Pontianak Kota'!U113</f>
        <v>104</v>
      </c>
      <c r="U67" s="131">
        <f>'Stasiun Pontianak Kota'!V113</f>
        <v>0</v>
      </c>
      <c r="V67" s="131">
        <f>'Stasiun Pontianak Kota'!W113</f>
        <v>0</v>
      </c>
      <c r="W67" s="131">
        <f>'Stasiun Pontianak Kota'!X113</f>
        <v>4</v>
      </c>
      <c r="X67" s="131">
        <f>'Stasiun Pontianak Kota'!Y113</f>
        <v>0</v>
      </c>
      <c r="Y67" s="131">
        <f>'Stasiun Pontianak Kota'!Z113</f>
        <v>0</v>
      </c>
      <c r="Z67" s="131">
        <f>'Stasiun Pontianak Kota'!AA113</f>
        <v>0</v>
      </c>
      <c r="AA67" s="131">
        <f>'Stasiun Pontianak Kota'!AB113</f>
        <v>0</v>
      </c>
      <c r="AC67" s="130">
        <v>18</v>
      </c>
      <c r="AD67" s="131">
        <f>'Sta. Meteorologi pnk'!B70</f>
        <v>0</v>
      </c>
      <c r="AE67" s="131">
        <f>'Sta. Meteorologi pnk'!C70</f>
        <v>0</v>
      </c>
      <c r="AF67" s="131">
        <f>'Sta. Meteorologi pnk'!D70</f>
        <v>1.5</v>
      </c>
      <c r="AG67" s="131">
        <f>'Sta. Meteorologi pnk'!E70</f>
        <v>26.1</v>
      </c>
      <c r="AH67" s="131">
        <f>'Sta. Meteorologi pnk'!F70</f>
        <v>0</v>
      </c>
      <c r="AI67" s="131">
        <f>'Sta. Meteorologi pnk'!G70</f>
        <v>0</v>
      </c>
      <c r="AJ67" s="131">
        <f>'Sta. Meteorologi pnk'!H70</f>
        <v>0</v>
      </c>
      <c r="AK67" s="131">
        <f>'Sta. Meteorologi pnk'!I70</f>
        <v>0</v>
      </c>
      <c r="AL67" s="131">
        <f>'Sta. Meteorologi pnk'!J70</f>
        <v>5</v>
      </c>
      <c r="AM67" s="131">
        <f>'Sta. Meteorologi pnk'!K70</f>
        <v>6.2</v>
      </c>
      <c r="AN67" s="131">
        <f>'Sta. Meteorologi pnk'!L70</f>
        <v>3</v>
      </c>
      <c r="AO67" s="131">
        <f>'Sta. Meteorologi pnk'!M70</f>
        <v>0</v>
      </c>
      <c r="AQ67" s="130">
        <v>18</v>
      </c>
      <c r="AR67" s="131">
        <f t="shared" si="31"/>
        <v>0</v>
      </c>
      <c r="AS67" s="131">
        <f t="shared" si="29"/>
        <v>0</v>
      </c>
      <c r="AT67" s="131">
        <f t="shared" si="29"/>
        <v>3.2809291456144716</v>
      </c>
      <c r="AU67" s="131">
        <f t="shared" si="29"/>
        <v>17.648681690811326</v>
      </c>
      <c r="AV67" s="131">
        <f t="shared" si="29"/>
        <v>33.675751117073645</v>
      </c>
      <c r="AW67" s="131">
        <f t="shared" si="29"/>
        <v>0</v>
      </c>
      <c r="AX67" s="131">
        <f t="shared" si="29"/>
        <v>0</v>
      </c>
      <c r="AY67" s="131">
        <f t="shared" si="29"/>
        <v>1.2952211968105249</v>
      </c>
      <c r="AZ67" s="131">
        <f t="shared" si="29"/>
        <v>3.3809735039868438</v>
      </c>
      <c r="BA67" s="131">
        <f t="shared" si="29"/>
        <v>4.1924071449436866</v>
      </c>
      <c r="BB67" s="131">
        <f t="shared" si="29"/>
        <v>2.0285841023921063</v>
      </c>
      <c r="BC67" s="131">
        <f t="shared" si="29"/>
        <v>0</v>
      </c>
      <c r="BE67" s="130">
        <v>18</v>
      </c>
      <c r="BF67" s="131">
        <f t="shared" si="32"/>
        <v>0</v>
      </c>
      <c r="BG67" s="131">
        <f t="shared" si="30"/>
        <v>0</v>
      </c>
      <c r="BH67" s="131">
        <f t="shared" si="30"/>
        <v>3.5203631147391281</v>
      </c>
      <c r="BI67" s="131">
        <f t="shared" si="30"/>
        <v>16.512458673692503</v>
      </c>
      <c r="BJ67" s="131">
        <f t="shared" si="30"/>
        <v>38.20322980597625</v>
      </c>
      <c r="BK67" s="131">
        <f t="shared" si="30"/>
        <v>0</v>
      </c>
      <c r="BL67" s="131">
        <f t="shared" si="30"/>
        <v>0</v>
      </c>
      <c r="BM67" s="131">
        <f t="shared" si="30"/>
        <v>1.469354992537548</v>
      </c>
      <c r="BN67" s="131">
        <f t="shared" si="30"/>
        <v>3.1633062593280652</v>
      </c>
      <c r="BO67" s="131">
        <f t="shared" si="30"/>
        <v>3.9224997615668005</v>
      </c>
      <c r="BP67" s="131">
        <f t="shared" si="30"/>
        <v>1.8979837555968391</v>
      </c>
      <c r="BQ67" s="131">
        <f t="shared" si="30"/>
        <v>0</v>
      </c>
    </row>
    <row r="68" spans="1:69">
      <c r="A68" s="130">
        <v>19</v>
      </c>
      <c r="B68" s="131">
        <f>IF('Data 2'!B68&lt;0.1,0,'Data 2'!B68)</f>
        <v>0</v>
      </c>
      <c r="C68" s="131">
        <f>IF('Data 2'!C68&lt;0.1,0,'Data 2'!C68)</f>
        <v>0</v>
      </c>
      <c r="D68" s="131">
        <f>IF('Data 2'!D68&lt;0.1,0,'Data 2'!D68)</f>
        <v>0.91993547651247276</v>
      </c>
      <c r="E68" s="131">
        <f>IF('Data 2'!E68&lt;0.1,0,'Data 2'!E68)</f>
        <v>9.4003226174376344</v>
      </c>
      <c r="F68" s="131">
        <f>IF('Data 2'!F68&lt;0.1,0,'Data 2'!F68)</f>
        <v>7.0309354276310412</v>
      </c>
      <c r="G68" s="131">
        <f>IF('Data 2'!G68&lt;0.1,0,'Data 2'!G68)</f>
        <v>0</v>
      </c>
      <c r="H68" s="131">
        <f>IF('Data 2'!H68&lt;0.1,0,'Data 2'!H68)</f>
        <v>0</v>
      </c>
      <c r="I68" s="131">
        <f>IF('Data 2'!I68&lt;0.1,0,'Data 2'!I68)</f>
        <v>5.5524676975217107</v>
      </c>
      <c r="J68" s="131">
        <f>IF('Data 2'!J68&lt;0.1,0,'Data 2'!J68)</f>
        <v>32.117370830821365</v>
      </c>
      <c r="K68" s="131">
        <f>IF('Data 2'!K68&lt;0.1,0,'Data 2'!K68)</f>
        <v>12.191709709481367</v>
      </c>
      <c r="L68" s="131">
        <f>IF('Data 2'!L68&lt;0.1,0,'Data 2'!L68)</f>
        <v>1.182774184087465</v>
      </c>
      <c r="M68" s="131">
        <f>IF('Data 2'!M68&lt;0.1,0,'Data 2'!M68)</f>
        <v>14.784677301093312</v>
      </c>
      <c r="O68" s="130">
        <v>19</v>
      </c>
      <c r="P68" s="131">
        <f>'Stasiun Pontianak Kota'!Q114</f>
        <v>0</v>
      </c>
      <c r="Q68" s="131">
        <f>'Stasiun Pontianak Kota'!R114</f>
        <v>0</v>
      </c>
      <c r="R68" s="131">
        <f>'Stasiun Pontianak Kota'!S114</f>
        <v>0</v>
      </c>
      <c r="S68" s="131">
        <f>'Stasiun Pontianak Kota'!T114</f>
        <v>14</v>
      </c>
      <c r="T68" s="131">
        <f>'Stasiun Pontianak Kota'!U114</f>
        <v>0</v>
      </c>
      <c r="U68" s="131">
        <f>'Stasiun Pontianak Kota'!V114</f>
        <v>0</v>
      </c>
      <c r="V68" s="131">
        <f>'Stasiun Pontianak Kota'!W114</f>
        <v>0</v>
      </c>
      <c r="W68" s="131">
        <f>'Stasiun Pontianak Kota'!X114</f>
        <v>0</v>
      </c>
      <c r="X68" s="131">
        <f>'Stasiun Pontianak Kota'!Y114</f>
        <v>15</v>
      </c>
      <c r="Y68" s="131">
        <f>'Stasiun Pontianak Kota'!Z114</f>
        <v>16.2</v>
      </c>
      <c r="Z68" s="131">
        <f>'Stasiun Pontianak Kota'!AA114</f>
        <v>0</v>
      </c>
      <c r="AA68" s="131">
        <f>'Stasiun Pontianak Kota'!AB114</f>
        <v>0</v>
      </c>
      <c r="AC68" s="130">
        <v>19</v>
      </c>
      <c r="AD68" s="131">
        <f>'Sta. Meteorologi pnk'!B71</f>
        <v>0</v>
      </c>
      <c r="AE68" s="131">
        <f>'Sta. Meteorologi pnk'!C71</f>
        <v>0</v>
      </c>
      <c r="AF68" s="131">
        <f>'Sta. Meteorologi pnk'!D71</f>
        <v>2.8</v>
      </c>
      <c r="AG68" s="131">
        <f>'Sta. Meteorologi pnk'!E71</f>
        <v>0</v>
      </c>
      <c r="AH68" s="131">
        <f>'Sta. Meteorologi pnk'!F71</f>
        <v>21.4</v>
      </c>
      <c r="AI68" s="131">
        <f>'Sta. Meteorologi pnk'!G71</f>
        <v>0</v>
      </c>
      <c r="AJ68" s="131">
        <f>'Sta. Meteorologi pnk'!H71</f>
        <v>0</v>
      </c>
      <c r="AK68" s="131">
        <f>'Sta. Meteorologi pnk'!I71</f>
        <v>16.899999999999999</v>
      </c>
      <c r="AL68" s="131">
        <f>'Sta. Meteorologi pnk'!J71</f>
        <v>67.099999999999994</v>
      </c>
      <c r="AM68" s="131">
        <f>'Sta. Meteorologi pnk'!K71</f>
        <v>4</v>
      </c>
      <c r="AN68" s="131">
        <f>'Sta. Meteorologi pnk'!L71</f>
        <v>3.6</v>
      </c>
      <c r="AO68" s="131">
        <f>'Sta. Meteorologi pnk'!M71</f>
        <v>45</v>
      </c>
      <c r="AQ68" s="130">
        <v>19</v>
      </c>
      <c r="AR68" s="131">
        <f t="shared" si="31"/>
        <v>0</v>
      </c>
      <c r="AS68" s="131">
        <f t="shared" si="29"/>
        <v>0</v>
      </c>
      <c r="AT68" s="131">
        <f t="shared" si="29"/>
        <v>1.8933451622326323</v>
      </c>
      <c r="AU68" s="131">
        <f t="shared" si="29"/>
        <v>4.5332741888368364</v>
      </c>
      <c r="AV68" s="131">
        <f t="shared" si="29"/>
        <v>14.470566597063691</v>
      </c>
      <c r="AW68" s="131">
        <f t="shared" si="29"/>
        <v>0</v>
      </c>
      <c r="AX68" s="131">
        <f t="shared" si="29"/>
        <v>0</v>
      </c>
      <c r="AY68" s="131">
        <f t="shared" si="29"/>
        <v>11.42769044347553</v>
      </c>
      <c r="AZ68" s="131">
        <f t="shared" si="29"/>
        <v>50.229743911542904</v>
      </c>
      <c r="BA68" s="131">
        <f t="shared" si="29"/>
        <v>7.9504246502721001</v>
      </c>
      <c r="BB68" s="131">
        <f t="shared" si="29"/>
        <v>2.4343009228705275</v>
      </c>
      <c r="BC68" s="131">
        <f t="shared" si="29"/>
        <v>30.428761535881591</v>
      </c>
      <c r="BE68" s="130">
        <v>19</v>
      </c>
      <c r="BF68" s="131">
        <f t="shared" si="32"/>
        <v>0</v>
      </c>
      <c r="BG68" s="131">
        <f t="shared" si="30"/>
        <v>0</v>
      </c>
      <c r="BH68" s="131">
        <f t="shared" si="30"/>
        <v>1.7714515052237163</v>
      </c>
      <c r="BI68" s="131">
        <f t="shared" si="30"/>
        <v>5.1427424738814178</v>
      </c>
      <c r="BJ68" s="131">
        <f t="shared" si="30"/>
        <v>13.538950789924119</v>
      </c>
      <c r="BK68" s="131">
        <f t="shared" si="30"/>
        <v>0</v>
      </c>
      <c r="BL68" s="131">
        <f t="shared" si="30"/>
        <v>0</v>
      </c>
      <c r="BM68" s="131">
        <f t="shared" si="30"/>
        <v>10.69197515652886</v>
      </c>
      <c r="BN68" s="131">
        <f t="shared" si="30"/>
        <v>47.961651222198427</v>
      </c>
      <c r="BO68" s="131">
        <f t="shared" si="30"/>
        <v>8.4815327272395216</v>
      </c>
      <c r="BP68" s="131">
        <f t="shared" si="30"/>
        <v>2.2775805067162072</v>
      </c>
      <c r="BQ68" s="131">
        <f t="shared" si="30"/>
        <v>28.469756333952585</v>
      </c>
    </row>
    <row r="69" spans="1:69">
      <c r="A69" s="130">
        <v>20</v>
      </c>
      <c r="B69" s="131">
        <f>IF('Data 2'!B69&lt;0.1,0,'Data 2'!B69)</f>
        <v>0</v>
      </c>
      <c r="C69" s="131">
        <f>IF('Data 2'!C69&lt;0.1,0,'Data 2'!C69)</f>
        <v>0</v>
      </c>
      <c r="D69" s="131">
        <f>IF('Data 2'!D69&lt;0.1,0,'Data 2'!D69)</f>
        <v>0</v>
      </c>
      <c r="E69" s="131">
        <f>IF('Data 2'!E69&lt;0.1,0,'Data 2'!E69)</f>
        <v>1.5113225685562051</v>
      </c>
      <c r="F69" s="131">
        <f>IF('Data 2'!F69&lt;0.1,0,'Data 2'!F69)</f>
        <v>22.829354928062827</v>
      </c>
      <c r="G69" s="131">
        <f>IF('Data 2'!G69&lt;0.1,0,'Data 2'!G69)</f>
        <v>0.49282257670311042</v>
      </c>
      <c r="H69" s="131">
        <f>IF('Data 2'!H69&lt;0.1,0,'Data 2'!H69)</f>
        <v>0</v>
      </c>
      <c r="I69" s="131">
        <f>IF('Data 2'!I69&lt;0.1,0,'Data 2'!I69)</f>
        <v>6.0759193782282104</v>
      </c>
      <c r="J69" s="131">
        <f>IF('Data 2'!J69&lt;0.1,0,'Data 2'!J69)</f>
        <v>41.858064621250385</v>
      </c>
      <c r="K69" s="131">
        <f>IF('Data 2'!K69&lt;0.1,0,'Data 2'!K69)</f>
        <v>4.2642741922343701</v>
      </c>
      <c r="L69" s="131">
        <f>IF('Data 2'!L69&lt;0.1,0,'Data 2'!L69)</f>
        <v>2.0815000081469051</v>
      </c>
      <c r="M69" s="131">
        <f>IF('Data 2'!M69&lt;0.1,0,'Data 2'!M69)</f>
        <v>34.24403239209424</v>
      </c>
      <c r="O69" s="130">
        <v>20</v>
      </c>
      <c r="P69" s="131">
        <f>'Stasiun Pontianak Kota'!Q115</f>
        <v>0</v>
      </c>
      <c r="Q69" s="131">
        <f>'Stasiun Pontianak Kota'!R115</f>
        <v>0</v>
      </c>
      <c r="R69" s="131">
        <f>'Stasiun Pontianak Kota'!S115</f>
        <v>0</v>
      </c>
      <c r="S69" s="131">
        <f>'Stasiun Pontianak Kota'!T115</f>
        <v>0</v>
      </c>
      <c r="T69" s="131">
        <f>'Stasiun Pontianak Kota'!U115</f>
        <v>34</v>
      </c>
      <c r="U69" s="131">
        <f>'Stasiun Pontianak Kota'!V115</f>
        <v>0</v>
      </c>
      <c r="V69" s="131">
        <f>'Stasiun Pontianak Kota'!W115</f>
        <v>0</v>
      </c>
      <c r="W69" s="131">
        <f>'Stasiun Pontianak Kota'!X115</f>
        <v>9</v>
      </c>
      <c r="X69" s="131">
        <f>'Stasiun Pontianak Kota'!Y115</f>
        <v>55</v>
      </c>
      <c r="Y69" s="131">
        <f>'Stasiun Pontianak Kota'!Z115</f>
        <v>4.0999999999999996</v>
      </c>
      <c r="Z69" s="131">
        <f>'Stasiun Pontianak Kota'!AA115</f>
        <v>3.1</v>
      </c>
      <c r="AA69" s="131">
        <f>'Stasiun Pontianak Kota'!AB115</f>
        <v>51</v>
      </c>
      <c r="AC69" s="130">
        <v>20</v>
      </c>
      <c r="AD69" s="131">
        <f>'Sta. Meteorologi pnk'!B72</f>
        <v>0</v>
      </c>
      <c r="AE69" s="131">
        <f>'Sta. Meteorologi pnk'!C72</f>
        <v>0</v>
      </c>
      <c r="AF69" s="131">
        <f>'Sta. Meteorologi pnk'!D72</f>
        <v>0</v>
      </c>
      <c r="AG69" s="131">
        <f>'Sta. Meteorologi pnk'!E72</f>
        <v>4.5999999999999996</v>
      </c>
      <c r="AH69" s="131">
        <f>'Sta. Meteorologi pnk'!F72</f>
        <v>0</v>
      </c>
      <c r="AI69" s="131">
        <f>'Sta. Meteorologi pnk'!G72</f>
        <v>1.5</v>
      </c>
      <c r="AJ69" s="131">
        <f>'Sta. Meteorologi pnk'!H72</f>
        <v>0</v>
      </c>
      <c r="AK69" s="131">
        <f>'Sta. Meteorologi pnk'!I72</f>
        <v>0.1</v>
      </c>
      <c r="AL69" s="131">
        <f>'Sta. Meteorologi pnk'!J72</f>
        <v>15</v>
      </c>
      <c r="AM69" s="131">
        <f>'Sta. Meteorologi pnk'!K72</f>
        <v>4.5999999999999996</v>
      </c>
      <c r="AN69" s="131">
        <f>'Sta. Meteorologi pnk'!L72</f>
        <v>0</v>
      </c>
      <c r="AO69" s="131">
        <f>'Sta. Meteorologi pnk'!M72</f>
        <v>0</v>
      </c>
      <c r="AQ69" s="130">
        <v>20</v>
      </c>
      <c r="AR69" s="131">
        <f t="shared" si="31"/>
        <v>0</v>
      </c>
      <c r="AS69" s="131">
        <f t="shared" si="29"/>
        <v>0</v>
      </c>
      <c r="AT69" s="131">
        <f t="shared" si="29"/>
        <v>0</v>
      </c>
      <c r="AU69" s="131">
        <f t="shared" si="29"/>
        <v>3.1104956236678962</v>
      </c>
      <c r="AV69" s="131">
        <f t="shared" si="29"/>
        <v>11.009380172889459</v>
      </c>
      <c r="AW69" s="131">
        <f t="shared" si="29"/>
        <v>1.0142920511960531</v>
      </c>
      <c r="AX69" s="131">
        <f t="shared" si="29"/>
        <v>0</v>
      </c>
      <c r="AY69" s="131">
        <f t="shared" si="29"/>
        <v>2.9818671629034177</v>
      </c>
      <c r="AZ69" s="131">
        <f t="shared" si="29"/>
        <v>27.952211968105246</v>
      </c>
      <c r="BA69" s="131">
        <f t="shared" si="29"/>
        <v>4.4380973503986842</v>
      </c>
      <c r="BB69" s="131">
        <f t="shared" si="29"/>
        <v>1.0037964275281568</v>
      </c>
      <c r="BC69" s="131">
        <f t="shared" si="29"/>
        <v>16.514070259334193</v>
      </c>
      <c r="BE69" s="130">
        <v>20</v>
      </c>
      <c r="BF69" s="131">
        <f t="shared" si="32"/>
        <v>0</v>
      </c>
      <c r="BG69" s="131">
        <f t="shared" si="30"/>
        <v>0</v>
      </c>
      <c r="BH69" s="131">
        <f t="shared" si="30"/>
        <v>0</v>
      </c>
      <c r="BI69" s="131">
        <f t="shared" si="30"/>
        <v>2.9102417585818201</v>
      </c>
      <c r="BJ69" s="131">
        <f t="shared" si="30"/>
        <v>12.489517436569157</v>
      </c>
      <c r="BK69" s="131">
        <f t="shared" si="30"/>
        <v>0.94899187779841954</v>
      </c>
      <c r="BL69" s="131">
        <f t="shared" si="30"/>
        <v>0</v>
      </c>
      <c r="BM69" s="131">
        <f t="shared" si="30"/>
        <v>3.3693148583960442</v>
      </c>
      <c r="BN69" s="131">
        <f t="shared" si="30"/>
        <v>29.693549925375475</v>
      </c>
      <c r="BO69" s="131">
        <f t="shared" si="30"/>
        <v>4.4163306259328063</v>
      </c>
      <c r="BP69" s="131">
        <f t="shared" si="30"/>
        <v>1.1387501192165996</v>
      </c>
      <c r="BQ69" s="131">
        <f t="shared" si="30"/>
        <v>18.734276154853738</v>
      </c>
    </row>
    <row r="70" spans="1:69">
      <c r="A70" s="130">
        <v>21</v>
      </c>
      <c r="B70" s="131">
        <f>IF('Data 2'!B70&lt;0.1,0,'Data 2'!B70)</f>
        <v>0</v>
      </c>
      <c r="C70" s="131">
        <f>IF('Data 2'!C70&lt;0.1,0,'Data 2'!C70)</f>
        <v>0</v>
      </c>
      <c r="D70" s="131">
        <f>IF('Data 2'!D70&lt;0.1,0,'Data 2'!D70)</f>
        <v>0</v>
      </c>
      <c r="E70" s="131">
        <f>IF('Data 2'!E70&lt;0.1,0,'Data 2'!E70)</f>
        <v>0.32854838446874024</v>
      </c>
      <c r="F70" s="131">
        <f>IF('Data 2'!F70&lt;0.1,0,'Data 2'!F70)</f>
        <v>0</v>
      </c>
      <c r="G70" s="131">
        <f>IF('Data 2'!G70&lt;0.1,0,'Data 2'!G70)</f>
        <v>26.858064621250385</v>
      </c>
      <c r="H70" s="131">
        <f>IF('Data 2'!H70&lt;0.1,0,'Data 2'!H70)</f>
        <v>0</v>
      </c>
      <c r="I70" s="131">
        <f>IF('Data 2'!I70&lt;0.1,0,'Data 2'!I70)</f>
        <v>1.314193537874961</v>
      </c>
      <c r="J70" s="131">
        <f>IF('Data 2'!J70&lt;0.1,0,'Data 2'!J70)</f>
        <v>0.67145161553125965</v>
      </c>
      <c r="K70" s="131">
        <f>IF('Data 2'!K70&lt;0.1,0,'Data 2'!K70)</f>
        <v>31.410983657308584</v>
      </c>
      <c r="L70" s="131">
        <f>IF('Data 2'!L70&lt;0.1,0,'Data 2'!L70)</f>
        <v>6.4724031740341834</v>
      </c>
      <c r="M70" s="131">
        <f>IF('Data 2'!M70&lt;0.1,0,'Data 2'!M70)</f>
        <v>0.91993547651247276</v>
      </c>
      <c r="O70" s="130">
        <v>21</v>
      </c>
      <c r="P70" s="131">
        <f>'Stasiun Pontianak Kota'!Q116</f>
        <v>0</v>
      </c>
      <c r="Q70" s="131">
        <f>'Stasiun Pontianak Kota'!R116</f>
        <v>0</v>
      </c>
      <c r="R70" s="131">
        <f>'Stasiun Pontianak Kota'!S116</f>
        <v>0</v>
      </c>
      <c r="S70" s="131">
        <f>'Stasiun Pontianak Kota'!T116</f>
        <v>0</v>
      </c>
      <c r="T70" s="131">
        <f>'Stasiun Pontianak Kota'!U116</f>
        <v>0</v>
      </c>
      <c r="U70" s="131">
        <f>'Stasiun Pontianak Kota'!V116</f>
        <v>40</v>
      </c>
      <c r="V70" s="131">
        <f>'Stasiun Pontianak Kota'!W116</f>
        <v>0</v>
      </c>
      <c r="W70" s="131">
        <f>'Stasiun Pontianak Kota'!X116</f>
        <v>0</v>
      </c>
      <c r="X70" s="131">
        <f>'Stasiun Pontianak Kota'!Y116</f>
        <v>1</v>
      </c>
      <c r="Y70" s="131">
        <f>'Stasiun Pontianak Kota'!Z116</f>
        <v>4.7</v>
      </c>
      <c r="Z70" s="131">
        <f>'Stasiun Pontianak Kota'!AA116</f>
        <v>0</v>
      </c>
      <c r="AA70" s="131">
        <f>'Stasiun Pontianak Kota'!AB116</f>
        <v>0</v>
      </c>
      <c r="AC70" s="130">
        <v>21</v>
      </c>
      <c r="AD70" s="131">
        <f>'Sta. Meteorologi pnk'!B73</f>
        <v>0</v>
      </c>
      <c r="AE70" s="131">
        <f>'Sta. Meteorologi pnk'!C73</f>
        <v>0</v>
      </c>
      <c r="AF70" s="131">
        <f>'Sta. Meteorologi pnk'!D73</f>
        <v>0</v>
      </c>
      <c r="AG70" s="131">
        <f>'Sta. Meteorologi pnk'!E73</f>
        <v>1</v>
      </c>
      <c r="AH70" s="131">
        <f>'Sta. Meteorologi pnk'!F73</f>
        <v>0</v>
      </c>
      <c r="AI70" s="131">
        <f>'Sta. Meteorologi pnk'!G73</f>
        <v>0</v>
      </c>
      <c r="AJ70" s="131">
        <f>'Sta. Meteorologi pnk'!H73</f>
        <v>0</v>
      </c>
      <c r="AK70" s="131">
        <f>'Sta. Meteorologi pnk'!I73</f>
        <v>4</v>
      </c>
      <c r="AL70" s="131">
        <f>'Sta. Meteorologi pnk'!J73</f>
        <v>0</v>
      </c>
      <c r="AM70" s="131">
        <f>'Sta. Meteorologi pnk'!K73</f>
        <v>86</v>
      </c>
      <c r="AN70" s="131">
        <f>'Sta. Meteorologi pnk'!L73</f>
        <v>19.7</v>
      </c>
      <c r="AO70" s="131">
        <f>'Sta. Meteorologi pnk'!M73</f>
        <v>2.8</v>
      </c>
      <c r="AQ70" s="130">
        <v>21</v>
      </c>
      <c r="AR70" s="131">
        <f t="shared" si="31"/>
        <v>0</v>
      </c>
      <c r="AS70" s="131">
        <f t="shared" si="29"/>
        <v>0</v>
      </c>
      <c r="AT70" s="131">
        <f t="shared" si="29"/>
        <v>0</v>
      </c>
      <c r="AU70" s="131">
        <f t="shared" si="29"/>
        <v>0.67619470079736876</v>
      </c>
      <c r="AV70" s="131">
        <f t="shared" si="29"/>
        <v>0</v>
      </c>
      <c r="AW70" s="131">
        <f t="shared" si="29"/>
        <v>12.952211968105248</v>
      </c>
      <c r="AX70" s="131">
        <f t="shared" si="29"/>
        <v>0</v>
      </c>
      <c r="AY70" s="131">
        <f t="shared" si="29"/>
        <v>2.7047788031894751</v>
      </c>
      <c r="AZ70" s="131">
        <f t="shared" si="29"/>
        <v>0.32380529920263124</v>
      </c>
      <c r="BA70" s="131">
        <f t="shared" si="29"/>
        <v>59.67462917482608</v>
      </c>
      <c r="BB70" s="131">
        <f t="shared" si="29"/>
        <v>13.321035605708163</v>
      </c>
      <c r="BC70" s="131">
        <f t="shared" si="29"/>
        <v>1.8933451622326323</v>
      </c>
      <c r="BE70" s="130">
        <v>21</v>
      </c>
      <c r="BF70" s="131">
        <f t="shared" si="32"/>
        <v>0</v>
      </c>
      <c r="BG70" s="131">
        <f t="shared" si="30"/>
        <v>0</v>
      </c>
      <c r="BH70" s="131">
        <f t="shared" si="30"/>
        <v>0</v>
      </c>
      <c r="BI70" s="131">
        <f t="shared" si="30"/>
        <v>0.63266125186561295</v>
      </c>
      <c r="BJ70" s="131">
        <f t="shared" si="30"/>
        <v>0</v>
      </c>
      <c r="BK70" s="131">
        <f t="shared" si="30"/>
        <v>14.693549925375478</v>
      </c>
      <c r="BL70" s="131">
        <f t="shared" si="30"/>
        <v>0</v>
      </c>
      <c r="BM70" s="131">
        <f t="shared" si="30"/>
        <v>2.5306450074624518</v>
      </c>
      <c r="BN70" s="131">
        <f t="shared" si="30"/>
        <v>0.36733874813438699</v>
      </c>
      <c r="BO70" s="131">
        <f t="shared" si="30"/>
        <v>56.135359776674342</v>
      </c>
      <c r="BP70" s="131">
        <f t="shared" si="30"/>
        <v>12.463426661752575</v>
      </c>
      <c r="BQ70" s="131">
        <f t="shared" si="30"/>
        <v>1.7714515052237163</v>
      </c>
    </row>
    <row r="71" spans="1:69">
      <c r="A71" s="130">
        <v>22</v>
      </c>
      <c r="B71" s="131">
        <f>IF('Data 2'!B71&lt;0.1,0,'Data 2'!B71)</f>
        <v>0</v>
      </c>
      <c r="C71" s="131">
        <f>IF('Data 2'!C71&lt;0.1,0,'Data 2'!C71)</f>
        <v>0</v>
      </c>
      <c r="D71" s="131">
        <f>IF('Data 2'!D71&lt;0.1,0,'Data 2'!D71)</f>
        <v>0</v>
      </c>
      <c r="E71" s="131">
        <f>IF('Data 2'!E71&lt;0.1,0,'Data 2'!E71)</f>
        <v>1.9055806299186935</v>
      </c>
      <c r="F71" s="131">
        <f>IF('Data 2'!F71&lt;0.1,0,'Data 2'!F71)</f>
        <v>0</v>
      </c>
      <c r="G71" s="131">
        <f>IF('Data 2'!G71&lt;0.1,0,'Data 2'!G71)</f>
        <v>0</v>
      </c>
      <c r="H71" s="131">
        <f>IF('Data 2'!H71&lt;0.1,0,'Data 2'!H71)</f>
        <v>0</v>
      </c>
      <c r="I71" s="131">
        <f>IF('Data 2'!I71&lt;0.1,0,'Data 2'!I71)</f>
        <v>2.0143548465937791</v>
      </c>
      <c r="J71" s="131">
        <f>IF('Data 2'!J71&lt;0.1,0,'Data 2'!J71)</f>
        <v>0.16427419223437012</v>
      </c>
      <c r="K71" s="131">
        <f>IF('Data 2'!K71&lt;0.1,0,'Data 2'!K71)</f>
        <v>41.045290274224818</v>
      </c>
      <c r="L71" s="131">
        <f>IF('Data 2'!L71&lt;0.1,0,'Data 2'!L71)</f>
        <v>28.393451517768398</v>
      </c>
      <c r="M71" s="131">
        <f>IF('Data 2'!M71&lt;0.1,0,'Data 2'!M71)</f>
        <v>10.546403141446563</v>
      </c>
      <c r="O71" s="130">
        <v>22</v>
      </c>
      <c r="P71" s="131">
        <f>'Stasiun Pontianak Kota'!Q117</f>
        <v>0</v>
      </c>
      <c r="Q71" s="131">
        <f>'Stasiun Pontianak Kota'!R117</f>
        <v>0</v>
      </c>
      <c r="R71" s="131">
        <f>'Stasiun Pontianak Kota'!S117</f>
        <v>0</v>
      </c>
      <c r="S71" s="131">
        <f>'Stasiun Pontianak Kota'!T117</f>
        <v>0</v>
      </c>
      <c r="T71" s="131">
        <f>'Stasiun Pontianak Kota'!U117</f>
        <v>0</v>
      </c>
      <c r="U71" s="131">
        <f>'Stasiun Pontianak Kota'!V117</f>
        <v>0</v>
      </c>
      <c r="V71" s="131">
        <f>'Stasiun Pontianak Kota'!W117</f>
        <v>0</v>
      </c>
      <c r="W71" s="131">
        <f>'Stasiun Pontianak Kota'!X117</f>
        <v>3</v>
      </c>
      <c r="X71" s="131">
        <f>'Stasiun Pontianak Kota'!Y117</f>
        <v>0</v>
      </c>
      <c r="Y71" s="131">
        <f>'Stasiun Pontianak Kota'!Z117</f>
        <v>35</v>
      </c>
      <c r="Z71" s="131">
        <f>'Stasiun Pontianak Kota'!AA117</f>
        <v>16.5</v>
      </c>
      <c r="AA71" s="131">
        <f>'Stasiun Pontianak Kota'!AB117</f>
        <v>0</v>
      </c>
      <c r="AC71" s="130">
        <v>22</v>
      </c>
      <c r="AD71" s="131">
        <f>'Sta. Meteorologi pnk'!B74</f>
        <v>0</v>
      </c>
      <c r="AE71" s="131">
        <f>'Sta. Meteorologi pnk'!C74</f>
        <v>0</v>
      </c>
      <c r="AF71" s="131">
        <f>'Sta. Meteorologi pnk'!D74</f>
        <v>0</v>
      </c>
      <c r="AG71" s="131">
        <f>'Sta. Meteorologi pnk'!E74</f>
        <v>5.8</v>
      </c>
      <c r="AH71" s="131">
        <f>'Sta. Meteorologi pnk'!F74</f>
        <v>0</v>
      </c>
      <c r="AI71" s="131">
        <f>'Sta. Meteorologi pnk'!G74</f>
        <v>0</v>
      </c>
      <c r="AJ71" s="131">
        <f>'Sta. Meteorologi pnk'!H74</f>
        <v>0</v>
      </c>
      <c r="AK71" s="131">
        <f>'Sta. Meteorologi pnk'!I74</f>
        <v>0</v>
      </c>
      <c r="AL71" s="131">
        <f>'Sta. Meteorologi pnk'!J74</f>
        <v>0.5</v>
      </c>
      <c r="AM71" s="131">
        <f>'Sta. Meteorologi pnk'!K74</f>
        <v>53.4</v>
      </c>
      <c r="AN71" s="131">
        <f>'Sta. Meteorologi pnk'!L74</f>
        <v>52.7</v>
      </c>
      <c r="AO71" s="131">
        <f>'Sta. Meteorologi pnk'!M74</f>
        <v>32.1</v>
      </c>
      <c r="AQ71" s="130">
        <v>22</v>
      </c>
      <c r="AR71" s="131">
        <f t="shared" si="31"/>
        <v>0</v>
      </c>
      <c r="AS71" s="131">
        <f t="shared" si="29"/>
        <v>0</v>
      </c>
      <c r="AT71" s="131">
        <f t="shared" si="29"/>
        <v>0</v>
      </c>
      <c r="AU71" s="131">
        <f t="shared" si="29"/>
        <v>3.9219292646247381</v>
      </c>
      <c r="AV71" s="131">
        <f t="shared" si="29"/>
        <v>0</v>
      </c>
      <c r="AW71" s="131">
        <f t="shared" si="29"/>
        <v>0</v>
      </c>
      <c r="AX71" s="131">
        <f t="shared" si="29"/>
        <v>0</v>
      </c>
      <c r="AY71" s="131">
        <f t="shared" si="29"/>
        <v>0.97141589760789349</v>
      </c>
      <c r="AZ71" s="131">
        <f t="shared" si="29"/>
        <v>0.33809735039868438</v>
      </c>
      <c r="BA71" s="131">
        <f t="shared" si="29"/>
        <v>47.441982494671578</v>
      </c>
      <c r="BB71" s="131">
        <f t="shared" si="29"/>
        <v>40.978248168864752</v>
      </c>
      <c r="BC71" s="131">
        <f t="shared" si="29"/>
        <v>21.705849895595538</v>
      </c>
      <c r="BE71" s="130">
        <v>22</v>
      </c>
      <c r="BF71" s="131">
        <f t="shared" si="32"/>
        <v>0</v>
      </c>
      <c r="BG71" s="131">
        <f t="shared" si="30"/>
        <v>0</v>
      </c>
      <c r="BH71" s="131">
        <f t="shared" si="30"/>
        <v>0</v>
      </c>
      <c r="BI71" s="131">
        <f t="shared" si="30"/>
        <v>3.6694352608205549</v>
      </c>
      <c r="BJ71" s="131">
        <f t="shared" si="30"/>
        <v>0</v>
      </c>
      <c r="BK71" s="131">
        <f t="shared" si="30"/>
        <v>0</v>
      </c>
      <c r="BL71" s="131">
        <f t="shared" si="30"/>
        <v>0</v>
      </c>
      <c r="BM71" s="131">
        <f t="shared" si="30"/>
        <v>1.1020162444031609</v>
      </c>
      <c r="BN71" s="131">
        <f t="shared" si="30"/>
        <v>0.31633062593280648</v>
      </c>
      <c r="BO71" s="131">
        <f t="shared" si="30"/>
        <v>46.640967034327275</v>
      </c>
      <c r="BP71" s="131">
        <f t="shared" si="30"/>
        <v>39.402337317535192</v>
      </c>
      <c r="BQ71" s="131">
        <f t="shared" si="30"/>
        <v>20.30842618488618</v>
      </c>
    </row>
    <row r="72" spans="1:69">
      <c r="A72" s="130">
        <v>23</v>
      </c>
      <c r="B72" s="131">
        <f>IF('Data 2'!B72&lt;0.1,0,'Data 2'!B72)</f>
        <v>0</v>
      </c>
      <c r="C72" s="131">
        <f>IF('Data 2'!C72&lt;0.1,0,'Data 2'!C72)</f>
        <v>0</v>
      </c>
      <c r="D72" s="131">
        <f>IF('Data 2'!D72&lt;0.1,0,'Data 2'!D72)</f>
        <v>0.91993547651247276</v>
      </c>
      <c r="E72" s="131">
        <f>IF('Data 2'!E72&lt;0.1,0,'Data 2'!E72)</f>
        <v>8.1559839017157376</v>
      </c>
      <c r="F72" s="131">
        <f>IF('Data 2'!F72&lt;0.1,0,'Data 2'!F72)</f>
        <v>11.203499910384043</v>
      </c>
      <c r="G72" s="131">
        <f>IF('Data 2'!G72&lt;0.1,0,'Data 2'!G72)</f>
        <v>0</v>
      </c>
      <c r="H72" s="131">
        <f>IF('Data 2'!H72&lt;0.1,0,'Data 2'!H72)</f>
        <v>0</v>
      </c>
      <c r="I72" s="131">
        <f>IF('Data 2'!I72&lt;0.1,0,'Data 2'!I72)</f>
        <v>49.41367702409854</v>
      </c>
      <c r="J72" s="131">
        <f>IF('Data 2'!J72&lt;0.1,0,'Data 2'!J72)</f>
        <v>29.971290306812438</v>
      </c>
      <c r="K72" s="131">
        <f>IF('Data 2'!K72&lt;0.1,0,'Data 2'!K72)</f>
        <v>57.674822804816451</v>
      </c>
      <c r="L72" s="131">
        <f>IF('Data 2'!L72&lt;0.1,0,'Data 2'!L72)</f>
        <v>22.292193635637823</v>
      </c>
      <c r="M72" s="131">
        <f>IF('Data 2'!M72&lt;0.1,0,'Data 2'!M72)</f>
        <v>30.782145243022175</v>
      </c>
      <c r="O72" s="130">
        <v>23</v>
      </c>
      <c r="P72" s="131">
        <f>'Stasiun Pontianak Kota'!Q118</f>
        <v>0</v>
      </c>
      <c r="Q72" s="131">
        <f>'Stasiun Pontianak Kota'!R118</f>
        <v>0</v>
      </c>
      <c r="R72" s="131">
        <f>'Stasiun Pontianak Kota'!S118</f>
        <v>0</v>
      </c>
      <c r="S72" s="131">
        <f>'Stasiun Pontianak Kota'!T118</f>
        <v>12</v>
      </c>
      <c r="T72" s="131">
        <f>'Stasiun Pontianak Kota'!U118</f>
        <v>0</v>
      </c>
      <c r="U72" s="131">
        <f>'Stasiun Pontianak Kota'!V118</f>
        <v>0</v>
      </c>
      <c r="V72" s="131">
        <f>'Stasiun Pontianak Kota'!W118</f>
        <v>0</v>
      </c>
      <c r="W72" s="131">
        <f>'Stasiun Pontianak Kota'!X118</f>
        <v>0</v>
      </c>
      <c r="X72" s="131">
        <f>'Stasiun Pontianak Kota'!Y118</f>
        <v>28</v>
      </c>
      <c r="Y72" s="131">
        <f>'Stasiun Pontianak Kota'!Z118</f>
        <v>85.7</v>
      </c>
      <c r="Z72" s="131">
        <f>'Stasiun Pontianak Kota'!AA118</f>
        <v>33.200000000000003</v>
      </c>
      <c r="AA72" s="131">
        <f>'Stasiun Pontianak Kota'!AB118</f>
        <v>41</v>
      </c>
      <c r="AC72" s="130">
        <v>23</v>
      </c>
      <c r="AD72" s="131">
        <f>'Sta. Meteorologi pnk'!B75</f>
        <v>0</v>
      </c>
      <c r="AE72" s="131">
        <f>'Sta. Meteorologi pnk'!C75</f>
        <v>0</v>
      </c>
      <c r="AF72" s="131">
        <f>'Sta. Meteorologi pnk'!D75</f>
        <v>2.8</v>
      </c>
      <c r="AG72" s="131">
        <f>'Sta. Meteorologi pnk'!E75</f>
        <v>0.3</v>
      </c>
      <c r="AH72" s="131">
        <f>'Sta. Meteorologi pnk'!F75</f>
        <v>34.1</v>
      </c>
      <c r="AI72" s="131">
        <f>'Sta. Meteorologi pnk'!G75</f>
        <v>0</v>
      </c>
      <c r="AJ72" s="131">
        <f>'Sta. Meteorologi pnk'!H75</f>
        <v>0</v>
      </c>
      <c r="AK72" s="131">
        <f>'Sta. Meteorologi pnk'!I75</f>
        <v>150.4</v>
      </c>
      <c r="AL72" s="131">
        <f>'Sta. Meteorologi pnk'!J75</f>
        <v>34</v>
      </c>
      <c r="AM72" s="131">
        <f>'Sta. Meteorologi pnk'!K75</f>
        <v>0.4</v>
      </c>
      <c r="AN72" s="131">
        <f>'Sta. Meteorologi pnk'!L75</f>
        <v>0</v>
      </c>
      <c r="AO72" s="131">
        <f>'Sta. Meteorologi pnk'!M75</f>
        <v>9.9</v>
      </c>
      <c r="AQ72" s="130">
        <v>23</v>
      </c>
      <c r="AR72" s="131">
        <f t="shared" si="31"/>
        <v>0</v>
      </c>
      <c r="AS72" s="131">
        <f t="shared" si="29"/>
        <v>0</v>
      </c>
      <c r="AT72" s="131">
        <f t="shared" si="29"/>
        <v>1.8933451622326323</v>
      </c>
      <c r="AU72" s="131">
        <f t="shared" si="29"/>
        <v>4.0885220006707845</v>
      </c>
      <c r="AV72" s="131">
        <f t="shared" si="29"/>
        <v>23.058239297190276</v>
      </c>
      <c r="AW72" s="131">
        <f t="shared" si="29"/>
        <v>0</v>
      </c>
      <c r="AX72" s="131">
        <f t="shared" si="29"/>
        <v>0</v>
      </c>
      <c r="AY72" s="131">
        <f t="shared" si="29"/>
        <v>101.69968299992425</v>
      </c>
      <c r="AZ72" s="131">
        <f t="shared" si="29"/>
        <v>32.057168204784205</v>
      </c>
      <c r="BA72" s="131">
        <f t="shared" si="29"/>
        <v>28.020592021984438</v>
      </c>
      <c r="BB72" s="131">
        <f t="shared" si="29"/>
        <v>10.750335933527357</v>
      </c>
      <c r="BC72" s="131">
        <f t="shared" si="29"/>
        <v>19.970344805201833</v>
      </c>
      <c r="BE72" s="130">
        <v>23</v>
      </c>
      <c r="BF72" s="131">
        <f t="shared" si="32"/>
        <v>0</v>
      </c>
      <c r="BG72" s="131">
        <f t="shared" si="30"/>
        <v>0</v>
      </c>
      <c r="BH72" s="131">
        <f t="shared" si="30"/>
        <v>1.7714515052237163</v>
      </c>
      <c r="BI72" s="131">
        <f t="shared" si="30"/>
        <v>4.5978633531723272</v>
      </c>
      <c r="BJ72" s="131">
        <f t="shared" si="30"/>
        <v>21.573748688617403</v>
      </c>
      <c r="BK72" s="131">
        <f t="shared" si="30"/>
        <v>0</v>
      </c>
      <c r="BL72" s="131">
        <f t="shared" si="30"/>
        <v>0</v>
      </c>
      <c r="BM72" s="131">
        <f t="shared" si="30"/>
        <v>95.152252280588186</v>
      </c>
      <c r="BN72" s="131">
        <f t="shared" si="30"/>
        <v>31.795967511193677</v>
      </c>
      <c r="BO72" s="131">
        <f t="shared" si="30"/>
        <v>31.73399521586321</v>
      </c>
      <c r="BP72" s="131">
        <f t="shared" si="30"/>
        <v>12.195646438061649</v>
      </c>
      <c r="BQ72" s="131">
        <f t="shared" si="30"/>
        <v>21.324235066979437</v>
      </c>
    </row>
    <row r="73" spans="1:69">
      <c r="A73" s="130">
        <v>24</v>
      </c>
      <c r="B73" s="131">
        <f>IF('Data 2'!B73&lt;0.1,0,'Data 2'!B73)</f>
        <v>0</v>
      </c>
      <c r="C73" s="131">
        <f>IF('Data 2'!C73&lt;0.1,0,'Data 2'!C73)</f>
        <v>0</v>
      </c>
      <c r="D73" s="131">
        <f>IF('Data 2'!D73&lt;0.1,0,'Data 2'!D73)</f>
        <v>11.498887132778258</v>
      </c>
      <c r="E73" s="131">
        <f>IF('Data 2'!E73&lt;0.1,0,'Data 2'!E73)</f>
        <v>0.59138709204373252</v>
      </c>
      <c r="F73" s="131">
        <f>IF('Data 2'!F73&lt;0.1,0,'Data 2'!F73)</f>
        <v>5.3716129242500772</v>
      </c>
      <c r="G73" s="131">
        <f>IF('Data 2'!G73&lt;0.1,0,'Data 2'!G73)</f>
        <v>0</v>
      </c>
      <c r="H73" s="131">
        <f>IF('Data 2'!H73&lt;0.1,0,'Data 2'!H73)</f>
        <v>0</v>
      </c>
      <c r="I73" s="131">
        <f>IF('Data 2'!I73&lt;0.1,0,'Data 2'!I73)</f>
        <v>108.90466165903574</v>
      </c>
      <c r="J73" s="131">
        <f>IF('Data 2'!J73&lt;0.1,0,'Data 2'!J73)</f>
        <v>0</v>
      </c>
      <c r="K73" s="131">
        <f>IF('Data 2'!K73&lt;0.1,0,'Data 2'!K73)</f>
        <v>0.82137096117185071</v>
      </c>
      <c r="L73" s="131">
        <f>IF('Data 2'!L73&lt;0.1,0,'Data 2'!L73)</f>
        <v>2.5955322373030483</v>
      </c>
      <c r="M73" s="131">
        <f>IF('Data 2'!M73&lt;0.1,0,'Data 2'!M73)</f>
        <v>12.999999999999998</v>
      </c>
      <c r="O73" s="130">
        <v>24</v>
      </c>
      <c r="P73" s="131">
        <f>'Stasiun Pontianak Kota'!Q119</f>
        <v>0</v>
      </c>
      <c r="Q73" s="131">
        <f>'Stasiun Pontianak Kota'!R119</f>
        <v>0</v>
      </c>
      <c r="R73" s="131">
        <f>'Stasiun Pontianak Kota'!S119</f>
        <v>16</v>
      </c>
      <c r="S73" s="131">
        <f>'Stasiun Pontianak Kota'!T119</f>
        <v>0</v>
      </c>
      <c r="T73" s="131">
        <f>'Stasiun Pontianak Kota'!U119</f>
        <v>8</v>
      </c>
      <c r="U73" s="131">
        <f>'Stasiun Pontianak Kota'!V119</f>
        <v>0</v>
      </c>
      <c r="V73" s="131">
        <f>'Stasiun Pontianak Kota'!W119</f>
        <v>0</v>
      </c>
      <c r="W73" s="131">
        <f>'Stasiun Pontianak Kota'!X119</f>
        <v>155</v>
      </c>
      <c r="X73" s="131">
        <f>'Stasiun Pontianak Kota'!Y119</f>
        <v>0</v>
      </c>
      <c r="Y73" s="131">
        <f>'Stasiun Pontianak Kota'!Z119</f>
        <v>0</v>
      </c>
      <c r="Z73" s="131">
        <f>'Stasiun Pontianak Kota'!AA119</f>
        <v>0</v>
      </c>
      <c r="AA73" s="131">
        <f>'Stasiun Pontianak Kota'!AB119</f>
        <v>13</v>
      </c>
      <c r="AC73" s="130">
        <v>24</v>
      </c>
      <c r="AD73" s="131">
        <f>'Sta. Meteorologi pnk'!B76</f>
        <v>0</v>
      </c>
      <c r="AE73" s="131">
        <f>'Sta. Meteorologi pnk'!C76</f>
        <v>0</v>
      </c>
      <c r="AF73" s="131">
        <f>'Sta. Meteorologi pnk'!D76</f>
        <v>2.2999999999999998</v>
      </c>
      <c r="AG73" s="131">
        <f>'Sta. Meteorologi pnk'!E76</f>
        <v>1.8</v>
      </c>
      <c r="AH73" s="131">
        <f>'Sta. Meteorologi pnk'!F76</f>
        <v>0</v>
      </c>
      <c r="AI73" s="131">
        <f>'Sta. Meteorologi pnk'!G76</f>
        <v>0</v>
      </c>
      <c r="AJ73" s="131">
        <f>'Sta. Meteorologi pnk'!H76</f>
        <v>0</v>
      </c>
      <c r="AK73" s="131">
        <f>'Sta. Meteorologi pnk'!I76</f>
        <v>14.7</v>
      </c>
      <c r="AL73" s="131">
        <f>'Sta. Meteorologi pnk'!J76</f>
        <v>0</v>
      </c>
      <c r="AM73" s="131">
        <f>'Sta. Meteorologi pnk'!K76</f>
        <v>2.5</v>
      </c>
      <c r="AN73" s="131">
        <f>'Sta. Meteorologi pnk'!L76</f>
        <v>7.9</v>
      </c>
      <c r="AO73" s="131">
        <f>'Sta. Meteorologi pnk'!M76</f>
        <v>13</v>
      </c>
      <c r="AQ73" s="130">
        <v>24</v>
      </c>
      <c r="AR73" s="131">
        <f t="shared" si="31"/>
        <v>0</v>
      </c>
      <c r="AS73" s="131">
        <f t="shared" si="29"/>
        <v>0</v>
      </c>
      <c r="AT73" s="131">
        <f t="shared" si="29"/>
        <v>6.7361325990760479</v>
      </c>
      <c r="AU73" s="131">
        <f t="shared" ref="AU73:BC80" si="33">((S73/($AV$1^2))+(AG73/($AV$2^2)))/((1/($AV$1^2))+(1/($AV$2^2)))</f>
        <v>1.2171504614352637</v>
      </c>
      <c r="AV73" s="131">
        <f t="shared" si="33"/>
        <v>2.5904423936210499</v>
      </c>
      <c r="AW73" s="131">
        <f t="shared" si="33"/>
        <v>0</v>
      </c>
      <c r="AX73" s="131">
        <f t="shared" si="33"/>
        <v>0</v>
      </c>
      <c r="AY73" s="131">
        <f t="shared" si="33"/>
        <v>60.129883478129159</v>
      </c>
      <c r="AZ73" s="131">
        <f t="shared" si="33"/>
        <v>0</v>
      </c>
      <c r="BA73" s="131">
        <f t="shared" si="33"/>
        <v>1.6904867519934219</v>
      </c>
      <c r="BB73" s="131">
        <f t="shared" si="33"/>
        <v>5.3419381362992135</v>
      </c>
      <c r="BC73" s="131">
        <f t="shared" si="33"/>
        <v>12.999999999999996</v>
      </c>
      <c r="BE73" s="130">
        <v>24</v>
      </c>
      <c r="BF73" s="131">
        <f t="shared" si="32"/>
        <v>0</v>
      </c>
      <c r="BG73" s="131">
        <f t="shared" si="30"/>
        <v>0</v>
      </c>
      <c r="BH73" s="131">
        <f t="shared" si="30"/>
        <v>7.3325408494411013</v>
      </c>
      <c r="BI73" s="131">
        <f t="shared" ref="BI73:BQ80" si="34">((E73/($BI$1^2))+(S73/($AV$1^2))+(AG73/($AV$2^2)))/((1/($BI$1^2))+(1/($AV$1^2))+(1/($AV$2^2)))</f>
        <v>1.1387902533581036</v>
      </c>
      <c r="BJ73" s="131">
        <f t="shared" si="34"/>
        <v>2.938709985075096</v>
      </c>
      <c r="BK73" s="131">
        <f t="shared" si="34"/>
        <v>0</v>
      </c>
      <c r="BL73" s="131">
        <f t="shared" si="34"/>
        <v>0</v>
      </c>
      <c r="BM73" s="131">
        <f t="shared" si="34"/>
        <v>66.237626363254506</v>
      </c>
      <c r="BN73" s="131">
        <f t="shared" si="34"/>
        <v>0</v>
      </c>
      <c r="BO73" s="131">
        <f t="shared" si="34"/>
        <v>1.5816531296640326</v>
      </c>
      <c r="BP73" s="131">
        <f t="shared" si="34"/>
        <v>4.9980238897383433</v>
      </c>
      <c r="BQ73" s="131">
        <f t="shared" si="34"/>
        <v>13</v>
      </c>
    </row>
    <row r="74" spans="1:69">
      <c r="A74" s="130">
        <v>25</v>
      </c>
      <c r="B74" s="131">
        <f>IF('Data 2'!B74&lt;0.1,0,'Data 2'!B74)</f>
        <v>0</v>
      </c>
      <c r="C74" s="131">
        <f>IF('Data 2'!C74&lt;0.1,0,'Data 2'!C74)</f>
        <v>0</v>
      </c>
      <c r="D74" s="131">
        <f>IF('Data 2'!D74&lt;0.1,0,'Data 2'!D74)</f>
        <v>19.657403092565133</v>
      </c>
      <c r="E74" s="131">
        <f>IF('Data 2'!E74&lt;0.1,0,'Data 2'!E74)</f>
        <v>8.7288710019063753</v>
      </c>
      <c r="F74" s="131">
        <f>IF('Data 2'!F74&lt;0.1,0,'Data 2'!F74)</f>
        <v>0</v>
      </c>
      <c r="G74" s="131">
        <f>IF('Data 2'!G74&lt;0.1,0,'Data 2'!G74)</f>
        <v>9.035080572890358</v>
      </c>
      <c r="H74" s="131">
        <f>IF('Data 2'!H74&lt;0.1,0,'Data 2'!H74)</f>
        <v>0</v>
      </c>
      <c r="I74" s="131">
        <f>IF('Data 2'!I74&lt;0.1,0,'Data 2'!I74)</f>
        <v>17.825516106431166</v>
      </c>
      <c r="J74" s="131">
        <f>IF('Data 2'!J74&lt;0.1,0,'Data 2'!J74)</f>
        <v>0</v>
      </c>
      <c r="K74" s="131">
        <f>IF('Data 2'!K74&lt;0.1,0,'Data 2'!K74)</f>
        <v>8.3314193537874957</v>
      </c>
      <c r="L74" s="131">
        <f>IF('Data 2'!L74&lt;0.1,0,'Data 2'!L74)</f>
        <v>1.4100483926156455</v>
      </c>
      <c r="M74" s="131">
        <f>IF('Data 2'!M74&lt;0.1,0,'Data 2'!M74)</f>
        <v>7.5502419630782267</v>
      </c>
      <c r="O74" s="130">
        <v>25</v>
      </c>
      <c r="P74" s="131">
        <f>'Stasiun Pontianak Kota'!Q120</f>
        <v>0</v>
      </c>
      <c r="Q74" s="131">
        <f>'Stasiun Pontianak Kota'!R120</f>
        <v>0</v>
      </c>
      <c r="R74" s="131">
        <f>'Stasiun Pontianak Kota'!S120</f>
        <v>3</v>
      </c>
      <c r="S74" s="131">
        <f>'Stasiun Pontianak Kota'!T120</f>
        <v>13</v>
      </c>
      <c r="T74" s="131">
        <f>'Stasiun Pontianak Kota'!U120</f>
        <v>0</v>
      </c>
      <c r="U74" s="131">
        <f>'Stasiun Pontianak Kota'!V120</f>
        <v>0</v>
      </c>
      <c r="V74" s="131">
        <f>'Stasiun Pontianak Kota'!W120</f>
        <v>0</v>
      </c>
      <c r="W74" s="131">
        <f>'Stasiun Pontianak Kota'!X120</f>
        <v>15</v>
      </c>
      <c r="X74" s="131">
        <f>'Stasiun Pontianak Kota'!Y120</f>
        <v>0</v>
      </c>
      <c r="Y74" s="131">
        <f>'Stasiun Pontianak Kota'!Z120</f>
        <v>8.1999999999999993</v>
      </c>
      <c r="Z74" s="131">
        <f>'Stasiun Pontianak Kota'!AA120</f>
        <v>2.1</v>
      </c>
      <c r="AA74" s="131">
        <f>'Stasiun Pontianak Kota'!AB120</f>
        <v>11</v>
      </c>
      <c r="AC74" s="130">
        <v>25</v>
      </c>
      <c r="AD74" s="131">
        <f>'Sta. Meteorologi pnk'!B77</f>
        <v>0</v>
      </c>
      <c r="AE74" s="131">
        <f>'Sta. Meteorologi pnk'!C77</f>
        <v>0</v>
      </c>
      <c r="AF74" s="131">
        <f>'Sta. Meteorologi pnk'!D77</f>
        <v>53.7</v>
      </c>
      <c r="AG74" s="131">
        <f>'Sta. Meteorologi pnk'!E77</f>
        <v>0</v>
      </c>
      <c r="AH74" s="131">
        <f>'Sta. Meteorologi pnk'!F77</f>
        <v>0</v>
      </c>
      <c r="AI74" s="131">
        <f>'Sta. Meteorologi pnk'!G77</f>
        <v>27.5</v>
      </c>
      <c r="AJ74" s="131">
        <f>'Sta. Meteorologi pnk'!H77</f>
        <v>0</v>
      </c>
      <c r="AK74" s="131">
        <f>'Sta. Meteorologi pnk'!I77</f>
        <v>23.6</v>
      </c>
      <c r="AL74" s="131">
        <f>'Sta. Meteorologi pnk'!J77</f>
        <v>0</v>
      </c>
      <c r="AM74" s="131">
        <f>'Sta. Meteorologi pnk'!K77</f>
        <v>8.6</v>
      </c>
      <c r="AN74" s="131">
        <f>'Sta. Meteorologi pnk'!L77</f>
        <v>0</v>
      </c>
      <c r="AO74" s="131">
        <f>'Sta. Meteorologi pnk'!M77</f>
        <v>0.5</v>
      </c>
      <c r="AQ74" s="130">
        <v>25</v>
      </c>
      <c r="AR74" s="131">
        <f t="shared" si="31"/>
        <v>0</v>
      </c>
      <c r="AS74" s="131">
        <f t="shared" si="31"/>
        <v>0</v>
      </c>
      <c r="AT74" s="131">
        <f t="shared" si="31"/>
        <v>37.283071330426594</v>
      </c>
      <c r="AU74" s="131">
        <f t="shared" si="33"/>
        <v>4.2094688896342056</v>
      </c>
      <c r="AV74" s="131">
        <f t="shared" si="33"/>
        <v>0</v>
      </c>
      <c r="AW74" s="131">
        <f t="shared" si="33"/>
        <v>18.59535427192764</v>
      </c>
      <c r="AX74" s="131">
        <f t="shared" si="33"/>
        <v>0</v>
      </c>
      <c r="AY74" s="131">
        <f t="shared" si="33"/>
        <v>20.815274426857371</v>
      </c>
      <c r="AZ74" s="131">
        <f t="shared" si="33"/>
        <v>0</v>
      </c>
      <c r="BA74" s="131">
        <f t="shared" si="33"/>
        <v>8.4704778803189473</v>
      </c>
      <c r="BB74" s="131">
        <f t="shared" si="33"/>
        <v>0.67999112832552555</v>
      </c>
      <c r="BC74" s="131">
        <f t="shared" si="33"/>
        <v>3.8999556416276282</v>
      </c>
      <c r="BE74" s="130">
        <v>25</v>
      </c>
      <c r="BF74" s="131">
        <f t="shared" si="32"/>
        <v>0</v>
      </c>
      <c r="BG74" s="131">
        <f t="shared" si="32"/>
        <v>0</v>
      </c>
      <c r="BH74" s="131">
        <f t="shared" si="32"/>
        <v>35.075925469586579</v>
      </c>
      <c r="BI74" s="131">
        <f t="shared" si="34"/>
        <v>4.7754037257470312</v>
      </c>
      <c r="BJ74" s="131">
        <f t="shared" si="34"/>
        <v>0</v>
      </c>
      <c r="BK74" s="131">
        <f t="shared" si="34"/>
        <v>17.398184426304358</v>
      </c>
      <c r="BL74" s="131">
        <f t="shared" si="34"/>
        <v>0</v>
      </c>
      <c r="BM74" s="131">
        <f t="shared" si="34"/>
        <v>20.440886766044272</v>
      </c>
      <c r="BN74" s="131">
        <f t="shared" si="34"/>
        <v>0</v>
      </c>
      <c r="BO74" s="131">
        <f t="shared" si="34"/>
        <v>8.4530645007462457</v>
      </c>
      <c r="BP74" s="131">
        <f t="shared" si="34"/>
        <v>0.77141137108221269</v>
      </c>
      <c r="BQ74" s="131">
        <f t="shared" si="34"/>
        <v>4.3570568554110638</v>
      </c>
    </row>
    <row r="75" spans="1:69">
      <c r="A75" s="130">
        <v>26</v>
      </c>
      <c r="B75" s="131">
        <f>IF('Data 2'!B75&lt;0.1,0,'Data 2'!B75)</f>
        <v>0</v>
      </c>
      <c r="C75" s="131">
        <f>IF('Data 2'!C75&lt;0.1,0,'Data 2'!C75)</f>
        <v>0</v>
      </c>
      <c r="D75" s="131">
        <f>IF('Data 2'!D75&lt;0.1,0,'Data 2'!D75)</f>
        <v>31.131725677415144</v>
      </c>
      <c r="E75" s="131">
        <f>IF('Data 2'!E75&lt;0.1,0,'Data 2'!E75)</f>
        <v>22.111306274746219</v>
      </c>
      <c r="F75" s="131">
        <f>IF('Data 2'!F75&lt;0.1,0,'Data 2'!F75)</f>
        <v>0.26283870757499223</v>
      </c>
      <c r="G75" s="131">
        <f>IF('Data 2'!G75&lt;0.1,0,'Data 2'!G75)</f>
        <v>0.26283870757499223</v>
      </c>
      <c r="H75" s="131">
        <f>IF('Data 2'!H75&lt;0.1,0,'Data 2'!H75)</f>
        <v>0</v>
      </c>
      <c r="I75" s="131">
        <f>IF('Data 2'!I75&lt;0.1,0,'Data 2'!I75)</f>
        <v>10.765870985612567</v>
      </c>
      <c r="J75" s="131">
        <f>IF('Data 2'!J75&lt;0.1,0,'Data 2'!J75)</f>
        <v>22.874645202287653</v>
      </c>
      <c r="K75" s="131">
        <f>IF('Data 2'!K75&lt;0.1,0,'Data 2'!K75)</f>
        <v>3.6714516155312595</v>
      </c>
      <c r="L75" s="131">
        <f>IF('Data 2'!L75&lt;0.1,0,'Data 2'!L75)</f>
        <v>0.16427419223437012</v>
      </c>
      <c r="M75" s="131">
        <f>IF('Data 2'!M75&lt;0.1,0,'Data 2'!M75)</f>
        <v>4.0411451289655052</v>
      </c>
      <c r="O75" s="130">
        <v>26</v>
      </c>
      <c r="P75" s="131">
        <f>'Stasiun Pontianak Kota'!Q121</f>
        <v>0</v>
      </c>
      <c r="Q75" s="131">
        <f>'Stasiun Pontianak Kota'!R121</f>
        <v>0</v>
      </c>
      <c r="R75" s="131">
        <f>'Stasiun Pontianak Kota'!S121</f>
        <v>15</v>
      </c>
      <c r="S75" s="131">
        <f>'Stasiun Pontianak Kota'!T121</f>
        <v>0</v>
      </c>
      <c r="T75" s="131">
        <f>'Stasiun Pontianak Kota'!U121</f>
        <v>0</v>
      </c>
      <c r="U75" s="131">
        <f>'Stasiun Pontianak Kota'!V121</f>
        <v>0</v>
      </c>
      <c r="V75" s="131">
        <f>'Stasiun Pontianak Kota'!W121</f>
        <v>0</v>
      </c>
      <c r="W75" s="131">
        <f>'Stasiun Pontianak Kota'!X121</f>
        <v>13</v>
      </c>
      <c r="X75" s="131">
        <f>'Stasiun Pontianak Kota'!Y121</f>
        <v>28</v>
      </c>
      <c r="Y75" s="131">
        <f>'Stasiun Pontianak Kota'!Z121</f>
        <v>4</v>
      </c>
      <c r="Z75" s="131">
        <f>'Stasiun Pontianak Kota'!AA121</f>
        <v>0</v>
      </c>
      <c r="AA75" s="131">
        <f>'Stasiun Pontianak Kota'!AB121</f>
        <v>0</v>
      </c>
      <c r="AC75" s="130">
        <v>26</v>
      </c>
      <c r="AD75" s="131">
        <f>'Sta. Meteorologi pnk'!B78</f>
        <v>0</v>
      </c>
      <c r="AE75" s="131">
        <f>'Sta. Meteorologi pnk'!C78</f>
        <v>0</v>
      </c>
      <c r="AF75" s="131">
        <f>'Sta. Meteorologi pnk'!D78</f>
        <v>64.099999999999994</v>
      </c>
      <c r="AG75" s="131">
        <f>'Sta. Meteorologi pnk'!E78</f>
        <v>67.3</v>
      </c>
      <c r="AH75" s="131">
        <f>'Sta. Meteorologi pnk'!F78</f>
        <v>0.8</v>
      </c>
      <c r="AI75" s="131">
        <f>'Sta. Meteorologi pnk'!G78</f>
        <v>0.8</v>
      </c>
      <c r="AJ75" s="131">
        <f>'Sta. Meteorologi pnk'!H78</f>
        <v>0</v>
      </c>
      <c r="AK75" s="131">
        <f>'Sta. Meteorologi pnk'!I78</f>
        <v>6.2</v>
      </c>
      <c r="AL75" s="131">
        <f>'Sta. Meteorologi pnk'!J78</f>
        <v>12.4</v>
      </c>
      <c r="AM75" s="131">
        <f>'Sta. Meteorologi pnk'!K78</f>
        <v>3</v>
      </c>
      <c r="AN75" s="131">
        <f>'Sta. Meteorologi pnk'!L78</f>
        <v>0.5</v>
      </c>
      <c r="AO75" s="131">
        <f>'Sta. Meteorologi pnk'!M78</f>
        <v>12.3</v>
      </c>
      <c r="AQ75" s="130">
        <v>26</v>
      </c>
      <c r="AR75" s="131">
        <f t="shared" si="31"/>
        <v>0</v>
      </c>
      <c r="AS75" s="131">
        <f t="shared" si="31"/>
        <v>0</v>
      </c>
      <c r="AT75" s="131">
        <f t="shared" si="31"/>
        <v>48.201159809150802</v>
      </c>
      <c r="AU75" s="131">
        <f t="shared" si="33"/>
        <v>45.507903363662912</v>
      </c>
      <c r="AV75" s="131">
        <f t="shared" si="33"/>
        <v>0.54095576063789497</v>
      </c>
      <c r="AW75" s="131">
        <f t="shared" si="33"/>
        <v>0.54095576063789497</v>
      </c>
      <c r="AX75" s="131">
        <f t="shared" si="33"/>
        <v>0</v>
      </c>
      <c r="AY75" s="131">
        <f t="shared" si="33"/>
        <v>8.4018760345778922</v>
      </c>
      <c r="AZ75" s="131">
        <f t="shared" si="33"/>
        <v>17.451362667561046</v>
      </c>
      <c r="BA75" s="131">
        <f t="shared" si="33"/>
        <v>3.3238052992026312</v>
      </c>
      <c r="BB75" s="131">
        <f t="shared" si="33"/>
        <v>0.33809735039868438</v>
      </c>
      <c r="BC75" s="131">
        <f t="shared" si="33"/>
        <v>8.3171948198076358</v>
      </c>
      <c r="BE75" s="130">
        <v>26</v>
      </c>
      <c r="BF75" s="131">
        <f t="shared" si="32"/>
        <v>0</v>
      </c>
      <c r="BG75" s="131">
        <f t="shared" si="32"/>
        <v>0</v>
      </c>
      <c r="BH75" s="131">
        <f t="shared" si="32"/>
        <v>46.063667466601594</v>
      </c>
      <c r="BI75" s="131">
        <f t="shared" si="34"/>
        <v>42.578102250555752</v>
      </c>
      <c r="BJ75" s="131">
        <f t="shared" si="34"/>
        <v>0.5061290014924904</v>
      </c>
      <c r="BK75" s="131">
        <f t="shared" si="34"/>
        <v>0.5061290014924904</v>
      </c>
      <c r="BL75" s="131">
        <f t="shared" si="34"/>
        <v>0</v>
      </c>
      <c r="BM75" s="131">
        <f t="shared" si="34"/>
        <v>8.6979034873138321</v>
      </c>
      <c r="BN75" s="131">
        <f t="shared" si="34"/>
        <v>18.130484470896437</v>
      </c>
      <c r="BO75" s="131">
        <f t="shared" si="34"/>
        <v>3.367338748134387</v>
      </c>
      <c r="BP75" s="131">
        <f t="shared" si="34"/>
        <v>0.31633062593280648</v>
      </c>
      <c r="BQ75" s="131">
        <f t="shared" si="34"/>
        <v>7.7817333979470407</v>
      </c>
    </row>
    <row r="76" spans="1:69">
      <c r="A76" s="130">
        <v>27</v>
      </c>
      <c r="B76" s="131">
        <f>IF('Data 2'!B76&lt;0.1,0,'Data 2'!B76)</f>
        <v>0</v>
      </c>
      <c r="C76" s="131">
        <f>IF('Data 2'!C76&lt;0.1,0,'Data 2'!C76)</f>
        <v>0</v>
      </c>
      <c r="D76" s="131">
        <f>IF('Data 2'!D76&lt;0.1,0,'Data 2'!D76)</f>
        <v>59.941967966369575</v>
      </c>
      <c r="E76" s="131">
        <f>IF('Data 2'!E76&lt;0.1,0,'Data 2'!E76)</f>
        <v>3.3572580776562981</v>
      </c>
      <c r="F76" s="131">
        <f>IF('Data 2'!F76&lt;0.1,0,'Data 2'!F76)</f>
        <v>10.839870953024944</v>
      </c>
      <c r="G76" s="131">
        <f>IF('Data 2'!G76&lt;0.1,0,'Data 2'!G76)</f>
        <v>0.67145161553125965</v>
      </c>
      <c r="H76" s="131">
        <f>IF('Data 2'!H76&lt;0.1,0,'Data 2'!H76)</f>
        <v>0</v>
      </c>
      <c r="I76" s="131">
        <f>IF('Data 2'!I76&lt;0.1,0,'Data 2'!I76)</f>
        <v>4.8070161145780714</v>
      </c>
      <c r="J76" s="131">
        <f>IF('Data 2'!J76&lt;0.1,0,'Data 2'!J76)</f>
        <v>2.6858064621250386</v>
      </c>
      <c r="K76" s="131">
        <f>IF('Data 2'!K76&lt;0.1,0,'Data 2'!K76)</f>
        <v>2.4271128998093623</v>
      </c>
      <c r="L76" s="131">
        <f>IF('Data 2'!L76&lt;0.1,0,'Data 2'!L76)</f>
        <v>16.060757988040343</v>
      </c>
      <c r="M76" s="131">
        <f>IF('Data 2'!M76&lt;0.1,0,'Data 2'!M76)</f>
        <v>6.5030322780375727</v>
      </c>
      <c r="O76" s="130">
        <v>27</v>
      </c>
      <c r="P76" s="131">
        <f>'Stasiun Pontianak Kota'!Q122</f>
        <v>0</v>
      </c>
      <c r="Q76" s="131">
        <f>'Stasiun Pontianak Kota'!R122</f>
        <v>0</v>
      </c>
      <c r="R76" s="131">
        <f>'Stasiun Pontianak Kota'!S122</f>
        <v>88</v>
      </c>
      <c r="S76" s="131">
        <f>'Stasiun Pontianak Kota'!T122</f>
        <v>5</v>
      </c>
      <c r="T76" s="131">
        <f>'Stasiun Pontianak Kota'!U122</f>
        <v>9</v>
      </c>
      <c r="U76" s="131">
        <f>'Stasiun Pontianak Kota'!V122</f>
        <v>1</v>
      </c>
      <c r="V76" s="131">
        <f>'Stasiun Pontianak Kota'!W122</f>
        <v>0</v>
      </c>
      <c r="W76" s="131">
        <f>'Stasiun Pontianak Kota'!X122</f>
        <v>3</v>
      </c>
      <c r="X76" s="131">
        <f>'Stasiun Pontianak Kota'!Y122</f>
        <v>4</v>
      </c>
      <c r="Y76" s="131">
        <f>'Stasiun Pontianak Kota'!Z122</f>
        <v>2</v>
      </c>
      <c r="Z76" s="131">
        <f>'Stasiun Pontianak Kota'!AA122</f>
        <v>6.5</v>
      </c>
      <c r="AA76" s="131">
        <f>'Stasiun Pontianak Kota'!AB122</f>
        <v>9</v>
      </c>
      <c r="AC76" s="130">
        <v>27</v>
      </c>
      <c r="AD76" s="131">
        <f>'Sta. Meteorologi pnk'!B79</f>
        <v>0</v>
      </c>
      <c r="AE76" s="131">
        <f>'Sta. Meteorologi pnk'!C79</f>
        <v>0</v>
      </c>
      <c r="AF76" s="131">
        <f>'Sta. Meteorologi pnk'!D79</f>
        <v>2.6</v>
      </c>
      <c r="AG76" s="131">
        <f>'Sta. Meteorologi pnk'!E79</f>
        <v>0</v>
      </c>
      <c r="AH76" s="131">
        <f>'Sta. Meteorologi pnk'!F79</f>
        <v>14.6</v>
      </c>
      <c r="AI76" s="131">
        <f>'Sta. Meteorologi pnk'!G79</f>
        <v>0</v>
      </c>
      <c r="AJ76" s="131">
        <f>'Sta. Meteorologi pnk'!H79</f>
        <v>0</v>
      </c>
      <c r="AK76" s="131">
        <f>'Sta. Meteorologi pnk'!I79</f>
        <v>8.5</v>
      </c>
      <c r="AL76" s="131">
        <f>'Sta. Meteorologi pnk'!J79</f>
        <v>0</v>
      </c>
      <c r="AM76" s="131">
        <f>'Sta. Meteorologi pnk'!K79</f>
        <v>3.3</v>
      </c>
      <c r="AN76" s="131">
        <f>'Sta. Meteorologi pnk'!L79</f>
        <v>35.6</v>
      </c>
      <c r="AO76" s="131">
        <f>'Sta. Meteorologi pnk'!M79</f>
        <v>1.4</v>
      </c>
      <c r="AQ76" s="130">
        <v>27</v>
      </c>
      <c r="AR76" s="131">
        <f t="shared" si="31"/>
        <v>0</v>
      </c>
      <c r="AS76" s="131">
        <f t="shared" si="31"/>
        <v>0</v>
      </c>
      <c r="AT76" s="131">
        <f t="shared" si="31"/>
        <v>30.252972551904705</v>
      </c>
      <c r="AU76" s="131">
        <f t="shared" si="33"/>
        <v>1.619026496013156</v>
      </c>
      <c r="AV76" s="131">
        <f t="shared" si="33"/>
        <v>12.786690324465264</v>
      </c>
      <c r="AW76" s="131">
        <f t="shared" si="33"/>
        <v>0.32380529920263124</v>
      </c>
      <c r="AX76" s="131">
        <f t="shared" si="33"/>
        <v>0</v>
      </c>
      <c r="AY76" s="131">
        <f t="shared" si="33"/>
        <v>6.719070854385528</v>
      </c>
      <c r="AZ76" s="131">
        <f t="shared" si="33"/>
        <v>1.2952211968105249</v>
      </c>
      <c r="BA76" s="131">
        <f t="shared" si="33"/>
        <v>2.8790531110365789</v>
      </c>
      <c r="BB76" s="131">
        <f t="shared" si="33"/>
        <v>26.177265793203429</v>
      </c>
      <c r="BC76" s="131">
        <f t="shared" si="33"/>
        <v>3.8609202739399966</v>
      </c>
      <c r="BE76" s="130">
        <v>27</v>
      </c>
      <c r="BF76" s="131">
        <f t="shared" si="32"/>
        <v>0</v>
      </c>
      <c r="BG76" s="131">
        <f t="shared" si="32"/>
        <v>0</v>
      </c>
      <c r="BH76" s="131">
        <f t="shared" si="32"/>
        <v>33.970729090676649</v>
      </c>
      <c r="BI76" s="131">
        <f t="shared" si="34"/>
        <v>1.8366937406719348</v>
      </c>
      <c r="BJ76" s="131">
        <f t="shared" si="34"/>
        <v>12.542903010447434</v>
      </c>
      <c r="BK76" s="131">
        <f t="shared" si="34"/>
        <v>0.36733874813438699</v>
      </c>
      <c r="BL76" s="131">
        <f t="shared" si="34"/>
        <v>0</v>
      </c>
      <c r="BM76" s="131">
        <f t="shared" si="34"/>
        <v>6.479636885260871</v>
      </c>
      <c r="BN76" s="131">
        <f t="shared" si="34"/>
        <v>1.469354992537548</v>
      </c>
      <c r="BO76" s="131">
        <f t="shared" si="34"/>
        <v>2.8224596274252964</v>
      </c>
      <c r="BP76" s="131">
        <f t="shared" si="34"/>
        <v>24.91044242928934</v>
      </c>
      <c r="BQ76" s="131">
        <f t="shared" si="34"/>
        <v>4.191774485821341</v>
      </c>
    </row>
    <row r="77" spans="1:69">
      <c r="A77" s="130">
        <v>28</v>
      </c>
      <c r="B77" s="131">
        <f>IF('Data 2'!B77&lt;0.1,0,'Data 2'!B77)</f>
        <v>0</v>
      </c>
      <c r="C77" s="131">
        <f>IF('Data 2'!C77&lt;0.1,0,'Data 2'!C77)</f>
        <v>13.207645055643361</v>
      </c>
      <c r="D77" s="131">
        <f>IF('Data 2'!D77&lt;0.1,0,'Data 2'!D77)</f>
        <v>4.6858064621250382</v>
      </c>
      <c r="E77" s="131">
        <f>IF('Data 2'!E77&lt;0.1,0,'Data 2'!E77)</f>
        <v>0</v>
      </c>
      <c r="F77" s="131">
        <f>IF('Data 2'!F77&lt;0.1,0,'Data 2'!F77)</f>
        <v>6.8787903475469667</v>
      </c>
      <c r="G77" s="131">
        <f>IF('Data 2'!G77&lt;0.1,0,'Data 2'!G77)</f>
        <v>0</v>
      </c>
      <c r="H77" s="131">
        <f>IF('Data 2'!H77&lt;0.1,0,'Data 2'!H77)</f>
        <v>0</v>
      </c>
      <c r="I77" s="131">
        <f>IF('Data 2'!I77&lt;0.1,0,'Data 2'!I77)</f>
        <v>11.630612810193407</v>
      </c>
      <c r="J77" s="131">
        <f>IF('Data 2'!J77&lt;0.1,0,'Data 2'!J77)</f>
        <v>0</v>
      </c>
      <c r="K77" s="131">
        <f>IF('Data 2'!K77&lt;0.1,0,'Data 2'!K77)</f>
        <v>1.3429032310625193</v>
      </c>
      <c r="L77" s="131">
        <f>IF('Data 2'!L77&lt;0.1,0,'Data 2'!L77)</f>
        <v>15.557419386375116</v>
      </c>
      <c r="M77" s="131">
        <f>IF('Data 2'!M77&lt;0.1,0,'Data 2'!M77)</f>
        <v>4.0082902905186311</v>
      </c>
      <c r="O77" s="130">
        <v>28</v>
      </c>
      <c r="P77" s="131">
        <f>'Stasiun Pontianak Kota'!Q123</f>
        <v>0</v>
      </c>
      <c r="Q77" s="131">
        <f>'Stasiun Pontianak Kota'!R123</f>
        <v>0</v>
      </c>
      <c r="R77" s="131">
        <f>'Stasiun Pontianak Kota'!S123</f>
        <v>6</v>
      </c>
      <c r="S77" s="131">
        <f>'Stasiun Pontianak Kota'!T123</f>
        <v>0</v>
      </c>
      <c r="T77" s="131">
        <f>'Stasiun Pontianak Kota'!U123</f>
        <v>10</v>
      </c>
      <c r="U77" s="131">
        <f>'Stasiun Pontianak Kota'!V123</f>
        <v>0</v>
      </c>
      <c r="V77" s="131">
        <f>'Stasiun Pontianak Kota'!W123</f>
        <v>0</v>
      </c>
      <c r="W77" s="131">
        <f>'Stasiun Pontianak Kota'!X123</f>
        <v>0</v>
      </c>
      <c r="X77" s="131">
        <f>'Stasiun Pontianak Kota'!Y123</f>
        <v>0</v>
      </c>
      <c r="Y77" s="131">
        <f>'Stasiun Pontianak Kota'!Z123</f>
        <v>2</v>
      </c>
      <c r="Z77" s="131">
        <f>'Stasiun Pontianak Kota'!AA123</f>
        <v>19.5</v>
      </c>
      <c r="AA77" s="131">
        <f>'Stasiun Pontianak Kota'!AB123</f>
        <v>0</v>
      </c>
      <c r="AC77" s="130">
        <v>28</v>
      </c>
      <c r="AD77" s="131">
        <f>'Sta. Meteorologi pnk'!B80</f>
        <v>0</v>
      </c>
      <c r="AE77" s="131">
        <f>'Sta. Meteorologi pnk'!C80</f>
        <v>40.200000000000003</v>
      </c>
      <c r="AF77" s="131">
        <f>'Sta. Meteorologi pnk'!D80</f>
        <v>2</v>
      </c>
      <c r="AG77" s="131">
        <f>'Sta. Meteorologi pnk'!E80</f>
        <v>0</v>
      </c>
      <c r="AH77" s="131">
        <f>'Sta. Meteorologi pnk'!F80</f>
        <v>0.5</v>
      </c>
      <c r="AI77" s="131">
        <f>'Sta. Meteorologi pnk'!G80</f>
        <v>0</v>
      </c>
      <c r="AJ77" s="131">
        <f>'Sta. Meteorologi pnk'!H80</f>
        <v>0</v>
      </c>
      <c r="AK77" s="131">
        <f>'Sta. Meteorologi pnk'!I80</f>
        <v>35.4</v>
      </c>
      <c r="AL77" s="131">
        <f>'Sta. Meteorologi pnk'!J80</f>
        <v>0</v>
      </c>
      <c r="AM77" s="131">
        <f>'Sta. Meteorologi pnk'!K80</f>
        <v>0</v>
      </c>
      <c r="AN77" s="131">
        <f>'Sta. Meteorologi pnk'!L80</f>
        <v>7.5</v>
      </c>
      <c r="AO77" s="131">
        <f>'Sta. Meteorologi pnk'!M80</f>
        <v>12.2</v>
      </c>
      <c r="AQ77" s="130">
        <v>28</v>
      </c>
      <c r="AR77" s="131">
        <f t="shared" si="31"/>
        <v>0</v>
      </c>
      <c r="AS77" s="131">
        <f t="shared" si="31"/>
        <v>27.183026972054225</v>
      </c>
      <c r="AT77" s="131">
        <f t="shared" si="31"/>
        <v>3.2952211968105245</v>
      </c>
      <c r="AU77" s="131">
        <f t="shared" si="33"/>
        <v>0</v>
      </c>
      <c r="AV77" s="131">
        <f t="shared" si="33"/>
        <v>3.576150342424997</v>
      </c>
      <c r="AW77" s="131">
        <f t="shared" si="33"/>
        <v>0</v>
      </c>
      <c r="AX77" s="131">
        <f t="shared" si="33"/>
        <v>0</v>
      </c>
      <c r="AY77" s="131">
        <f t="shared" si="33"/>
        <v>23.937292408226849</v>
      </c>
      <c r="AZ77" s="131">
        <f t="shared" si="33"/>
        <v>0</v>
      </c>
      <c r="BA77" s="131">
        <f t="shared" si="33"/>
        <v>0.64761059840526247</v>
      </c>
      <c r="BB77" s="131">
        <f t="shared" si="33"/>
        <v>11.385663590431573</v>
      </c>
      <c r="BC77" s="131">
        <f t="shared" si="33"/>
        <v>8.2495753497278983</v>
      </c>
      <c r="BE77" s="130">
        <v>28</v>
      </c>
      <c r="BF77" s="131">
        <f t="shared" si="32"/>
        <v>0</v>
      </c>
      <c r="BG77" s="131">
        <f t="shared" si="32"/>
        <v>25.432982324997646</v>
      </c>
      <c r="BH77" s="131">
        <f t="shared" si="32"/>
        <v>3.4693549925375473</v>
      </c>
      <c r="BI77" s="131">
        <f t="shared" si="34"/>
        <v>0</v>
      </c>
      <c r="BJ77" s="131">
        <f t="shared" si="34"/>
        <v>3.9897181072766768</v>
      </c>
      <c r="BK77" s="131">
        <f t="shared" si="34"/>
        <v>0</v>
      </c>
      <c r="BL77" s="131">
        <f t="shared" si="34"/>
        <v>0</v>
      </c>
      <c r="BM77" s="131">
        <f t="shared" si="34"/>
        <v>22.396208316042699</v>
      </c>
      <c r="BN77" s="131">
        <f t="shared" si="34"/>
        <v>0</v>
      </c>
      <c r="BO77" s="131">
        <f t="shared" si="34"/>
        <v>0.73467749626877399</v>
      </c>
      <c r="BP77" s="131">
        <f t="shared" si="34"/>
        <v>11.908064977612643</v>
      </c>
      <c r="BQ77" s="131">
        <f t="shared" si="34"/>
        <v>7.7184672727604768</v>
      </c>
    </row>
    <row r="78" spans="1:69">
      <c r="A78" s="130">
        <v>29</v>
      </c>
      <c r="B78" s="131">
        <f>IF('Data 2'!B78&lt;0.1,0,'Data 2'!B78)</f>
        <v>0</v>
      </c>
      <c r="C78" s="131">
        <f>IF('Data 2'!C78&lt;0.1,0,'Data 2'!C78)</f>
        <v>0</v>
      </c>
      <c r="D78" s="131">
        <f>IF('Data 2'!D78&lt;0.1,0,'Data 2'!D78)</f>
        <v>9.1971290306812428</v>
      </c>
      <c r="E78" s="131">
        <f>IF('Data 2'!E78&lt;0.1,0,'Data 2'!E78)</f>
        <v>15.484838609812131</v>
      </c>
      <c r="F78" s="131">
        <f>IF('Data 2'!F78&lt;0.1,0,'Data 2'!F78)</f>
        <v>2.1355644990468114</v>
      </c>
      <c r="G78" s="131">
        <f>IF('Data 2'!G78&lt;0.1,0,'Data 2'!G78)</f>
        <v>0.13141935378749611</v>
      </c>
      <c r="H78" s="131">
        <f>IF('Data 2'!H78&lt;0.1,0,'Data 2'!H78)</f>
        <v>0</v>
      </c>
      <c r="I78" s="131">
        <f>IF('Data 2'!I78&lt;0.1,0,'Data 2'!I78)</f>
        <v>48.560145340785034</v>
      </c>
      <c r="J78" s="131">
        <f>IF('Data 2'!J78&lt;0.1,0,'Data 2'!J78)</f>
        <v>0</v>
      </c>
      <c r="K78" s="131">
        <f>IF('Data 2'!K78&lt;0.1,0,'Data 2'!K78)</f>
        <v>4.0739999674123792</v>
      </c>
      <c r="L78" s="131">
        <f>IF('Data 2'!L78&lt;0.1,0,'Data 2'!L78)</f>
        <v>4.8298225604092995</v>
      </c>
      <c r="M78" s="131">
        <f>IF('Data 2'!M78&lt;0.1,0,'Data 2'!M78)</f>
        <v>19.651032212862333</v>
      </c>
      <c r="O78" s="130">
        <v>29</v>
      </c>
      <c r="P78" s="131">
        <f>'Stasiun Pontianak Kota'!Q124</f>
        <v>0</v>
      </c>
      <c r="Q78" s="131">
        <f>'Stasiun Pontianak Kota'!R124</f>
        <v>0</v>
      </c>
      <c r="R78" s="131">
        <f>'Stasiun Pontianak Kota'!S124</f>
        <v>9</v>
      </c>
      <c r="S78" s="131">
        <f>'Stasiun Pontianak Kota'!T124</f>
        <v>3</v>
      </c>
      <c r="T78" s="131">
        <f>'Stasiun Pontianak Kota'!U124</f>
        <v>0</v>
      </c>
      <c r="U78" s="131">
        <f>'Stasiun Pontianak Kota'!V124</f>
        <v>0</v>
      </c>
      <c r="V78" s="131">
        <f>'Stasiun Pontianak Kota'!W124</f>
        <v>0</v>
      </c>
      <c r="W78" s="131">
        <f>'Stasiun Pontianak Kota'!X124</f>
        <v>71</v>
      </c>
      <c r="X78" s="131">
        <f>'Stasiun Pontianak Kota'!Y124</f>
        <v>0</v>
      </c>
      <c r="Y78" s="131">
        <f>'Stasiun Pontianak Kota'!Z124</f>
        <v>0</v>
      </c>
      <c r="Z78" s="131">
        <f>'Stasiun Pontianak Kota'!AA124</f>
        <v>2.2999999999999998</v>
      </c>
      <c r="AA78" s="131">
        <f>'Stasiun Pontianak Kota'!AB124</f>
        <v>14</v>
      </c>
      <c r="AC78" s="130">
        <v>29</v>
      </c>
      <c r="AD78" s="131">
        <f>'Sta. Meteorologi pnk'!B81</f>
        <v>0</v>
      </c>
      <c r="AE78" s="131">
        <f>'Sta. Meteorologi pnk'!C81</f>
        <v>0</v>
      </c>
      <c r="AF78" s="131">
        <f>'Sta. Meteorologi pnk'!D81</f>
        <v>9.6</v>
      </c>
      <c r="AG78" s="131">
        <f>'Sta. Meteorologi pnk'!E81</f>
        <v>41</v>
      </c>
      <c r="AH78" s="131">
        <f>'Sta. Meteorologi pnk'!F81</f>
        <v>6.5</v>
      </c>
      <c r="AI78" s="131">
        <f>'Sta. Meteorologi pnk'!G81</f>
        <v>0.4</v>
      </c>
      <c r="AJ78" s="131">
        <f>'Sta. Meteorologi pnk'!H81</f>
        <v>0</v>
      </c>
      <c r="AK78" s="131">
        <f>'Sta. Meteorologi pnk'!I81</f>
        <v>2.7</v>
      </c>
      <c r="AL78" s="131">
        <f>'Sta. Meteorologi pnk'!J81</f>
        <v>0</v>
      </c>
      <c r="AM78" s="131">
        <f>'Sta. Meteorologi pnk'!K81</f>
        <v>12.4</v>
      </c>
      <c r="AN78" s="131">
        <f>'Sta. Meteorologi pnk'!L81</f>
        <v>10</v>
      </c>
      <c r="AO78" s="131">
        <f>'Sta. Meteorologi pnk'!M81</f>
        <v>31.2</v>
      </c>
      <c r="AQ78" s="130">
        <v>29</v>
      </c>
      <c r="AR78" s="131">
        <f t="shared" si="31"/>
        <v>0</v>
      </c>
      <c r="AS78" s="131">
        <f t="shared" si="31"/>
        <v>0</v>
      </c>
      <c r="AT78" s="131">
        <f t="shared" si="31"/>
        <v>9.4057168204784212</v>
      </c>
      <c r="AU78" s="131">
        <f t="shared" si="33"/>
        <v>28.695398630300012</v>
      </c>
      <c r="AV78" s="131">
        <f t="shared" si="33"/>
        <v>4.3952655551828963</v>
      </c>
      <c r="AW78" s="131">
        <f t="shared" si="33"/>
        <v>0.27047788031894748</v>
      </c>
      <c r="AX78" s="131">
        <f t="shared" si="33"/>
        <v>0</v>
      </c>
      <c r="AY78" s="131">
        <f t="shared" si="33"/>
        <v>24.815901935539713</v>
      </c>
      <c r="AZ78" s="131">
        <f t="shared" si="33"/>
        <v>0</v>
      </c>
      <c r="BA78" s="131">
        <f t="shared" si="33"/>
        <v>8.3848142898873732</v>
      </c>
      <c r="BB78" s="131">
        <f t="shared" si="33"/>
        <v>7.5066991961397402</v>
      </c>
      <c r="BC78" s="131">
        <f t="shared" si="33"/>
        <v>25.630548853714739</v>
      </c>
      <c r="BE78" s="130">
        <v>29</v>
      </c>
      <c r="BF78" s="131">
        <f t="shared" si="32"/>
        <v>0</v>
      </c>
      <c r="BG78" s="131">
        <f t="shared" si="32"/>
        <v>0</v>
      </c>
      <c r="BH78" s="131">
        <f t="shared" si="32"/>
        <v>9.379596751119367</v>
      </c>
      <c r="BI78" s="131">
        <f t="shared" si="34"/>
        <v>27.041127570893298</v>
      </c>
      <c r="BJ78" s="131">
        <f t="shared" si="34"/>
        <v>4.1122981371264844</v>
      </c>
      <c r="BK78" s="131">
        <f t="shared" si="34"/>
        <v>0.2530645007462452</v>
      </c>
      <c r="BL78" s="131">
        <f t="shared" si="34"/>
        <v>0</v>
      </c>
      <c r="BM78" s="131">
        <f t="shared" si="34"/>
        <v>27.789236497578635</v>
      </c>
      <c r="BN78" s="131">
        <f t="shared" si="34"/>
        <v>0</v>
      </c>
      <c r="BO78" s="131">
        <f t="shared" si="34"/>
        <v>7.8449995231336009</v>
      </c>
      <c r="BP78" s="131">
        <f t="shared" si="34"/>
        <v>7.1714916393652208</v>
      </c>
      <c r="BQ78" s="131">
        <f t="shared" si="34"/>
        <v>24.881773532088545</v>
      </c>
    </row>
    <row r="79" spans="1:69">
      <c r="A79" s="130">
        <v>30</v>
      </c>
      <c r="B79" s="131">
        <f>IF('Data 2'!B79&lt;0.1,0,'Data 2'!B79)</f>
        <v>0</v>
      </c>
      <c r="C79" s="131">
        <f>IF('Data 2'!C79&lt;0.1,0,'Data 2'!C79)</f>
        <v>0</v>
      </c>
      <c r="D79" s="131">
        <f>IF('Data 2'!D79&lt;0.1,0,'Data 2'!D79)</f>
        <v>0</v>
      </c>
      <c r="E79" s="131">
        <f>IF('Data 2'!E79&lt;0.1,0,'Data 2'!E79)</f>
        <v>3.1212096524530324</v>
      </c>
      <c r="F79" s="131">
        <f>IF('Data 2'!F79&lt;0.1,0,'Data 2'!F79)</f>
        <v>3.3572580776562981</v>
      </c>
      <c r="G79" s="131">
        <f>IF('Data 2'!G79&lt;0.1,0,'Data 2'!G79)</f>
        <v>1.3799032147687091</v>
      </c>
      <c r="H79" s="131">
        <f>IF('Data 2'!H79&lt;0.1,0,'Data 2'!H79)</f>
        <v>0</v>
      </c>
      <c r="I79" s="131">
        <f>IF('Data 2'!I79&lt;0.1,0,'Data 2'!I79)</f>
        <v>2.0143548465937791</v>
      </c>
      <c r="J79" s="131">
        <f>IF('Data 2'!J79&lt;0.1,0,'Data 2'!J79)</f>
        <v>10.517387124631352</v>
      </c>
      <c r="K79" s="131">
        <f>IF('Data 2'!K79&lt;0.1,0,'Data 2'!K79)</f>
        <v>25.515161390187867</v>
      </c>
      <c r="L79" s="131">
        <f>IF('Data 2'!L79&lt;0.1,0,'Data 2'!L79)</f>
        <v>13.174790217196485</v>
      </c>
      <c r="M79" s="131">
        <f>IF('Data 2'!M79&lt;0.1,0,'Data 2'!M79)</f>
        <v>18.429032310625193</v>
      </c>
      <c r="O79" s="130">
        <v>30</v>
      </c>
      <c r="P79" s="131">
        <f>'Stasiun Pontianak Kota'!Q125</f>
        <v>0</v>
      </c>
      <c r="Q79" s="131">
        <f>'Stasiun Pontianak Kota'!R125</f>
        <v>0</v>
      </c>
      <c r="R79" s="131">
        <f>'Stasiun Pontianak Kota'!S125</f>
        <v>0</v>
      </c>
      <c r="S79" s="131">
        <f>'Stasiun Pontianak Kota'!T125</f>
        <v>0</v>
      </c>
      <c r="T79" s="131">
        <f>'Stasiun Pontianak Kota'!U125</f>
        <v>5</v>
      </c>
      <c r="U79" s="131">
        <f>'Stasiun Pontianak Kota'!V125</f>
        <v>0</v>
      </c>
      <c r="V79" s="131">
        <f>'Stasiun Pontianak Kota'!W125</f>
        <v>0</v>
      </c>
      <c r="W79" s="131">
        <f>'Stasiun Pontianak Kota'!X125</f>
        <v>3</v>
      </c>
      <c r="X79" s="131">
        <f>'Stasiun Pontianak Kota'!Y125</f>
        <v>14</v>
      </c>
      <c r="Y79" s="131">
        <f>'Stasiun Pontianak Kota'!Z125</f>
        <v>38</v>
      </c>
      <c r="Z79" s="131">
        <f>'Stasiun Pontianak Kota'!AA125</f>
        <v>0</v>
      </c>
      <c r="AA79" s="131">
        <f>'Stasiun Pontianak Kota'!AB125</f>
        <v>25</v>
      </c>
      <c r="AC79" s="130">
        <v>30</v>
      </c>
      <c r="AD79" s="131">
        <f>'Sta. Meteorologi pnk'!B82</f>
        <v>0</v>
      </c>
      <c r="AE79" s="131">
        <f>'Sta. Meteorologi pnk'!C82</f>
        <v>0</v>
      </c>
      <c r="AF79" s="131">
        <f>'Sta. Meteorologi pnk'!D82</f>
        <v>0</v>
      </c>
      <c r="AG79" s="131">
        <f>'Sta. Meteorologi pnk'!E82</f>
        <v>9.5</v>
      </c>
      <c r="AH79" s="131">
        <f>'Sta. Meteorologi pnk'!F82</f>
        <v>0</v>
      </c>
      <c r="AI79" s="131">
        <f>'Sta. Meteorologi pnk'!G82</f>
        <v>4.2</v>
      </c>
      <c r="AJ79" s="131">
        <f>'Sta. Meteorologi pnk'!H82</f>
        <v>0</v>
      </c>
      <c r="AK79" s="131">
        <f>'Sta. Meteorologi pnk'!I82</f>
        <v>0</v>
      </c>
      <c r="AL79" s="131">
        <f>'Sta. Meteorologi pnk'!J82</f>
        <v>3.4</v>
      </c>
      <c r="AM79" s="131">
        <f>'Sta. Meteorologi pnk'!K82</f>
        <v>0</v>
      </c>
      <c r="AN79" s="131">
        <f>'Sta. Meteorologi pnk'!L82</f>
        <v>40.1</v>
      </c>
      <c r="AO79" s="131">
        <f>'Sta. Meteorologi pnk'!M82</f>
        <v>5</v>
      </c>
      <c r="AQ79" s="130">
        <v>30</v>
      </c>
      <c r="AR79" s="131">
        <f t="shared" si="31"/>
        <v>0</v>
      </c>
      <c r="AS79" s="131">
        <f t="shared" si="31"/>
        <v>0</v>
      </c>
      <c r="AT79" s="131">
        <f t="shared" si="31"/>
        <v>0</v>
      </c>
      <c r="AU79" s="131">
        <f t="shared" si="33"/>
        <v>6.4238496575750021</v>
      </c>
      <c r="AV79" s="131">
        <f t="shared" si="33"/>
        <v>1.619026496013156</v>
      </c>
      <c r="AW79" s="131">
        <f t="shared" si="33"/>
        <v>2.8400177433489491</v>
      </c>
      <c r="AX79" s="131">
        <f t="shared" si="33"/>
        <v>0</v>
      </c>
      <c r="AY79" s="131">
        <f t="shared" si="33"/>
        <v>0.97141589760789349</v>
      </c>
      <c r="AZ79" s="131">
        <f t="shared" si="33"/>
        <v>6.8323361715478903</v>
      </c>
      <c r="BA79" s="131">
        <f t="shared" si="33"/>
        <v>12.304601369699986</v>
      </c>
      <c r="BB79" s="131">
        <f t="shared" si="33"/>
        <v>27.115407501974484</v>
      </c>
      <c r="BC79" s="131">
        <f t="shared" si="33"/>
        <v>11.476105984052625</v>
      </c>
      <c r="BE79" s="130">
        <v>30</v>
      </c>
      <c r="BF79" s="131">
        <f t="shared" si="32"/>
        <v>0</v>
      </c>
      <c r="BG79" s="131">
        <f t="shared" si="32"/>
        <v>0</v>
      </c>
      <c r="BH79" s="131">
        <f t="shared" si="32"/>
        <v>0</v>
      </c>
      <c r="BI79" s="131">
        <f t="shared" si="34"/>
        <v>6.0102818927233237</v>
      </c>
      <c r="BJ79" s="131">
        <f t="shared" si="34"/>
        <v>1.8366937406719348</v>
      </c>
      <c r="BK79" s="131">
        <f t="shared" si="34"/>
        <v>2.6571772578355746</v>
      </c>
      <c r="BL79" s="131">
        <f t="shared" si="34"/>
        <v>0</v>
      </c>
      <c r="BM79" s="131">
        <f t="shared" si="34"/>
        <v>1.1020162444031609</v>
      </c>
      <c r="BN79" s="131">
        <f t="shared" si="34"/>
        <v>7.2937907302245018</v>
      </c>
      <c r="BO79" s="131">
        <f t="shared" si="34"/>
        <v>13.958872429106705</v>
      </c>
      <c r="BP79" s="131">
        <f t="shared" si="34"/>
        <v>25.36971619981108</v>
      </c>
      <c r="BQ79" s="131">
        <f t="shared" si="34"/>
        <v>12.346774962687739</v>
      </c>
    </row>
    <row r="80" spans="1:69" ht="15.75" thickBot="1">
      <c r="A80" s="133">
        <v>31</v>
      </c>
      <c r="B80" s="131">
        <f>IF('Data 2'!B80&lt;0.1,0,'Data 2'!B80)</f>
        <v>0</v>
      </c>
      <c r="C80" s="131">
        <f>IF('Data 2'!C80&lt;0.1,0,'Data 2'!C80)</f>
        <v>0</v>
      </c>
      <c r="D80" s="131">
        <f>IF('Data 2'!D80&lt;0.1,0,'Data 2'!D80)</f>
        <v>22.16427419223437</v>
      </c>
      <c r="E80" s="131">
        <f>IF('Data 2'!E80&lt;0.1,0,'Data 2'!E80)</f>
        <v>0</v>
      </c>
      <c r="F80" s="131">
        <f>IF('Data 2'!F80&lt;0.1,0,'Data 2'!F80)</f>
        <v>0</v>
      </c>
      <c r="G80" s="131">
        <f>IF('Data 2'!G80&lt;0.1,0,'Data 2'!G80)</f>
        <v>0</v>
      </c>
      <c r="H80" s="131">
        <f>IF('Data 2'!H80&lt;0.1,0,'Data 2'!H80)</f>
        <v>0</v>
      </c>
      <c r="I80" s="131">
        <f>IF('Data 2'!I80&lt;0.1,0,'Data 2'!I80)</f>
        <v>0</v>
      </c>
      <c r="J80" s="131">
        <f>IF('Data 2'!J80&lt;0.1,0,'Data 2'!J80)</f>
        <v>0</v>
      </c>
      <c r="K80" s="131">
        <f>IF('Data 2'!K80&lt;0.1,0,'Data 2'!K80)</f>
        <v>1.5113225685562051</v>
      </c>
      <c r="L80" s="131">
        <f>IF('Data 2'!L80&lt;0.1,0,'Data 2'!L80)</f>
        <v>0</v>
      </c>
      <c r="M80" s="131">
        <f>IF('Data 2'!M80&lt;0.1,0,'Data 2'!M80)</f>
        <v>5.5256774151499846</v>
      </c>
      <c r="O80" s="133">
        <v>31</v>
      </c>
      <c r="P80" s="131">
        <f>'Stasiun Pontianak Kota'!Q126</f>
        <v>0</v>
      </c>
      <c r="Q80" s="131">
        <f>'Stasiun Pontianak Kota'!R126</f>
        <v>0</v>
      </c>
      <c r="R80" s="131">
        <f>'Stasiun Pontianak Kota'!S126</f>
        <v>22</v>
      </c>
      <c r="S80" s="131">
        <f>'Stasiun Pontianak Kota'!T126</f>
        <v>0</v>
      </c>
      <c r="T80" s="131">
        <f>'Stasiun Pontianak Kota'!U126</f>
        <v>0</v>
      </c>
      <c r="U80" s="131">
        <f>'Stasiun Pontianak Kota'!V126</f>
        <v>0</v>
      </c>
      <c r="V80" s="131">
        <f>'Stasiun Pontianak Kota'!W126</f>
        <v>0</v>
      </c>
      <c r="W80" s="131">
        <f>'Stasiun Pontianak Kota'!X126</f>
        <v>0</v>
      </c>
      <c r="X80" s="131">
        <f>'Stasiun Pontianak Kota'!Y126</f>
        <v>0</v>
      </c>
      <c r="Y80" s="131">
        <f>'Stasiun Pontianak Kota'!Z126</f>
        <v>0</v>
      </c>
      <c r="Z80" s="131">
        <f>'Stasiun Pontianak Kota'!AA126</f>
        <v>0</v>
      </c>
      <c r="AA80" s="131">
        <f>'Stasiun Pontianak Kota'!AB126</f>
        <v>5</v>
      </c>
      <c r="AC80" s="133">
        <v>31</v>
      </c>
      <c r="AD80" s="131">
        <f>'Sta. Meteorologi pnk'!B83</f>
        <v>0</v>
      </c>
      <c r="AE80" s="131">
        <f>'Sta. Meteorologi pnk'!C83</f>
        <v>0</v>
      </c>
      <c r="AF80" s="131">
        <f>'Sta. Meteorologi pnk'!D83</f>
        <v>22.5</v>
      </c>
      <c r="AG80" s="131">
        <f>'Sta. Meteorologi pnk'!E83</f>
        <v>0</v>
      </c>
      <c r="AH80" s="131">
        <f>'Sta. Meteorologi pnk'!F83</f>
        <v>0</v>
      </c>
      <c r="AI80" s="131">
        <f>'Sta. Meteorologi pnk'!G83</f>
        <v>0</v>
      </c>
      <c r="AJ80" s="131">
        <f>'Sta. Meteorologi pnk'!H83</f>
        <v>0</v>
      </c>
      <c r="AK80" s="131">
        <f>'Sta. Meteorologi pnk'!I83</f>
        <v>0</v>
      </c>
      <c r="AL80" s="131">
        <f>'Sta. Meteorologi pnk'!J83</f>
        <v>0</v>
      </c>
      <c r="AM80" s="131">
        <f>'Sta. Meteorologi pnk'!K83</f>
        <v>4.5999999999999996</v>
      </c>
      <c r="AN80" s="131">
        <f>'Sta. Meteorologi pnk'!L83</f>
        <v>0</v>
      </c>
      <c r="AO80" s="131">
        <f>'Sta. Meteorologi pnk'!M83</f>
        <v>6.6</v>
      </c>
      <c r="AQ80" s="133">
        <v>31</v>
      </c>
      <c r="AR80" s="131">
        <f t="shared" si="31"/>
        <v>0</v>
      </c>
      <c r="AS80" s="131">
        <f t="shared" si="31"/>
        <v>0</v>
      </c>
      <c r="AT80" s="131">
        <f t="shared" si="31"/>
        <v>22.33809735039868</v>
      </c>
      <c r="AU80" s="131">
        <f t="shared" si="33"/>
        <v>0</v>
      </c>
      <c r="AV80" s="131">
        <f t="shared" si="33"/>
        <v>0</v>
      </c>
      <c r="AW80" s="131">
        <f t="shared" si="33"/>
        <v>0</v>
      </c>
      <c r="AX80" s="131">
        <f t="shared" si="33"/>
        <v>0</v>
      </c>
      <c r="AY80" s="131">
        <f t="shared" si="33"/>
        <v>0</v>
      </c>
      <c r="AZ80" s="131">
        <f t="shared" si="33"/>
        <v>0</v>
      </c>
      <c r="BA80" s="131">
        <f t="shared" si="33"/>
        <v>3.1104956236678962</v>
      </c>
      <c r="BB80" s="131">
        <f t="shared" si="33"/>
        <v>0</v>
      </c>
      <c r="BC80" s="131">
        <f t="shared" si="33"/>
        <v>6.0819115212757895</v>
      </c>
      <c r="BE80" s="133">
        <v>31</v>
      </c>
      <c r="BF80" s="131">
        <f t="shared" si="32"/>
        <v>0</v>
      </c>
      <c r="BG80" s="131">
        <f t="shared" si="32"/>
        <v>0</v>
      </c>
      <c r="BH80" s="131">
        <f t="shared" si="32"/>
        <v>22.316330625932803</v>
      </c>
      <c r="BI80" s="131">
        <f t="shared" si="34"/>
        <v>0</v>
      </c>
      <c r="BJ80" s="131">
        <f t="shared" si="34"/>
        <v>0</v>
      </c>
      <c r="BK80" s="131">
        <f t="shared" si="34"/>
        <v>0</v>
      </c>
      <c r="BL80" s="131">
        <f t="shared" si="34"/>
        <v>0</v>
      </c>
      <c r="BM80" s="131">
        <f t="shared" si="34"/>
        <v>0</v>
      </c>
      <c r="BN80" s="131">
        <f t="shared" si="34"/>
        <v>0</v>
      </c>
      <c r="BO80" s="131">
        <f t="shared" si="34"/>
        <v>2.9102417585818201</v>
      </c>
      <c r="BP80" s="131">
        <f t="shared" si="34"/>
        <v>0</v>
      </c>
      <c r="BQ80" s="131">
        <f t="shared" si="34"/>
        <v>6.0122580029849804</v>
      </c>
    </row>
    <row r="81" spans="1:82">
      <c r="A81" s="135" t="s">
        <v>28</v>
      </c>
      <c r="B81" s="136">
        <f>SUM(B50:B80)</f>
        <v>73.901435484659373</v>
      </c>
      <c r="C81" s="136">
        <f t="shared" ref="C81:M81" si="35">SUM(C50:C80)</f>
        <v>15.376064393137046</v>
      </c>
      <c r="D81" s="136">
        <f t="shared" si="35"/>
        <v>271.35503234321283</v>
      </c>
      <c r="E81" s="136">
        <f t="shared" si="35"/>
        <v>198.86858064621248</v>
      </c>
      <c r="F81" s="136">
        <f t="shared" si="35"/>
        <v>255.96522575073732</v>
      </c>
      <c r="G81" s="136">
        <f t="shared" si="35"/>
        <v>244.6325322210092</v>
      </c>
      <c r="H81" s="136">
        <f t="shared" si="35"/>
        <v>99.496967721962434</v>
      </c>
      <c r="I81" s="136">
        <f t="shared" si="35"/>
        <v>467.64880647841886</v>
      </c>
      <c r="J81" s="136">
        <f t="shared" si="35"/>
        <v>186.81945155035598</v>
      </c>
      <c r="K81" s="136">
        <f t="shared" si="35"/>
        <v>356.44867775731996</v>
      </c>
      <c r="L81" s="136">
        <f t="shared" si="35"/>
        <v>402.17459632085775</v>
      </c>
      <c r="M81" s="136">
        <f t="shared" si="35"/>
        <v>245.76540335326609</v>
      </c>
      <c r="N81" s="137"/>
      <c r="O81" s="135" t="s">
        <v>28</v>
      </c>
      <c r="P81" s="136">
        <f>SUM(P50:P80)</f>
        <v>74</v>
      </c>
      <c r="Q81" s="136">
        <f t="shared" ref="Q81:AA81" si="36">SUM(Q50:Q80)</f>
        <v>0</v>
      </c>
      <c r="R81" s="136">
        <f t="shared" si="36"/>
        <v>282</v>
      </c>
      <c r="S81" s="136">
        <f t="shared" si="36"/>
        <v>199</v>
      </c>
      <c r="T81" s="136">
        <f t="shared" si="36"/>
        <v>249</v>
      </c>
      <c r="U81" s="136">
        <f t="shared" si="36"/>
        <v>240</v>
      </c>
      <c r="V81" s="136">
        <f t="shared" si="36"/>
        <v>97</v>
      </c>
      <c r="W81" s="136">
        <f t="shared" si="36"/>
        <v>471</v>
      </c>
      <c r="X81" s="136">
        <f t="shared" si="36"/>
        <v>179</v>
      </c>
      <c r="Y81" s="136">
        <f t="shared" si="36"/>
        <v>398.69999999999993</v>
      </c>
      <c r="Z81" s="136">
        <f t="shared" si="36"/>
        <v>345.50000000000006</v>
      </c>
      <c r="AA81" s="136">
        <f t="shared" si="36"/>
        <v>261.7</v>
      </c>
      <c r="AB81" s="137"/>
      <c r="AC81" s="135" t="s">
        <v>28</v>
      </c>
      <c r="AD81" s="136">
        <f>SUM(AD50:AD80)</f>
        <v>73.800000000000011</v>
      </c>
      <c r="AE81" s="136">
        <f t="shared" ref="AE81:AO81" si="37">SUM(AE50:AE80)</f>
        <v>46.800000000000004</v>
      </c>
      <c r="AF81" s="136">
        <f t="shared" si="37"/>
        <v>249.6</v>
      </c>
      <c r="AG81" s="136">
        <f t="shared" si="37"/>
        <v>198.59999999999997</v>
      </c>
      <c r="AH81" s="136">
        <f t="shared" si="37"/>
        <v>270.20000000000005</v>
      </c>
      <c r="AI81" s="136">
        <f t="shared" si="37"/>
        <v>254.1</v>
      </c>
      <c r="AJ81" s="136">
        <f t="shared" si="37"/>
        <v>104.60000000000001</v>
      </c>
      <c r="AK81" s="136">
        <f t="shared" si="37"/>
        <v>460.79999999999995</v>
      </c>
      <c r="AL81" s="136">
        <f t="shared" si="37"/>
        <v>202.8</v>
      </c>
      <c r="AM81" s="136">
        <f t="shared" si="37"/>
        <v>270.10000000000002</v>
      </c>
      <c r="AN81" s="136">
        <f t="shared" si="37"/>
        <v>518.19999999999993</v>
      </c>
      <c r="AO81" s="136">
        <f t="shared" si="37"/>
        <v>213.2</v>
      </c>
      <c r="AP81" s="137"/>
      <c r="AQ81" s="135" t="s">
        <v>28</v>
      </c>
      <c r="AR81" s="136">
        <f>SUM(AR50:AR80)</f>
        <v>73.864761059840518</v>
      </c>
      <c r="AS81" s="136">
        <f t="shared" ref="AS81:BC81" si="38">SUM(AS50:AS80)</f>
        <v>31.645911997316858</v>
      </c>
      <c r="AT81" s="136">
        <f t="shared" si="38"/>
        <v>260.09129169416519</v>
      </c>
      <c r="AU81" s="136">
        <f t="shared" si="38"/>
        <v>198.72952211968106</v>
      </c>
      <c r="AV81" s="136">
        <f t="shared" si="38"/>
        <v>263.33532765690421</v>
      </c>
      <c r="AW81" s="136">
        <f t="shared" si="38"/>
        <v>249.53434528124288</v>
      </c>
      <c r="AX81" s="136">
        <f t="shared" si="38"/>
        <v>102.13907972606</v>
      </c>
      <c r="AY81" s="136">
        <f t="shared" si="38"/>
        <v>464.1028140518668</v>
      </c>
      <c r="AZ81" s="136">
        <f t="shared" si="38"/>
        <v>195.09343387897738</v>
      </c>
      <c r="BA81" s="136">
        <f t="shared" si="38"/>
        <v>311.74136147745827</v>
      </c>
      <c r="BB81" s="136">
        <f t="shared" si="38"/>
        <v>462.27882482770565</v>
      </c>
      <c r="BC81" s="136">
        <f t="shared" si="38"/>
        <v>228.90455701132765</v>
      </c>
      <c r="BD81" s="137"/>
      <c r="BE81" s="135" t="s">
        <v>28</v>
      </c>
      <c r="BF81" s="136">
        <f>SUM(BF50:BF80)</f>
        <v>73.869353555503409</v>
      </c>
      <c r="BG81" s="136">
        <f t="shared" ref="BG81:BQ81" si="39">SUM(BG50:BG80)</f>
        <v>29.608546587310691</v>
      </c>
      <c r="BH81" s="136">
        <f t="shared" si="39"/>
        <v>261.50177543955414</v>
      </c>
      <c r="BI81" s="136">
        <f t="shared" si="39"/>
        <v>198.74693549925377</v>
      </c>
      <c r="BJ81" s="136">
        <f t="shared" si="39"/>
        <v>262.41241853955097</v>
      </c>
      <c r="BK81" s="136">
        <f t="shared" si="39"/>
        <v>248.9205236513051</v>
      </c>
      <c r="BL81" s="136">
        <f t="shared" si="39"/>
        <v>101.80822551417866</v>
      </c>
      <c r="BM81" s="136">
        <f t="shared" si="39"/>
        <v>464.54685523097072</v>
      </c>
      <c r="BN81" s="136">
        <f t="shared" si="39"/>
        <v>194.0573377944016</v>
      </c>
      <c r="BO81" s="136">
        <f t="shared" si="39"/>
        <v>317.33976301008209</v>
      </c>
      <c r="BP81" s="136">
        <f t="shared" si="39"/>
        <v>454.75236980894431</v>
      </c>
      <c r="BQ81" s="136">
        <f t="shared" si="39"/>
        <v>231.01592928451777</v>
      </c>
      <c r="BR81" s="137"/>
    </row>
    <row r="82" spans="1:82">
      <c r="A82" s="138" t="s">
        <v>29</v>
      </c>
      <c r="B82" s="139">
        <f>MAX(B50:B80)</f>
        <v>27.529516236781646</v>
      </c>
      <c r="C82" s="139">
        <f t="shared" ref="C82:M82" si="40">MAX(C50:C80)</f>
        <v>13.207645055643361</v>
      </c>
      <c r="D82" s="139">
        <f t="shared" si="40"/>
        <v>59.941967966369575</v>
      </c>
      <c r="E82" s="139">
        <f t="shared" si="40"/>
        <v>38.944193700813059</v>
      </c>
      <c r="F82" s="139">
        <f t="shared" si="40"/>
        <v>69.830968015251003</v>
      </c>
      <c r="G82" s="139">
        <f t="shared" si="40"/>
        <v>51.015967933781951</v>
      </c>
      <c r="H82" s="139">
        <f t="shared" si="40"/>
        <v>40.18722565297444</v>
      </c>
      <c r="I82" s="139">
        <f t="shared" si="40"/>
        <v>108.90466165903574</v>
      </c>
      <c r="J82" s="139">
        <f t="shared" si="40"/>
        <v>41.858064621250385</v>
      </c>
      <c r="K82" s="139">
        <f t="shared" si="40"/>
        <v>57.674822804816451</v>
      </c>
      <c r="L82" s="139">
        <f t="shared" si="40"/>
        <v>64.050742183044662</v>
      </c>
      <c r="M82" s="139">
        <f t="shared" si="40"/>
        <v>34.24403239209424</v>
      </c>
      <c r="O82" s="138" t="s">
        <v>29</v>
      </c>
      <c r="P82" s="139">
        <f>MAX(P50:P80)</f>
        <v>41</v>
      </c>
      <c r="Q82" s="139">
        <f t="shared" ref="Q82:AA82" si="41">MAX(Q50:Q80)</f>
        <v>0</v>
      </c>
      <c r="R82" s="139">
        <f t="shared" si="41"/>
        <v>88</v>
      </c>
      <c r="S82" s="139">
        <f t="shared" si="41"/>
        <v>58</v>
      </c>
      <c r="T82" s="139">
        <f t="shared" si="41"/>
        <v>104</v>
      </c>
      <c r="U82" s="139">
        <f t="shared" si="41"/>
        <v>75</v>
      </c>
      <c r="V82" s="139">
        <f t="shared" si="41"/>
        <v>45</v>
      </c>
      <c r="W82" s="139">
        <f t="shared" si="41"/>
        <v>155</v>
      </c>
      <c r="X82" s="139">
        <f t="shared" si="41"/>
        <v>55</v>
      </c>
      <c r="Y82" s="139">
        <f t="shared" si="41"/>
        <v>85.7</v>
      </c>
      <c r="Z82" s="139">
        <f t="shared" si="41"/>
        <v>95</v>
      </c>
      <c r="AA82" s="139">
        <f t="shared" si="41"/>
        <v>51</v>
      </c>
      <c r="AC82" s="138" t="s">
        <v>29</v>
      </c>
      <c r="AD82" s="139">
        <f>MAX(AD50:AD80)</f>
        <v>30.8</v>
      </c>
      <c r="AE82" s="139">
        <f t="shared" ref="AE82:AO82" si="42">MAX(AE50:AE80)</f>
        <v>40.200000000000003</v>
      </c>
      <c r="AF82" s="139">
        <f t="shared" si="42"/>
        <v>64.099999999999994</v>
      </c>
      <c r="AG82" s="139">
        <f t="shared" si="42"/>
        <v>67.3</v>
      </c>
      <c r="AH82" s="139">
        <f t="shared" si="42"/>
        <v>77.400000000000006</v>
      </c>
      <c r="AI82" s="139">
        <f t="shared" si="42"/>
        <v>127.2</v>
      </c>
      <c r="AJ82" s="139">
        <f t="shared" si="42"/>
        <v>79.400000000000006</v>
      </c>
      <c r="AK82" s="139">
        <f t="shared" si="42"/>
        <v>150.4</v>
      </c>
      <c r="AL82" s="139">
        <f t="shared" si="42"/>
        <v>67.099999999999994</v>
      </c>
      <c r="AM82" s="139">
        <f t="shared" si="42"/>
        <v>86</v>
      </c>
      <c r="AN82" s="139">
        <f t="shared" si="42"/>
        <v>142.4</v>
      </c>
      <c r="AO82" s="139">
        <f t="shared" si="42"/>
        <v>45</v>
      </c>
      <c r="AQ82" s="138" t="s">
        <v>29</v>
      </c>
      <c r="AR82" s="139">
        <f>MAX(AR50:AR80)</f>
        <v>20.826796784558958</v>
      </c>
      <c r="AS82" s="139">
        <f t="shared" ref="AS82:BC82" si="43">MAX(AS50:AS80)</f>
        <v>27.183026972054225</v>
      </c>
      <c r="AT82" s="139">
        <f t="shared" si="43"/>
        <v>48.201159809150802</v>
      </c>
      <c r="AU82" s="139">
        <f t="shared" si="43"/>
        <v>45.507903363662912</v>
      </c>
      <c r="AV82" s="139">
        <f t="shared" si="43"/>
        <v>52.337469841716342</v>
      </c>
      <c r="AW82" s="139">
        <f t="shared" si="43"/>
        <v>86.011965941425302</v>
      </c>
      <c r="AX82" s="139">
        <f t="shared" si="43"/>
        <v>60.489770526566339</v>
      </c>
      <c r="AY82" s="139">
        <f t="shared" si="43"/>
        <v>101.69968299992425</v>
      </c>
      <c r="AZ82" s="139">
        <f t="shared" si="43"/>
        <v>50.229743911542904</v>
      </c>
      <c r="BA82" s="139">
        <f t="shared" si="43"/>
        <v>59.67462917482608</v>
      </c>
      <c r="BB82" s="139">
        <f t="shared" si="43"/>
        <v>96.29012539354531</v>
      </c>
      <c r="BC82" s="139">
        <f t="shared" si="43"/>
        <v>30.428761535881591</v>
      </c>
      <c r="BE82" s="138" t="s">
        <v>29</v>
      </c>
      <c r="BF82" s="139">
        <f>MAX(BF50:BF80)</f>
        <v>19.48596655746088</v>
      </c>
      <c r="BG82" s="139">
        <f t="shared" ref="BG82:BQ82" si="44">MAX(BG50:BG80)</f>
        <v>25.432982324997646</v>
      </c>
      <c r="BH82" s="139">
        <f t="shared" si="44"/>
        <v>46.063667466601594</v>
      </c>
      <c r="BI82" s="139">
        <f t="shared" si="44"/>
        <v>42.578102250555752</v>
      </c>
      <c r="BJ82" s="139">
        <f t="shared" si="44"/>
        <v>48.967980894398451</v>
      </c>
      <c r="BK82" s="139">
        <f t="shared" si="44"/>
        <v>80.474511237305975</v>
      </c>
      <c r="BL82" s="139">
        <f t="shared" si="44"/>
        <v>57.947417108951804</v>
      </c>
      <c r="BM82" s="139">
        <f t="shared" si="44"/>
        <v>95.152252280588186</v>
      </c>
      <c r="BN82" s="139">
        <f t="shared" si="44"/>
        <v>47.961651222198427</v>
      </c>
      <c r="BO82" s="139">
        <f t="shared" si="44"/>
        <v>56.135359776674342</v>
      </c>
      <c r="BP82" s="139">
        <f t="shared" si="44"/>
        <v>90.090962265663308</v>
      </c>
      <c r="BQ82" s="139">
        <f t="shared" si="44"/>
        <v>28.469756333952585</v>
      </c>
    </row>
    <row r="83" spans="1:82">
      <c r="A83" s="130" t="s">
        <v>30</v>
      </c>
      <c r="B83" s="131">
        <f>SUM(B50:B64)</f>
        <v>73.901435484659373</v>
      </c>
      <c r="C83" s="131">
        <f t="shared" ref="C83:M83" si="45">SUM(C50:C64)</f>
        <v>2.1684193374936855</v>
      </c>
      <c r="D83" s="131">
        <f t="shared" si="45"/>
        <v>59.794274355172469</v>
      </c>
      <c r="E83" s="131">
        <f t="shared" si="45"/>
        <v>113.62554869405112</v>
      </c>
      <c r="F83" s="131">
        <f t="shared" si="45"/>
        <v>85.866661235396691</v>
      </c>
      <c r="G83" s="131">
        <f t="shared" si="45"/>
        <v>205.8009515585029</v>
      </c>
      <c r="H83" s="131">
        <f t="shared" si="45"/>
        <v>99.496967721962434</v>
      </c>
      <c r="I83" s="131">
        <f t="shared" si="45"/>
        <v>183.10685480585926</v>
      </c>
      <c r="J83" s="131">
        <f t="shared" si="45"/>
        <v>44.316419272318441</v>
      </c>
      <c r="K83" s="131">
        <f t="shared" si="45"/>
        <v>130.46924217489774</v>
      </c>
      <c r="L83" s="131">
        <f t="shared" si="45"/>
        <v>285.52837078194</v>
      </c>
      <c r="M83" s="131">
        <f t="shared" si="45"/>
        <v>59.667790396428401</v>
      </c>
      <c r="O83" s="130" t="s">
        <v>30</v>
      </c>
      <c r="P83" s="131">
        <f>SUM(P50:P64)</f>
        <v>74</v>
      </c>
      <c r="Q83" s="131">
        <f t="shared" ref="Q83:AA83" si="46">SUM(Q50:Q64)</f>
        <v>0</v>
      </c>
      <c r="R83" s="131">
        <f t="shared" si="46"/>
        <v>80</v>
      </c>
      <c r="S83" s="131">
        <f t="shared" si="46"/>
        <v>152</v>
      </c>
      <c r="T83" s="131">
        <f t="shared" si="46"/>
        <v>79</v>
      </c>
      <c r="U83" s="131">
        <f t="shared" si="46"/>
        <v>199</v>
      </c>
      <c r="V83" s="131">
        <f t="shared" si="46"/>
        <v>97</v>
      </c>
      <c r="W83" s="131">
        <f t="shared" si="46"/>
        <v>179</v>
      </c>
      <c r="X83" s="131">
        <f t="shared" si="46"/>
        <v>34</v>
      </c>
      <c r="Y83" s="131">
        <f t="shared" si="46"/>
        <v>160.4</v>
      </c>
      <c r="Z83" s="131">
        <f t="shared" si="46"/>
        <v>262.3</v>
      </c>
      <c r="AA83" s="131">
        <f t="shared" si="46"/>
        <v>68.900000000000006</v>
      </c>
      <c r="AC83" s="130" t="s">
        <v>30</v>
      </c>
      <c r="AD83" s="131">
        <f>SUM(AD50:AD64)</f>
        <v>73.800000000000011</v>
      </c>
      <c r="AE83" s="131">
        <f t="shared" ref="AE83:AO83" si="47">SUM(AE50:AE64)</f>
        <v>6.6</v>
      </c>
      <c r="AF83" s="131">
        <f t="shared" si="47"/>
        <v>18.5</v>
      </c>
      <c r="AG83" s="131">
        <f t="shared" si="47"/>
        <v>35.199999999999996</v>
      </c>
      <c r="AH83" s="131">
        <f t="shared" si="47"/>
        <v>99.90000000000002</v>
      </c>
      <c r="AI83" s="131">
        <f t="shared" si="47"/>
        <v>219.7</v>
      </c>
      <c r="AJ83" s="131">
        <f t="shared" si="47"/>
        <v>104.60000000000001</v>
      </c>
      <c r="AK83" s="131">
        <f t="shared" si="47"/>
        <v>191.49999999999997</v>
      </c>
      <c r="AL83" s="131">
        <f t="shared" si="47"/>
        <v>65.400000000000006</v>
      </c>
      <c r="AM83" s="131">
        <f t="shared" si="47"/>
        <v>69.3</v>
      </c>
      <c r="AN83" s="131">
        <f t="shared" si="47"/>
        <v>333</v>
      </c>
      <c r="AO83" s="131">
        <f t="shared" si="47"/>
        <v>40.799999999999997</v>
      </c>
      <c r="AQ83" s="130" t="s">
        <v>30</v>
      </c>
      <c r="AR83" s="131">
        <f>SUM(AR50:AR64)</f>
        <v>73.864761059840518</v>
      </c>
      <c r="AS83" s="131">
        <f t="shared" ref="AS83:BC83" si="48">SUM(AS50:AS64)</f>
        <v>4.4628850252626338</v>
      </c>
      <c r="AT83" s="131">
        <f t="shared" si="48"/>
        <v>38.414025900961818</v>
      </c>
      <c r="AU83" s="131">
        <f t="shared" si="48"/>
        <v>73.020458946867308</v>
      </c>
      <c r="AV83" s="131">
        <f t="shared" si="48"/>
        <v>93.132469246664996</v>
      </c>
      <c r="AW83" s="131">
        <f t="shared" si="48"/>
        <v>212.99723030650551</v>
      </c>
      <c r="AX83" s="131">
        <f t="shared" si="48"/>
        <v>102.13907972606</v>
      </c>
      <c r="AY83" s="131">
        <f t="shared" si="48"/>
        <v>187.45243375996711</v>
      </c>
      <c r="AZ83" s="131">
        <f t="shared" si="48"/>
        <v>55.232513605037376</v>
      </c>
      <c r="BA83" s="131">
        <f t="shared" si="48"/>
        <v>98.798662757359693</v>
      </c>
      <c r="BB83" s="131">
        <f t="shared" si="48"/>
        <v>310.10696534637401</v>
      </c>
      <c r="BC83" s="131">
        <f t="shared" si="48"/>
        <v>49.898928907593941</v>
      </c>
      <c r="BE83" s="130" t="s">
        <v>30</v>
      </c>
      <c r="BF83" s="131">
        <f>SUM(BF50:BF64)</f>
        <v>73.869353555503409</v>
      </c>
      <c r="BG83" s="131">
        <f t="shared" ref="BG83:BQ83" si="49">SUM(BG50:BG64)</f>
        <v>4.1755642623130456</v>
      </c>
      <c r="BH83" s="131">
        <f t="shared" si="49"/>
        <v>41.091333010264798</v>
      </c>
      <c r="BI83" s="131">
        <f t="shared" si="49"/>
        <v>78.105165782096392</v>
      </c>
      <c r="BJ83" s="131">
        <f t="shared" si="49"/>
        <v>92.222620163991323</v>
      </c>
      <c r="BK83" s="131">
        <f t="shared" si="49"/>
        <v>212.09608791361816</v>
      </c>
      <c r="BL83" s="131">
        <f t="shared" si="49"/>
        <v>101.80822551417866</v>
      </c>
      <c r="BM83" s="131">
        <f t="shared" si="49"/>
        <v>186.90826564832014</v>
      </c>
      <c r="BN83" s="131">
        <f t="shared" si="49"/>
        <v>53.865563308580249</v>
      </c>
      <c r="BO83" s="131">
        <f t="shared" si="49"/>
        <v>102.76455995504266</v>
      </c>
      <c r="BP83" s="131">
        <f t="shared" si="49"/>
        <v>307.02915050689882</v>
      </c>
      <c r="BQ83" s="131">
        <f t="shared" si="49"/>
        <v>51.122218822576272</v>
      </c>
    </row>
    <row r="84" spans="1:82">
      <c r="A84" s="140" t="s">
        <v>31</v>
      </c>
      <c r="B84" s="141">
        <f>SUM(B65:B80)</f>
        <v>0</v>
      </c>
      <c r="C84" s="141">
        <f t="shared" ref="C84:M84" si="50">SUM(C65:C80)</f>
        <v>13.207645055643361</v>
      </c>
      <c r="D84" s="141">
        <f t="shared" si="50"/>
        <v>211.56075798804034</v>
      </c>
      <c r="E84" s="141">
        <f t="shared" si="50"/>
        <v>85.24303195216136</v>
      </c>
      <c r="F84" s="141">
        <f t="shared" si="50"/>
        <v>170.0985645153406</v>
      </c>
      <c r="G84" s="141">
        <f t="shared" si="50"/>
        <v>38.831580662506305</v>
      </c>
      <c r="H84" s="141">
        <f t="shared" si="50"/>
        <v>0</v>
      </c>
      <c r="I84" s="141">
        <f t="shared" si="50"/>
        <v>284.54195167255961</v>
      </c>
      <c r="J84" s="141">
        <f t="shared" si="50"/>
        <v>142.50303227803755</v>
      </c>
      <c r="K84" s="141">
        <f t="shared" si="50"/>
        <v>225.97943558242224</v>
      </c>
      <c r="L84" s="141">
        <f t="shared" si="50"/>
        <v>116.64622553891776</v>
      </c>
      <c r="M84" s="141">
        <f t="shared" si="50"/>
        <v>186.09761295683765</v>
      </c>
      <c r="O84" s="140" t="s">
        <v>31</v>
      </c>
      <c r="P84" s="141">
        <f>SUM(P65:P80)</f>
        <v>0</v>
      </c>
      <c r="Q84" s="141">
        <f t="shared" ref="Q84:AA84" si="51">SUM(Q65:Q80)</f>
        <v>0</v>
      </c>
      <c r="R84" s="141">
        <f t="shared" si="51"/>
        <v>202</v>
      </c>
      <c r="S84" s="141">
        <f t="shared" si="51"/>
        <v>47</v>
      </c>
      <c r="T84" s="141">
        <f t="shared" si="51"/>
        <v>170</v>
      </c>
      <c r="U84" s="141">
        <f t="shared" si="51"/>
        <v>41</v>
      </c>
      <c r="V84" s="141">
        <f t="shared" si="51"/>
        <v>0</v>
      </c>
      <c r="W84" s="141">
        <f t="shared" si="51"/>
        <v>292</v>
      </c>
      <c r="X84" s="141">
        <f t="shared" si="51"/>
        <v>145</v>
      </c>
      <c r="Y84" s="141">
        <f t="shared" si="51"/>
        <v>238.3</v>
      </c>
      <c r="Z84" s="141">
        <f t="shared" si="51"/>
        <v>83.2</v>
      </c>
      <c r="AA84" s="141">
        <f t="shared" si="51"/>
        <v>192.8</v>
      </c>
      <c r="AC84" s="140" t="s">
        <v>31</v>
      </c>
      <c r="AD84" s="141">
        <f>SUM(AD65:AD80)</f>
        <v>0</v>
      </c>
      <c r="AE84" s="141">
        <f t="shared" ref="AE84:AO84" si="52">SUM(AE65:AE80)</f>
        <v>40.200000000000003</v>
      </c>
      <c r="AF84" s="141">
        <f t="shared" si="52"/>
        <v>231.1</v>
      </c>
      <c r="AG84" s="141">
        <f t="shared" si="52"/>
        <v>163.39999999999998</v>
      </c>
      <c r="AH84" s="141">
        <f t="shared" si="52"/>
        <v>170.3</v>
      </c>
      <c r="AI84" s="141">
        <f t="shared" si="52"/>
        <v>34.4</v>
      </c>
      <c r="AJ84" s="141">
        <f t="shared" si="52"/>
        <v>0</v>
      </c>
      <c r="AK84" s="141">
        <f t="shared" si="52"/>
        <v>269.29999999999995</v>
      </c>
      <c r="AL84" s="141">
        <f t="shared" si="52"/>
        <v>137.4</v>
      </c>
      <c r="AM84" s="141">
        <f t="shared" si="52"/>
        <v>200.8</v>
      </c>
      <c r="AN84" s="141">
        <f t="shared" si="52"/>
        <v>185.2</v>
      </c>
      <c r="AO84" s="141">
        <f t="shared" si="52"/>
        <v>172.39999999999998</v>
      </c>
      <c r="AQ84" s="140" t="s">
        <v>31</v>
      </c>
      <c r="AR84" s="141">
        <f>SUM(AR65:AR80)</f>
        <v>0</v>
      </c>
      <c r="AS84" s="141">
        <f t="shared" ref="AS84:BC84" si="53">SUM(AS65:AS80)</f>
        <v>27.183026972054225</v>
      </c>
      <c r="AT84" s="141">
        <f t="shared" si="53"/>
        <v>221.67726579320339</v>
      </c>
      <c r="AU84" s="141">
        <f t="shared" si="53"/>
        <v>125.70906317281373</v>
      </c>
      <c r="AV84" s="141">
        <f t="shared" si="53"/>
        <v>170.20285841023926</v>
      </c>
      <c r="AW84" s="141">
        <f t="shared" si="53"/>
        <v>36.537114974737371</v>
      </c>
      <c r="AX84" s="141">
        <f t="shared" si="53"/>
        <v>0</v>
      </c>
      <c r="AY84" s="141">
        <f t="shared" si="53"/>
        <v>276.65038029189969</v>
      </c>
      <c r="AZ84" s="141">
        <f t="shared" si="53"/>
        <v>139.86092027394</v>
      </c>
      <c r="BA84" s="141">
        <f t="shared" si="53"/>
        <v>212.94269872009866</v>
      </c>
      <c r="BB84" s="141">
        <f t="shared" si="53"/>
        <v>152.17185948133161</v>
      </c>
      <c r="BC84" s="141">
        <f t="shared" si="53"/>
        <v>179.00562810373367</v>
      </c>
      <c r="BE84" s="140" t="s">
        <v>31</v>
      </c>
      <c r="BF84" s="141">
        <f>SUM(BF65:BF80)</f>
        <v>0</v>
      </c>
      <c r="BG84" s="141">
        <f t="shared" ref="BG84:BQ84" si="54">SUM(BG65:BG80)</f>
        <v>25.432982324997646</v>
      </c>
      <c r="BH84" s="141">
        <f t="shared" si="54"/>
        <v>220.41044242928936</v>
      </c>
      <c r="BI84" s="141">
        <f t="shared" si="54"/>
        <v>120.64176971715736</v>
      </c>
      <c r="BJ84" s="141">
        <f t="shared" si="54"/>
        <v>170.18979837555972</v>
      </c>
      <c r="BK84" s="141">
        <f t="shared" si="54"/>
        <v>36.824435737686954</v>
      </c>
      <c r="BL84" s="141">
        <f t="shared" si="54"/>
        <v>0</v>
      </c>
      <c r="BM84" s="141">
        <f t="shared" si="54"/>
        <v>277.63858958265064</v>
      </c>
      <c r="BN84" s="141">
        <f t="shared" si="54"/>
        <v>140.19177448582136</v>
      </c>
      <c r="BO84" s="141">
        <f t="shared" si="54"/>
        <v>214.57520305503954</v>
      </c>
      <c r="BP84" s="141">
        <f t="shared" si="54"/>
        <v>147.72321930204555</v>
      </c>
      <c r="BQ84" s="141">
        <f t="shared" si="54"/>
        <v>179.89371046194151</v>
      </c>
    </row>
    <row r="85" spans="1:82" ht="15.75" thickBot="1">
      <c r="A85" s="133" t="s">
        <v>32</v>
      </c>
      <c r="B85" s="134">
        <f>COUNTIF(B52:B82,"&gt;0")</f>
        <v>11</v>
      </c>
      <c r="C85" s="134">
        <f t="shared" ref="C85:M85" si="55">COUNTIF(C52:C82,"&gt;0")</f>
        <v>4</v>
      </c>
      <c r="D85" s="134">
        <f t="shared" si="55"/>
        <v>19</v>
      </c>
      <c r="E85" s="134">
        <f t="shared" si="55"/>
        <v>22</v>
      </c>
      <c r="F85" s="134">
        <f t="shared" si="55"/>
        <v>24</v>
      </c>
      <c r="G85" s="134">
        <f t="shared" si="55"/>
        <v>16</v>
      </c>
      <c r="H85" s="134">
        <f t="shared" si="55"/>
        <v>10</v>
      </c>
      <c r="I85" s="134">
        <f t="shared" si="55"/>
        <v>27</v>
      </c>
      <c r="J85" s="134">
        <f t="shared" si="55"/>
        <v>16</v>
      </c>
      <c r="K85" s="134">
        <f t="shared" si="55"/>
        <v>24</v>
      </c>
      <c r="L85" s="134">
        <f t="shared" si="55"/>
        <v>29</v>
      </c>
      <c r="M85" s="134">
        <f t="shared" si="55"/>
        <v>21</v>
      </c>
      <c r="O85" s="133" t="s">
        <v>32</v>
      </c>
      <c r="P85" s="134">
        <f>COUNTIF(P50:P80,"&gt;0")</f>
        <v>6</v>
      </c>
      <c r="Q85" s="134">
        <f t="shared" ref="Q85:AA85" si="56">COUNTIF(Q50:Q80,"&gt;0")</f>
        <v>0</v>
      </c>
      <c r="R85" s="134">
        <f t="shared" si="56"/>
        <v>14</v>
      </c>
      <c r="S85" s="134">
        <f t="shared" si="56"/>
        <v>12</v>
      </c>
      <c r="T85" s="134">
        <f t="shared" si="56"/>
        <v>11</v>
      </c>
      <c r="U85" s="134">
        <f t="shared" si="56"/>
        <v>7</v>
      </c>
      <c r="V85" s="134">
        <f t="shared" si="56"/>
        <v>7</v>
      </c>
      <c r="W85" s="134">
        <f t="shared" si="56"/>
        <v>19</v>
      </c>
      <c r="X85" s="134">
        <f t="shared" si="56"/>
        <v>10</v>
      </c>
      <c r="Y85" s="134">
        <f t="shared" si="56"/>
        <v>16</v>
      </c>
      <c r="Z85" s="134">
        <f t="shared" si="56"/>
        <v>17</v>
      </c>
      <c r="AA85" s="134">
        <f t="shared" si="56"/>
        <v>13</v>
      </c>
      <c r="AC85" s="133" t="s">
        <v>32</v>
      </c>
      <c r="AD85" s="134">
        <f>COUNTIF(AD50:AD80,"&gt;0")</f>
        <v>9</v>
      </c>
      <c r="AE85" s="134">
        <f t="shared" ref="AE85:AO85" si="57">COUNTIF(AE50:AE80,"&gt;0")</f>
        <v>2</v>
      </c>
      <c r="AF85" s="134">
        <f t="shared" si="57"/>
        <v>16</v>
      </c>
      <c r="AG85" s="134">
        <f t="shared" si="57"/>
        <v>16</v>
      </c>
      <c r="AH85" s="134">
        <f t="shared" si="57"/>
        <v>16</v>
      </c>
      <c r="AI85" s="134">
        <f t="shared" si="57"/>
        <v>11</v>
      </c>
      <c r="AJ85" s="134">
        <f t="shared" si="57"/>
        <v>7</v>
      </c>
      <c r="AK85" s="134">
        <f t="shared" si="57"/>
        <v>21</v>
      </c>
      <c r="AL85" s="134">
        <f t="shared" si="57"/>
        <v>10</v>
      </c>
      <c r="AM85" s="134">
        <f t="shared" si="57"/>
        <v>18</v>
      </c>
      <c r="AN85" s="134">
        <f t="shared" si="57"/>
        <v>23</v>
      </c>
      <c r="AO85" s="134">
        <f t="shared" si="57"/>
        <v>19</v>
      </c>
      <c r="AQ85" s="133" t="s">
        <v>32</v>
      </c>
      <c r="AR85" s="134">
        <f>COUNTIF(AR50:AR80,"&gt;0")</f>
        <v>12</v>
      </c>
      <c r="AS85" s="134">
        <f t="shared" ref="AS85:BC85" si="58">COUNTIF(AS50:AS80,"&gt;0")</f>
        <v>2</v>
      </c>
      <c r="AT85" s="134">
        <f t="shared" si="58"/>
        <v>18</v>
      </c>
      <c r="AU85" s="134">
        <f t="shared" si="58"/>
        <v>22</v>
      </c>
      <c r="AV85" s="134">
        <f t="shared" si="58"/>
        <v>23</v>
      </c>
      <c r="AW85" s="134">
        <f t="shared" si="58"/>
        <v>16</v>
      </c>
      <c r="AX85" s="134">
        <f t="shared" si="58"/>
        <v>9</v>
      </c>
      <c r="AY85" s="134">
        <f t="shared" si="58"/>
        <v>26</v>
      </c>
      <c r="AZ85" s="134">
        <f t="shared" si="58"/>
        <v>15</v>
      </c>
      <c r="BA85" s="134">
        <f t="shared" si="58"/>
        <v>24</v>
      </c>
      <c r="BB85" s="134">
        <f t="shared" si="58"/>
        <v>29</v>
      </c>
      <c r="BC85" s="134">
        <f t="shared" si="58"/>
        <v>21</v>
      </c>
      <c r="BE85" s="133" t="s">
        <v>32</v>
      </c>
      <c r="BF85" s="134">
        <f>COUNTIF(BF50:BF80,"&gt;0")</f>
        <v>12</v>
      </c>
      <c r="BG85" s="134">
        <f t="shared" ref="BG85:BQ85" si="59">COUNTIF(BG50:BG80,"&gt;0")</f>
        <v>2</v>
      </c>
      <c r="BH85" s="134">
        <f t="shared" si="59"/>
        <v>18</v>
      </c>
      <c r="BI85" s="134">
        <f t="shared" si="59"/>
        <v>22</v>
      </c>
      <c r="BJ85" s="134">
        <f t="shared" si="59"/>
        <v>23</v>
      </c>
      <c r="BK85" s="134">
        <f t="shared" si="59"/>
        <v>16</v>
      </c>
      <c r="BL85" s="134">
        <f t="shared" si="59"/>
        <v>9</v>
      </c>
      <c r="BM85" s="134">
        <f t="shared" si="59"/>
        <v>26</v>
      </c>
      <c r="BN85" s="134">
        <f t="shared" si="59"/>
        <v>15</v>
      </c>
      <c r="BO85" s="134">
        <f t="shared" si="59"/>
        <v>24</v>
      </c>
      <c r="BP85" s="134">
        <f t="shared" si="59"/>
        <v>29</v>
      </c>
      <c r="BQ85" s="134">
        <f t="shared" si="59"/>
        <v>21</v>
      </c>
    </row>
    <row r="86" spans="1:82" ht="15.75" thickBot="1"/>
    <row r="87" spans="1:82" s="142" customFormat="1">
      <c r="A87" s="147" t="s">
        <v>34</v>
      </c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9"/>
      <c r="N87" s="129"/>
      <c r="O87" s="147" t="s">
        <v>34</v>
      </c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  <c r="AA87" s="149"/>
      <c r="AB87" s="129"/>
      <c r="AC87" s="147" t="s">
        <v>34</v>
      </c>
      <c r="AD87" s="148"/>
      <c r="AE87" s="148"/>
      <c r="AF87" s="148"/>
      <c r="AG87" s="148"/>
      <c r="AH87" s="148"/>
      <c r="AI87" s="148"/>
      <c r="AJ87" s="148"/>
      <c r="AK87" s="148"/>
      <c r="AL87" s="148"/>
      <c r="AM87" s="148"/>
      <c r="AN87" s="148"/>
      <c r="AO87" s="149"/>
      <c r="AP87" s="129"/>
      <c r="AQ87" s="147" t="s">
        <v>34</v>
      </c>
      <c r="AR87" s="148"/>
      <c r="AS87" s="148"/>
      <c r="AT87" s="148"/>
      <c r="AU87" s="148"/>
      <c r="AV87" s="148"/>
      <c r="AW87" s="148"/>
      <c r="AX87" s="148"/>
      <c r="AY87" s="148"/>
      <c r="AZ87" s="148"/>
      <c r="BA87" s="148"/>
      <c r="BB87" s="148"/>
      <c r="BC87" s="149"/>
      <c r="BD87" s="129"/>
      <c r="BE87" s="147" t="s">
        <v>34</v>
      </c>
      <c r="BF87" s="148"/>
      <c r="BG87" s="148"/>
      <c r="BH87" s="148"/>
      <c r="BI87" s="148"/>
      <c r="BJ87" s="148"/>
      <c r="BK87" s="148"/>
      <c r="BL87" s="148"/>
      <c r="BM87" s="148"/>
      <c r="BN87" s="148"/>
      <c r="BO87" s="148"/>
      <c r="BP87" s="148"/>
      <c r="BQ87" s="14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</row>
    <row r="88" spans="1:82">
      <c r="A88" s="144"/>
      <c r="B88" s="145" t="s">
        <v>15</v>
      </c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6"/>
      <c r="O88" s="144"/>
      <c r="P88" s="145" t="s">
        <v>15</v>
      </c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6"/>
      <c r="AC88" s="144"/>
      <c r="AD88" s="145" t="s">
        <v>15</v>
      </c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6"/>
      <c r="AQ88" s="144"/>
      <c r="AR88" s="145" t="s">
        <v>15</v>
      </c>
      <c r="AS88" s="145"/>
      <c r="AT88" s="145"/>
      <c r="AU88" s="145"/>
      <c r="AV88" s="145"/>
      <c r="AW88" s="145"/>
      <c r="AX88" s="145"/>
      <c r="AY88" s="145"/>
      <c r="AZ88" s="145"/>
      <c r="BA88" s="145"/>
      <c r="BB88" s="145"/>
      <c r="BC88" s="146"/>
      <c r="BE88" s="144"/>
      <c r="BF88" s="145" t="s">
        <v>15</v>
      </c>
      <c r="BG88" s="145"/>
      <c r="BH88" s="145"/>
      <c r="BI88" s="145"/>
      <c r="BJ88" s="145"/>
      <c r="BK88" s="145"/>
      <c r="BL88" s="145"/>
      <c r="BM88" s="145"/>
      <c r="BN88" s="145"/>
      <c r="BO88" s="145"/>
      <c r="BP88" s="145"/>
      <c r="BQ88" s="146"/>
    </row>
    <row r="89" spans="1:82">
      <c r="A89" s="144"/>
      <c r="B89" s="131" t="s">
        <v>16</v>
      </c>
      <c r="C89" s="131" t="s">
        <v>17</v>
      </c>
      <c r="D89" s="131" t="s">
        <v>18</v>
      </c>
      <c r="E89" s="131" t="s">
        <v>19</v>
      </c>
      <c r="F89" s="131" t="s">
        <v>20</v>
      </c>
      <c r="G89" s="131" t="s">
        <v>21</v>
      </c>
      <c r="H89" s="131" t="s">
        <v>22</v>
      </c>
      <c r="I89" s="131" t="s">
        <v>23</v>
      </c>
      <c r="J89" s="131" t="s">
        <v>24</v>
      </c>
      <c r="K89" s="131" t="s">
        <v>25</v>
      </c>
      <c r="L89" s="131" t="s">
        <v>26</v>
      </c>
      <c r="M89" s="132" t="s">
        <v>27</v>
      </c>
      <c r="O89" s="144"/>
      <c r="P89" s="131" t="s">
        <v>16</v>
      </c>
      <c r="Q89" s="131" t="s">
        <v>17</v>
      </c>
      <c r="R89" s="131" t="s">
        <v>18</v>
      </c>
      <c r="S89" s="131" t="s">
        <v>19</v>
      </c>
      <c r="T89" s="131" t="s">
        <v>20</v>
      </c>
      <c r="U89" s="131" t="s">
        <v>21</v>
      </c>
      <c r="V89" s="131" t="s">
        <v>22</v>
      </c>
      <c r="W89" s="131" t="s">
        <v>23</v>
      </c>
      <c r="X89" s="131" t="s">
        <v>24</v>
      </c>
      <c r="Y89" s="131" t="s">
        <v>25</v>
      </c>
      <c r="Z89" s="131" t="s">
        <v>26</v>
      </c>
      <c r="AA89" s="132" t="s">
        <v>27</v>
      </c>
      <c r="AC89" s="144"/>
      <c r="AD89" s="131" t="s">
        <v>16</v>
      </c>
      <c r="AE89" s="131" t="s">
        <v>17</v>
      </c>
      <c r="AF89" s="131" t="s">
        <v>18</v>
      </c>
      <c r="AG89" s="131" t="s">
        <v>19</v>
      </c>
      <c r="AH89" s="131" t="s">
        <v>20</v>
      </c>
      <c r="AI89" s="131" t="s">
        <v>21</v>
      </c>
      <c r="AJ89" s="131" t="s">
        <v>22</v>
      </c>
      <c r="AK89" s="131" t="s">
        <v>23</v>
      </c>
      <c r="AL89" s="131" t="s">
        <v>24</v>
      </c>
      <c r="AM89" s="131" t="s">
        <v>25</v>
      </c>
      <c r="AN89" s="131" t="s">
        <v>26</v>
      </c>
      <c r="AO89" s="132" t="s">
        <v>27</v>
      </c>
      <c r="AQ89" s="144"/>
      <c r="AR89" s="131" t="s">
        <v>16</v>
      </c>
      <c r="AS89" s="131" t="s">
        <v>17</v>
      </c>
      <c r="AT89" s="131" t="s">
        <v>18</v>
      </c>
      <c r="AU89" s="131" t="s">
        <v>19</v>
      </c>
      <c r="AV89" s="131" t="s">
        <v>20</v>
      </c>
      <c r="AW89" s="131" t="s">
        <v>21</v>
      </c>
      <c r="AX89" s="131" t="s">
        <v>22</v>
      </c>
      <c r="AY89" s="131" t="s">
        <v>23</v>
      </c>
      <c r="AZ89" s="131" t="s">
        <v>24</v>
      </c>
      <c r="BA89" s="131" t="s">
        <v>25</v>
      </c>
      <c r="BB89" s="131" t="s">
        <v>26</v>
      </c>
      <c r="BC89" s="132" t="s">
        <v>27</v>
      </c>
      <c r="BE89" s="144"/>
      <c r="BF89" s="131" t="s">
        <v>16</v>
      </c>
      <c r="BG89" s="131" t="s">
        <v>17</v>
      </c>
      <c r="BH89" s="131" t="s">
        <v>18</v>
      </c>
      <c r="BI89" s="131" t="s">
        <v>19</v>
      </c>
      <c r="BJ89" s="131" t="s">
        <v>20</v>
      </c>
      <c r="BK89" s="131" t="s">
        <v>21</v>
      </c>
      <c r="BL89" s="131" t="s">
        <v>22</v>
      </c>
      <c r="BM89" s="131" t="s">
        <v>23</v>
      </c>
      <c r="BN89" s="131" t="s">
        <v>24</v>
      </c>
      <c r="BO89" s="131" t="s">
        <v>25</v>
      </c>
      <c r="BP89" s="131" t="s">
        <v>26</v>
      </c>
      <c r="BQ89" s="132" t="s">
        <v>27</v>
      </c>
    </row>
    <row r="90" spans="1:82">
      <c r="A90" s="130">
        <v>1</v>
      </c>
      <c r="B90" s="131">
        <f>IF('Data 2'!B90&lt;0.1,0,'Data 2'!B90)</f>
        <v>14.385967770843855</v>
      </c>
      <c r="C90" s="131">
        <f>IF('Data 2'!C90&lt;0.1,0,'Data 2'!C90)</f>
        <v>21.416903198474895</v>
      </c>
      <c r="D90" s="131">
        <f>IF('Data 2'!D90&lt;0.1,0,'Data 2'!D90)</f>
        <v>0.67145161553125965</v>
      </c>
      <c r="E90" s="131">
        <f>IF('Data 2'!E90&lt;0.1,0,'Data 2'!E90)</f>
        <v>0</v>
      </c>
      <c r="F90" s="131">
        <f>IF('Data 2'!F90&lt;0.1,0,'Data 2'!F90)</f>
        <v>2.0143548465937791</v>
      </c>
      <c r="G90" s="131">
        <f>IF('Data 2'!G90&lt;0.1,0,'Data 2'!G90)</f>
        <v>18.800645234875269</v>
      </c>
      <c r="H90" s="131">
        <f>IF('Data 2'!H90&lt;0.1,0,'Data 2'!H90)</f>
        <v>0</v>
      </c>
      <c r="I90" s="131">
        <f>IF('Data 2'!I90&lt;0.1,0,'Data 2'!I90)</f>
        <v>2.0143548465937791</v>
      </c>
      <c r="J90" s="131">
        <f>IF('Data 2'!J90&lt;0.1,0,'Data 2'!J90)</f>
        <v>0</v>
      </c>
      <c r="K90" s="131">
        <f>IF('Data 2'!K90&lt;0.1,0,'Data 2'!K90)</f>
        <v>0</v>
      </c>
      <c r="L90" s="131">
        <f>IF('Data 2'!L90&lt;0.1,0,'Data 2'!L90)</f>
        <v>10.529822560409299</v>
      </c>
      <c r="M90" s="131">
        <f>IF('Data 2'!M90&lt;0.1,0,'Data 2'!M90)</f>
        <v>18.800951558502923</v>
      </c>
      <c r="O90" s="130">
        <v>1</v>
      </c>
      <c r="P90" s="131">
        <f>'Stasiun Pontianak Kota'!Q140</f>
        <v>18</v>
      </c>
      <c r="Q90" s="131">
        <f>'Stasiun Pontianak Kota'!R140</f>
        <v>18</v>
      </c>
      <c r="R90" s="131">
        <f>'Stasiun Pontianak Kota'!S140</f>
        <v>1</v>
      </c>
      <c r="S90" s="131">
        <f>'Stasiun Pontianak Kota'!T140</f>
        <v>0</v>
      </c>
      <c r="T90" s="131">
        <f>'Stasiun Pontianak Kota'!U140</f>
        <v>3</v>
      </c>
      <c r="U90" s="131">
        <f>'Stasiun Pontianak Kota'!V140</f>
        <v>28</v>
      </c>
      <c r="V90" s="131">
        <f>'Stasiun Pontianak Kota'!W140</f>
        <v>0</v>
      </c>
      <c r="W90" s="131">
        <f>'Stasiun Pontianak Kota'!X140</f>
        <v>3</v>
      </c>
      <c r="X90" s="131">
        <f>'Stasiun Pontianak Kota'!Y140</f>
        <v>0</v>
      </c>
      <c r="Y90" s="131">
        <f>'Stasiun Pontianak Kota'!Z140</f>
        <v>0</v>
      </c>
      <c r="Z90" s="131">
        <f>'Stasiun Pontianak Kota'!AA140</f>
        <v>8</v>
      </c>
      <c r="AA90" s="131">
        <f>'Stasiun Pontianak Kota'!AB140</f>
        <v>12</v>
      </c>
      <c r="AC90" s="130">
        <v>1</v>
      </c>
      <c r="AD90" s="131">
        <f>'Sta. Meteorologi pnk'!B98</f>
        <v>7</v>
      </c>
      <c r="AE90" s="131">
        <f>'Sta. Meteorologi pnk'!C98</f>
        <v>28.4</v>
      </c>
      <c r="AF90" s="131">
        <f>'Sta. Meteorologi pnk'!D98</f>
        <v>0</v>
      </c>
      <c r="AG90" s="131">
        <f>'Sta. Meteorologi pnk'!E98</f>
        <v>0</v>
      </c>
      <c r="AH90" s="131">
        <f>'Sta. Meteorologi pnk'!F98</f>
        <v>0</v>
      </c>
      <c r="AI90" s="131">
        <f>'Sta. Meteorologi pnk'!G98</f>
        <v>0</v>
      </c>
      <c r="AJ90" s="131">
        <f>'Sta. Meteorologi pnk'!H98</f>
        <v>0</v>
      </c>
      <c r="AK90" s="131">
        <f>'Sta. Meteorologi pnk'!I98</f>
        <v>0</v>
      </c>
      <c r="AL90" s="131">
        <f>'Sta. Meteorologi pnk'!J98</f>
        <v>0</v>
      </c>
      <c r="AM90" s="131">
        <f>'Sta. Meteorologi pnk'!K98</f>
        <v>0</v>
      </c>
      <c r="AN90" s="131">
        <f>'Sta. Meteorologi pnk'!L98</f>
        <v>15.7</v>
      </c>
      <c r="AO90" s="131">
        <f>'Sta. Meteorologi pnk'!M98</f>
        <v>32.700000000000003</v>
      </c>
      <c r="AQ90" s="130">
        <v>1</v>
      </c>
      <c r="AR90" s="131">
        <f>((P90/($AV$1^2))+(AD90/($AV$2^2)))/((1/($AV$1^2))+(1/($AV$2^2)))</f>
        <v>10.561858291228942</v>
      </c>
      <c r="AS90" s="131">
        <f t="shared" ref="AS90:BC113" si="60">((Q90/($AV$1^2))+(AE90/($AV$2^2)))/((1/($AV$1^2))+(1/($AV$2^2)))</f>
        <v>25.032424888292631</v>
      </c>
      <c r="AT90" s="131">
        <f t="shared" si="60"/>
        <v>0.32380529920263124</v>
      </c>
      <c r="AU90" s="131">
        <f t="shared" si="60"/>
        <v>0</v>
      </c>
      <c r="AV90" s="131">
        <f t="shared" si="60"/>
        <v>0.97141589760789349</v>
      </c>
      <c r="AW90" s="131">
        <f t="shared" si="60"/>
        <v>9.0665483776736728</v>
      </c>
      <c r="AX90" s="131">
        <f t="shared" si="60"/>
        <v>0</v>
      </c>
      <c r="AY90" s="131">
        <f t="shared" si="60"/>
        <v>0.97141589760789349</v>
      </c>
      <c r="AZ90" s="131">
        <f t="shared" si="60"/>
        <v>0</v>
      </c>
      <c r="BA90" s="131">
        <f t="shared" si="60"/>
        <v>0</v>
      </c>
      <c r="BB90" s="131">
        <f t="shared" si="60"/>
        <v>13.20669919613974</v>
      </c>
      <c r="BC90" s="131">
        <f t="shared" si="60"/>
        <v>25.997230306505536</v>
      </c>
      <c r="BE90" s="130">
        <v>1</v>
      </c>
      <c r="BF90" s="131">
        <f>((B90/($BI$1^2))+(P90/($AV$1^2))+(AD90/($AV$2^2)))/((1/($BI$1^2))+(1/($AV$1^2))+(1/($AV$2^2)))</f>
        <v>11.040726229478256</v>
      </c>
      <c r="BG90" s="131">
        <f t="shared" ref="BG90:BQ113" si="61">((C90/($BI$1^2))+(Q90/($AV$1^2))+(AE90/($AV$2^2)))/((1/($BI$1^2))+(1/($AV$1^2))+(1/($AV$2^2)))</f>
        <v>24.579677019402375</v>
      </c>
      <c r="BH90" s="131">
        <f t="shared" si="61"/>
        <v>0.36733874813438699</v>
      </c>
      <c r="BI90" s="131">
        <f t="shared" si="61"/>
        <v>0</v>
      </c>
      <c r="BJ90" s="131">
        <f t="shared" si="61"/>
        <v>1.1020162444031609</v>
      </c>
      <c r="BK90" s="131">
        <f t="shared" si="61"/>
        <v>10.285484947762836</v>
      </c>
      <c r="BL90" s="131">
        <f t="shared" si="61"/>
        <v>0</v>
      </c>
      <c r="BM90" s="131">
        <f t="shared" si="61"/>
        <v>1.1020162444031609</v>
      </c>
      <c r="BN90" s="131">
        <f t="shared" si="61"/>
        <v>0</v>
      </c>
      <c r="BO90" s="131">
        <f t="shared" si="61"/>
        <v>0</v>
      </c>
      <c r="BP90" s="131">
        <f t="shared" si="61"/>
        <v>12.871491639365219</v>
      </c>
      <c r="BQ90" s="131">
        <f t="shared" si="61"/>
        <v>25.096087913618188</v>
      </c>
    </row>
    <row r="91" spans="1:82">
      <c r="A91" s="130">
        <v>2</v>
      </c>
      <c r="B91" s="131">
        <f>IF('Data 2'!B91&lt;0.1,0,'Data 2'!B91)</f>
        <v>1.0513548302999689</v>
      </c>
      <c r="C91" s="131">
        <f>IF('Data 2'!C91&lt;0.1,0,'Data 2'!C91)</f>
        <v>0.13141935378749611</v>
      </c>
      <c r="D91" s="131">
        <f>IF('Data 2'!D91&lt;0.1,0,'Data 2'!D91)</f>
        <v>1.3429032310625193</v>
      </c>
      <c r="E91" s="131">
        <f>IF('Data 2'!E91&lt;0.1,0,'Data 2'!E91)</f>
        <v>19.47209685040653</v>
      </c>
      <c r="F91" s="131">
        <f>IF('Data 2'!F91&lt;0.1,0,'Data 2'!F91)</f>
        <v>12.086129079562673</v>
      </c>
      <c r="G91" s="131">
        <f>IF('Data 2'!G91&lt;0.1,0,'Data 2'!G91)</f>
        <v>0</v>
      </c>
      <c r="H91" s="131">
        <f>IF('Data 2'!H91&lt;0.1,0,'Data 2'!H91)</f>
        <v>0</v>
      </c>
      <c r="I91" s="131">
        <f>IF('Data 2'!I91&lt;0.1,0,'Data 2'!I91)</f>
        <v>0</v>
      </c>
      <c r="J91" s="131">
        <f>IF('Data 2'!J91&lt;0.1,0,'Data 2'!J91)</f>
        <v>0</v>
      </c>
      <c r="K91" s="131">
        <f>IF('Data 2'!K91&lt;0.1,0,'Data 2'!K91)</f>
        <v>0</v>
      </c>
      <c r="L91" s="131">
        <f>IF('Data 2'!L91&lt;0.1,0,'Data 2'!L91)</f>
        <v>17.384048360028022</v>
      </c>
      <c r="M91" s="131">
        <f>IF('Data 2'!M91&lt;0.1,0,'Data 2'!M91)</f>
        <v>0.16427419223437012</v>
      </c>
      <c r="O91" s="130">
        <v>2</v>
      </c>
      <c r="P91" s="131">
        <f>'Stasiun Pontianak Kota'!Q141</f>
        <v>0</v>
      </c>
      <c r="Q91" s="131">
        <f>'Stasiun Pontianak Kota'!R141</f>
        <v>0</v>
      </c>
      <c r="R91" s="131">
        <f>'Stasiun Pontianak Kota'!S141</f>
        <v>2</v>
      </c>
      <c r="S91" s="131">
        <f>'Stasiun Pontianak Kota'!T141</f>
        <v>29</v>
      </c>
      <c r="T91" s="131">
        <f>'Stasiun Pontianak Kota'!U141</f>
        <v>18</v>
      </c>
      <c r="U91" s="131">
        <f>'Stasiun Pontianak Kota'!V141</f>
        <v>0</v>
      </c>
      <c r="V91" s="131">
        <f>'Stasiun Pontianak Kota'!W141</f>
        <v>0</v>
      </c>
      <c r="W91" s="131">
        <f>'Stasiun Pontianak Kota'!X141</f>
        <v>0</v>
      </c>
      <c r="X91" s="131">
        <f>'Stasiun Pontianak Kota'!Y141</f>
        <v>0</v>
      </c>
      <c r="Y91" s="131">
        <f>'Stasiun Pontianak Kota'!Z141</f>
        <v>0</v>
      </c>
      <c r="Z91" s="131">
        <f>'Stasiun Pontianak Kota'!AA141</f>
        <v>14</v>
      </c>
      <c r="AA91" s="131">
        <f>'Stasiun Pontianak Kota'!AB141</f>
        <v>0</v>
      </c>
      <c r="AC91" s="130">
        <v>2</v>
      </c>
      <c r="AD91" s="131">
        <f>'Sta. Meteorologi pnk'!B99</f>
        <v>3.2</v>
      </c>
      <c r="AE91" s="131">
        <f>'Sta. Meteorologi pnk'!C99</f>
        <v>0.4</v>
      </c>
      <c r="AF91" s="131">
        <f>'Sta. Meteorologi pnk'!D99</f>
        <v>0</v>
      </c>
      <c r="AG91" s="131">
        <f>'Sta. Meteorologi pnk'!E99</f>
        <v>0</v>
      </c>
      <c r="AH91" s="131">
        <f>'Sta. Meteorologi pnk'!F99</f>
        <v>0</v>
      </c>
      <c r="AI91" s="131">
        <f>'Sta. Meteorologi pnk'!G99</f>
        <v>0</v>
      </c>
      <c r="AJ91" s="131">
        <f>'Sta. Meteorologi pnk'!H99</f>
        <v>0</v>
      </c>
      <c r="AK91" s="131">
        <f>'Sta. Meteorologi pnk'!I99</f>
        <v>0</v>
      </c>
      <c r="AL91" s="131">
        <f>'Sta. Meteorologi pnk'!J99</f>
        <v>0</v>
      </c>
      <c r="AM91" s="131">
        <f>'Sta. Meteorologi pnk'!K99</f>
        <v>0</v>
      </c>
      <c r="AN91" s="131">
        <f>'Sta. Meteorologi pnk'!L99</f>
        <v>24.3</v>
      </c>
      <c r="AO91" s="131">
        <f>'Sta. Meteorologi pnk'!M99</f>
        <v>0.5</v>
      </c>
      <c r="AQ91" s="130">
        <v>2</v>
      </c>
      <c r="AR91" s="131">
        <f t="shared" ref="AR91:AT120" si="62">((P91/($AV$1^2))+(AD91/($AV$2^2)))/((1/($AV$1^2))+(1/($AV$2^2)))</f>
        <v>2.1638230425515799</v>
      </c>
      <c r="AS91" s="131">
        <f t="shared" si="60"/>
        <v>0.27047788031894748</v>
      </c>
      <c r="AT91" s="131">
        <f t="shared" si="60"/>
        <v>0.64761059840526247</v>
      </c>
      <c r="AU91" s="131">
        <f t="shared" si="60"/>
        <v>9.3903536768763036</v>
      </c>
      <c r="AV91" s="131">
        <f t="shared" si="60"/>
        <v>5.8284953856473614</v>
      </c>
      <c r="AW91" s="131">
        <f t="shared" si="60"/>
        <v>0</v>
      </c>
      <c r="AX91" s="131">
        <f t="shared" si="60"/>
        <v>0</v>
      </c>
      <c r="AY91" s="131">
        <f t="shared" si="60"/>
        <v>0</v>
      </c>
      <c r="AZ91" s="131">
        <f t="shared" si="60"/>
        <v>0</v>
      </c>
      <c r="BA91" s="131">
        <f t="shared" si="60"/>
        <v>0</v>
      </c>
      <c r="BB91" s="131">
        <f t="shared" si="60"/>
        <v>20.964805418212897</v>
      </c>
      <c r="BC91" s="131">
        <f t="shared" si="60"/>
        <v>0.33809735039868438</v>
      </c>
      <c r="BE91" s="130">
        <v>2</v>
      </c>
      <c r="BF91" s="131">
        <f t="shared" ref="BF91:BH120" si="63">((B91/($BI$1^2))+(P91/($AV$1^2))+(AD91/($AV$2^2)))/((1/($BI$1^2))+(1/($AV$1^2))+(1/($AV$2^2)))</f>
        <v>2.0245160059699616</v>
      </c>
      <c r="BG91" s="131">
        <f t="shared" si="61"/>
        <v>0.2530645007462452</v>
      </c>
      <c r="BH91" s="131">
        <f t="shared" si="61"/>
        <v>0.73467749626877399</v>
      </c>
      <c r="BI91" s="131">
        <f t="shared" si="61"/>
        <v>10.652823695897222</v>
      </c>
      <c r="BJ91" s="131">
        <f t="shared" si="61"/>
        <v>6.6120974664189651</v>
      </c>
      <c r="BK91" s="131">
        <f t="shared" si="61"/>
        <v>0</v>
      </c>
      <c r="BL91" s="131">
        <f t="shared" si="61"/>
        <v>0</v>
      </c>
      <c r="BM91" s="131">
        <f t="shared" si="61"/>
        <v>0</v>
      </c>
      <c r="BN91" s="131">
        <f t="shared" si="61"/>
        <v>0</v>
      </c>
      <c r="BO91" s="131">
        <f t="shared" si="61"/>
        <v>0</v>
      </c>
      <c r="BP91" s="131">
        <f t="shared" si="61"/>
        <v>20.516410894215817</v>
      </c>
      <c r="BQ91" s="131">
        <f t="shared" si="61"/>
        <v>0.31633062593280648</v>
      </c>
    </row>
    <row r="92" spans="1:82">
      <c r="A92" s="130">
        <v>3</v>
      </c>
      <c r="B92" s="131">
        <f>IF('Data 2'!B92&lt;0.1,0,'Data 2'!B92)</f>
        <v>7.4539031821810884</v>
      </c>
      <c r="C92" s="131">
        <f>IF('Data 2'!C92&lt;0.1,0,'Data 2'!C92)</f>
        <v>5.4456128916624573</v>
      </c>
      <c r="D92" s="131">
        <f>IF('Data 2'!D92&lt;0.1,0,'Data 2'!D92)</f>
        <v>10.071774232968895</v>
      </c>
      <c r="E92" s="131">
        <f>IF('Data 2'!E92&lt;0.1,0,'Data 2'!E92)</f>
        <v>0.67145161553125965</v>
      </c>
      <c r="F92" s="131">
        <f>IF('Data 2'!F92&lt;0.1,0,'Data 2'!F92)</f>
        <v>0</v>
      </c>
      <c r="G92" s="131">
        <f>IF('Data 2'!G92&lt;0.1,0,'Data 2'!G92)</f>
        <v>9.4003226174376344</v>
      </c>
      <c r="H92" s="131">
        <f>IF('Data 2'!H92&lt;0.1,0,'Data 2'!H92)</f>
        <v>0</v>
      </c>
      <c r="I92" s="131">
        <f>IF('Data 2'!I92&lt;0.1,0,'Data 2'!I92)</f>
        <v>0</v>
      </c>
      <c r="J92" s="131">
        <f>IF('Data 2'!J92&lt;0.1,0,'Data 2'!J92)</f>
        <v>0.13141935378749611</v>
      </c>
      <c r="K92" s="131">
        <f>IF('Data 2'!K92&lt;0.1,0,'Data 2'!K92)</f>
        <v>39.733322470793347</v>
      </c>
      <c r="L92" s="131">
        <f>IF('Data 2'!L92&lt;0.1,0,'Data 2'!L92)</f>
        <v>0</v>
      </c>
      <c r="M92" s="131">
        <f>IF('Data 2'!M92&lt;0.1,0,'Data 2'!M92)</f>
        <v>0</v>
      </c>
      <c r="O92" s="130">
        <v>3</v>
      </c>
      <c r="P92" s="131">
        <f>'Stasiun Pontianak Kota'!Q142</f>
        <v>2</v>
      </c>
      <c r="Q92" s="131">
        <f>'Stasiun Pontianak Kota'!R142</f>
        <v>4</v>
      </c>
      <c r="R92" s="131">
        <f>'Stasiun Pontianak Kota'!S142</f>
        <v>15</v>
      </c>
      <c r="S92" s="131">
        <f>'Stasiun Pontianak Kota'!T142</f>
        <v>1</v>
      </c>
      <c r="T92" s="131">
        <f>'Stasiun Pontianak Kota'!U142</f>
        <v>0</v>
      </c>
      <c r="U92" s="131">
        <f>'Stasiun Pontianak Kota'!V142</f>
        <v>14</v>
      </c>
      <c r="V92" s="131">
        <f>'Stasiun Pontianak Kota'!W142</f>
        <v>0</v>
      </c>
      <c r="W92" s="131">
        <f>'Stasiun Pontianak Kota'!X142</f>
        <v>0</v>
      </c>
      <c r="X92" s="131">
        <f>'Stasiun Pontianak Kota'!Y142</f>
        <v>0</v>
      </c>
      <c r="Y92" s="131">
        <f>'Stasiun Pontianak Kota'!Z142</f>
        <v>26</v>
      </c>
      <c r="Z92" s="131">
        <f>'Stasiun Pontianak Kota'!AA142</f>
        <v>0</v>
      </c>
      <c r="AA92" s="131">
        <f>'Stasiun Pontianak Kota'!AB142</f>
        <v>0</v>
      </c>
      <c r="AC92" s="130">
        <v>3</v>
      </c>
      <c r="AD92" s="131">
        <f>'Sta. Meteorologi pnk'!B100</f>
        <v>18.600000000000001</v>
      </c>
      <c r="AE92" s="131">
        <f>'Sta. Meteorologi pnk'!C100</f>
        <v>8.4</v>
      </c>
      <c r="AF92" s="131">
        <f>'Sta. Meteorologi pnk'!D100</f>
        <v>0</v>
      </c>
      <c r="AG92" s="131">
        <f>'Sta. Meteorologi pnk'!E100</f>
        <v>0</v>
      </c>
      <c r="AH92" s="131">
        <f>'Sta. Meteorologi pnk'!F100</f>
        <v>0</v>
      </c>
      <c r="AI92" s="131">
        <f>'Sta. Meteorologi pnk'!G100</f>
        <v>0</v>
      </c>
      <c r="AJ92" s="131">
        <f>'Sta. Meteorologi pnk'!H100</f>
        <v>0</v>
      </c>
      <c r="AK92" s="131">
        <f>'Sta. Meteorologi pnk'!I100</f>
        <v>0</v>
      </c>
      <c r="AL92" s="131">
        <f>'Sta. Meteorologi pnk'!J100</f>
        <v>0.4</v>
      </c>
      <c r="AM92" s="131">
        <f>'Sta. Meteorologi pnk'!K100</f>
        <v>67.8</v>
      </c>
      <c r="AN92" s="131">
        <f>'Sta. Meteorologi pnk'!L100</f>
        <v>0</v>
      </c>
      <c r="AO92" s="131">
        <f>'Sta. Meteorologi pnk'!M100</f>
        <v>0</v>
      </c>
      <c r="AQ92" s="130">
        <v>3</v>
      </c>
      <c r="AR92" s="131">
        <f t="shared" si="62"/>
        <v>13.224832033236321</v>
      </c>
      <c r="AS92" s="131">
        <f t="shared" si="60"/>
        <v>6.9752566835084231</v>
      </c>
      <c r="AT92" s="131">
        <f t="shared" si="60"/>
        <v>4.8570794880394681</v>
      </c>
      <c r="AU92" s="131">
        <f t="shared" si="60"/>
        <v>0.32380529920263124</v>
      </c>
      <c r="AV92" s="131">
        <f t="shared" si="60"/>
        <v>0</v>
      </c>
      <c r="AW92" s="131">
        <f t="shared" si="60"/>
        <v>4.5332741888368364</v>
      </c>
      <c r="AX92" s="131">
        <f t="shared" si="60"/>
        <v>0</v>
      </c>
      <c r="AY92" s="131">
        <f t="shared" si="60"/>
        <v>0</v>
      </c>
      <c r="AZ92" s="131">
        <f t="shared" si="60"/>
        <v>0.27047788031894748</v>
      </c>
      <c r="BA92" s="131">
        <f t="shared" si="60"/>
        <v>54.26493849333</v>
      </c>
      <c r="BB92" s="131">
        <f t="shared" si="60"/>
        <v>0</v>
      </c>
      <c r="BC92" s="131">
        <f t="shared" si="60"/>
        <v>0</v>
      </c>
      <c r="BE92" s="130">
        <v>3</v>
      </c>
      <c r="BF92" s="131">
        <f t="shared" si="63"/>
        <v>12.502176780969176</v>
      </c>
      <c r="BG92" s="131">
        <f t="shared" si="61"/>
        <v>6.7837095082086982</v>
      </c>
      <c r="BH92" s="131">
        <f t="shared" si="61"/>
        <v>5.5100812220158053</v>
      </c>
      <c r="BI92" s="131">
        <f t="shared" si="61"/>
        <v>0.36733874813438699</v>
      </c>
      <c r="BJ92" s="131">
        <f t="shared" si="61"/>
        <v>0</v>
      </c>
      <c r="BK92" s="131">
        <f t="shared" si="61"/>
        <v>5.1427424738814178</v>
      </c>
      <c r="BL92" s="131">
        <f t="shared" si="61"/>
        <v>0</v>
      </c>
      <c r="BM92" s="131">
        <f t="shared" si="61"/>
        <v>0</v>
      </c>
      <c r="BN92" s="131">
        <f t="shared" si="61"/>
        <v>0.2530645007462452</v>
      </c>
      <c r="BO92" s="131">
        <f t="shared" si="61"/>
        <v>52.445240327982624</v>
      </c>
      <c r="BP92" s="131">
        <f t="shared" si="61"/>
        <v>0</v>
      </c>
      <c r="BQ92" s="131">
        <f t="shared" si="61"/>
        <v>0</v>
      </c>
    </row>
    <row r="93" spans="1:82">
      <c r="A93" s="130">
        <v>4</v>
      </c>
      <c r="B93" s="131">
        <f>IF('Data 2'!B93&lt;0.1,0,'Data 2'!B93)</f>
        <v>6.8972903394000609</v>
      </c>
      <c r="C93" s="131">
        <f>IF('Data 2'!C93&lt;0.1,0,'Data 2'!C93)</f>
        <v>13.158209636159222</v>
      </c>
      <c r="D93" s="131">
        <f>IF('Data 2'!D93&lt;0.1,0,'Data 2'!D93)</f>
        <v>0</v>
      </c>
      <c r="E93" s="131">
        <f>IF('Data 2'!E93&lt;0.1,0,'Data 2'!E93)</f>
        <v>24.172258159125345</v>
      </c>
      <c r="F93" s="131">
        <f>IF('Data 2'!F93&lt;0.1,0,'Data 2'!F93)</f>
        <v>15.443387157218973</v>
      </c>
      <c r="G93" s="131">
        <f>IF('Data 2'!G93&lt;0.1,0,'Data 2'!G93)</f>
        <v>0</v>
      </c>
      <c r="H93" s="131">
        <f>IF('Data 2'!H93&lt;0.1,0,'Data 2'!H93)</f>
        <v>0</v>
      </c>
      <c r="I93" s="131">
        <f>IF('Data 2'!I93&lt;0.1,0,'Data 2'!I93)</f>
        <v>0</v>
      </c>
      <c r="J93" s="131">
        <f>IF('Data 2'!J93&lt;0.1,0,'Data 2'!J93)</f>
        <v>0</v>
      </c>
      <c r="K93" s="131">
        <f>IF('Data 2'!K93&lt;0.1,0,'Data 2'!K93)</f>
        <v>0</v>
      </c>
      <c r="L93" s="131">
        <f>IF('Data 2'!L93&lt;0.1,0,'Data 2'!L93)</f>
        <v>0.22998386912811819</v>
      </c>
      <c r="M93" s="131">
        <f>IF('Data 2'!M93&lt;0.1,0,'Data 2'!M93)</f>
        <v>34.580871067081617</v>
      </c>
      <c r="O93" s="130">
        <v>4</v>
      </c>
      <c r="P93" s="131">
        <f>'Stasiun Pontianak Kota'!Q143</f>
        <v>9</v>
      </c>
      <c r="Q93" s="131">
        <f>'Stasiun Pontianak Kota'!R143</f>
        <v>8</v>
      </c>
      <c r="R93" s="131">
        <f>'Stasiun Pontianak Kota'!S143</f>
        <v>0</v>
      </c>
      <c r="S93" s="131">
        <f>'Stasiun Pontianak Kota'!T143</f>
        <v>36</v>
      </c>
      <c r="T93" s="131">
        <f>'Stasiun Pontianak Kota'!U143</f>
        <v>23</v>
      </c>
      <c r="U93" s="131">
        <f>'Stasiun Pontianak Kota'!V143</f>
        <v>0</v>
      </c>
      <c r="V93" s="131">
        <f>'Stasiun Pontianak Kota'!W143</f>
        <v>0</v>
      </c>
      <c r="W93" s="131">
        <f>'Stasiun Pontianak Kota'!X143</f>
        <v>0</v>
      </c>
      <c r="X93" s="131">
        <f>'Stasiun Pontianak Kota'!Y143</f>
        <v>0</v>
      </c>
      <c r="Y93" s="131">
        <f>'Stasiun Pontianak Kota'!Z143</f>
        <v>0</v>
      </c>
      <c r="Z93" s="131">
        <f>'Stasiun Pontianak Kota'!AA143</f>
        <v>0</v>
      </c>
      <c r="AA93" s="131">
        <f>'Stasiun Pontianak Kota'!AB143</f>
        <v>47</v>
      </c>
      <c r="AC93" s="130">
        <v>4</v>
      </c>
      <c r="AD93" s="131">
        <f>'Sta. Meteorologi pnk'!B101</f>
        <v>2.6</v>
      </c>
      <c r="AE93" s="131">
        <f>'Sta. Meteorologi pnk'!C101</f>
        <v>23.7</v>
      </c>
      <c r="AF93" s="131">
        <f>'Sta. Meteorologi pnk'!D101</f>
        <v>0</v>
      </c>
      <c r="AG93" s="131">
        <f>'Sta. Meteorologi pnk'!E101</f>
        <v>0</v>
      </c>
      <c r="AH93" s="131">
        <f>'Sta. Meteorologi pnk'!F101</f>
        <v>0</v>
      </c>
      <c r="AI93" s="131">
        <f>'Sta. Meteorologi pnk'!G101</f>
        <v>0</v>
      </c>
      <c r="AJ93" s="131">
        <f>'Sta. Meteorologi pnk'!H101</f>
        <v>0</v>
      </c>
      <c r="AK93" s="131">
        <f>'Sta. Meteorologi pnk'!I101</f>
        <v>0</v>
      </c>
      <c r="AL93" s="131">
        <f>'Sta. Meteorologi pnk'!J101</f>
        <v>0</v>
      </c>
      <c r="AM93" s="131">
        <f>'Sta. Meteorologi pnk'!K101</f>
        <v>0</v>
      </c>
      <c r="AN93" s="131">
        <f>'Sta. Meteorologi pnk'!L101</f>
        <v>0.7</v>
      </c>
      <c r="AO93" s="131">
        <f>'Sta. Meteorologi pnk'!M101</f>
        <v>9.1999999999999993</v>
      </c>
      <c r="AQ93" s="130">
        <v>4</v>
      </c>
      <c r="AR93" s="131">
        <f t="shared" si="62"/>
        <v>4.6723539148968394</v>
      </c>
      <c r="AS93" s="131">
        <f t="shared" si="60"/>
        <v>18.616256802518688</v>
      </c>
      <c r="AT93" s="131">
        <f t="shared" si="60"/>
        <v>0</v>
      </c>
      <c r="AU93" s="131">
        <f t="shared" si="60"/>
        <v>11.656990771294723</v>
      </c>
      <c r="AV93" s="131">
        <f t="shared" si="60"/>
        <v>7.4475218816605171</v>
      </c>
      <c r="AW93" s="131">
        <f t="shared" si="60"/>
        <v>0</v>
      </c>
      <c r="AX93" s="131">
        <f t="shared" si="60"/>
        <v>0</v>
      </c>
      <c r="AY93" s="131">
        <f t="shared" si="60"/>
        <v>0</v>
      </c>
      <c r="AZ93" s="131">
        <f t="shared" si="60"/>
        <v>0</v>
      </c>
      <c r="BA93" s="131">
        <f t="shared" si="60"/>
        <v>0</v>
      </c>
      <c r="BB93" s="131">
        <f t="shared" si="60"/>
        <v>0.47333629055815807</v>
      </c>
      <c r="BC93" s="131">
        <f t="shared" si="60"/>
        <v>21.439840309859459</v>
      </c>
      <c r="BE93" s="130">
        <v>4</v>
      </c>
      <c r="BF93" s="131">
        <f t="shared" si="63"/>
        <v>4.9509679880600768</v>
      </c>
      <c r="BG93" s="131">
        <f t="shared" si="61"/>
        <v>17.932781654290125</v>
      </c>
      <c r="BH93" s="131">
        <f t="shared" si="61"/>
        <v>0</v>
      </c>
      <c r="BI93" s="131">
        <f t="shared" si="61"/>
        <v>13.22419493283793</v>
      </c>
      <c r="BJ93" s="131">
        <f t="shared" si="61"/>
        <v>8.4487912070909008</v>
      </c>
      <c r="BK93" s="131">
        <f t="shared" si="61"/>
        <v>0</v>
      </c>
      <c r="BL93" s="131">
        <f t="shared" si="61"/>
        <v>0</v>
      </c>
      <c r="BM93" s="131">
        <f t="shared" si="61"/>
        <v>0</v>
      </c>
      <c r="BN93" s="131">
        <f t="shared" si="61"/>
        <v>0</v>
      </c>
      <c r="BO93" s="131">
        <f t="shared" si="61"/>
        <v>0</v>
      </c>
      <c r="BP93" s="131">
        <f t="shared" si="61"/>
        <v>0.44286287630592908</v>
      </c>
      <c r="BQ93" s="131">
        <f t="shared" si="61"/>
        <v>23.085404679479829</v>
      </c>
    </row>
    <row r="94" spans="1:82">
      <c r="A94" s="130">
        <v>5</v>
      </c>
      <c r="B94" s="131">
        <f>IF('Data 2'!B94&lt;0.1,0,'Data 2'!B94)</f>
        <v>11.967145161553127</v>
      </c>
      <c r="C94" s="131">
        <f>IF('Data 2'!C94&lt;0.1,0,'Data 2'!C94)</f>
        <v>0</v>
      </c>
      <c r="D94" s="131">
        <f>IF('Data 2'!D94&lt;0.1,0,'Data 2'!D94)</f>
        <v>0</v>
      </c>
      <c r="E94" s="131">
        <f>IF('Data 2'!E94&lt;0.1,0,'Data 2'!E94)</f>
        <v>0</v>
      </c>
      <c r="F94" s="131">
        <f>IF('Data 2'!F94&lt;0.1,0,'Data 2'!F94)</f>
        <v>0</v>
      </c>
      <c r="G94" s="131">
        <f>IF('Data 2'!G94&lt;0.1,0,'Data 2'!G94)</f>
        <v>0.67145161553125965</v>
      </c>
      <c r="H94" s="131">
        <f>IF('Data 2'!H94&lt;0.1,0,'Data 2'!H94)</f>
        <v>0</v>
      </c>
      <c r="I94" s="131">
        <f>IF('Data 2'!I94&lt;0.1,0,'Data 2'!I94)</f>
        <v>0</v>
      </c>
      <c r="J94" s="131">
        <f>IF('Data 2'!J94&lt;0.1,0,'Data 2'!J94)</f>
        <v>0</v>
      </c>
      <c r="K94" s="131">
        <f>IF('Data 2'!K94&lt;0.1,0,'Data 2'!K94)</f>
        <v>6.1397096443061265</v>
      </c>
      <c r="L94" s="131">
        <f>IF('Data 2'!L94&lt;0.1,0,'Data 2'!L94)</f>
        <v>38.406387173512783</v>
      </c>
      <c r="M94" s="131">
        <f>IF('Data 2'!M94&lt;0.1,0,'Data 2'!M94)</f>
        <v>50.373838658693565</v>
      </c>
      <c r="O94" s="130">
        <v>5</v>
      </c>
      <c r="P94" s="131">
        <f>'Stasiun Pontianak Kota'!Q144</f>
        <v>12</v>
      </c>
      <c r="Q94" s="131">
        <f>'Stasiun Pontianak Kota'!R144</f>
        <v>0</v>
      </c>
      <c r="R94" s="131">
        <f>'Stasiun Pontianak Kota'!S144</f>
        <v>0</v>
      </c>
      <c r="S94" s="131">
        <f>'Stasiun Pontianak Kota'!T144</f>
        <v>0</v>
      </c>
      <c r="T94" s="131">
        <f>'Stasiun Pontianak Kota'!U144</f>
        <v>0</v>
      </c>
      <c r="U94" s="131">
        <f>'Stasiun Pontianak Kota'!V144</f>
        <v>1</v>
      </c>
      <c r="V94" s="131">
        <f>'Stasiun Pontianak Kota'!W144</f>
        <v>0</v>
      </c>
      <c r="W94" s="131">
        <f>'Stasiun Pontianak Kota'!X144</f>
        <v>0</v>
      </c>
      <c r="X94" s="131">
        <f>'Stasiun Pontianak Kota'!Y144</f>
        <v>0</v>
      </c>
      <c r="Y94" s="131">
        <f>'Stasiun Pontianak Kota'!Z144</f>
        <v>2</v>
      </c>
      <c r="Z94" s="131">
        <f>'Stasiun Pontianak Kota'!AA144</f>
        <v>48</v>
      </c>
      <c r="AA94" s="131">
        <f>'Stasiun Pontianak Kota'!AB144</f>
        <v>44</v>
      </c>
      <c r="AC94" s="130">
        <v>5</v>
      </c>
      <c r="AD94" s="131">
        <f>'Sta. Meteorologi pnk'!B102</f>
        <v>11.9</v>
      </c>
      <c r="AE94" s="131">
        <f>'Sta. Meteorologi pnk'!C102</f>
        <v>0</v>
      </c>
      <c r="AF94" s="131">
        <f>'Sta. Meteorologi pnk'!D102</f>
        <v>0</v>
      </c>
      <c r="AG94" s="131">
        <f>'Sta. Meteorologi pnk'!E102</f>
        <v>0</v>
      </c>
      <c r="AH94" s="131">
        <f>'Sta. Meteorologi pnk'!F102</f>
        <v>0</v>
      </c>
      <c r="AI94" s="131">
        <f>'Sta. Meteorologi pnk'!G102</f>
        <v>0</v>
      </c>
      <c r="AJ94" s="131">
        <f>'Sta. Meteorologi pnk'!H102</f>
        <v>0</v>
      </c>
      <c r="AK94" s="131">
        <f>'Sta. Meteorologi pnk'!I102</f>
        <v>0</v>
      </c>
      <c r="AL94" s="131">
        <f>'Sta. Meteorologi pnk'!J102</f>
        <v>0</v>
      </c>
      <c r="AM94" s="131">
        <f>'Sta. Meteorologi pnk'!K102</f>
        <v>14.6</v>
      </c>
      <c r="AN94" s="131">
        <f>'Sta. Meteorologi pnk'!L102</f>
        <v>18.8</v>
      </c>
      <c r="AO94" s="131">
        <f>'Sta. Meteorologi pnk'!M102</f>
        <v>63.4</v>
      </c>
      <c r="AQ94" s="130">
        <v>5</v>
      </c>
      <c r="AR94" s="131">
        <f t="shared" si="62"/>
        <v>11.932380529920263</v>
      </c>
      <c r="AS94" s="131">
        <f t="shared" si="60"/>
        <v>0</v>
      </c>
      <c r="AT94" s="131">
        <f t="shared" si="60"/>
        <v>0</v>
      </c>
      <c r="AU94" s="131">
        <f t="shared" si="60"/>
        <v>0</v>
      </c>
      <c r="AV94" s="131">
        <f t="shared" si="60"/>
        <v>0</v>
      </c>
      <c r="AW94" s="131">
        <f t="shared" si="60"/>
        <v>0.32380529920263124</v>
      </c>
      <c r="AX94" s="131">
        <f t="shared" si="60"/>
        <v>0</v>
      </c>
      <c r="AY94" s="131">
        <f t="shared" si="60"/>
        <v>0</v>
      </c>
      <c r="AZ94" s="131">
        <f t="shared" si="60"/>
        <v>0</v>
      </c>
      <c r="BA94" s="131">
        <f t="shared" si="60"/>
        <v>10.520053230046846</v>
      </c>
      <c r="BB94" s="131">
        <f t="shared" si="60"/>
        <v>28.255114736716827</v>
      </c>
      <c r="BC94" s="131">
        <f t="shared" si="60"/>
        <v>57.118177195468952</v>
      </c>
      <c r="BE94" s="130">
        <v>5</v>
      </c>
      <c r="BF94" s="131">
        <f t="shared" si="63"/>
        <v>11.936733874813438</v>
      </c>
      <c r="BG94" s="131">
        <f t="shared" si="61"/>
        <v>0</v>
      </c>
      <c r="BH94" s="131">
        <f t="shared" si="61"/>
        <v>0</v>
      </c>
      <c r="BI94" s="131">
        <f t="shared" si="61"/>
        <v>0</v>
      </c>
      <c r="BJ94" s="131">
        <f t="shared" si="61"/>
        <v>0</v>
      </c>
      <c r="BK94" s="131">
        <f t="shared" si="61"/>
        <v>0.36733874813438699</v>
      </c>
      <c r="BL94" s="131">
        <f t="shared" si="61"/>
        <v>0</v>
      </c>
      <c r="BM94" s="131">
        <f t="shared" si="61"/>
        <v>0</v>
      </c>
      <c r="BN94" s="131">
        <f t="shared" si="61"/>
        <v>0</v>
      </c>
      <c r="BO94" s="131">
        <f t="shared" si="61"/>
        <v>9.9715317735067242</v>
      </c>
      <c r="BP94" s="131">
        <f t="shared" si="61"/>
        <v>29.526291445524098</v>
      </c>
      <c r="BQ94" s="131">
        <f t="shared" si="61"/>
        <v>56.273628286192888</v>
      </c>
    </row>
    <row r="95" spans="1:82">
      <c r="A95" s="130">
        <v>6</v>
      </c>
      <c r="B95" s="131">
        <f>IF('Data 2'!B95&lt;0.1,0,'Data 2'!B95)</f>
        <v>1.8357258077656298</v>
      </c>
      <c r="C95" s="131">
        <f>IF('Data 2'!C95&lt;0.1,0,'Data 2'!C95)</f>
        <v>14.390419239730823</v>
      </c>
      <c r="D95" s="131">
        <f>IF('Data 2'!D95&lt;0.1,0,'Data 2'!D95)</f>
        <v>0</v>
      </c>
      <c r="E95" s="131">
        <f>IF('Data 2'!E95&lt;0.1,0,'Data 2'!E95)</f>
        <v>0</v>
      </c>
      <c r="F95" s="131">
        <f>IF('Data 2'!F95&lt;0.1,0,'Data 2'!F95)</f>
        <v>0</v>
      </c>
      <c r="G95" s="131">
        <f>IF('Data 2'!G95&lt;0.1,0,'Data 2'!G95)</f>
        <v>6.7145161553125963</v>
      </c>
      <c r="H95" s="131">
        <f>IF('Data 2'!H95&lt;0.1,0,'Data 2'!H95)</f>
        <v>0</v>
      </c>
      <c r="I95" s="131">
        <f>IF('Data 2'!I95&lt;0.1,0,'Data 2'!I95)</f>
        <v>0</v>
      </c>
      <c r="J95" s="131">
        <f>IF('Data 2'!J95&lt;0.1,0,'Data 2'!J95)</f>
        <v>16.786290388281493</v>
      </c>
      <c r="K95" s="131">
        <f>IF('Data 2'!K95&lt;0.1,0,'Data 2'!K95)</f>
        <v>7.5113225685562055</v>
      </c>
      <c r="L95" s="131">
        <f>IF('Data 2'!L95&lt;0.1,0,'Data 2'!L95)</f>
        <v>5.6385967770843859</v>
      </c>
      <c r="M95" s="131">
        <f>IF('Data 2'!M95&lt;0.1,0,'Data 2'!M95)</f>
        <v>0</v>
      </c>
      <c r="O95" s="130">
        <v>6</v>
      </c>
      <c r="P95" s="131">
        <f>'Stasiun Pontianak Kota'!Q145</f>
        <v>2</v>
      </c>
      <c r="Q95" s="131">
        <f>'Stasiun Pontianak Kota'!R145</f>
        <v>0</v>
      </c>
      <c r="R95" s="131">
        <f>'Stasiun Pontianak Kota'!S145</f>
        <v>0</v>
      </c>
      <c r="S95" s="131">
        <f>'Stasiun Pontianak Kota'!T145</f>
        <v>0</v>
      </c>
      <c r="T95" s="131">
        <f>'Stasiun Pontianak Kota'!U145</f>
        <v>0</v>
      </c>
      <c r="U95" s="131">
        <f>'Stasiun Pontianak Kota'!V145</f>
        <v>10</v>
      </c>
      <c r="V95" s="131">
        <f>'Stasiun Pontianak Kota'!W145</f>
        <v>0</v>
      </c>
      <c r="W95" s="131">
        <f>'Stasiun Pontianak Kota'!X145</f>
        <v>0</v>
      </c>
      <c r="X95" s="131">
        <f>'Stasiun Pontianak Kota'!Y145</f>
        <v>25</v>
      </c>
      <c r="Y95" s="131">
        <f>'Stasiun Pontianak Kota'!Z145</f>
        <v>6</v>
      </c>
      <c r="Z95" s="131">
        <f>'Stasiun Pontianak Kota'!AA145</f>
        <v>6</v>
      </c>
      <c r="AA95" s="131">
        <f>'Stasiun Pontianak Kota'!AB145</f>
        <v>0</v>
      </c>
      <c r="AC95" s="130">
        <v>6</v>
      </c>
      <c r="AD95" s="131">
        <f>'Sta. Meteorologi pnk'!B103</f>
        <v>1.5</v>
      </c>
      <c r="AE95" s="131">
        <f>'Sta. Meteorologi pnk'!C103</f>
        <v>43.8</v>
      </c>
      <c r="AF95" s="131">
        <f>'Sta. Meteorologi pnk'!D103</f>
        <v>0</v>
      </c>
      <c r="AG95" s="131">
        <f>'Sta. Meteorologi pnk'!E103</f>
        <v>0</v>
      </c>
      <c r="AH95" s="131">
        <f>'Sta. Meteorologi pnk'!F103</f>
        <v>0</v>
      </c>
      <c r="AI95" s="131">
        <f>'Sta. Meteorologi pnk'!G103</f>
        <v>0</v>
      </c>
      <c r="AJ95" s="131">
        <f>'Sta. Meteorologi pnk'!H103</f>
        <v>0</v>
      </c>
      <c r="AK95" s="131">
        <f>'Sta. Meteorologi pnk'!I103</f>
        <v>0</v>
      </c>
      <c r="AL95" s="131">
        <f>'Sta. Meteorologi pnk'!J103</f>
        <v>0</v>
      </c>
      <c r="AM95" s="131">
        <f>'Sta. Meteorologi pnk'!K103</f>
        <v>10.6</v>
      </c>
      <c r="AN95" s="131">
        <f>'Sta. Meteorologi pnk'!L103</f>
        <v>4.9000000000000004</v>
      </c>
      <c r="AO95" s="131">
        <f>'Sta. Meteorologi pnk'!M103</f>
        <v>0</v>
      </c>
      <c r="AQ95" s="130">
        <v>6</v>
      </c>
      <c r="AR95" s="131">
        <f t="shared" si="62"/>
        <v>1.6619026496013156</v>
      </c>
      <c r="AS95" s="131">
        <f t="shared" si="60"/>
        <v>29.617327894924749</v>
      </c>
      <c r="AT95" s="131">
        <f t="shared" si="60"/>
        <v>0</v>
      </c>
      <c r="AU95" s="131">
        <f t="shared" si="60"/>
        <v>0</v>
      </c>
      <c r="AV95" s="131">
        <f t="shared" si="60"/>
        <v>0</v>
      </c>
      <c r="AW95" s="131">
        <f t="shared" si="60"/>
        <v>3.2380529920263119</v>
      </c>
      <c r="AX95" s="131">
        <f t="shared" si="60"/>
        <v>0</v>
      </c>
      <c r="AY95" s="131">
        <f t="shared" si="60"/>
        <v>0</v>
      </c>
      <c r="AZ95" s="131">
        <f t="shared" si="60"/>
        <v>8.0951324800657805</v>
      </c>
      <c r="BA95" s="131">
        <f t="shared" si="60"/>
        <v>9.1104956236678962</v>
      </c>
      <c r="BB95" s="131">
        <f t="shared" si="60"/>
        <v>5.2561858291228942</v>
      </c>
      <c r="BC95" s="131">
        <f t="shared" si="60"/>
        <v>0</v>
      </c>
      <c r="BE95" s="130">
        <v>6</v>
      </c>
      <c r="BF95" s="131">
        <f t="shared" si="63"/>
        <v>1.6836693740671935</v>
      </c>
      <c r="BG95" s="131">
        <f t="shared" si="61"/>
        <v>27.710562831713847</v>
      </c>
      <c r="BH95" s="131">
        <f t="shared" si="61"/>
        <v>0</v>
      </c>
      <c r="BI95" s="131">
        <f t="shared" si="61"/>
        <v>0</v>
      </c>
      <c r="BJ95" s="131">
        <f t="shared" si="61"/>
        <v>0</v>
      </c>
      <c r="BK95" s="131">
        <f t="shared" si="61"/>
        <v>3.6733874813438696</v>
      </c>
      <c r="BL95" s="131">
        <f t="shared" si="61"/>
        <v>0</v>
      </c>
      <c r="BM95" s="131">
        <f t="shared" si="61"/>
        <v>0</v>
      </c>
      <c r="BN95" s="131">
        <f t="shared" si="61"/>
        <v>9.1834687033596758</v>
      </c>
      <c r="BO95" s="131">
        <f t="shared" si="61"/>
        <v>8.9102417585818205</v>
      </c>
      <c r="BP95" s="131">
        <f t="shared" si="61"/>
        <v>5.3040726229478263</v>
      </c>
      <c r="BQ95" s="131">
        <f t="shared" si="61"/>
        <v>0</v>
      </c>
    </row>
    <row r="96" spans="1:82">
      <c r="A96" s="130">
        <v>7</v>
      </c>
      <c r="B96" s="131">
        <f>IF('Data 2'!B96&lt;0.1,0,'Data 2'!B96)</f>
        <v>0</v>
      </c>
      <c r="C96" s="131">
        <f>IF('Data 2'!C96&lt;0.1,0,'Data 2'!C96)</f>
        <v>6.0430645397813363</v>
      </c>
      <c r="D96" s="131">
        <f>IF('Data 2'!D96&lt;0.1,0,'Data 2'!D96)</f>
        <v>0</v>
      </c>
      <c r="E96" s="131">
        <f>IF('Data 2'!E96&lt;0.1,0,'Data 2'!E96)</f>
        <v>0</v>
      </c>
      <c r="F96" s="131">
        <f>IF('Data 2'!F96&lt;0.1,0,'Data 2'!F96)</f>
        <v>0</v>
      </c>
      <c r="G96" s="131">
        <f>IF('Data 2'!G96&lt;0.1,0,'Data 2'!G96)</f>
        <v>25.515161390187867</v>
      </c>
      <c r="H96" s="131">
        <f>IF('Data 2'!H96&lt;0.1,0,'Data 2'!H96)</f>
        <v>0</v>
      </c>
      <c r="I96" s="131">
        <f>IF('Data 2'!I96&lt;0.1,0,'Data 2'!I96)</f>
        <v>0</v>
      </c>
      <c r="J96" s="131">
        <f>IF('Data 2'!J96&lt;0.1,0,'Data 2'!J96)</f>
        <v>0</v>
      </c>
      <c r="K96" s="131">
        <f>IF('Data 2'!K96&lt;0.1,0,'Data 2'!K96)</f>
        <v>66.184999918530949</v>
      </c>
      <c r="L96" s="131">
        <f>IF('Data 2'!L96&lt;0.1,0,'Data 2'!L96)</f>
        <v>19.503032278037573</v>
      </c>
      <c r="M96" s="131">
        <f>IF('Data 2'!M96&lt;0.1,0,'Data 2'!M96)</f>
        <v>4.2484838609812128</v>
      </c>
      <c r="O96" s="130">
        <v>7</v>
      </c>
      <c r="P96" s="131">
        <f>'Stasiun Pontianak Kota'!Q146</f>
        <v>0</v>
      </c>
      <c r="Q96" s="131">
        <f>'Stasiun Pontianak Kota'!R146</f>
        <v>9</v>
      </c>
      <c r="R96" s="131">
        <f>'Stasiun Pontianak Kota'!S146</f>
        <v>0</v>
      </c>
      <c r="S96" s="131">
        <f>'Stasiun Pontianak Kota'!T146</f>
        <v>0</v>
      </c>
      <c r="T96" s="131">
        <f>'Stasiun Pontianak Kota'!U146</f>
        <v>0</v>
      </c>
      <c r="U96" s="131">
        <f>'Stasiun Pontianak Kota'!V146</f>
        <v>38</v>
      </c>
      <c r="V96" s="131">
        <f>'Stasiun Pontianak Kota'!W146</f>
        <v>0</v>
      </c>
      <c r="W96" s="131">
        <f>'Stasiun Pontianak Kota'!X146</f>
        <v>0</v>
      </c>
      <c r="X96" s="131">
        <f>'Stasiun Pontianak Kota'!Y146</f>
        <v>0</v>
      </c>
      <c r="Y96" s="131">
        <f>'Stasiun Pontianak Kota'!Z146</f>
        <v>56</v>
      </c>
      <c r="Z96" s="131">
        <f>'Stasiun Pontianak Kota'!AA146</f>
        <v>22</v>
      </c>
      <c r="AA96" s="131">
        <f>'Stasiun Pontianak Kota'!AB146</f>
        <v>3</v>
      </c>
      <c r="AC96" s="130">
        <v>7</v>
      </c>
      <c r="AD96" s="131">
        <f>'Sta. Meteorologi pnk'!B104</f>
        <v>0</v>
      </c>
      <c r="AE96" s="131">
        <f>'Sta. Meteorologi pnk'!C104</f>
        <v>0</v>
      </c>
      <c r="AF96" s="131">
        <f>'Sta. Meteorologi pnk'!D104</f>
        <v>0</v>
      </c>
      <c r="AG96" s="131">
        <f>'Sta. Meteorologi pnk'!E104</f>
        <v>0</v>
      </c>
      <c r="AH96" s="131">
        <f>'Sta. Meteorologi pnk'!F104</f>
        <v>0</v>
      </c>
      <c r="AI96" s="131">
        <f>'Sta. Meteorologi pnk'!G104</f>
        <v>0</v>
      </c>
      <c r="AJ96" s="131">
        <f>'Sta. Meteorologi pnk'!H104</f>
        <v>0</v>
      </c>
      <c r="AK96" s="131">
        <f>'Sta. Meteorologi pnk'!I104</f>
        <v>0</v>
      </c>
      <c r="AL96" s="131">
        <f>'Sta. Meteorologi pnk'!J104</f>
        <v>0</v>
      </c>
      <c r="AM96" s="131">
        <f>'Sta. Meteorologi pnk'!K104</f>
        <v>87</v>
      </c>
      <c r="AN96" s="131">
        <f>'Sta. Meteorologi pnk'!L104</f>
        <v>14.4</v>
      </c>
      <c r="AO96" s="131">
        <f>'Sta. Meteorologi pnk'!M104</f>
        <v>6.8</v>
      </c>
      <c r="AQ96" s="130">
        <v>7</v>
      </c>
      <c r="AR96" s="131">
        <f t="shared" si="62"/>
        <v>0</v>
      </c>
      <c r="AS96" s="131">
        <f t="shared" si="60"/>
        <v>2.9142476928236807</v>
      </c>
      <c r="AT96" s="131">
        <f t="shared" si="60"/>
        <v>0</v>
      </c>
      <c r="AU96" s="131">
        <f t="shared" si="60"/>
        <v>0</v>
      </c>
      <c r="AV96" s="131">
        <f t="shared" si="60"/>
        <v>0</v>
      </c>
      <c r="AW96" s="131">
        <f t="shared" si="60"/>
        <v>12.304601369699986</v>
      </c>
      <c r="AX96" s="131">
        <f t="shared" si="60"/>
        <v>0</v>
      </c>
      <c r="AY96" s="131">
        <f t="shared" si="60"/>
        <v>0</v>
      </c>
      <c r="AZ96" s="131">
        <f t="shared" si="60"/>
        <v>0</v>
      </c>
      <c r="BA96" s="131">
        <f t="shared" si="60"/>
        <v>76.962035724718433</v>
      </c>
      <c r="BB96" s="131">
        <f t="shared" si="60"/>
        <v>16.86092027394</v>
      </c>
      <c r="BC96" s="131">
        <f t="shared" si="60"/>
        <v>5.5695398630300001</v>
      </c>
      <c r="BE96" s="130">
        <v>7</v>
      </c>
      <c r="BF96" s="131">
        <f t="shared" si="63"/>
        <v>0</v>
      </c>
      <c r="BG96" s="131">
        <f t="shared" si="61"/>
        <v>3.3060487332094826</v>
      </c>
      <c r="BH96" s="131">
        <f t="shared" si="61"/>
        <v>0</v>
      </c>
      <c r="BI96" s="131">
        <f t="shared" si="61"/>
        <v>0</v>
      </c>
      <c r="BJ96" s="131">
        <f t="shared" si="61"/>
        <v>0</v>
      </c>
      <c r="BK96" s="131">
        <f t="shared" si="61"/>
        <v>13.958872429106705</v>
      </c>
      <c r="BL96" s="131">
        <f t="shared" si="61"/>
        <v>0</v>
      </c>
      <c r="BM96" s="131">
        <f t="shared" si="61"/>
        <v>0</v>
      </c>
      <c r="BN96" s="131">
        <f t="shared" si="61"/>
        <v>0</v>
      </c>
      <c r="BO96" s="131">
        <f t="shared" si="61"/>
        <v>75.612498807834015</v>
      </c>
      <c r="BP96" s="131">
        <f t="shared" si="61"/>
        <v>17.191774485821341</v>
      </c>
      <c r="BQ96" s="131">
        <f t="shared" si="61"/>
        <v>5.4041127570893286</v>
      </c>
    </row>
    <row r="97" spans="1:69">
      <c r="A97" s="130">
        <v>8</v>
      </c>
      <c r="B97" s="131">
        <f>IF('Data 2'!B97&lt;0.1,0,'Data 2'!B97)</f>
        <v>16.948645169700026</v>
      </c>
      <c r="C97" s="131">
        <f>IF('Data 2'!C97&lt;0.1,0,'Data 2'!C97)</f>
        <v>25.515161390187867</v>
      </c>
      <c r="D97" s="131">
        <f>IF('Data 2'!D97&lt;0.1,0,'Data 2'!D97)</f>
        <v>0</v>
      </c>
      <c r="E97" s="131">
        <f>IF('Data 2'!E97&lt;0.1,0,'Data 2'!E97)</f>
        <v>10.743225848500154</v>
      </c>
      <c r="F97" s="131">
        <f>IF('Data 2'!F97&lt;0.1,0,'Data 2'!F97)</f>
        <v>0</v>
      </c>
      <c r="G97" s="131">
        <f>IF('Data 2'!G97&lt;0.1,0,'Data 2'!G97)</f>
        <v>23.500806543594088</v>
      </c>
      <c r="H97" s="131">
        <f>IF('Data 2'!H97&lt;0.1,0,'Data 2'!H97)</f>
        <v>0</v>
      </c>
      <c r="I97" s="131">
        <f>IF('Data 2'!I97&lt;0.1,0,'Data 2'!I97)</f>
        <v>0</v>
      </c>
      <c r="J97" s="131">
        <f>IF('Data 2'!J97&lt;0.1,0,'Data 2'!J97)</f>
        <v>3.4826128753686469</v>
      </c>
      <c r="K97" s="131">
        <f>IF('Data 2'!K97&lt;0.1,0,'Data 2'!K97)</f>
        <v>3.0883548140061587</v>
      </c>
      <c r="L97" s="131">
        <f>IF('Data 2'!L97&lt;0.1,0,'Data 2'!L97)</f>
        <v>8.8172258159125345</v>
      </c>
      <c r="M97" s="131">
        <f>IF('Data 2'!M97&lt;0.1,0,'Data 2'!M97)</f>
        <v>30.379596891141059</v>
      </c>
      <c r="O97" s="130">
        <v>8</v>
      </c>
      <c r="P97" s="131">
        <f>'Stasiun Pontianak Kota'!Q147</f>
        <v>18</v>
      </c>
      <c r="Q97" s="131">
        <f>'Stasiun Pontianak Kota'!R147</f>
        <v>38</v>
      </c>
      <c r="R97" s="131">
        <f>'Stasiun Pontianak Kota'!S147</f>
        <v>0</v>
      </c>
      <c r="S97" s="131">
        <f>'Stasiun Pontianak Kota'!T147</f>
        <v>16</v>
      </c>
      <c r="T97" s="131">
        <f>'Stasiun Pontianak Kota'!U147</f>
        <v>0</v>
      </c>
      <c r="U97" s="131">
        <f>'Stasiun Pontianak Kota'!V147</f>
        <v>35</v>
      </c>
      <c r="V97" s="131">
        <f>'Stasiun Pontianak Kota'!W147</f>
        <v>0</v>
      </c>
      <c r="W97" s="131">
        <f>'Stasiun Pontianak Kota'!X147</f>
        <v>0</v>
      </c>
      <c r="X97" s="131">
        <f>'Stasiun Pontianak Kota'!Y147</f>
        <v>0</v>
      </c>
      <c r="Y97" s="131">
        <f>'Stasiun Pontianak Kota'!Z147</f>
        <v>0</v>
      </c>
      <c r="Z97" s="131">
        <f>'Stasiun Pontianak Kota'!AA147</f>
        <v>10</v>
      </c>
      <c r="AA97" s="131">
        <f>'Stasiun Pontianak Kota'!AB147</f>
        <v>45</v>
      </c>
      <c r="AC97" s="130">
        <v>8</v>
      </c>
      <c r="AD97" s="131">
        <f>'Sta. Meteorologi pnk'!B105</f>
        <v>14.8</v>
      </c>
      <c r="AE97" s="131">
        <f>'Sta. Meteorologi pnk'!C105</f>
        <v>0</v>
      </c>
      <c r="AF97" s="131">
        <f>'Sta. Meteorologi pnk'!D105</f>
        <v>0</v>
      </c>
      <c r="AG97" s="131">
        <f>'Sta. Meteorologi pnk'!E105</f>
        <v>0</v>
      </c>
      <c r="AH97" s="131">
        <f>'Sta. Meteorologi pnk'!F105</f>
        <v>0</v>
      </c>
      <c r="AI97" s="131">
        <f>'Sta. Meteorologi pnk'!G105</f>
        <v>0</v>
      </c>
      <c r="AJ97" s="131">
        <f>'Sta. Meteorologi pnk'!H105</f>
        <v>0</v>
      </c>
      <c r="AK97" s="131">
        <f>'Sta. Meteorologi pnk'!I105</f>
        <v>0</v>
      </c>
      <c r="AL97" s="131">
        <f>'Sta. Meteorologi pnk'!J105</f>
        <v>10.6</v>
      </c>
      <c r="AM97" s="131">
        <f>'Sta. Meteorologi pnk'!K105</f>
        <v>9.4</v>
      </c>
      <c r="AN97" s="131">
        <f>'Sta. Meteorologi pnk'!L105</f>
        <v>6.4</v>
      </c>
      <c r="AO97" s="131">
        <f>'Sta. Meteorologi pnk'!M105</f>
        <v>0.5</v>
      </c>
      <c r="AQ97" s="130">
        <v>8</v>
      </c>
      <c r="AR97" s="131">
        <f t="shared" si="62"/>
        <v>15.836176957448419</v>
      </c>
      <c r="AS97" s="131">
        <f t="shared" si="60"/>
        <v>12.304601369699986</v>
      </c>
      <c r="AT97" s="131">
        <f t="shared" si="60"/>
        <v>0</v>
      </c>
      <c r="AU97" s="131">
        <f t="shared" si="60"/>
        <v>5.1808847872420998</v>
      </c>
      <c r="AV97" s="131">
        <f t="shared" si="60"/>
        <v>0</v>
      </c>
      <c r="AW97" s="131">
        <f t="shared" si="60"/>
        <v>11.333185472092092</v>
      </c>
      <c r="AX97" s="131">
        <f t="shared" si="60"/>
        <v>0</v>
      </c>
      <c r="AY97" s="131">
        <f t="shared" si="60"/>
        <v>0</v>
      </c>
      <c r="AZ97" s="131">
        <f t="shared" si="60"/>
        <v>7.1676638284521088</v>
      </c>
      <c r="BA97" s="131">
        <f t="shared" si="60"/>
        <v>6.3562301874952656</v>
      </c>
      <c r="BB97" s="131">
        <f t="shared" si="60"/>
        <v>7.565699077129473</v>
      </c>
      <c r="BC97" s="131">
        <f t="shared" si="60"/>
        <v>14.909335814517087</v>
      </c>
      <c r="BE97" s="130">
        <v>8</v>
      </c>
      <c r="BF97" s="131">
        <f t="shared" si="63"/>
        <v>15.975483994030039</v>
      </c>
      <c r="BG97" s="131">
        <f t="shared" si="61"/>
        <v>13.958872429106705</v>
      </c>
      <c r="BH97" s="131">
        <f t="shared" si="61"/>
        <v>0</v>
      </c>
      <c r="BI97" s="131">
        <f t="shared" si="61"/>
        <v>5.8774199701501919</v>
      </c>
      <c r="BJ97" s="131">
        <f t="shared" si="61"/>
        <v>0</v>
      </c>
      <c r="BK97" s="131">
        <f t="shared" si="61"/>
        <v>12.856856184703545</v>
      </c>
      <c r="BL97" s="131">
        <f t="shared" si="61"/>
        <v>0</v>
      </c>
      <c r="BM97" s="131">
        <f t="shared" si="61"/>
        <v>0</v>
      </c>
      <c r="BN97" s="131">
        <f t="shared" si="61"/>
        <v>6.7062092697754982</v>
      </c>
      <c r="BO97" s="131">
        <f t="shared" si="61"/>
        <v>5.9470157675367616</v>
      </c>
      <c r="BP97" s="131">
        <f t="shared" si="61"/>
        <v>7.7224194932837928</v>
      </c>
      <c r="BQ97" s="131">
        <f t="shared" si="61"/>
        <v>16.846574291980218</v>
      </c>
    </row>
    <row r="98" spans="1:69">
      <c r="A98" s="130">
        <v>9</v>
      </c>
      <c r="B98" s="131">
        <f>IF('Data 2'!B98&lt;0.1,0,'Data 2'!B98)</f>
        <v>3.182774184087465</v>
      </c>
      <c r="C98" s="131">
        <f>IF('Data 2'!C98&lt;0.1,0,'Data 2'!C98)</f>
        <v>11.414677464031413</v>
      </c>
      <c r="D98" s="131">
        <f>IF('Data 2'!D98&lt;0.1,0,'Data 2'!D98)</f>
        <v>0</v>
      </c>
      <c r="E98" s="131">
        <f>IF('Data 2'!E98&lt;0.1,0,'Data 2'!E98)</f>
        <v>1.3429032310625193</v>
      </c>
      <c r="F98" s="131">
        <f>IF('Data 2'!F98&lt;0.1,0,'Data 2'!F98)</f>
        <v>20.143548465937791</v>
      </c>
      <c r="G98" s="131">
        <f>IF('Data 2'!G98&lt;0.1,0,'Data 2'!G98)</f>
        <v>0</v>
      </c>
      <c r="H98" s="131">
        <f>IF('Data 2'!H98&lt;0.1,0,'Data 2'!H98)</f>
        <v>0</v>
      </c>
      <c r="I98" s="131">
        <f>IF('Data 2'!I98&lt;0.1,0,'Data 2'!I98)</f>
        <v>0</v>
      </c>
      <c r="J98" s="131">
        <f>IF('Data 2'!J98&lt;0.1,0,'Data 2'!J98)</f>
        <v>0</v>
      </c>
      <c r="K98" s="131">
        <f>IF('Data 2'!K98&lt;0.1,0,'Data 2'!K98)</f>
        <v>0</v>
      </c>
      <c r="L98" s="131">
        <f>IF('Data 2'!L98&lt;0.1,0,'Data 2'!L98)</f>
        <v>0</v>
      </c>
      <c r="M98" s="131">
        <f>IF('Data 2'!M98&lt;0.1,0,'Data 2'!M98)</f>
        <v>35.525677415149985</v>
      </c>
      <c r="O98" s="130">
        <v>9</v>
      </c>
      <c r="P98" s="131">
        <f>'Stasiun Pontianak Kota'!Q148</f>
        <v>2</v>
      </c>
      <c r="Q98" s="131">
        <f>'Stasiun Pontianak Kota'!R148</f>
        <v>17</v>
      </c>
      <c r="R98" s="131">
        <f>'Stasiun Pontianak Kota'!S148</f>
        <v>0</v>
      </c>
      <c r="S98" s="131">
        <f>'Stasiun Pontianak Kota'!T148</f>
        <v>2</v>
      </c>
      <c r="T98" s="131">
        <f>'Stasiun Pontianak Kota'!U148</f>
        <v>30</v>
      </c>
      <c r="U98" s="131">
        <f>'Stasiun Pontianak Kota'!V148</f>
        <v>0</v>
      </c>
      <c r="V98" s="131">
        <f>'Stasiun Pontianak Kota'!W148</f>
        <v>0</v>
      </c>
      <c r="W98" s="131">
        <f>'Stasiun Pontianak Kota'!X148</f>
        <v>0</v>
      </c>
      <c r="X98" s="131">
        <f>'Stasiun Pontianak Kota'!Y148</f>
        <v>0</v>
      </c>
      <c r="Y98" s="131">
        <f>'Stasiun Pontianak Kota'!Z148</f>
        <v>0</v>
      </c>
      <c r="Z98" s="131">
        <f>'Stasiun Pontianak Kota'!AA148</f>
        <v>0</v>
      </c>
      <c r="AA98" s="131">
        <f>'Stasiun Pontianak Kota'!AB148</f>
        <v>35</v>
      </c>
      <c r="AC98" s="130">
        <v>9</v>
      </c>
      <c r="AD98" s="131">
        <f>'Sta. Meteorologi pnk'!B106</f>
        <v>5.6</v>
      </c>
      <c r="AE98" s="131">
        <f>'Sta. Meteorologi pnk'!C106</f>
        <v>0</v>
      </c>
      <c r="AF98" s="131">
        <f>'Sta. Meteorologi pnk'!D106</f>
        <v>0</v>
      </c>
      <c r="AG98" s="131">
        <f>'Sta. Meteorologi pnk'!E106</f>
        <v>0</v>
      </c>
      <c r="AH98" s="131">
        <f>'Sta. Meteorologi pnk'!F106</f>
        <v>0</v>
      </c>
      <c r="AI98" s="131">
        <f>'Sta. Meteorologi pnk'!G106</f>
        <v>0</v>
      </c>
      <c r="AJ98" s="131">
        <f>'Sta. Meteorologi pnk'!H106</f>
        <v>0</v>
      </c>
      <c r="AK98" s="131">
        <f>'Sta. Meteorologi pnk'!I106</f>
        <v>0</v>
      </c>
      <c r="AL98" s="131">
        <f>'Sta. Meteorologi pnk'!J106</f>
        <v>0</v>
      </c>
      <c r="AM98" s="131">
        <f>'Sta. Meteorologi pnk'!K106</f>
        <v>0</v>
      </c>
      <c r="AN98" s="131">
        <f>'Sta. Meteorologi pnk'!L106</f>
        <v>0</v>
      </c>
      <c r="AO98" s="131">
        <f>'Sta. Meteorologi pnk'!M106</f>
        <v>36.6</v>
      </c>
      <c r="AQ98" s="130">
        <v>9</v>
      </c>
      <c r="AR98" s="131">
        <f t="shared" si="62"/>
        <v>4.434300922870527</v>
      </c>
      <c r="AS98" s="131">
        <f t="shared" si="60"/>
        <v>5.5046900864447297</v>
      </c>
      <c r="AT98" s="131">
        <f t="shared" si="60"/>
        <v>0</v>
      </c>
      <c r="AU98" s="131">
        <f t="shared" si="60"/>
        <v>0.64761059840526247</v>
      </c>
      <c r="AV98" s="131">
        <f t="shared" si="60"/>
        <v>9.7141589760789362</v>
      </c>
      <c r="AW98" s="131">
        <f t="shared" si="60"/>
        <v>0</v>
      </c>
      <c r="AX98" s="131">
        <f t="shared" si="60"/>
        <v>0</v>
      </c>
      <c r="AY98" s="131">
        <f t="shared" si="60"/>
        <v>0</v>
      </c>
      <c r="AZ98" s="131">
        <f t="shared" si="60"/>
        <v>0</v>
      </c>
      <c r="BA98" s="131">
        <f t="shared" si="60"/>
        <v>0</v>
      </c>
      <c r="BB98" s="131">
        <f t="shared" si="60"/>
        <v>0</v>
      </c>
      <c r="BC98" s="131">
        <f t="shared" si="60"/>
        <v>36.081911521275785</v>
      </c>
      <c r="BE98" s="130">
        <v>9</v>
      </c>
      <c r="BF98" s="131">
        <f t="shared" si="63"/>
        <v>4.2775805067162063</v>
      </c>
      <c r="BG98" s="131">
        <f t="shared" si="61"/>
        <v>6.2447587182845785</v>
      </c>
      <c r="BH98" s="131">
        <f t="shared" si="61"/>
        <v>0</v>
      </c>
      <c r="BI98" s="131">
        <f t="shared" si="61"/>
        <v>0.73467749626877399</v>
      </c>
      <c r="BJ98" s="131">
        <f t="shared" si="61"/>
        <v>11.020162444031611</v>
      </c>
      <c r="BK98" s="131">
        <f t="shared" si="61"/>
        <v>0</v>
      </c>
      <c r="BL98" s="131">
        <f t="shared" si="61"/>
        <v>0</v>
      </c>
      <c r="BM98" s="131">
        <f t="shared" si="61"/>
        <v>0</v>
      </c>
      <c r="BN98" s="131">
        <f t="shared" si="61"/>
        <v>0</v>
      </c>
      <c r="BO98" s="131">
        <f t="shared" si="61"/>
        <v>0</v>
      </c>
      <c r="BP98" s="131">
        <f t="shared" si="61"/>
        <v>0</v>
      </c>
      <c r="BQ98" s="131">
        <f t="shared" si="61"/>
        <v>36.012258002984979</v>
      </c>
    </row>
    <row r="99" spans="1:69">
      <c r="A99" s="130">
        <v>10</v>
      </c>
      <c r="B99" s="131">
        <f>IF('Data 2'!B99&lt;0.1,0,'Data 2'!B99)</f>
        <v>0.22998386912811819</v>
      </c>
      <c r="C99" s="131">
        <f>IF('Data 2'!C99&lt;0.1,0,'Data 2'!C99)</f>
        <v>6.7145161553125963</v>
      </c>
      <c r="D99" s="131">
        <f>IF('Data 2'!D99&lt;0.1,0,'Data 2'!D99)</f>
        <v>0</v>
      </c>
      <c r="E99" s="131">
        <f>IF('Data 2'!E99&lt;0.1,0,'Data 2'!E99)</f>
        <v>4.7001613087188172</v>
      </c>
      <c r="F99" s="131">
        <f>IF('Data 2'!F99&lt;0.1,0,'Data 2'!F99)</f>
        <v>0</v>
      </c>
      <c r="G99" s="131">
        <f>IF('Data 2'!G99&lt;0.1,0,'Data 2'!G99)</f>
        <v>19.47209685040653</v>
      </c>
      <c r="H99" s="131">
        <f>IF('Data 2'!H99&lt;0.1,0,'Data 2'!H99)</f>
        <v>0</v>
      </c>
      <c r="I99" s="131">
        <f>IF('Data 2'!I99&lt;0.1,0,'Data 2'!I99)</f>
        <v>0</v>
      </c>
      <c r="J99" s="131">
        <f>IF('Data 2'!J99&lt;0.1,0,'Data 2'!J99)</f>
        <v>0</v>
      </c>
      <c r="K99" s="131">
        <f>IF('Data 2'!K99&lt;0.1,0,'Data 2'!K99)</f>
        <v>0</v>
      </c>
      <c r="L99" s="131">
        <f>IF('Data 2'!L99&lt;0.1,0,'Data 2'!L99)</f>
        <v>1.3429032310625193</v>
      </c>
      <c r="M99" s="131">
        <f>IF('Data 2'!M99&lt;0.1,0,'Data 2'!M99)</f>
        <v>0.75566128427810253</v>
      </c>
      <c r="O99" s="130">
        <v>10</v>
      </c>
      <c r="P99" s="131">
        <f>'Stasiun Pontianak Kota'!Q149</f>
        <v>0</v>
      </c>
      <c r="Q99" s="131">
        <f>'Stasiun Pontianak Kota'!R149</f>
        <v>10</v>
      </c>
      <c r="R99" s="131">
        <f>'Stasiun Pontianak Kota'!S149</f>
        <v>0</v>
      </c>
      <c r="S99" s="131">
        <f>'Stasiun Pontianak Kota'!T149</f>
        <v>7</v>
      </c>
      <c r="T99" s="131">
        <f>'Stasiun Pontianak Kota'!U149</f>
        <v>0</v>
      </c>
      <c r="U99" s="131">
        <f>'Stasiun Pontianak Kota'!V149</f>
        <v>29</v>
      </c>
      <c r="V99" s="131">
        <f>'Stasiun Pontianak Kota'!W149</f>
        <v>0</v>
      </c>
      <c r="W99" s="131">
        <f>'Stasiun Pontianak Kota'!X149</f>
        <v>0</v>
      </c>
      <c r="X99" s="131">
        <f>'Stasiun Pontianak Kota'!Y149</f>
        <v>0</v>
      </c>
      <c r="Y99" s="131">
        <f>'Stasiun Pontianak Kota'!Z149</f>
        <v>0</v>
      </c>
      <c r="Z99" s="131">
        <f>'Stasiun Pontianak Kota'!AA149</f>
        <v>2</v>
      </c>
      <c r="AA99" s="131">
        <f>'Stasiun Pontianak Kota'!AB149</f>
        <v>0</v>
      </c>
      <c r="AC99" s="130">
        <v>10</v>
      </c>
      <c r="AD99" s="131">
        <f>'Sta. Meteorologi pnk'!B107</f>
        <v>0.7</v>
      </c>
      <c r="AE99" s="131">
        <f>'Sta. Meteorologi pnk'!C107</f>
        <v>0</v>
      </c>
      <c r="AF99" s="131">
        <f>'Sta. Meteorologi pnk'!D107</f>
        <v>0</v>
      </c>
      <c r="AG99" s="131">
        <f>'Sta. Meteorologi pnk'!E107</f>
        <v>0</v>
      </c>
      <c r="AH99" s="131">
        <f>'Sta. Meteorologi pnk'!F107</f>
        <v>0</v>
      </c>
      <c r="AI99" s="131">
        <f>'Sta. Meteorologi pnk'!G107</f>
        <v>0</v>
      </c>
      <c r="AJ99" s="131">
        <f>'Sta. Meteorologi pnk'!H107</f>
        <v>0</v>
      </c>
      <c r="AK99" s="131">
        <f>'Sta. Meteorologi pnk'!I107</f>
        <v>0</v>
      </c>
      <c r="AL99" s="131">
        <f>'Sta. Meteorologi pnk'!J107</f>
        <v>0</v>
      </c>
      <c r="AM99" s="131">
        <f>'Sta. Meteorologi pnk'!K107</f>
        <v>0</v>
      </c>
      <c r="AN99" s="131">
        <f>'Sta. Meteorologi pnk'!L107</f>
        <v>0</v>
      </c>
      <c r="AO99" s="131">
        <f>'Sta. Meteorologi pnk'!M107</f>
        <v>2.2999999999999998</v>
      </c>
      <c r="AQ99" s="130">
        <v>10</v>
      </c>
      <c r="AR99" s="131">
        <f t="shared" si="62"/>
        <v>0.47333629055815807</v>
      </c>
      <c r="AS99" s="131">
        <f t="shared" si="60"/>
        <v>3.2380529920263119</v>
      </c>
      <c r="AT99" s="131">
        <f t="shared" si="60"/>
        <v>0</v>
      </c>
      <c r="AU99" s="131">
        <f t="shared" si="60"/>
        <v>2.2666370944184182</v>
      </c>
      <c r="AV99" s="131">
        <f t="shared" si="60"/>
        <v>0</v>
      </c>
      <c r="AW99" s="131">
        <f t="shared" si="60"/>
        <v>9.3903536768763036</v>
      </c>
      <c r="AX99" s="131">
        <f t="shared" si="60"/>
        <v>0</v>
      </c>
      <c r="AY99" s="131">
        <f t="shared" si="60"/>
        <v>0</v>
      </c>
      <c r="AZ99" s="131">
        <f t="shared" si="60"/>
        <v>0</v>
      </c>
      <c r="BA99" s="131">
        <f t="shared" si="60"/>
        <v>0</v>
      </c>
      <c r="BB99" s="131">
        <f t="shared" si="60"/>
        <v>0.64761059840526247</v>
      </c>
      <c r="BC99" s="131">
        <f t="shared" si="60"/>
        <v>1.5552478118339481</v>
      </c>
      <c r="BE99" s="130">
        <v>10</v>
      </c>
      <c r="BF99" s="131">
        <f t="shared" si="63"/>
        <v>0.44286287630592908</v>
      </c>
      <c r="BG99" s="131">
        <f t="shared" si="61"/>
        <v>3.6733874813438696</v>
      </c>
      <c r="BH99" s="131">
        <f t="shared" si="61"/>
        <v>0</v>
      </c>
      <c r="BI99" s="131">
        <f t="shared" si="61"/>
        <v>2.5713712369407089</v>
      </c>
      <c r="BJ99" s="131">
        <f t="shared" si="61"/>
        <v>0</v>
      </c>
      <c r="BK99" s="131">
        <f t="shared" si="61"/>
        <v>10.652823695897222</v>
      </c>
      <c r="BL99" s="131">
        <f t="shared" si="61"/>
        <v>0</v>
      </c>
      <c r="BM99" s="131">
        <f t="shared" si="61"/>
        <v>0</v>
      </c>
      <c r="BN99" s="131">
        <f t="shared" si="61"/>
        <v>0</v>
      </c>
      <c r="BO99" s="131">
        <f t="shared" si="61"/>
        <v>0</v>
      </c>
      <c r="BP99" s="131">
        <f t="shared" si="61"/>
        <v>0.73467749626877399</v>
      </c>
      <c r="BQ99" s="131">
        <f t="shared" si="61"/>
        <v>1.4551208792909101</v>
      </c>
    </row>
    <row r="100" spans="1:69">
      <c r="A100" s="130">
        <v>11</v>
      </c>
      <c r="B100" s="131">
        <f>IF('Data 2'!B100&lt;0.1,0,'Data 2'!B100)</f>
        <v>0</v>
      </c>
      <c r="C100" s="131">
        <f>IF('Data 2'!C100&lt;0.1,0,'Data 2'!C100)</f>
        <v>1.3429032310625193</v>
      </c>
      <c r="D100" s="131">
        <f>IF('Data 2'!D100&lt;0.1,0,'Data 2'!D100)</f>
        <v>13.429032310625193</v>
      </c>
      <c r="E100" s="131">
        <f>IF('Data 2'!E100&lt;0.1,0,'Data 2'!E100)</f>
        <v>0</v>
      </c>
      <c r="F100" s="131">
        <f>IF('Data 2'!F100&lt;0.1,0,'Data 2'!F100)</f>
        <v>0</v>
      </c>
      <c r="G100" s="131">
        <f>IF('Data 2'!G100&lt;0.1,0,'Data 2'!G100)</f>
        <v>0</v>
      </c>
      <c r="H100" s="131">
        <f>IF('Data 2'!H100&lt;0.1,0,'Data 2'!H100)</f>
        <v>0</v>
      </c>
      <c r="I100" s="131">
        <f>IF('Data 2'!I100&lt;0.1,0,'Data 2'!I100)</f>
        <v>0</v>
      </c>
      <c r="J100" s="131">
        <f>IF('Data 2'!J100&lt;0.1,0,'Data 2'!J100)</f>
        <v>0</v>
      </c>
      <c r="K100" s="131">
        <f>IF('Data 2'!K100&lt;0.1,0,'Data 2'!K100)</f>
        <v>0</v>
      </c>
      <c r="L100" s="131">
        <f>IF('Data 2'!L100&lt;0.1,0,'Data 2'!L100)</f>
        <v>14.219774167793656</v>
      </c>
      <c r="M100" s="131">
        <f>IF('Data 2'!M100&lt;0.1,0,'Data 2'!M100)</f>
        <v>12.681967640493376</v>
      </c>
      <c r="O100" s="130">
        <v>11</v>
      </c>
      <c r="P100" s="131">
        <f>'Stasiun Pontianak Kota'!Q150</f>
        <v>0</v>
      </c>
      <c r="Q100" s="131">
        <f>'Stasiun Pontianak Kota'!R150</f>
        <v>2</v>
      </c>
      <c r="R100" s="131">
        <f>'Stasiun Pontianak Kota'!S150</f>
        <v>20</v>
      </c>
      <c r="S100" s="131">
        <f>'Stasiun Pontianak Kota'!T150</f>
        <v>0</v>
      </c>
      <c r="T100" s="131">
        <f>'Stasiun Pontianak Kota'!U150</f>
        <v>0</v>
      </c>
      <c r="U100" s="131">
        <f>'Stasiun Pontianak Kota'!V150</f>
        <v>0</v>
      </c>
      <c r="V100" s="131">
        <f>'Stasiun Pontianak Kota'!W150</f>
        <v>0</v>
      </c>
      <c r="W100" s="131">
        <f>'Stasiun Pontianak Kota'!X150</f>
        <v>0</v>
      </c>
      <c r="X100" s="131">
        <f>'Stasiun Pontianak Kota'!Y150</f>
        <v>0</v>
      </c>
      <c r="Y100" s="131">
        <f>'Stasiun Pontianak Kota'!Z150</f>
        <v>0</v>
      </c>
      <c r="Z100" s="131">
        <f>'Stasiun Pontianak Kota'!AA150</f>
        <v>11</v>
      </c>
      <c r="AA100" s="131">
        <f>'Stasiun Pontianak Kota'!AB150</f>
        <v>0</v>
      </c>
      <c r="AC100" s="130">
        <v>11</v>
      </c>
      <c r="AD100" s="131">
        <f>'Sta. Meteorologi pnk'!B108</f>
        <v>0</v>
      </c>
      <c r="AE100" s="131">
        <f>'Sta. Meteorologi pnk'!C108</f>
        <v>0</v>
      </c>
      <c r="AF100" s="131">
        <f>'Sta. Meteorologi pnk'!D108</f>
        <v>0</v>
      </c>
      <c r="AG100" s="131">
        <f>'Sta. Meteorologi pnk'!E108</f>
        <v>0</v>
      </c>
      <c r="AH100" s="131">
        <f>'Sta. Meteorologi pnk'!F108</f>
        <v>0</v>
      </c>
      <c r="AI100" s="131">
        <f>'Sta. Meteorologi pnk'!G108</f>
        <v>0</v>
      </c>
      <c r="AJ100" s="131">
        <f>'Sta. Meteorologi pnk'!H108</f>
        <v>0</v>
      </c>
      <c r="AK100" s="131">
        <f>'Sta. Meteorologi pnk'!I108</f>
        <v>0</v>
      </c>
      <c r="AL100" s="131">
        <f>'Sta. Meteorologi pnk'!J108</f>
        <v>0</v>
      </c>
      <c r="AM100" s="131">
        <f>'Sta. Meteorologi pnk'!K108</f>
        <v>0</v>
      </c>
      <c r="AN100" s="131">
        <f>'Sta. Meteorologi pnk'!L108</f>
        <v>20.8</v>
      </c>
      <c r="AO100" s="131">
        <f>'Sta. Meteorologi pnk'!M108</f>
        <v>38.6</v>
      </c>
      <c r="AQ100" s="130">
        <v>11</v>
      </c>
      <c r="AR100" s="131">
        <f t="shared" si="62"/>
        <v>0</v>
      </c>
      <c r="AS100" s="131">
        <f t="shared" si="60"/>
        <v>0.64761059840526247</v>
      </c>
      <c r="AT100" s="131">
        <f t="shared" si="60"/>
        <v>6.4761059840526238</v>
      </c>
      <c r="AU100" s="131">
        <f t="shared" si="60"/>
        <v>0</v>
      </c>
      <c r="AV100" s="131">
        <f t="shared" si="60"/>
        <v>0</v>
      </c>
      <c r="AW100" s="131">
        <f t="shared" si="60"/>
        <v>0</v>
      </c>
      <c r="AX100" s="131">
        <f t="shared" si="60"/>
        <v>0</v>
      </c>
      <c r="AY100" s="131">
        <f t="shared" si="60"/>
        <v>0</v>
      </c>
      <c r="AZ100" s="131">
        <f t="shared" si="60"/>
        <v>0</v>
      </c>
      <c r="BA100" s="131">
        <f t="shared" si="60"/>
        <v>0</v>
      </c>
      <c r="BB100" s="131">
        <f t="shared" si="60"/>
        <v>17.626708067814214</v>
      </c>
      <c r="BC100" s="131">
        <f t="shared" si="60"/>
        <v>26.101115450778437</v>
      </c>
      <c r="BE100" s="130">
        <v>11</v>
      </c>
      <c r="BF100" s="131">
        <f t="shared" si="63"/>
        <v>0</v>
      </c>
      <c r="BG100" s="131">
        <f t="shared" si="61"/>
        <v>0.73467749626877399</v>
      </c>
      <c r="BH100" s="131">
        <f t="shared" si="61"/>
        <v>7.3467749626877392</v>
      </c>
      <c r="BI100" s="131">
        <f t="shared" si="61"/>
        <v>0</v>
      </c>
      <c r="BJ100" s="131">
        <f t="shared" si="61"/>
        <v>0</v>
      </c>
      <c r="BK100" s="131">
        <f t="shared" si="61"/>
        <v>0</v>
      </c>
      <c r="BL100" s="131">
        <f t="shared" si="61"/>
        <v>0</v>
      </c>
      <c r="BM100" s="131">
        <f t="shared" si="61"/>
        <v>0</v>
      </c>
      <c r="BN100" s="131">
        <f t="shared" si="61"/>
        <v>0</v>
      </c>
      <c r="BO100" s="131">
        <f t="shared" si="61"/>
        <v>0</v>
      </c>
      <c r="BP100" s="131">
        <f t="shared" si="61"/>
        <v>17.200080268283006</v>
      </c>
      <c r="BQ100" s="131">
        <f t="shared" si="61"/>
        <v>24.420724322012664</v>
      </c>
    </row>
    <row r="101" spans="1:69">
      <c r="A101" s="130">
        <v>12</v>
      </c>
      <c r="B101" s="131">
        <f>IF('Data 2'!B101&lt;0.1,0,'Data 2'!B101)</f>
        <v>0</v>
      </c>
      <c r="C101" s="131">
        <f>IF('Data 2'!C101&lt;0.1,0,'Data 2'!C101)</f>
        <v>0.67145161553125965</v>
      </c>
      <c r="D101" s="131">
        <f>IF('Data 2'!D101&lt;0.1,0,'Data 2'!D101)</f>
        <v>0</v>
      </c>
      <c r="E101" s="131">
        <f>IF('Data 2'!E101&lt;0.1,0,'Data 2'!E101)</f>
        <v>7.3859677708438571</v>
      </c>
      <c r="F101" s="131">
        <f>IF('Data 2'!F101&lt;0.1,0,'Data 2'!F101)</f>
        <v>33.572580776562987</v>
      </c>
      <c r="G101" s="131">
        <f>IF('Data 2'!G101&lt;0.1,0,'Data 2'!G101)</f>
        <v>0</v>
      </c>
      <c r="H101" s="131">
        <f>IF('Data 2'!H101&lt;0.1,0,'Data 2'!H101)</f>
        <v>0</v>
      </c>
      <c r="I101" s="131">
        <f>IF('Data 2'!I101&lt;0.1,0,'Data 2'!I101)</f>
        <v>0</v>
      </c>
      <c r="J101" s="131">
        <f>IF('Data 2'!J101&lt;0.1,0,'Data 2'!J101)</f>
        <v>0</v>
      </c>
      <c r="K101" s="131">
        <f>IF('Data 2'!K101&lt;0.1,0,'Data 2'!K101)</f>
        <v>6.2401935704625808</v>
      </c>
      <c r="L101" s="131">
        <f>IF('Data 2'!L101&lt;0.1,0,'Data 2'!L101)</f>
        <v>14.348967787137665</v>
      </c>
      <c r="M101" s="131">
        <f>IF('Data 2'!M101&lt;0.1,0,'Data 2'!M101)</f>
        <v>19.603516204194023</v>
      </c>
      <c r="O101" s="130">
        <v>12</v>
      </c>
      <c r="P101" s="131">
        <f>'Stasiun Pontianak Kota'!Q151</f>
        <v>0</v>
      </c>
      <c r="Q101" s="131">
        <f>'Stasiun Pontianak Kota'!R151</f>
        <v>1</v>
      </c>
      <c r="R101" s="131">
        <f>'Stasiun Pontianak Kota'!S151</f>
        <v>0</v>
      </c>
      <c r="S101" s="131">
        <f>'Stasiun Pontianak Kota'!T151</f>
        <v>11</v>
      </c>
      <c r="T101" s="131">
        <f>'Stasiun Pontianak Kota'!U151</f>
        <v>50</v>
      </c>
      <c r="U101" s="131">
        <f>'Stasiun Pontianak Kota'!V151</f>
        <v>0</v>
      </c>
      <c r="V101" s="131">
        <f>'Stasiun Pontianak Kota'!W151</f>
        <v>0</v>
      </c>
      <c r="W101" s="131">
        <f>'Stasiun Pontianak Kota'!X151</f>
        <v>0</v>
      </c>
      <c r="X101" s="131">
        <f>'Stasiun Pontianak Kota'!Y151</f>
        <v>0</v>
      </c>
      <c r="Y101" s="131">
        <f>'Stasiun Pontianak Kota'!Z151</f>
        <v>9</v>
      </c>
      <c r="Z101" s="131">
        <f>'Stasiun Pontianak Kota'!AA151</f>
        <v>20</v>
      </c>
      <c r="AA101" s="131">
        <f>'Stasiun Pontianak Kota'!AB151</f>
        <v>29</v>
      </c>
      <c r="AC101" s="130">
        <v>12</v>
      </c>
      <c r="AD101" s="131">
        <f>'Sta. Meteorologi pnk'!B109</f>
        <v>0</v>
      </c>
      <c r="AE101" s="131">
        <f>'Sta. Meteorologi pnk'!C109</f>
        <v>0</v>
      </c>
      <c r="AF101" s="131">
        <f>'Sta. Meteorologi pnk'!D109</f>
        <v>0</v>
      </c>
      <c r="AG101" s="131">
        <f>'Sta. Meteorologi pnk'!E109</f>
        <v>0</v>
      </c>
      <c r="AH101" s="131">
        <f>'Sta. Meteorologi pnk'!F109</f>
        <v>0</v>
      </c>
      <c r="AI101" s="131">
        <f>'Sta. Meteorologi pnk'!G109</f>
        <v>0</v>
      </c>
      <c r="AJ101" s="131">
        <f>'Sta. Meteorologi pnk'!H109</f>
        <v>0</v>
      </c>
      <c r="AK101" s="131">
        <f>'Sta. Meteorologi pnk'!I109</f>
        <v>0</v>
      </c>
      <c r="AL101" s="131">
        <f>'Sta. Meteorologi pnk'!J109</f>
        <v>0</v>
      </c>
      <c r="AM101" s="131">
        <f>'Sta. Meteorologi pnk'!K109</f>
        <v>0.6</v>
      </c>
      <c r="AN101" s="131">
        <f>'Sta. Meteorologi pnk'!L109</f>
        <v>2.8</v>
      </c>
      <c r="AO101" s="131">
        <f>'Sta. Meteorologi pnk'!M109</f>
        <v>0.4</v>
      </c>
      <c r="AQ101" s="130">
        <v>12</v>
      </c>
      <c r="AR101" s="131">
        <f t="shared" si="62"/>
        <v>0</v>
      </c>
      <c r="AS101" s="131">
        <f t="shared" si="60"/>
        <v>0.32380529920263124</v>
      </c>
      <c r="AT101" s="131">
        <f t="shared" si="60"/>
        <v>0</v>
      </c>
      <c r="AU101" s="131">
        <f t="shared" si="60"/>
        <v>3.5618582912289436</v>
      </c>
      <c r="AV101" s="131">
        <f t="shared" si="60"/>
        <v>16.190264960131561</v>
      </c>
      <c r="AW101" s="131">
        <f t="shared" si="60"/>
        <v>0</v>
      </c>
      <c r="AX101" s="131">
        <f t="shared" si="60"/>
        <v>0</v>
      </c>
      <c r="AY101" s="131">
        <f t="shared" si="60"/>
        <v>0</v>
      </c>
      <c r="AZ101" s="131">
        <f t="shared" si="60"/>
        <v>0</v>
      </c>
      <c r="BA101" s="131">
        <f t="shared" si="60"/>
        <v>3.3199645133021023</v>
      </c>
      <c r="BB101" s="131">
        <f t="shared" si="60"/>
        <v>8.3694511462852574</v>
      </c>
      <c r="BC101" s="131">
        <f t="shared" si="60"/>
        <v>9.6608315571952517</v>
      </c>
      <c r="BE101" s="130">
        <v>12</v>
      </c>
      <c r="BF101" s="131">
        <f t="shared" si="63"/>
        <v>0</v>
      </c>
      <c r="BG101" s="131">
        <f t="shared" si="61"/>
        <v>0.36733874813438699</v>
      </c>
      <c r="BH101" s="131">
        <f t="shared" si="61"/>
        <v>0</v>
      </c>
      <c r="BI101" s="131">
        <f t="shared" si="61"/>
        <v>4.0407262294782571</v>
      </c>
      <c r="BJ101" s="131">
        <f t="shared" si="61"/>
        <v>18.366937406719352</v>
      </c>
      <c r="BK101" s="131">
        <f t="shared" si="61"/>
        <v>0</v>
      </c>
      <c r="BL101" s="131">
        <f t="shared" si="61"/>
        <v>0</v>
      </c>
      <c r="BM101" s="131">
        <f t="shared" si="61"/>
        <v>0</v>
      </c>
      <c r="BN101" s="131">
        <f t="shared" si="61"/>
        <v>0</v>
      </c>
      <c r="BO101" s="131">
        <f t="shared" si="61"/>
        <v>3.6856454843288509</v>
      </c>
      <c r="BP101" s="131">
        <f t="shared" si="61"/>
        <v>9.1182264679114553</v>
      </c>
      <c r="BQ101" s="131">
        <f t="shared" si="61"/>
        <v>10.905888196643467</v>
      </c>
    </row>
    <row r="102" spans="1:69">
      <c r="A102" s="130">
        <v>13</v>
      </c>
      <c r="B102" s="131">
        <f>IF('Data 2'!B102&lt;0.1,0,'Data 2'!B102)</f>
        <v>0</v>
      </c>
      <c r="C102" s="131">
        <f>IF('Data 2'!C102&lt;0.1,0,'Data 2'!C102)</f>
        <v>0</v>
      </c>
      <c r="D102" s="131">
        <f>IF('Data 2'!D102&lt;0.1,0,'Data 2'!D102)</f>
        <v>44.9872582405944</v>
      </c>
      <c r="E102" s="131">
        <f>IF('Data 2'!E102&lt;0.1,0,'Data 2'!E102)</f>
        <v>0</v>
      </c>
      <c r="F102" s="131">
        <f>IF('Data 2'!F102&lt;0.1,0,'Data 2'!F102)</f>
        <v>21.486451697000309</v>
      </c>
      <c r="G102" s="131">
        <f>IF('Data 2'!G102&lt;0.1,0,'Data 2'!G102)</f>
        <v>4.7001613087188172</v>
      </c>
      <c r="H102" s="131">
        <f>IF('Data 2'!H102&lt;0.1,0,'Data 2'!H102)</f>
        <v>0</v>
      </c>
      <c r="I102" s="131">
        <f>IF('Data 2'!I102&lt;0.1,0,'Data 2'!I102)</f>
        <v>12.086129079562673</v>
      </c>
      <c r="J102" s="131">
        <f>IF('Data 2'!J102&lt;0.1,0,'Data 2'!J102)</f>
        <v>0</v>
      </c>
      <c r="K102" s="131">
        <f>IF('Data 2'!K102&lt;0.1,0,'Data 2'!K102)</f>
        <v>0.32854838446874024</v>
      </c>
      <c r="L102" s="131">
        <f>IF('Data 2'!L102&lt;0.1,0,'Data 2'!L102)</f>
        <v>5.5853225359685847</v>
      </c>
      <c r="M102" s="131">
        <f>IF('Data 2'!M102&lt;0.1,0,'Data 2'!M102)</f>
        <v>0</v>
      </c>
      <c r="O102" s="130">
        <v>13</v>
      </c>
      <c r="P102" s="131">
        <f>'Stasiun Pontianak Kota'!Q152</f>
        <v>0</v>
      </c>
      <c r="Q102" s="131">
        <f>'Stasiun Pontianak Kota'!R152</f>
        <v>0</v>
      </c>
      <c r="R102" s="131">
        <f>'Stasiun Pontianak Kota'!S152</f>
        <v>67</v>
      </c>
      <c r="S102" s="131">
        <f>'Stasiun Pontianak Kota'!T152</f>
        <v>0</v>
      </c>
      <c r="T102" s="131">
        <f>'Stasiun Pontianak Kota'!U152</f>
        <v>32</v>
      </c>
      <c r="U102" s="131">
        <f>'Stasiun Pontianak Kota'!V152</f>
        <v>7</v>
      </c>
      <c r="V102" s="131">
        <f>'Stasiun Pontianak Kota'!W152</f>
        <v>0</v>
      </c>
      <c r="W102" s="131">
        <f>'Stasiun Pontianak Kota'!X152</f>
        <v>18</v>
      </c>
      <c r="X102" s="131">
        <f>'Stasiun Pontianak Kota'!Y152</f>
        <v>0</v>
      </c>
      <c r="Y102" s="131">
        <f>'Stasiun Pontianak Kota'!Z152</f>
        <v>0</v>
      </c>
      <c r="Z102" s="131">
        <f>'Stasiun Pontianak Kota'!AA152</f>
        <v>0</v>
      </c>
      <c r="AA102" s="131">
        <f>'Stasiun Pontianak Kota'!AB152</f>
        <v>0</v>
      </c>
      <c r="AC102" s="130">
        <v>13</v>
      </c>
      <c r="AD102" s="131">
        <f>'Sta. Meteorologi pnk'!B110</f>
        <v>0</v>
      </c>
      <c r="AE102" s="131">
        <f>'Sta. Meteorologi pnk'!C110</f>
        <v>0</v>
      </c>
      <c r="AF102" s="131">
        <f>'Sta. Meteorologi pnk'!D110</f>
        <v>0</v>
      </c>
      <c r="AG102" s="131">
        <f>'Sta. Meteorologi pnk'!E110</f>
        <v>0</v>
      </c>
      <c r="AH102" s="131">
        <f>'Sta. Meteorologi pnk'!F110</f>
        <v>0</v>
      </c>
      <c r="AI102" s="131">
        <f>'Sta. Meteorologi pnk'!G110</f>
        <v>0</v>
      </c>
      <c r="AJ102" s="131">
        <f>'Sta. Meteorologi pnk'!H110</f>
        <v>0</v>
      </c>
      <c r="AK102" s="131">
        <f>'Sta. Meteorologi pnk'!I110</f>
        <v>0</v>
      </c>
      <c r="AL102" s="131">
        <f>'Sta. Meteorologi pnk'!J110</f>
        <v>0</v>
      </c>
      <c r="AM102" s="131">
        <f>'Sta. Meteorologi pnk'!K110</f>
        <v>1</v>
      </c>
      <c r="AN102" s="131">
        <f>'Sta. Meteorologi pnk'!L110</f>
        <v>17</v>
      </c>
      <c r="AO102" s="131">
        <f>'Sta. Meteorologi pnk'!M110</f>
        <v>0</v>
      </c>
      <c r="AQ102" s="130">
        <v>13</v>
      </c>
      <c r="AR102" s="131">
        <f t="shared" si="62"/>
        <v>0</v>
      </c>
      <c r="AS102" s="131">
        <f t="shared" si="60"/>
        <v>0</v>
      </c>
      <c r="AT102" s="131">
        <f t="shared" si="60"/>
        <v>21.69495504657629</v>
      </c>
      <c r="AU102" s="131">
        <f t="shared" si="60"/>
        <v>0</v>
      </c>
      <c r="AV102" s="131">
        <f t="shared" si="60"/>
        <v>10.3617695744842</v>
      </c>
      <c r="AW102" s="131">
        <f t="shared" si="60"/>
        <v>2.2666370944184182</v>
      </c>
      <c r="AX102" s="131">
        <f t="shared" si="60"/>
        <v>0</v>
      </c>
      <c r="AY102" s="131">
        <f t="shared" si="60"/>
        <v>5.8284953856473614</v>
      </c>
      <c r="AZ102" s="131">
        <f t="shared" si="60"/>
        <v>0</v>
      </c>
      <c r="BA102" s="131">
        <f t="shared" si="60"/>
        <v>0.67619470079736876</v>
      </c>
      <c r="BB102" s="131">
        <f t="shared" si="60"/>
        <v>11.495309913555268</v>
      </c>
      <c r="BC102" s="131">
        <f t="shared" si="60"/>
        <v>0</v>
      </c>
      <c r="BE102" s="130">
        <v>13</v>
      </c>
      <c r="BF102" s="131">
        <f t="shared" si="63"/>
        <v>0</v>
      </c>
      <c r="BG102" s="131">
        <f t="shared" si="61"/>
        <v>0</v>
      </c>
      <c r="BH102" s="131">
        <f t="shared" si="61"/>
        <v>24.611696125003931</v>
      </c>
      <c r="BI102" s="131">
        <f t="shared" si="61"/>
        <v>0</v>
      </c>
      <c r="BJ102" s="131">
        <f t="shared" si="61"/>
        <v>11.754839940300384</v>
      </c>
      <c r="BK102" s="131">
        <f t="shared" si="61"/>
        <v>2.5713712369407089</v>
      </c>
      <c r="BL102" s="131">
        <f t="shared" si="61"/>
        <v>0</v>
      </c>
      <c r="BM102" s="131">
        <f t="shared" si="61"/>
        <v>6.6120974664189651</v>
      </c>
      <c r="BN102" s="131">
        <f t="shared" si="61"/>
        <v>0</v>
      </c>
      <c r="BO102" s="131">
        <f t="shared" si="61"/>
        <v>0.63266125186561295</v>
      </c>
      <c r="BP102" s="131">
        <f t="shared" si="61"/>
        <v>10.755241281715421</v>
      </c>
      <c r="BQ102" s="131">
        <f t="shared" si="61"/>
        <v>0</v>
      </c>
    </row>
    <row r="103" spans="1:69">
      <c r="A103" s="130">
        <v>14</v>
      </c>
      <c r="B103" s="131">
        <f>IF('Data 2'!B103&lt;0.1,0,'Data 2'!B103)</f>
        <v>0</v>
      </c>
      <c r="C103" s="131">
        <f>IF('Data 2'!C103&lt;0.1,0,'Data 2'!C103)</f>
        <v>0</v>
      </c>
      <c r="D103" s="131">
        <f>IF('Data 2'!D103&lt;0.1,0,'Data 2'!D103)</f>
        <v>0</v>
      </c>
      <c r="E103" s="131">
        <f>IF('Data 2'!E103&lt;0.1,0,'Data 2'!E103)</f>
        <v>0</v>
      </c>
      <c r="F103" s="131">
        <f>IF('Data 2'!F103&lt;0.1,0,'Data 2'!F103)</f>
        <v>10.071774232968895</v>
      </c>
      <c r="G103" s="131">
        <f>IF('Data 2'!G103&lt;0.1,0,'Data 2'!G103)</f>
        <v>0</v>
      </c>
      <c r="H103" s="131">
        <f>IF('Data 2'!H103&lt;0.1,0,'Data 2'!H103)</f>
        <v>0</v>
      </c>
      <c r="I103" s="131">
        <f>IF('Data 2'!I103&lt;0.1,0,'Data 2'!I103)</f>
        <v>0</v>
      </c>
      <c r="J103" s="131">
        <f>IF('Data 2'!J103&lt;0.1,0,'Data 2'!J103)</f>
        <v>0.98564515340622083</v>
      </c>
      <c r="K103" s="131">
        <f>IF('Data 2'!K103&lt;0.1,0,'Data 2'!K103)</f>
        <v>0</v>
      </c>
      <c r="L103" s="131">
        <f>IF('Data 2'!L103&lt;0.1,0,'Data 2'!L103)</f>
        <v>10.203193586756392</v>
      </c>
      <c r="M103" s="131">
        <f>IF('Data 2'!M103&lt;0.1,0,'Data 2'!M103)</f>
        <v>3.6570967689374805</v>
      </c>
      <c r="O103" s="130">
        <v>14</v>
      </c>
      <c r="P103" s="131">
        <f>'Stasiun Pontianak Kota'!Q153</f>
        <v>0</v>
      </c>
      <c r="Q103" s="131">
        <f>'Stasiun Pontianak Kota'!R153</f>
        <v>0</v>
      </c>
      <c r="R103" s="131">
        <f>'Stasiun Pontianak Kota'!S153</f>
        <v>0</v>
      </c>
      <c r="S103" s="131">
        <f>'Stasiun Pontianak Kota'!T153</f>
        <v>0</v>
      </c>
      <c r="T103" s="131">
        <f>'Stasiun Pontianak Kota'!U153</f>
        <v>15</v>
      </c>
      <c r="U103" s="131">
        <f>'Stasiun Pontianak Kota'!V153</f>
        <v>0</v>
      </c>
      <c r="V103" s="131">
        <f>'Stasiun Pontianak Kota'!W153</f>
        <v>0</v>
      </c>
      <c r="W103" s="131">
        <f>'Stasiun Pontianak Kota'!X153</f>
        <v>0</v>
      </c>
      <c r="X103" s="131">
        <f>'Stasiun Pontianak Kota'!Y153</f>
        <v>0</v>
      </c>
      <c r="Y103" s="131">
        <f>'Stasiun Pontianak Kota'!Z153</f>
        <v>0</v>
      </c>
      <c r="Z103" s="131">
        <f>'Stasiun Pontianak Kota'!AA153</f>
        <v>15</v>
      </c>
      <c r="AA103" s="131">
        <f>'Stasiun Pontianak Kota'!AB153</f>
        <v>3</v>
      </c>
      <c r="AC103" s="130">
        <v>14</v>
      </c>
      <c r="AD103" s="131">
        <f>'Sta. Meteorologi pnk'!B111</f>
        <v>0</v>
      </c>
      <c r="AE103" s="131">
        <f>'Sta. Meteorologi pnk'!C111</f>
        <v>0</v>
      </c>
      <c r="AF103" s="131">
        <f>'Sta. Meteorologi pnk'!D111</f>
        <v>0</v>
      </c>
      <c r="AG103" s="131">
        <f>'Sta. Meteorologi pnk'!E111</f>
        <v>0</v>
      </c>
      <c r="AH103" s="131">
        <f>'Sta. Meteorologi pnk'!F111</f>
        <v>0</v>
      </c>
      <c r="AI103" s="131">
        <f>'Sta. Meteorologi pnk'!G111</f>
        <v>0</v>
      </c>
      <c r="AJ103" s="131">
        <f>'Sta. Meteorologi pnk'!H111</f>
        <v>0</v>
      </c>
      <c r="AK103" s="131">
        <f>'Sta. Meteorologi pnk'!I111</f>
        <v>0</v>
      </c>
      <c r="AL103" s="131">
        <f>'Sta. Meteorologi pnk'!J111</f>
        <v>3</v>
      </c>
      <c r="AM103" s="131">
        <f>'Sta. Meteorologi pnk'!K111</f>
        <v>0</v>
      </c>
      <c r="AN103" s="131">
        <f>'Sta. Meteorologi pnk'!L111</f>
        <v>0.4</v>
      </c>
      <c r="AO103" s="131">
        <f>'Sta. Meteorologi pnk'!M111</f>
        <v>5</v>
      </c>
      <c r="AQ103" s="130">
        <v>14</v>
      </c>
      <c r="AR103" s="131">
        <f t="shared" si="62"/>
        <v>0</v>
      </c>
      <c r="AS103" s="131">
        <f t="shared" si="60"/>
        <v>0</v>
      </c>
      <c r="AT103" s="131">
        <f t="shared" si="60"/>
        <v>0</v>
      </c>
      <c r="AU103" s="131">
        <f t="shared" si="60"/>
        <v>0</v>
      </c>
      <c r="AV103" s="131">
        <f t="shared" si="60"/>
        <v>4.8570794880394681</v>
      </c>
      <c r="AW103" s="131">
        <f t="shared" si="60"/>
        <v>0</v>
      </c>
      <c r="AX103" s="131">
        <f t="shared" si="60"/>
        <v>0</v>
      </c>
      <c r="AY103" s="131">
        <f t="shared" si="60"/>
        <v>0</v>
      </c>
      <c r="AZ103" s="131">
        <f t="shared" si="60"/>
        <v>2.0285841023921063</v>
      </c>
      <c r="BA103" s="131">
        <f t="shared" si="60"/>
        <v>0</v>
      </c>
      <c r="BB103" s="131">
        <f t="shared" si="60"/>
        <v>5.1275573683584152</v>
      </c>
      <c r="BC103" s="131">
        <f t="shared" si="60"/>
        <v>4.3523894015947375</v>
      </c>
      <c r="BE103" s="130">
        <v>14</v>
      </c>
      <c r="BF103" s="131">
        <f t="shared" si="63"/>
        <v>0</v>
      </c>
      <c r="BG103" s="131">
        <f t="shared" si="61"/>
        <v>0</v>
      </c>
      <c r="BH103" s="131">
        <f t="shared" si="61"/>
        <v>0</v>
      </c>
      <c r="BI103" s="131">
        <f t="shared" si="61"/>
        <v>0</v>
      </c>
      <c r="BJ103" s="131">
        <f t="shared" si="61"/>
        <v>5.5100812220158053</v>
      </c>
      <c r="BK103" s="131">
        <f t="shared" si="61"/>
        <v>0</v>
      </c>
      <c r="BL103" s="131">
        <f t="shared" si="61"/>
        <v>0</v>
      </c>
      <c r="BM103" s="131">
        <f t="shared" si="61"/>
        <v>0</v>
      </c>
      <c r="BN103" s="131">
        <f t="shared" si="61"/>
        <v>1.8979837555968391</v>
      </c>
      <c r="BO103" s="131">
        <f t="shared" si="61"/>
        <v>0</v>
      </c>
      <c r="BP103" s="131">
        <f t="shared" si="61"/>
        <v>5.7631457227620508</v>
      </c>
      <c r="BQ103" s="131">
        <f t="shared" si="61"/>
        <v>4.2653225037312259</v>
      </c>
    </row>
    <row r="104" spans="1:69">
      <c r="A104" s="130">
        <v>15</v>
      </c>
      <c r="B104" s="131">
        <f>IF('Data 2'!B104&lt;0.1,0,'Data 2'!B104)</f>
        <v>2.4312580450686778</v>
      </c>
      <c r="C104" s="131">
        <f>IF('Data 2'!C104&lt;0.1,0,'Data 2'!C104)</f>
        <v>0</v>
      </c>
      <c r="D104" s="131">
        <f>IF('Data 2'!D104&lt;0.1,0,'Data 2'!D104)</f>
        <v>1.3429032310625193</v>
      </c>
      <c r="E104" s="131">
        <f>IF('Data 2'!E104&lt;0.1,0,'Data 2'!E104)</f>
        <v>0</v>
      </c>
      <c r="F104" s="131">
        <f>IF('Data 2'!F104&lt;0.1,0,'Data 2'!F104)</f>
        <v>11.414677464031413</v>
      </c>
      <c r="G104" s="131">
        <f>IF('Data 2'!G104&lt;0.1,0,'Data 2'!G104)</f>
        <v>53.044677626969509</v>
      </c>
      <c r="H104" s="131">
        <f>IF('Data 2'!H104&lt;0.1,0,'Data 2'!H104)</f>
        <v>0</v>
      </c>
      <c r="I104" s="131">
        <f>IF('Data 2'!I104&lt;0.1,0,'Data 2'!I104)</f>
        <v>0</v>
      </c>
      <c r="J104" s="131">
        <f>IF('Data 2'!J104&lt;0.1,0,'Data 2'!J104)</f>
        <v>0</v>
      </c>
      <c r="K104" s="131">
        <f>IF('Data 2'!K104&lt;0.1,0,'Data 2'!K104)</f>
        <v>29.669225881087772</v>
      </c>
      <c r="L104" s="131">
        <f>IF('Data 2'!L104&lt;0.1,0,'Data 2'!L104)</f>
        <v>0.65709676893748048</v>
      </c>
      <c r="M104" s="131">
        <f>IF('Data 2'!M104&lt;0.1,0,'Data 2'!M104)</f>
        <v>3.32854838446874</v>
      </c>
      <c r="O104" s="130">
        <v>15</v>
      </c>
      <c r="P104" s="131">
        <f>'Stasiun Pontianak Kota'!Q154</f>
        <v>0</v>
      </c>
      <c r="Q104" s="131">
        <f>'Stasiun Pontianak Kota'!R154</f>
        <v>0</v>
      </c>
      <c r="R104" s="131">
        <f>'Stasiun Pontianak Kota'!S154</f>
        <v>2</v>
      </c>
      <c r="S104" s="131">
        <f>'Stasiun Pontianak Kota'!T154</f>
        <v>0</v>
      </c>
      <c r="T104" s="131">
        <f>'Stasiun Pontianak Kota'!U154</f>
        <v>17</v>
      </c>
      <c r="U104" s="131">
        <f>'Stasiun Pontianak Kota'!V154</f>
        <v>79</v>
      </c>
      <c r="V104" s="131">
        <f>'Stasiun Pontianak Kota'!W154</f>
        <v>0</v>
      </c>
      <c r="W104" s="131">
        <f>'Stasiun Pontianak Kota'!X154</f>
        <v>0</v>
      </c>
      <c r="X104" s="131">
        <f>'Stasiun Pontianak Kota'!Y154</f>
        <v>0</v>
      </c>
      <c r="Y104" s="131">
        <f>'Stasiun Pontianak Kota'!Z154</f>
        <v>39</v>
      </c>
      <c r="Z104" s="131">
        <f>'Stasiun Pontianak Kota'!AA154</f>
        <v>0</v>
      </c>
      <c r="AA104" s="131">
        <f>'Stasiun Pontianak Kota'!AB154</f>
        <v>3</v>
      </c>
      <c r="AC104" s="130">
        <v>15</v>
      </c>
      <c r="AD104" s="131">
        <f>'Sta. Meteorologi pnk'!B112</f>
        <v>7.4</v>
      </c>
      <c r="AE104" s="131">
        <f>'Sta. Meteorologi pnk'!C112</f>
        <v>0</v>
      </c>
      <c r="AF104" s="131">
        <f>'Sta. Meteorologi pnk'!D112</f>
        <v>0</v>
      </c>
      <c r="AG104" s="131">
        <f>'Sta. Meteorologi pnk'!E112</f>
        <v>0</v>
      </c>
      <c r="AH104" s="131">
        <f>'Sta. Meteorologi pnk'!F112</f>
        <v>0</v>
      </c>
      <c r="AI104" s="131">
        <f>'Sta. Meteorologi pnk'!G112</f>
        <v>0</v>
      </c>
      <c r="AJ104" s="131">
        <f>'Sta. Meteorologi pnk'!H112</f>
        <v>0</v>
      </c>
      <c r="AK104" s="131">
        <f>'Sta. Meteorologi pnk'!I112</f>
        <v>0</v>
      </c>
      <c r="AL104" s="131">
        <f>'Sta. Meteorologi pnk'!J112</f>
        <v>0</v>
      </c>
      <c r="AM104" s="131">
        <f>'Sta. Meteorologi pnk'!K112</f>
        <v>10.6</v>
      </c>
      <c r="AN104" s="131">
        <f>'Sta. Meteorologi pnk'!L112</f>
        <v>2</v>
      </c>
      <c r="AO104" s="131">
        <f>'Sta. Meteorologi pnk'!M112</f>
        <v>4</v>
      </c>
      <c r="AQ104" s="130">
        <v>15</v>
      </c>
      <c r="AR104" s="131">
        <f t="shared" si="62"/>
        <v>5.0038407859005289</v>
      </c>
      <c r="AS104" s="131">
        <f t="shared" si="60"/>
        <v>0</v>
      </c>
      <c r="AT104" s="131">
        <f t="shared" si="60"/>
        <v>0.64761059840526247</v>
      </c>
      <c r="AU104" s="131">
        <f t="shared" si="60"/>
        <v>0</v>
      </c>
      <c r="AV104" s="131">
        <f t="shared" si="60"/>
        <v>5.5046900864447297</v>
      </c>
      <c r="AW104" s="131">
        <f t="shared" si="60"/>
        <v>25.580618637007866</v>
      </c>
      <c r="AX104" s="131">
        <f t="shared" si="60"/>
        <v>0</v>
      </c>
      <c r="AY104" s="131">
        <f t="shared" si="60"/>
        <v>0</v>
      </c>
      <c r="AZ104" s="131">
        <f t="shared" si="60"/>
        <v>0</v>
      </c>
      <c r="BA104" s="131">
        <f t="shared" si="60"/>
        <v>19.796070497354727</v>
      </c>
      <c r="BB104" s="131">
        <f t="shared" si="60"/>
        <v>1.3523894015947375</v>
      </c>
      <c r="BC104" s="131">
        <f t="shared" si="60"/>
        <v>3.6761947007973688</v>
      </c>
      <c r="BE104" s="130">
        <v>15</v>
      </c>
      <c r="BF104" s="131">
        <f t="shared" si="63"/>
        <v>4.6816932638055366</v>
      </c>
      <c r="BG104" s="131">
        <f t="shared" si="61"/>
        <v>0</v>
      </c>
      <c r="BH104" s="131">
        <f t="shared" si="61"/>
        <v>0.73467749626877399</v>
      </c>
      <c r="BI104" s="131">
        <f t="shared" si="61"/>
        <v>0</v>
      </c>
      <c r="BJ104" s="131">
        <f t="shared" si="61"/>
        <v>6.2447587182845785</v>
      </c>
      <c r="BK104" s="131">
        <f t="shared" si="61"/>
        <v>29.019761102616574</v>
      </c>
      <c r="BL104" s="131">
        <f t="shared" si="61"/>
        <v>0</v>
      </c>
      <c r="BM104" s="131">
        <f t="shared" si="61"/>
        <v>0</v>
      </c>
      <c r="BN104" s="131">
        <f t="shared" si="61"/>
        <v>0</v>
      </c>
      <c r="BO104" s="131">
        <f t="shared" si="61"/>
        <v>21.032420447016591</v>
      </c>
      <c r="BP104" s="131">
        <f t="shared" si="61"/>
        <v>1.2653225037312259</v>
      </c>
      <c r="BQ104" s="131">
        <f t="shared" si="61"/>
        <v>3.632661251865613</v>
      </c>
    </row>
    <row r="105" spans="1:69">
      <c r="A105" s="130">
        <v>16</v>
      </c>
      <c r="B105" s="131">
        <f>IF('Data 2'!B105&lt;0.1,0,'Data 2'!B105)</f>
        <v>9.7371612924250073</v>
      </c>
      <c r="C105" s="131">
        <f>IF('Data 2'!C105&lt;0.1,0,'Data 2'!C105)</f>
        <v>0</v>
      </c>
      <c r="D105" s="131">
        <f>IF('Data 2'!D105&lt;0.1,0,'Data 2'!D105)</f>
        <v>10.071774232968895</v>
      </c>
      <c r="E105" s="131">
        <f>IF('Data 2'!E105&lt;0.1,0,'Data 2'!E105)</f>
        <v>6.0430645397813363</v>
      </c>
      <c r="F105" s="131">
        <f>IF('Data 2'!F105&lt;0.1,0,'Data 2'!F105)</f>
        <v>43.644355009531878</v>
      </c>
      <c r="G105" s="131">
        <f>IF('Data 2'!G105&lt;0.1,0,'Data 2'!G105)</f>
        <v>0</v>
      </c>
      <c r="H105" s="131">
        <f>IF('Data 2'!H105&lt;0.1,0,'Data 2'!H105)</f>
        <v>0</v>
      </c>
      <c r="I105" s="131">
        <f>IF('Data 2'!I105&lt;0.1,0,'Data 2'!I105)</f>
        <v>12.757580695093933</v>
      </c>
      <c r="J105" s="131">
        <f>IF('Data 2'!J105&lt;0.1,0,'Data 2'!J105)</f>
        <v>0</v>
      </c>
      <c r="K105" s="131">
        <f>IF('Data 2'!K105&lt;0.1,0,'Data 2'!K105)</f>
        <v>0</v>
      </c>
      <c r="L105" s="131">
        <f>IF('Data 2'!L105&lt;0.1,0,'Data 2'!L105)</f>
        <v>14.644661333159533</v>
      </c>
      <c r="M105" s="131">
        <f>IF('Data 2'!M105&lt;0.1,0,'Data 2'!M105)</f>
        <v>0.32854838446874024</v>
      </c>
      <c r="O105" s="130">
        <v>16</v>
      </c>
      <c r="P105" s="131">
        <f>'Stasiun Pontianak Kota'!Q155</f>
        <v>10</v>
      </c>
      <c r="Q105" s="131">
        <f>'Stasiun Pontianak Kota'!R155</f>
        <v>0</v>
      </c>
      <c r="R105" s="131">
        <f>'Stasiun Pontianak Kota'!S155</f>
        <v>15</v>
      </c>
      <c r="S105" s="131">
        <f>'Stasiun Pontianak Kota'!T155</f>
        <v>9</v>
      </c>
      <c r="T105" s="131">
        <f>'Stasiun Pontianak Kota'!U155</f>
        <v>65</v>
      </c>
      <c r="U105" s="131">
        <f>'Stasiun Pontianak Kota'!V155</f>
        <v>0</v>
      </c>
      <c r="V105" s="131">
        <f>'Stasiun Pontianak Kota'!W155</f>
        <v>0</v>
      </c>
      <c r="W105" s="131">
        <f>'Stasiun Pontianak Kota'!X155</f>
        <v>19</v>
      </c>
      <c r="X105" s="131">
        <f>'Stasiun Pontianak Kota'!Y155</f>
        <v>0</v>
      </c>
      <c r="Y105" s="131">
        <f>'Stasiun Pontianak Kota'!Z155</f>
        <v>0</v>
      </c>
      <c r="Z105" s="131">
        <f>'Stasiun Pontianak Kota'!AA155</f>
        <v>20</v>
      </c>
      <c r="AA105" s="131">
        <f>'Stasiun Pontianak Kota'!AB155</f>
        <v>0</v>
      </c>
      <c r="AC105" s="130">
        <v>16</v>
      </c>
      <c r="AD105" s="131">
        <f>'Sta. Meteorologi pnk'!B113</f>
        <v>9.1999999999999993</v>
      </c>
      <c r="AE105" s="131">
        <f>'Sta. Meteorologi pnk'!C113</f>
        <v>0</v>
      </c>
      <c r="AF105" s="131">
        <f>'Sta. Meteorologi pnk'!D113</f>
        <v>0</v>
      </c>
      <c r="AG105" s="131">
        <f>'Sta. Meteorologi pnk'!E113</f>
        <v>0</v>
      </c>
      <c r="AH105" s="131">
        <f>'Sta. Meteorologi pnk'!F113</f>
        <v>0</v>
      </c>
      <c r="AI105" s="131">
        <f>'Sta. Meteorologi pnk'!G113</f>
        <v>0</v>
      </c>
      <c r="AJ105" s="131">
        <f>'Sta. Meteorologi pnk'!H113</f>
        <v>0</v>
      </c>
      <c r="AK105" s="131">
        <f>'Sta. Meteorologi pnk'!I113</f>
        <v>0</v>
      </c>
      <c r="AL105" s="131">
        <f>'Sta. Meteorologi pnk'!J113</f>
        <v>0</v>
      </c>
      <c r="AM105" s="131">
        <f>'Sta. Meteorologi pnk'!K113</f>
        <v>0</v>
      </c>
      <c r="AN105" s="131">
        <f>'Sta. Meteorologi pnk'!L113</f>
        <v>3.7</v>
      </c>
      <c r="AO105" s="131">
        <f>'Sta. Meteorologi pnk'!M113</f>
        <v>1</v>
      </c>
      <c r="AQ105" s="130">
        <v>16</v>
      </c>
      <c r="AR105" s="131">
        <f t="shared" si="62"/>
        <v>9.4590442393621039</v>
      </c>
      <c r="AS105" s="131">
        <f t="shared" si="60"/>
        <v>0</v>
      </c>
      <c r="AT105" s="131">
        <f t="shared" si="60"/>
        <v>4.8570794880394681</v>
      </c>
      <c r="AU105" s="131">
        <f t="shared" si="60"/>
        <v>2.9142476928236807</v>
      </c>
      <c r="AV105" s="131">
        <f t="shared" si="60"/>
        <v>21.047344448171028</v>
      </c>
      <c r="AW105" s="131">
        <f t="shared" si="60"/>
        <v>0</v>
      </c>
      <c r="AX105" s="131">
        <f t="shared" si="60"/>
        <v>0</v>
      </c>
      <c r="AY105" s="131">
        <f t="shared" si="60"/>
        <v>6.152300684849993</v>
      </c>
      <c r="AZ105" s="131">
        <f t="shared" si="60"/>
        <v>0</v>
      </c>
      <c r="BA105" s="131">
        <f t="shared" si="60"/>
        <v>0</v>
      </c>
      <c r="BB105" s="131">
        <f t="shared" si="60"/>
        <v>8.9780263770028892</v>
      </c>
      <c r="BC105" s="131">
        <f t="shared" si="60"/>
        <v>0.67619470079736876</v>
      </c>
      <c r="BE105" s="130">
        <v>16</v>
      </c>
      <c r="BF105" s="131">
        <f t="shared" si="63"/>
        <v>9.4938709985075089</v>
      </c>
      <c r="BG105" s="131">
        <f t="shared" si="61"/>
        <v>0</v>
      </c>
      <c r="BH105" s="131">
        <f t="shared" si="61"/>
        <v>5.5100812220158053</v>
      </c>
      <c r="BI105" s="131">
        <f t="shared" si="61"/>
        <v>3.3060487332094826</v>
      </c>
      <c r="BJ105" s="131">
        <f t="shared" si="61"/>
        <v>23.877018628735154</v>
      </c>
      <c r="BK105" s="131">
        <f t="shared" si="61"/>
        <v>0</v>
      </c>
      <c r="BL105" s="131">
        <f t="shared" si="61"/>
        <v>0</v>
      </c>
      <c r="BM105" s="131">
        <f t="shared" si="61"/>
        <v>6.9794362145533526</v>
      </c>
      <c r="BN105" s="131">
        <f t="shared" si="61"/>
        <v>0</v>
      </c>
      <c r="BO105" s="131">
        <f t="shared" si="61"/>
        <v>0</v>
      </c>
      <c r="BP105" s="131">
        <f t="shared" si="61"/>
        <v>9.6876215945905084</v>
      </c>
      <c r="BQ105" s="131">
        <f t="shared" si="61"/>
        <v>0.63266125186561295</v>
      </c>
    </row>
    <row r="106" spans="1:69">
      <c r="A106" s="130">
        <v>17</v>
      </c>
      <c r="B106" s="131">
        <f>IF('Data 2'!B106&lt;0.1,0,'Data 2'!B106)</f>
        <v>19.788516122724975</v>
      </c>
      <c r="C106" s="131">
        <f>IF('Data 2'!C106&lt;0.1,0,'Data 2'!C106)</f>
        <v>0</v>
      </c>
      <c r="D106" s="131">
        <f>IF('Data 2'!D106&lt;0.1,0,'Data 2'!D106)</f>
        <v>0</v>
      </c>
      <c r="E106" s="131">
        <f>IF('Data 2'!E106&lt;0.1,0,'Data 2'!E106)</f>
        <v>0</v>
      </c>
      <c r="F106" s="131">
        <f>IF('Data 2'!F106&lt;0.1,0,'Data 2'!F106)</f>
        <v>0</v>
      </c>
      <c r="G106" s="131">
        <f>IF('Data 2'!G106&lt;0.1,0,'Data 2'!G106)</f>
        <v>0</v>
      </c>
      <c r="H106" s="131">
        <f>IF('Data 2'!H106&lt;0.1,0,'Data 2'!H106)</f>
        <v>0</v>
      </c>
      <c r="I106" s="131">
        <f>IF('Data 2'!I106&lt;0.1,0,'Data 2'!I106)</f>
        <v>0</v>
      </c>
      <c r="J106" s="131">
        <f>IF('Data 2'!J106&lt;0.1,0,'Data 2'!J106)</f>
        <v>0</v>
      </c>
      <c r="K106" s="131">
        <f>IF('Data 2'!K106&lt;0.1,0,'Data 2'!K106)</f>
        <v>0</v>
      </c>
      <c r="L106" s="131">
        <f>IF('Data 2'!L106&lt;0.1,0,'Data 2'!L106)</f>
        <v>47.75980642953742</v>
      </c>
      <c r="M106" s="131">
        <f>IF('Data 2'!M106&lt;0.1,0,'Data 2'!M106)</f>
        <v>0.13141935378749611</v>
      </c>
      <c r="O106" s="130">
        <v>17</v>
      </c>
      <c r="P106" s="131">
        <f>'Stasiun Pontianak Kota'!Q156</f>
        <v>19</v>
      </c>
      <c r="Q106" s="131">
        <f>'Stasiun Pontianak Kota'!R156</f>
        <v>0</v>
      </c>
      <c r="R106" s="131">
        <f>'Stasiun Pontianak Kota'!S156</f>
        <v>0</v>
      </c>
      <c r="S106" s="131">
        <f>'Stasiun Pontianak Kota'!T156</f>
        <v>0</v>
      </c>
      <c r="T106" s="131">
        <f>'Stasiun Pontianak Kota'!U156</f>
        <v>0</v>
      </c>
      <c r="U106" s="131">
        <f>'Stasiun Pontianak Kota'!V156</f>
        <v>0</v>
      </c>
      <c r="V106" s="131">
        <f>'Stasiun Pontianak Kota'!W156</f>
        <v>0</v>
      </c>
      <c r="W106" s="131">
        <f>'Stasiun Pontianak Kota'!X156</f>
        <v>0</v>
      </c>
      <c r="X106" s="131">
        <f>'Stasiun Pontianak Kota'!Y156</f>
        <v>0</v>
      </c>
      <c r="Y106" s="131">
        <f>'Stasiun Pontianak Kota'!Z156</f>
        <v>0</v>
      </c>
      <c r="Z106" s="131">
        <f>'Stasiun Pontianak Kota'!AA156</f>
        <v>45</v>
      </c>
      <c r="AA106" s="131">
        <f>'Stasiun Pontianak Kota'!AB156</f>
        <v>0</v>
      </c>
      <c r="AC106" s="130">
        <v>17</v>
      </c>
      <c r="AD106" s="131">
        <f>'Sta. Meteorologi pnk'!B114</f>
        <v>21.4</v>
      </c>
      <c r="AE106" s="131">
        <f>'Sta. Meteorologi pnk'!C114</f>
        <v>0</v>
      </c>
      <c r="AF106" s="131">
        <f>'Sta. Meteorologi pnk'!D114</f>
        <v>0</v>
      </c>
      <c r="AG106" s="131">
        <f>'Sta. Meteorologi pnk'!E114</f>
        <v>0</v>
      </c>
      <c r="AH106" s="131">
        <f>'Sta. Meteorologi pnk'!F114</f>
        <v>0</v>
      </c>
      <c r="AI106" s="131">
        <f>'Sta. Meteorologi pnk'!G114</f>
        <v>0</v>
      </c>
      <c r="AJ106" s="131">
        <f>'Sta. Meteorologi pnk'!H114</f>
        <v>0</v>
      </c>
      <c r="AK106" s="131">
        <f>'Sta. Meteorologi pnk'!I114</f>
        <v>0</v>
      </c>
      <c r="AL106" s="131">
        <f>'Sta. Meteorologi pnk'!J114</f>
        <v>0</v>
      </c>
      <c r="AM106" s="131">
        <f>'Sta. Meteorologi pnk'!K114</f>
        <v>0</v>
      </c>
      <c r="AN106" s="131">
        <f>'Sta. Meteorologi pnk'!L114</f>
        <v>53.4</v>
      </c>
      <c r="AO106" s="131">
        <f>'Sta. Meteorologi pnk'!M114</f>
        <v>0.4</v>
      </c>
      <c r="AQ106" s="130">
        <v>17</v>
      </c>
      <c r="AR106" s="131">
        <f t="shared" si="62"/>
        <v>20.622867281913685</v>
      </c>
      <c r="AS106" s="131">
        <f t="shared" si="60"/>
        <v>0</v>
      </c>
      <c r="AT106" s="131">
        <f t="shared" si="60"/>
        <v>0</v>
      </c>
      <c r="AU106" s="131">
        <f t="shared" si="60"/>
        <v>0</v>
      </c>
      <c r="AV106" s="131">
        <f t="shared" si="60"/>
        <v>0</v>
      </c>
      <c r="AW106" s="131">
        <f t="shared" si="60"/>
        <v>0</v>
      </c>
      <c r="AX106" s="131">
        <f t="shared" si="60"/>
        <v>0</v>
      </c>
      <c r="AY106" s="131">
        <f t="shared" si="60"/>
        <v>0</v>
      </c>
      <c r="AZ106" s="131">
        <f t="shared" si="60"/>
        <v>0</v>
      </c>
      <c r="BA106" s="131">
        <f t="shared" si="60"/>
        <v>0</v>
      </c>
      <c r="BB106" s="131">
        <f t="shared" si="60"/>
        <v>50.680035486697896</v>
      </c>
      <c r="BC106" s="131">
        <f t="shared" si="60"/>
        <v>0.27047788031894748</v>
      </c>
      <c r="BE106" s="130">
        <v>17</v>
      </c>
      <c r="BF106" s="131">
        <f t="shared" si="63"/>
        <v>20.518387004477471</v>
      </c>
      <c r="BG106" s="131">
        <f t="shared" si="61"/>
        <v>0</v>
      </c>
      <c r="BH106" s="131">
        <f t="shared" si="61"/>
        <v>0</v>
      </c>
      <c r="BI106" s="131">
        <f t="shared" si="61"/>
        <v>0</v>
      </c>
      <c r="BJ106" s="131">
        <f t="shared" si="61"/>
        <v>0</v>
      </c>
      <c r="BK106" s="131">
        <f t="shared" si="61"/>
        <v>0</v>
      </c>
      <c r="BL106" s="131">
        <f t="shared" si="61"/>
        <v>0</v>
      </c>
      <c r="BM106" s="131">
        <f t="shared" si="61"/>
        <v>0</v>
      </c>
      <c r="BN106" s="131">
        <f t="shared" si="61"/>
        <v>0</v>
      </c>
      <c r="BO106" s="131">
        <f t="shared" si="61"/>
        <v>0</v>
      </c>
      <c r="BP106" s="131">
        <f t="shared" si="61"/>
        <v>50.314354515671148</v>
      </c>
      <c r="BQ106" s="131">
        <f t="shared" si="61"/>
        <v>0.2530645007462452</v>
      </c>
    </row>
    <row r="107" spans="1:69">
      <c r="A107" s="130">
        <v>18</v>
      </c>
      <c r="B107" s="131">
        <f>IF('Data 2'!B107&lt;0.1,0,'Data 2'!B107)</f>
        <v>5.1253547977123484</v>
      </c>
      <c r="C107" s="131">
        <f>IF('Data 2'!C107&lt;0.1,0,'Data 2'!C107)</f>
        <v>7.3859677708438571</v>
      </c>
      <c r="D107" s="131">
        <f>IF('Data 2'!D107&lt;0.1,0,'Data 2'!D107)</f>
        <v>0</v>
      </c>
      <c r="E107" s="131">
        <f>IF('Data 2'!E107&lt;0.1,0,'Data 2'!E107)</f>
        <v>0</v>
      </c>
      <c r="F107" s="131">
        <f>IF('Data 2'!F107&lt;0.1,0,'Data 2'!F107)</f>
        <v>5.3716129242500772</v>
      </c>
      <c r="G107" s="131">
        <f>IF('Data 2'!G107&lt;0.1,0,'Data 2'!G107)</f>
        <v>0</v>
      </c>
      <c r="H107" s="131">
        <f>IF('Data 2'!H107&lt;0.1,0,'Data 2'!H107)</f>
        <v>0</v>
      </c>
      <c r="I107" s="131">
        <f>IF('Data 2'!I107&lt;0.1,0,'Data 2'!I107)</f>
        <v>2.6858064621250386</v>
      </c>
      <c r="J107" s="131">
        <f>IF('Data 2'!J107&lt;0.1,0,'Data 2'!J107)</f>
        <v>0</v>
      </c>
      <c r="K107" s="131">
        <f>IF('Data 2'!K107&lt;0.1,0,'Data 2'!K107)</f>
        <v>0</v>
      </c>
      <c r="L107" s="131">
        <f>IF('Data 2'!L107&lt;0.1,0,'Data 2'!L107)</f>
        <v>0.4271128998093624</v>
      </c>
      <c r="M107" s="131">
        <f>IF('Data 2'!M107&lt;0.1,0,'Data 2'!M107)</f>
        <v>4.5996773825623638</v>
      </c>
      <c r="O107" s="130">
        <v>18</v>
      </c>
      <c r="P107" s="131">
        <f>'Stasiun Pontianak Kota'!Q157</f>
        <v>0</v>
      </c>
      <c r="Q107" s="131">
        <f>'Stasiun Pontianak Kota'!R157</f>
        <v>11</v>
      </c>
      <c r="R107" s="131">
        <f>'Stasiun Pontianak Kota'!S157</f>
        <v>0</v>
      </c>
      <c r="S107" s="131">
        <f>'Stasiun Pontianak Kota'!T157</f>
        <v>0</v>
      </c>
      <c r="T107" s="131">
        <f>'Stasiun Pontianak Kota'!U157</f>
        <v>8</v>
      </c>
      <c r="U107" s="131">
        <f>'Stasiun Pontianak Kota'!V157</f>
        <v>0</v>
      </c>
      <c r="V107" s="131">
        <f>'Stasiun Pontianak Kota'!W157</f>
        <v>0</v>
      </c>
      <c r="W107" s="131">
        <f>'Stasiun Pontianak Kota'!X157</f>
        <v>4</v>
      </c>
      <c r="X107" s="131">
        <f>'Stasiun Pontianak Kota'!Y157</f>
        <v>0</v>
      </c>
      <c r="Y107" s="131">
        <f>'Stasiun Pontianak Kota'!Z157</f>
        <v>0</v>
      </c>
      <c r="Z107" s="131">
        <f>'Stasiun Pontianak Kota'!AA157</f>
        <v>0</v>
      </c>
      <c r="AA107" s="131">
        <f>'Stasiun Pontianak Kota'!AB157</f>
        <v>0</v>
      </c>
      <c r="AC107" s="130">
        <v>18</v>
      </c>
      <c r="AD107" s="131">
        <f>'Sta. Meteorologi pnk'!B115</f>
        <v>15.6</v>
      </c>
      <c r="AE107" s="131">
        <f>'Sta. Meteorologi pnk'!C115</f>
        <v>0</v>
      </c>
      <c r="AF107" s="131">
        <f>'Sta. Meteorologi pnk'!D115</f>
        <v>0</v>
      </c>
      <c r="AG107" s="131">
        <f>'Sta. Meteorologi pnk'!E115</f>
        <v>0</v>
      </c>
      <c r="AH107" s="131">
        <f>'Sta. Meteorologi pnk'!F115</f>
        <v>0</v>
      </c>
      <c r="AI107" s="131">
        <f>'Sta. Meteorologi pnk'!G115</f>
        <v>0</v>
      </c>
      <c r="AJ107" s="131">
        <f>'Sta. Meteorologi pnk'!H115</f>
        <v>0</v>
      </c>
      <c r="AK107" s="131">
        <f>'Sta. Meteorologi pnk'!I115</f>
        <v>0</v>
      </c>
      <c r="AL107" s="131">
        <f>'Sta. Meteorologi pnk'!J115</f>
        <v>0</v>
      </c>
      <c r="AM107" s="131">
        <f>'Sta. Meteorologi pnk'!K115</f>
        <v>0</v>
      </c>
      <c r="AN107" s="131">
        <f>'Sta. Meteorologi pnk'!L115</f>
        <v>1.3</v>
      </c>
      <c r="AO107" s="131">
        <f>'Sta. Meteorologi pnk'!M115</f>
        <v>14</v>
      </c>
      <c r="AQ107" s="130">
        <v>18</v>
      </c>
      <c r="AR107" s="131">
        <f t="shared" si="62"/>
        <v>10.54863733243895</v>
      </c>
      <c r="AS107" s="131">
        <f t="shared" si="60"/>
        <v>3.5618582912289436</v>
      </c>
      <c r="AT107" s="131">
        <f t="shared" si="60"/>
        <v>0</v>
      </c>
      <c r="AU107" s="131">
        <f t="shared" si="60"/>
        <v>0</v>
      </c>
      <c r="AV107" s="131">
        <f t="shared" si="60"/>
        <v>2.5904423936210499</v>
      </c>
      <c r="AW107" s="131">
        <f t="shared" si="60"/>
        <v>0</v>
      </c>
      <c r="AX107" s="131">
        <f t="shared" si="60"/>
        <v>0</v>
      </c>
      <c r="AY107" s="131">
        <f t="shared" si="60"/>
        <v>1.2952211968105249</v>
      </c>
      <c r="AZ107" s="131">
        <f t="shared" si="60"/>
        <v>0</v>
      </c>
      <c r="BA107" s="131">
        <f t="shared" si="60"/>
        <v>0</v>
      </c>
      <c r="BB107" s="131">
        <f t="shared" si="60"/>
        <v>0.87905311103657935</v>
      </c>
      <c r="BC107" s="131">
        <f t="shared" si="60"/>
        <v>9.4667258111631618</v>
      </c>
      <c r="BE107" s="130">
        <v>18</v>
      </c>
      <c r="BF107" s="131">
        <f t="shared" si="63"/>
        <v>9.8695155291035626</v>
      </c>
      <c r="BG107" s="131">
        <f t="shared" si="61"/>
        <v>4.0407262294782571</v>
      </c>
      <c r="BH107" s="131">
        <f t="shared" si="61"/>
        <v>0</v>
      </c>
      <c r="BI107" s="131">
        <f t="shared" si="61"/>
        <v>0</v>
      </c>
      <c r="BJ107" s="131">
        <f t="shared" si="61"/>
        <v>2.938709985075096</v>
      </c>
      <c r="BK107" s="131">
        <f t="shared" si="61"/>
        <v>0</v>
      </c>
      <c r="BL107" s="131">
        <f t="shared" si="61"/>
        <v>0</v>
      </c>
      <c r="BM107" s="131">
        <f t="shared" si="61"/>
        <v>1.469354992537548</v>
      </c>
      <c r="BN107" s="131">
        <f t="shared" si="61"/>
        <v>0</v>
      </c>
      <c r="BO107" s="131">
        <f t="shared" si="61"/>
        <v>0</v>
      </c>
      <c r="BP107" s="131">
        <f t="shared" si="61"/>
        <v>0.82245962742529699</v>
      </c>
      <c r="BQ107" s="131">
        <f t="shared" si="61"/>
        <v>8.8572575261185822</v>
      </c>
    </row>
    <row r="108" spans="1:69">
      <c r="A108" s="130">
        <v>19</v>
      </c>
      <c r="B108" s="131">
        <f>IF('Data 2'!B108&lt;0.1,0,'Data 2'!B108)</f>
        <v>52.958854871034497</v>
      </c>
      <c r="C108" s="131">
        <f>IF('Data 2'!C108&lt;0.1,0,'Data 2'!C108)</f>
        <v>26.858064621250385</v>
      </c>
      <c r="D108" s="131">
        <f>IF('Data 2'!D108&lt;0.1,0,'Data 2'!D108)</f>
        <v>0</v>
      </c>
      <c r="E108" s="131">
        <f>IF('Data 2'!E108&lt;0.1,0,'Data 2'!E108)</f>
        <v>0</v>
      </c>
      <c r="F108" s="131">
        <f>IF('Data 2'!F108&lt;0.1,0,'Data 2'!F108)</f>
        <v>0</v>
      </c>
      <c r="G108" s="131">
        <f>IF('Data 2'!G108&lt;0.1,0,'Data 2'!G108)</f>
        <v>0</v>
      </c>
      <c r="H108" s="131">
        <f>IF('Data 2'!H108&lt;0.1,0,'Data 2'!H108)</f>
        <v>0</v>
      </c>
      <c r="I108" s="131">
        <f>IF('Data 2'!I108&lt;0.1,0,'Data 2'!I108)</f>
        <v>0</v>
      </c>
      <c r="J108" s="131">
        <f>IF('Data 2'!J108&lt;0.1,0,'Data 2'!J108)</f>
        <v>0</v>
      </c>
      <c r="K108" s="131">
        <f>IF('Data 2'!K108&lt;0.1,0,'Data 2'!K108)</f>
        <v>0.45996773825623638</v>
      </c>
      <c r="L108" s="131">
        <f>IF('Data 2'!L108&lt;0.1,0,'Data 2'!L108)</f>
        <v>2.0800645234875268</v>
      </c>
      <c r="M108" s="131">
        <f>IF('Data 2'!M108&lt;0.1,0,'Data 2'!M108)</f>
        <v>3.0883548140061587</v>
      </c>
      <c r="O108" s="130">
        <v>19</v>
      </c>
      <c r="P108" s="131">
        <f>'Stasiun Pontianak Kota'!Q158</f>
        <v>57</v>
      </c>
      <c r="Q108" s="131">
        <f>'Stasiun Pontianak Kota'!R158</f>
        <v>40</v>
      </c>
      <c r="R108" s="131">
        <f>'Stasiun Pontianak Kota'!S158</f>
        <v>0</v>
      </c>
      <c r="S108" s="131">
        <f>'Stasiun Pontianak Kota'!T158</f>
        <v>0</v>
      </c>
      <c r="T108" s="131">
        <f>'Stasiun Pontianak Kota'!U158</f>
        <v>0</v>
      </c>
      <c r="U108" s="131">
        <f>'Stasiun Pontianak Kota'!V158</f>
        <v>0</v>
      </c>
      <c r="V108" s="131">
        <f>'Stasiun Pontianak Kota'!W158</f>
        <v>0</v>
      </c>
      <c r="W108" s="131">
        <f>'Stasiun Pontianak Kota'!X158</f>
        <v>0</v>
      </c>
      <c r="X108" s="131">
        <f>'Stasiun Pontianak Kota'!Y158</f>
        <v>0</v>
      </c>
      <c r="Y108" s="131">
        <f>'Stasiun Pontianak Kota'!Z158</f>
        <v>0</v>
      </c>
      <c r="Z108" s="131">
        <f>'Stasiun Pontianak Kota'!AA158</f>
        <v>3</v>
      </c>
      <c r="AA108" s="131">
        <f>'Stasiun Pontianak Kota'!AB158</f>
        <v>0</v>
      </c>
      <c r="AC108" s="130">
        <v>19</v>
      </c>
      <c r="AD108" s="131">
        <f>'Sta. Meteorologi pnk'!B116</f>
        <v>44.7</v>
      </c>
      <c r="AE108" s="131">
        <f>'Sta. Meteorologi pnk'!C116</f>
        <v>0</v>
      </c>
      <c r="AF108" s="131">
        <f>'Sta. Meteorologi pnk'!D116</f>
        <v>0</v>
      </c>
      <c r="AG108" s="131">
        <f>'Sta. Meteorologi pnk'!E116</f>
        <v>0</v>
      </c>
      <c r="AH108" s="131">
        <f>'Sta. Meteorologi pnk'!F116</f>
        <v>0</v>
      </c>
      <c r="AI108" s="131">
        <f>'Sta. Meteorologi pnk'!G116</f>
        <v>0</v>
      </c>
      <c r="AJ108" s="131">
        <f>'Sta. Meteorologi pnk'!H116</f>
        <v>0</v>
      </c>
      <c r="AK108" s="131">
        <f>'Sta. Meteorologi pnk'!I116</f>
        <v>0</v>
      </c>
      <c r="AL108" s="131">
        <f>'Sta. Meteorologi pnk'!J116</f>
        <v>0</v>
      </c>
      <c r="AM108" s="131">
        <f>'Sta. Meteorologi pnk'!K116</f>
        <v>1.4</v>
      </c>
      <c r="AN108" s="131">
        <f>'Sta. Meteorologi pnk'!L116</f>
        <v>0.2</v>
      </c>
      <c r="AO108" s="131">
        <f>'Sta. Meteorologi pnk'!M116</f>
        <v>9.4</v>
      </c>
      <c r="AQ108" s="130">
        <v>19</v>
      </c>
      <c r="AR108" s="131">
        <f t="shared" si="62"/>
        <v>48.682805180192361</v>
      </c>
      <c r="AS108" s="131">
        <f t="shared" si="60"/>
        <v>12.952211968105248</v>
      </c>
      <c r="AT108" s="131">
        <f t="shared" si="60"/>
        <v>0</v>
      </c>
      <c r="AU108" s="131">
        <f t="shared" si="60"/>
        <v>0</v>
      </c>
      <c r="AV108" s="131">
        <f t="shared" si="60"/>
        <v>0</v>
      </c>
      <c r="AW108" s="131">
        <f t="shared" si="60"/>
        <v>0</v>
      </c>
      <c r="AX108" s="131">
        <f t="shared" si="60"/>
        <v>0</v>
      </c>
      <c r="AY108" s="131">
        <f t="shared" si="60"/>
        <v>0</v>
      </c>
      <c r="AZ108" s="131">
        <f t="shared" si="60"/>
        <v>0</v>
      </c>
      <c r="BA108" s="131">
        <f t="shared" si="60"/>
        <v>0.94667258111631614</v>
      </c>
      <c r="BB108" s="131">
        <f t="shared" si="60"/>
        <v>1.1066548377673673</v>
      </c>
      <c r="BC108" s="131">
        <f t="shared" si="60"/>
        <v>6.3562301874952656</v>
      </c>
      <c r="BE108" s="130">
        <v>19</v>
      </c>
      <c r="BF108" s="131">
        <f t="shared" si="63"/>
        <v>49.218266602052957</v>
      </c>
      <c r="BG108" s="131">
        <f t="shared" si="61"/>
        <v>14.693549925375478</v>
      </c>
      <c r="BH108" s="131">
        <f t="shared" si="61"/>
        <v>0</v>
      </c>
      <c r="BI108" s="131">
        <f t="shared" si="61"/>
        <v>0</v>
      </c>
      <c r="BJ108" s="131">
        <f t="shared" si="61"/>
        <v>0</v>
      </c>
      <c r="BK108" s="131">
        <f t="shared" si="61"/>
        <v>0</v>
      </c>
      <c r="BL108" s="131">
        <f t="shared" si="61"/>
        <v>0</v>
      </c>
      <c r="BM108" s="131">
        <f t="shared" si="61"/>
        <v>0</v>
      </c>
      <c r="BN108" s="131">
        <f t="shared" si="61"/>
        <v>0</v>
      </c>
      <c r="BO108" s="131">
        <f t="shared" si="61"/>
        <v>0.88572575261185815</v>
      </c>
      <c r="BP108" s="131">
        <f t="shared" si="61"/>
        <v>1.2285484947762835</v>
      </c>
      <c r="BQ108" s="131">
        <f t="shared" si="61"/>
        <v>5.9470157675367616</v>
      </c>
    </row>
    <row r="109" spans="1:69">
      <c r="A109" s="130">
        <v>20</v>
      </c>
      <c r="B109" s="131">
        <f>IF('Data 2'!B109&lt;0.1,0,'Data 2'!B109)</f>
        <v>0.67145161553125965</v>
      </c>
      <c r="C109" s="131">
        <f>IF('Data 2'!C109&lt;0.1,0,'Data 2'!C109)</f>
        <v>4.7001613087188172</v>
      </c>
      <c r="D109" s="131">
        <f>IF('Data 2'!D109&lt;0.1,0,'Data 2'!D109)</f>
        <v>0</v>
      </c>
      <c r="E109" s="131">
        <f>IF('Data 2'!E109&lt;0.1,0,'Data 2'!E109)</f>
        <v>4.0287096931875581</v>
      </c>
      <c r="F109" s="131">
        <f>IF('Data 2'!F109&lt;0.1,0,'Data 2'!F109)</f>
        <v>0</v>
      </c>
      <c r="G109" s="131">
        <f>IF('Data 2'!G109&lt;0.1,0,'Data 2'!G109)</f>
        <v>0</v>
      </c>
      <c r="H109" s="131">
        <f>IF('Data 2'!H109&lt;0.1,0,'Data 2'!H109)</f>
        <v>0</v>
      </c>
      <c r="I109" s="131">
        <f>IF('Data 2'!I109&lt;0.1,0,'Data 2'!I109)</f>
        <v>3.3572580776562981</v>
      </c>
      <c r="J109" s="131">
        <f>IF('Data 2'!J109&lt;0.1,0,'Data 2'!J109)</f>
        <v>4.6714516155312591</v>
      </c>
      <c r="K109" s="131">
        <f>IF('Data 2'!K109&lt;0.1,0,'Data 2'!K109)</f>
        <v>0</v>
      </c>
      <c r="L109" s="131">
        <f>IF('Data 2'!L109&lt;0.1,0,'Data 2'!L109)</f>
        <v>7.975435452071757</v>
      </c>
      <c r="M109" s="131">
        <f>IF('Data 2'!M109&lt;0.1,0,'Data 2'!M109)</f>
        <v>11.414677464031413</v>
      </c>
      <c r="O109" s="130">
        <v>20</v>
      </c>
      <c r="P109" s="131">
        <f>'Stasiun Pontianak Kota'!Q159</f>
        <v>1</v>
      </c>
      <c r="Q109" s="131">
        <f>'Stasiun Pontianak Kota'!R159</f>
        <v>7</v>
      </c>
      <c r="R109" s="131">
        <f>'Stasiun Pontianak Kota'!S159</f>
        <v>0</v>
      </c>
      <c r="S109" s="131">
        <f>'Stasiun Pontianak Kota'!T159</f>
        <v>6</v>
      </c>
      <c r="T109" s="131">
        <f>'Stasiun Pontianak Kota'!U159</f>
        <v>0</v>
      </c>
      <c r="U109" s="131">
        <f>'Stasiun Pontianak Kota'!V159</f>
        <v>0</v>
      </c>
      <c r="V109" s="131">
        <f>'Stasiun Pontianak Kota'!W159</f>
        <v>0</v>
      </c>
      <c r="W109" s="131">
        <f>'Stasiun Pontianak Kota'!X159</f>
        <v>5</v>
      </c>
      <c r="X109" s="131">
        <f>'Stasiun Pontianak Kota'!Y159</f>
        <v>5</v>
      </c>
      <c r="Y109" s="131">
        <f>'Stasiun Pontianak Kota'!Z159</f>
        <v>0</v>
      </c>
      <c r="Z109" s="131">
        <f>'Stasiun Pontianak Kota'!AA159</f>
        <v>4</v>
      </c>
      <c r="AA109" s="131">
        <f>'Stasiun Pontianak Kota'!AB159</f>
        <v>17</v>
      </c>
      <c r="AC109" s="130">
        <v>20</v>
      </c>
      <c r="AD109" s="131">
        <f>'Sta. Meteorologi pnk'!B117</f>
        <v>0</v>
      </c>
      <c r="AE109" s="131">
        <f>'Sta. Meteorologi pnk'!C117</f>
        <v>0</v>
      </c>
      <c r="AF109" s="131">
        <f>'Sta. Meteorologi pnk'!D117</f>
        <v>0</v>
      </c>
      <c r="AG109" s="131">
        <f>'Sta. Meteorologi pnk'!E117</f>
        <v>0</v>
      </c>
      <c r="AH109" s="131">
        <f>'Sta. Meteorologi pnk'!F117</f>
        <v>0</v>
      </c>
      <c r="AI109" s="131">
        <f>'Sta. Meteorologi pnk'!G117</f>
        <v>0</v>
      </c>
      <c r="AJ109" s="131">
        <f>'Sta. Meteorologi pnk'!H117</f>
        <v>0</v>
      </c>
      <c r="AK109" s="131">
        <f>'Sta. Meteorologi pnk'!I117</f>
        <v>0</v>
      </c>
      <c r="AL109" s="131">
        <f>'Sta. Meteorologi pnk'!J117</f>
        <v>4</v>
      </c>
      <c r="AM109" s="131">
        <f>'Sta. Meteorologi pnk'!K117</f>
        <v>0</v>
      </c>
      <c r="AN109" s="131">
        <f>'Sta. Meteorologi pnk'!L117</f>
        <v>16.100000000000001</v>
      </c>
      <c r="AO109" s="131">
        <f>'Sta. Meteorologi pnk'!M117</f>
        <v>0</v>
      </c>
      <c r="AQ109" s="130">
        <v>20</v>
      </c>
      <c r="AR109" s="131">
        <f t="shared" si="62"/>
        <v>0.32380529920263124</v>
      </c>
      <c r="AS109" s="131">
        <f t="shared" si="60"/>
        <v>2.2666370944184182</v>
      </c>
      <c r="AT109" s="131">
        <f t="shared" si="60"/>
        <v>0</v>
      </c>
      <c r="AU109" s="131">
        <f t="shared" si="60"/>
        <v>1.942831795215787</v>
      </c>
      <c r="AV109" s="131">
        <f t="shared" si="60"/>
        <v>0</v>
      </c>
      <c r="AW109" s="131">
        <f t="shared" si="60"/>
        <v>0</v>
      </c>
      <c r="AX109" s="131">
        <f t="shared" si="60"/>
        <v>0</v>
      </c>
      <c r="AY109" s="131">
        <f t="shared" si="60"/>
        <v>1.619026496013156</v>
      </c>
      <c r="AZ109" s="131">
        <f t="shared" si="60"/>
        <v>4.3238052992026308</v>
      </c>
      <c r="BA109" s="131">
        <f t="shared" si="60"/>
        <v>0</v>
      </c>
      <c r="BB109" s="131">
        <f t="shared" si="60"/>
        <v>12.181955879648163</v>
      </c>
      <c r="BC109" s="131">
        <f t="shared" si="60"/>
        <v>5.5046900864447297</v>
      </c>
      <c r="BE109" s="130">
        <v>20</v>
      </c>
      <c r="BF109" s="131">
        <f t="shared" si="63"/>
        <v>0.36733874813438699</v>
      </c>
      <c r="BG109" s="131">
        <f t="shared" si="61"/>
        <v>2.5713712369407089</v>
      </c>
      <c r="BH109" s="131">
        <f t="shared" si="61"/>
        <v>0</v>
      </c>
      <c r="BI109" s="131">
        <f t="shared" si="61"/>
        <v>2.2040324888063219</v>
      </c>
      <c r="BJ109" s="131">
        <f t="shared" si="61"/>
        <v>0</v>
      </c>
      <c r="BK109" s="131">
        <f t="shared" si="61"/>
        <v>0</v>
      </c>
      <c r="BL109" s="131">
        <f t="shared" si="61"/>
        <v>0</v>
      </c>
      <c r="BM109" s="131">
        <f t="shared" si="61"/>
        <v>1.8366937406719348</v>
      </c>
      <c r="BN109" s="131">
        <f t="shared" si="61"/>
        <v>4.3673387481343875</v>
      </c>
      <c r="BO109" s="131">
        <f t="shared" si="61"/>
        <v>0</v>
      </c>
      <c r="BP109" s="131">
        <f t="shared" si="61"/>
        <v>11.655201147573917</v>
      </c>
      <c r="BQ109" s="131">
        <f t="shared" si="61"/>
        <v>6.2447587182845785</v>
      </c>
    </row>
    <row r="110" spans="1:69">
      <c r="A110" s="130">
        <v>21</v>
      </c>
      <c r="B110" s="131">
        <f>IF('Data 2'!B110&lt;0.1,0,'Data 2'!B110)</f>
        <v>8.1767096280123184</v>
      </c>
      <c r="C110" s="131">
        <f>IF('Data 2'!C110&lt;0.1,0,'Data 2'!C110)</f>
        <v>0</v>
      </c>
      <c r="D110" s="131">
        <f>IF('Data 2'!D110&lt;0.1,0,'Data 2'!D110)</f>
        <v>0</v>
      </c>
      <c r="E110" s="131">
        <f>IF('Data 2'!E110&lt;0.1,0,'Data 2'!E110)</f>
        <v>0</v>
      </c>
      <c r="F110" s="131">
        <f>IF('Data 2'!F110&lt;0.1,0,'Data 2'!F110)</f>
        <v>0</v>
      </c>
      <c r="G110" s="131">
        <f>IF('Data 2'!G110&lt;0.1,0,'Data 2'!G110)</f>
        <v>0</v>
      </c>
      <c r="H110" s="131">
        <f>IF('Data 2'!H110&lt;0.1,0,'Data 2'!H110)</f>
        <v>20.815000081469051</v>
      </c>
      <c r="I110" s="131">
        <f>IF('Data 2'!I110&lt;0.1,0,'Data 2'!I110)</f>
        <v>0</v>
      </c>
      <c r="J110" s="131">
        <f>IF('Data 2'!J110&lt;0.1,0,'Data 2'!J110)</f>
        <v>2.7843709774656609</v>
      </c>
      <c r="K110" s="131">
        <f>IF('Data 2'!K110&lt;0.1,0,'Data 2'!K110)</f>
        <v>0</v>
      </c>
      <c r="L110" s="131">
        <f>IF('Data 2'!L110&lt;0.1,0,'Data 2'!L110)</f>
        <v>7.8851612272497666</v>
      </c>
      <c r="M110" s="131">
        <f>IF('Data 2'!M110&lt;0.1,0,'Data 2'!M110)</f>
        <v>0</v>
      </c>
      <c r="O110" s="130">
        <v>21</v>
      </c>
      <c r="P110" s="131">
        <f>'Stasiun Pontianak Kota'!Q160</f>
        <v>2</v>
      </c>
      <c r="Q110" s="131">
        <f>'Stasiun Pontianak Kota'!R160</f>
        <v>0</v>
      </c>
      <c r="R110" s="131">
        <f>'Stasiun Pontianak Kota'!S160</f>
        <v>0</v>
      </c>
      <c r="S110" s="131">
        <f>'Stasiun Pontianak Kota'!T160</f>
        <v>0</v>
      </c>
      <c r="T110" s="131">
        <f>'Stasiun Pontianak Kota'!U160</f>
        <v>0</v>
      </c>
      <c r="U110" s="131">
        <f>'Stasiun Pontianak Kota'!V160</f>
        <v>0</v>
      </c>
      <c r="V110" s="131">
        <f>'Stasiun Pontianak Kota'!W160</f>
        <v>31</v>
      </c>
      <c r="W110" s="131">
        <f>'Stasiun Pontianak Kota'!X160</f>
        <v>0</v>
      </c>
      <c r="X110" s="131">
        <f>'Stasiun Pontianak Kota'!Y160</f>
        <v>4</v>
      </c>
      <c r="Y110" s="131">
        <f>'Stasiun Pontianak Kota'!Z160</f>
        <v>0</v>
      </c>
      <c r="Z110" s="131">
        <f>'Stasiun Pontianak Kota'!AA160</f>
        <v>0</v>
      </c>
      <c r="AA110" s="131">
        <f>'Stasiun Pontianak Kota'!AB160</f>
        <v>0</v>
      </c>
      <c r="AC110" s="130">
        <v>21</v>
      </c>
      <c r="AD110" s="131">
        <f>'Sta. Meteorologi pnk'!B118</f>
        <v>20.8</v>
      </c>
      <c r="AE110" s="131">
        <f>'Sta. Meteorologi pnk'!C118</f>
        <v>0</v>
      </c>
      <c r="AF110" s="131">
        <f>'Sta. Meteorologi pnk'!D118</f>
        <v>0</v>
      </c>
      <c r="AG110" s="131">
        <f>'Sta. Meteorologi pnk'!E118</f>
        <v>0</v>
      </c>
      <c r="AH110" s="131">
        <f>'Sta. Meteorologi pnk'!F118</f>
        <v>0</v>
      </c>
      <c r="AI110" s="131">
        <f>'Sta. Meteorologi pnk'!G118</f>
        <v>0</v>
      </c>
      <c r="AJ110" s="131">
        <f>'Sta. Meteorologi pnk'!H118</f>
        <v>0</v>
      </c>
      <c r="AK110" s="131">
        <f>'Sta. Meteorologi pnk'!I118</f>
        <v>0</v>
      </c>
      <c r="AL110" s="131">
        <f>'Sta. Meteorologi pnk'!J118</f>
        <v>0.3</v>
      </c>
      <c r="AM110" s="131">
        <f>'Sta. Meteorologi pnk'!K118</f>
        <v>0</v>
      </c>
      <c r="AN110" s="131">
        <f>'Sta. Meteorologi pnk'!L118</f>
        <v>24</v>
      </c>
      <c r="AO110" s="131">
        <f>'Sta. Meteorologi pnk'!M118</f>
        <v>0</v>
      </c>
      <c r="AQ110" s="130">
        <v>21</v>
      </c>
      <c r="AR110" s="131">
        <f t="shared" si="62"/>
        <v>14.712460374990531</v>
      </c>
      <c r="AS110" s="131">
        <f t="shared" si="60"/>
        <v>0</v>
      </c>
      <c r="AT110" s="131">
        <f t="shared" si="60"/>
        <v>0</v>
      </c>
      <c r="AU110" s="131">
        <f t="shared" si="60"/>
        <v>0</v>
      </c>
      <c r="AV110" s="131">
        <f t="shared" si="60"/>
        <v>0</v>
      </c>
      <c r="AW110" s="131">
        <f t="shared" si="60"/>
        <v>0</v>
      </c>
      <c r="AX110" s="131">
        <f t="shared" si="60"/>
        <v>10.037964275281567</v>
      </c>
      <c r="AY110" s="131">
        <f t="shared" si="60"/>
        <v>0</v>
      </c>
      <c r="AZ110" s="131">
        <f t="shared" si="60"/>
        <v>1.4980796070497355</v>
      </c>
      <c r="BA110" s="131">
        <f t="shared" si="60"/>
        <v>0</v>
      </c>
      <c r="BB110" s="131">
        <f t="shared" si="60"/>
        <v>16.22867281913685</v>
      </c>
      <c r="BC110" s="131">
        <f t="shared" si="60"/>
        <v>0</v>
      </c>
      <c r="BE110" s="130">
        <v>21</v>
      </c>
      <c r="BF110" s="131">
        <f t="shared" si="63"/>
        <v>13.894031535073525</v>
      </c>
      <c r="BG110" s="131">
        <f t="shared" si="61"/>
        <v>0</v>
      </c>
      <c r="BH110" s="131">
        <f t="shared" si="61"/>
        <v>0</v>
      </c>
      <c r="BI110" s="131">
        <f t="shared" si="61"/>
        <v>0</v>
      </c>
      <c r="BJ110" s="131">
        <f t="shared" si="61"/>
        <v>0</v>
      </c>
      <c r="BK110" s="131">
        <f t="shared" si="61"/>
        <v>0</v>
      </c>
      <c r="BL110" s="131">
        <f t="shared" si="61"/>
        <v>11.387501192165997</v>
      </c>
      <c r="BM110" s="131">
        <f t="shared" si="61"/>
        <v>0</v>
      </c>
      <c r="BN110" s="131">
        <f t="shared" si="61"/>
        <v>1.6591533680972319</v>
      </c>
      <c r="BO110" s="131">
        <f t="shared" si="61"/>
        <v>0</v>
      </c>
      <c r="BP110" s="131">
        <f t="shared" si="61"/>
        <v>15.183870044774713</v>
      </c>
      <c r="BQ110" s="131">
        <f t="shared" si="61"/>
        <v>0</v>
      </c>
    </row>
    <row r="111" spans="1:69">
      <c r="A111" s="130">
        <v>22</v>
      </c>
      <c r="B111" s="131">
        <f>IF('Data 2'!B111&lt;0.1,0,'Data 2'!B111)</f>
        <v>0.67145161553125965</v>
      </c>
      <c r="C111" s="131">
        <f>IF('Data 2'!C111&lt;0.1,0,'Data 2'!C111)</f>
        <v>0</v>
      </c>
      <c r="D111" s="131">
        <f>IF('Data 2'!D111&lt;0.1,0,'Data 2'!D111)</f>
        <v>0</v>
      </c>
      <c r="E111" s="131">
        <f>IF('Data 2'!E111&lt;0.1,0,'Data 2'!E111)</f>
        <v>0</v>
      </c>
      <c r="F111" s="131">
        <f>IF('Data 2'!F111&lt;0.1,0,'Data 2'!F111)</f>
        <v>1.3429032310625193</v>
      </c>
      <c r="G111" s="131">
        <f>IF('Data 2'!G111&lt;0.1,0,'Data 2'!G111)</f>
        <v>0</v>
      </c>
      <c r="H111" s="131">
        <f>IF('Data 2'!H111&lt;0.1,0,'Data 2'!H111)</f>
        <v>0</v>
      </c>
      <c r="I111" s="131">
        <f>IF('Data 2'!I111&lt;0.1,0,'Data 2'!I111)</f>
        <v>0</v>
      </c>
      <c r="J111" s="131">
        <f>IF('Data 2'!J111&lt;0.1,0,'Data 2'!J111)</f>
        <v>0</v>
      </c>
      <c r="K111" s="131">
        <f>IF('Data 2'!K111&lt;0.1,0,'Data 2'!K111)</f>
        <v>0</v>
      </c>
      <c r="L111" s="131">
        <f>IF('Data 2'!L111&lt;0.1,0,'Data 2'!L111)</f>
        <v>0.13141935378749611</v>
      </c>
      <c r="M111" s="131">
        <f>IF('Data 2'!M111&lt;0.1,0,'Data 2'!M111)</f>
        <v>0</v>
      </c>
      <c r="O111" s="130">
        <v>22</v>
      </c>
      <c r="P111" s="131">
        <f>'Stasiun Pontianak Kota'!Q161</f>
        <v>1</v>
      </c>
      <c r="Q111" s="131">
        <f>'Stasiun Pontianak Kota'!R161</f>
        <v>0</v>
      </c>
      <c r="R111" s="131">
        <f>'Stasiun Pontianak Kota'!S161</f>
        <v>0</v>
      </c>
      <c r="S111" s="131">
        <f>'Stasiun Pontianak Kota'!T161</f>
        <v>0</v>
      </c>
      <c r="T111" s="131">
        <f>'Stasiun Pontianak Kota'!U161</f>
        <v>2</v>
      </c>
      <c r="U111" s="131">
        <f>'Stasiun Pontianak Kota'!V161</f>
        <v>0</v>
      </c>
      <c r="V111" s="131">
        <f>'Stasiun Pontianak Kota'!W161</f>
        <v>0</v>
      </c>
      <c r="W111" s="131">
        <f>'Stasiun Pontianak Kota'!X161</f>
        <v>0</v>
      </c>
      <c r="X111" s="131">
        <f>'Stasiun Pontianak Kota'!Y161</f>
        <v>0</v>
      </c>
      <c r="Y111" s="131">
        <f>'Stasiun Pontianak Kota'!Z161</f>
        <v>0</v>
      </c>
      <c r="Z111" s="131">
        <f>'Stasiun Pontianak Kota'!AA161</f>
        <v>0</v>
      </c>
      <c r="AA111" s="131">
        <f>'Stasiun Pontianak Kota'!AB161</f>
        <v>0</v>
      </c>
      <c r="AC111" s="130">
        <v>22</v>
      </c>
      <c r="AD111" s="131">
        <f>'Sta. Meteorologi pnk'!B119</f>
        <v>0</v>
      </c>
      <c r="AE111" s="131">
        <f>'Sta. Meteorologi pnk'!C119</f>
        <v>0</v>
      </c>
      <c r="AF111" s="131">
        <f>'Sta. Meteorologi pnk'!D119</f>
        <v>0</v>
      </c>
      <c r="AG111" s="131">
        <f>'Sta. Meteorologi pnk'!E119</f>
        <v>0</v>
      </c>
      <c r="AH111" s="131">
        <f>'Sta. Meteorologi pnk'!F119</f>
        <v>0</v>
      </c>
      <c r="AI111" s="131">
        <f>'Sta. Meteorologi pnk'!G119</f>
        <v>0</v>
      </c>
      <c r="AJ111" s="131">
        <f>'Sta. Meteorologi pnk'!H119</f>
        <v>0</v>
      </c>
      <c r="AK111" s="131">
        <f>'Sta. Meteorologi pnk'!I119</f>
        <v>0</v>
      </c>
      <c r="AL111" s="131">
        <f>'Sta. Meteorologi pnk'!J119</f>
        <v>0</v>
      </c>
      <c r="AM111" s="131">
        <f>'Sta. Meteorologi pnk'!K119</f>
        <v>0</v>
      </c>
      <c r="AN111" s="131">
        <f>'Sta. Meteorologi pnk'!L119</f>
        <v>0.4</v>
      </c>
      <c r="AO111" s="131">
        <f>'Sta. Meteorologi pnk'!M119</f>
        <v>0</v>
      </c>
      <c r="AQ111" s="130">
        <v>22</v>
      </c>
      <c r="AR111" s="131">
        <f t="shared" si="62"/>
        <v>0.32380529920263124</v>
      </c>
      <c r="AS111" s="131">
        <f t="shared" si="60"/>
        <v>0</v>
      </c>
      <c r="AT111" s="131">
        <f t="shared" si="60"/>
        <v>0</v>
      </c>
      <c r="AU111" s="131">
        <f t="shared" si="60"/>
        <v>0</v>
      </c>
      <c r="AV111" s="131">
        <f t="shared" si="60"/>
        <v>0.64761059840526247</v>
      </c>
      <c r="AW111" s="131">
        <f t="shared" si="60"/>
        <v>0</v>
      </c>
      <c r="AX111" s="131">
        <f t="shared" si="60"/>
        <v>0</v>
      </c>
      <c r="AY111" s="131">
        <f t="shared" si="60"/>
        <v>0</v>
      </c>
      <c r="AZ111" s="131">
        <f t="shared" si="60"/>
        <v>0</v>
      </c>
      <c r="BA111" s="131">
        <f t="shared" si="60"/>
        <v>0</v>
      </c>
      <c r="BB111" s="131">
        <f t="shared" si="60"/>
        <v>0.27047788031894748</v>
      </c>
      <c r="BC111" s="131">
        <f t="shared" si="60"/>
        <v>0</v>
      </c>
      <c r="BE111" s="130">
        <v>22</v>
      </c>
      <c r="BF111" s="131">
        <f t="shared" si="63"/>
        <v>0.36733874813438699</v>
      </c>
      <c r="BG111" s="131">
        <f t="shared" si="61"/>
        <v>0</v>
      </c>
      <c r="BH111" s="131">
        <f t="shared" si="61"/>
        <v>0</v>
      </c>
      <c r="BI111" s="131">
        <f t="shared" si="61"/>
        <v>0</v>
      </c>
      <c r="BJ111" s="131">
        <f t="shared" si="61"/>
        <v>0.73467749626877399</v>
      </c>
      <c r="BK111" s="131">
        <f t="shared" si="61"/>
        <v>0</v>
      </c>
      <c r="BL111" s="131">
        <f t="shared" si="61"/>
        <v>0</v>
      </c>
      <c r="BM111" s="131">
        <f t="shared" si="61"/>
        <v>0</v>
      </c>
      <c r="BN111" s="131">
        <f t="shared" si="61"/>
        <v>0</v>
      </c>
      <c r="BO111" s="131">
        <f t="shared" si="61"/>
        <v>0</v>
      </c>
      <c r="BP111" s="131">
        <f t="shared" si="61"/>
        <v>0.2530645007462452</v>
      </c>
      <c r="BQ111" s="131">
        <f t="shared" si="61"/>
        <v>0</v>
      </c>
    </row>
    <row r="112" spans="1:69">
      <c r="A112" s="130">
        <v>23</v>
      </c>
      <c r="B112" s="131">
        <f>IF('Data 2'!B112&lt;0.1,0,'Data 2'!B112)</f>
        <v>33.572580776562987</v>
      </c>
      <c r="C112" s="131">
        <f>IF('Data 2'!C112&lt;0.1,0,'Data 2'!C112)</f>
        <v>0</v>
      </c>
      <c r="D112" s="131">
        <f>IF('Data 2'!D112&lt;0.1,0,'Data 2'!D112)</f>
        <v>0</v>
      </c>
      <c r="E112" s="131">
        <f>IF('Data 2'!E112&lt;0.1,0,'Data 2'!E112)</f>
        <v>0</v>
      </c>
      <c r="F112" s="131">
        <f>IF('Data 2'!F112&lt;0.1,0,'Data 2'!F112)</f>
        <v>16.786290388281493</v>
      </c>
      <c r="G112" s="131">
        <f>IF('Data 2'!G112&lt;0.1,0,'Data 2'!G112)</f>
        <v>0</v>
      </c>
      <c r="H112" s="131">
        <f>IF('Data 2'!H112&lt;0.1,0,'Data 2'!H112)</f>
        <v>0</v>
      </c>
      <c r="I112" s="131">
        <f>IF('Data 2'!I112&lt;0.1,0,'Data 2'!I112)</f>
        <v>0</v>
      </c>
      <c r="J112" s="131">
        <f>IF('Data 2'!J112&lt;0.1,0,'Data 2'!J112)</f>
        <v>0</v>
      </c>
      <c r="K112" s="131">
        <f>IF('Data 2'!K112&lt;0.1,0,'Data 2'!K112)</f>
        <v>18.860290355693873</v>
      </c>
      <c r="L112" s="131">
        <f>IF('Data 2'!L112&lt;0.1,0,'Data 2'!L112)</f>
        <v>0.8542257996187248</v>
      </c>
      <c r="M112" s="131">
        <f>IF('Data 2'!M112&lt;0.1,0,'Data 2'!M112)</f>
        <v>0</v>
      </c>
      <c r="O112" s="130">
        <v>23</v>
      </c>
      <c r="P112" s="131">
        <f>'Stasiun Pontianak Kota'!Q162</f>
        <v>50</v>
      </c>
      <c r="Q112" s="131">
        <f>'Stasiun Pontianak Kota'!R162</f>
        <v>0</v>
      </c>
      <c r="R112" s="131">
        <f>'Stasiun Pontianak Kota'!S162</f>
        <v>0</v>
      </c>
      <c r="S112" s="131">
        <f>'Stasiun Pontianak Kota'!T162</f>
        <v>0</v>
      </c>
      <c r="T112" s="131">
        <f>'Stasiun Pontianak Kota'!U162</f>
        <v>25</v>
      </c>
      <c r="U112" s="131">
        <f>'Stasiun Pontianak Kota'!V162</f>
        <v>0</v>
      </c>
      <c r="V112" s="131">
        <f>'Stasiun Pontianak Kota'!W162</f>
        <v>0</v>
      </c>
      <c r="W112" s="131">
        <f>'Stasiun Pontianak Kota'!X162</f>
        <v>0</v>
      </c>
      <c r="X112" s="131">
        <f>'Stasiun Pontianak Kota'!Y162</f>
        <v>0</v>
      </c>
      <c r="Y112" s="131">
        <f>'Stasiun Pontianak Kota'!Z162</f>
        <v>23</v>
      </c>
      <c r="Z112" s="131">
        <f>'Stasiun Pontianak Kota'!AA162</f>
        <v>0</v>
      </c>
      <c r="AA112" s="131">
        <f>'Stasiun Pontianak Kota'!AB162</f>
        <v>0</v>
      </c>
      <c r="AC112" s="130">
        <v>23</v>
      </c>
      <c r="AD112" s="131">
        <f>'Sta. Meteorologi pnk'!B120</f>
        <v>0</v>
      </c>
      <c r="AE112" s="131">
        <f>'Sta. Meteorologi pnk'!C120</f>
        <v>0</v>
      </c>
      <c r="AF112" s="131">
        <f>'Sta. Meteorologi pnk'!D120</f>
        <v>0</v>
      </c>
      <c r="AG112" s="131">
        <f>'Sta. Meteorologi pnk'!E120</f>
        <v>0</v>
      </c>
      <c r="AH112" s="131">
        <f>'Sta. Meteorologi pnk'!F120</f>
        <v>0</v>
      </c>
      <c r="AI112" s="131">
        <f>'Sta. Meteorologi pnk'!G120</f>
        <v>0</v>
      </c>
      <c r="AJ112" s="131">
        <f>'Sta. Meteorologi pnk'!H120</f>
        <v>0</v>
      </c>
      <c r="AK112" s="131">
        <f>'Sta. Meteorologi pnk'!I120</f>
        <v>0</v>
      </c>
      <c r="AL112" s="131">
        <f>'Sta. Meteorologi pnk'!J120</f>
        <v>0</v>
      </c>
      <c r="AM112" s="131">
        <f>'Sta. Meteorologi pnk'!K120</f>
        <v>10.4</v>
      </c>
      <c r="AN112" s="131">
        <f>'Sta. Meteorologi pnk'!L120</f>
        <v>2.6</v>
      </c>
      <c r="AO112" s="131">
        <f>'Sta. Meteorologi pnk'!M120</f>
        <v>0</v>
      </c>
      <c r="AQ112" s="130">
        <v>23</v>
      </c>
      <c r="AR112" s="131">
        <f t="shared" si="62"/>
        <v>16.190264960131561</v>
      </c>
      <c r="AS112" s="131">
        <f t="shared" si="60"/>
        <v>0</v>
      </c>
      <c r="AT112" s="131">
        <f t="shared" si="60"/>
        <v>0</v>
      </c>
      <c r="AU112" s="131">
        <f t="shared" si="60"/>
        <v>0</v>
      </c>
      <c r="AV112" s="131">
        <f t="shared" si="60"/>
        <v>8.0951324800657805</v>
      </c>
      <c r="AW112" s="131">
        <f t="shared" si="60"/>
        <v>0</v>
      </c>
      <c r="AX112" s="131">
        <f t="shared" si="60"/>
        <v>0</v>
      </c>
      <c r="AY112" s="131">
        <f t="shared" si="60"/>
        <v>0</v>
      </c>
      <c r="AZ112" s="131">
        <f t="shared" si="60"/>
        <v>0</v>
      </c>
      <c r="BA112" s="131">
        <f t="shared" si="60"/>
        <v>14.479946769953152</v>
      </c>
      <c r="BB112" s="131">
        <f t="shared" si="60"/>
        <v>1.7581062220731587</v>
      </c>
      <c r="BC112" s="131">
        <f t="shared" si="60"/>
        <v>0</v>
      </c>
      <c r="BE112" s="130">
        <v>23</v>
      </c>
      <c r="BF112" s="131">
        <f t="shared" si="63"/>
        <v>18.366937406719352</v>
      </c>
      <c r="BG112" s="131">
        <f t="shared" si="61"/>
        <v>0</v>
      </c>
      <c r="BH112" s="131">
        <f t="shared" si="61"/>
        <v>0</v>
      </c>
      <c r="BI112" s="131">
        <f t="shared" si="61"/>
        <v>0</v>
      </c>
      <c r="BJ112" s="131">
        <f t="shared" si="61"/>
        <v>9.1834687033596758</v>
      </c>
      <c r="BK112" s="131">
        <f t="shared" si="61"/>
        <v>0</v>
      </c>
      <c r="BL112" s="131">
        <f t="shared" si="61"/>
        <v>0</v>
      </c>
      <c r="BM112" s="131">
        <f t="shared" si="61"/>
        <v>0</v>
      </c>
      <c r="BN112" s="131">
        <f t="shared" si="61"/>
        <v>0</v>
      </c>
      <c r="BO112" s="131">
        <f t="shared" si="61"/>
        <v>15.028468226493278</v>
      </c>
      <c r="BP112" s="131">
        <f t="shared" si="61"/>
        <v>1.644919254850594</v>
      </c>
      <c r="BQ112" s="131">
        <f t="shared" si="61"/>
        <v>0</v>
      </c>
    </row>
    <row r="113" spans="1:82">
      <c r="A113" s="130">
        <v>24</v>
      </c>
      <c r="B113" s="131">
        <f>IF('Data 2'!B113&lt;0.1,0,'Data 2'!B113)</f>
        <v>0</v>
      </c>
      <c r="C113" s="131">
        <f>IF('Data 2'!C113&lt;0.1,0,'Data 2'!C113)</f>
        <v>0</v>
      </c>
      <c r="D113" s="131">
        <f>IF('Data 2'!D113&lt;0.1,0,'Data 2'!D113)</f>
        <v>0</v>
      </c>
      <c r="E113" s="131">
        <f>IF('Data 2'!E113&lt;0.1,0,'Data 2'!E113)</f>
        <v>0</v>
      </c>
      <c r="F113" s="131">
        <f>IF('Data 2'!F113&lt;0.1,0,'Data 2'!F113)</f>
        <v>12.086129079562673</v>
      </c>
      <c r="G113" s="131">
        <f>IF('Data 2'!G113&lt;0.1,0,'Data 2'!G113)</f>
        <v>0</v>
      </c>
      <c r="H113" s="131">
        <f>IF('Data 2'!H113&lt;0.1,0,'Data 2'!H113)</f>
        <v>0</v>
      </c>
      <c r="I113" s="131">
        <f>IF('Data 2'!I113&lt;0.1,0,'Data 2'!I113)</f>
        <v>0</v>
      </c>
      <c r="J113" s="131">
        <f>IF('Data 2'!J113&lt;0.1,0,'Data 2'!J113)</f>
        <v>0</v>
      </c>
      <c r="K113" s="131">
        <f>IF('Data 2'!K113&lt;0.1,0,'Data 2'!K113)</f>
        <v>45.757580695093935</v>
      </c>
      <c r="L113" s="131">
        <f>IF('Data 2'!L113&lt;0.1,0,'Data 2'!L113)</f>
        <v>1.248483860981213</v>
      </c>
      <c r="M113" s="131">
        <f>IF('Data 2'!M113&lt;0.1,0,'Data 2'!M113)</f>
        <v>0.19712903068124416</v>
      </c>
      <c r="O113" s="130">
        <v>24</v>
      </c>
      <c r="P113" s="131">
        <f>'Stasiun Pontianak Kota'!Q163</f>
        <v>0</v>
      </c>
      <c r="Q113" s="131">
        <f>'Stasiun Pontianak Kota'!R163</f>
        <v>0</v>
      </c>
      <c r="R113" s="131">
        <f>'Stasiun Pontianak Kota'!S163</f>
        <v>0</v>
      </c>
      <c r="S113" s="131">
        <f>'Stasiun Pontianak Kota'!T163</f>
        <v>0</v>
      </c>
      <c r="T113" s="131">
        <f>'Stasiun Pontianak Kota'!U163</f>
        <v>18</v>
      </c>
      <c r="U113" s="131">
        <f>'Stasiun Pontianak Kota'!V163</f>
        <v>0</v>
      </c>
      <c r="V113" s="131">
        <f>'Stasiun Pontianak Kota'!W163</f>
        <v>0</v>
      </c>
      <c r="W113" s="131">
        <f>'Stasiun Pontianak Kota'!X163</f>
        <v>0</v>
      </c>
      <c r="X113" s="131">
        <f>'Stasiun Pontianak Kota'!Y163</f>
        <v>0</v>
      </c>
      <c r="Y113" s="131">
        <f>'Stasiun Pontianak Kota'!Z163</f>
        <v>52</v>
      </c>
      <c r="Z113" s="131">
        <f>'Stasiun Pontianak Kota'!AA163</f>
        <v>0</v>
      </c>
      <c r="AA113" s="131">
        <f>'Stasiun Pontianak Kota'!AB163</f>
        <v>0</v>
      </c>
      <c r="AC113" s="130">
        <v>24</v>
      </c>
      <c r="AD113" s="131">
        <f>'Sta. Meteorologi pnk'!B121</f>
        <v>0</v>
      </c>
      <c r="AE113" s="131">
        <f>'Sta. Meteorologi pnk'!C121</f>
        <v>0</v>
      </c>
      <c r="AF113" s="131">
        <f>'Sta. Meteorologi pnk'!D121</f>
        <v>0</v>
      </c>
      <c r="AG113" s="131">
        <f>'Sta. Meteorologi pnk'!E121</f>
        <v>0</v>
      </c>
      <c r="AH113" s="131">
        <f>'Sta. Meteorologi pnk'!F121</f>
        <v>0</v>
      </c>
      <c r="AI113" s="131">
        <f>'Sta. Meteorologi pnk'!G121</f>
        <v>0</v>
      </c>
      <c r="AJ113" s="131">
        <f>'Sta. Meteorologi pnk'!H121</f>
        <v>0</v>
      </c>
      <c r="AK113" s="131">
        <f>'Sta. Meteorologi pnk'!I121</f>
        <v>0</v>
      </c>
      <c r="AL113" s="131">
        <f>'Sta. Meteorologi pnk'!J121</f>
        <v>0</v>
      </c>
      <c r="AM113" s="131">
        <f>'Sta. Meteorologi pnk'!K121</f>
        <v>33</v>
      </c>
      <c r="AN113" s="131">
        <f>'Sta. Meteorologi pnk'!L121</f>
        <v>3.8</v>
      </c>
      <c r="AO113" s="131">
        <f>'Sta. Meteorologi pnk'!M121</f>
        <v>0.6</v>
      </c>
      <c r="AQ113" s="130">
        <v>24</v>
      </c>
      <c r="AR113" s="131">
        <f t="shared" si="62"/>
        <v>0</v>
      </c>
      <c r="AS113" s="131">
        <f t="shared" si="60"/>
        <v>0</v>
      </c>
      <c r="AT113" s="131">
        <f t="shared" si="60"/>
        <v>0</v>
      </c>
      <c r="AU113" s="131">
        <f t="shared" ref="AU113:BC120" si="64">((S113/($AV$1^2))+(AG113/($AV$2^2)))/((1/($AV$1^2))+(1/($AV$2^2)))</f>
        <v>0</v>
      </c>
      <c r="AV113" s="131">
        <f t="shared" si="64"/>
        <v>5.8284953856473614</v>
      </c>
      <c r="AW113" s="131">
        <f t="shared" si="64"/>
        <v>0</v>
      </c>
      <c r="AX113" s="131">
        <f t="shared" si="64"/>
        <v>0</v>
      </c>
      <c r="AY113" s="131">
        <f t="shared" si="64"/>
        <v>0</v>
      </c>
      <c r="AZ113" s="131">
        <f t="shared" si="64"/>
        <v>0</v>
      </c>
      <c r="BA113" s="131">
        <f t="shared" si="64"/>
        <v>39.15230068484999</v>
      </c>
      <c r="BB113" s="131">
        <f t="shared" si="64"/>
        <v>2.569539863030001</v>
      </c>
      <c r="BC113" s="131">
        <f t="shared" si="64"/>
        <v>0.40571682047842123</v>
      </c>
      <c r="BE113" s="130">
        <v>24</v>
      </c>
      <c r="BF113" s="131">
        <f t="shared" si="63"/>
        <v>0</v>
      </c>
      <c r="BG113" s="131">
        <f t="shared" si="61"/>
        <v>0</v>
      </c>
      <c r="BH113" s="131">
        <f t="shared" si="61"/>
        <v>0</v>
      </c>
      <c r="BI113" s="131">
        <f t="shared" ref="BI113:BQ120" si="65">((E113/($BI$1^2))+(S113/($AV$1^2))+(AG113/($AV$2^2)))/((1/($BI$1^2))+(1/($AV$1^2))+(1/($AV$2^2)))</f>
        <v>0</v>
      </c>
      <c r="BJ113" s="131">
        <f t="shared" si="65"/>
        <v>6.6120974664189651</v>
      </c>
      <c r="BK113" s="131">
        <f t="shared" si="65"/>
        <v>0</v>
      </c>
      <c r="BL113" s="131">
        <f t="shared" si="65"/>
        <v>0</v>
      </c>
      <c r="BM113" s="131">
        <f t="shared" si="65"/>
        <v>0</v>
      </c>
      <c r="BN113" s="131">
        <f t="shared" si="65"/>
        <v>0</v>
      </c>
      <c r="BO113" s="131">
        <f t="shared" si="65"/>
        <v>39.979436214553353</v>
      </c>
      <c r="BP113" s="131">
        <f t="shared" si="65"/>
        <v>2.4041127570893295</v>
      </c>
      <c r="BQ113" s="131">
        <f t="shared" si="65"/>
        <v>0.37959675111936775</v>
      </c>
    </row>
    <row r="114" spans="1:82">
      <c r="A114" s="130">
        <v>25</v>
      </c>
      <c r="B114" s="131">
        <f>IF('Data 2'!B114&lt;0.1,0,'Data 2'!B114)</f>
        <v>30.878790347546968</v>
      </c>
      <c r="C114" s="131">
        <f>IF('Data 2'!C114&lt;0.1,0,'Data 2'!C114)</f>
        <v>0</v>
      </c>
      <c r="D114" s="131">
        <f>IF('Data 2'!D114&lt;0.1,0,'Data 2'!D114)</f>
        <v>0</v>
      </c>
      <c r="E114" s="131">
        <f>IF('Data 2'!E114&lt;0.1,0,'Data 2'!E114)</f>
        <v>0</v>
      </c>
      <c r="F114" s="131">
        <f>IF('Data 2'!F114&lt;0.1,0,'Data 2'!F114)</f>
        <v>0</v>
      </c>
      <c r="G114" s="131">
        <f>IF('Data 2'!G114&lt;0.1,0,'Data 2'!G114)</f>
        <v>0</v>
      </c>
      <c r="H114" s="131">
        <f>IF('Data 2'!H114&lt;0.1,0,'Data 2'!H114)</f>
        <v>6.7145161553125963</v>
      </c>
      <c r="I114" s="131">
        <f>IF('Data 2'!I114&lt;0.1,0,'Data 2'!I114)</f>
        <v>0</v>
      </c>
      <c r="J114" s="131">
        <f>IF('Data 2'!J114&lt;0.1,0,'Data 2'!J114)</f>
        <v>0</v>
      </c>
      <c r="K114" s="131">
        <f>IF('Data 2'!K114&lt;0.1,0,'Data 2'!K114)</f>
        <v>0</v>
      </c>
      <c r="L114" s="131">
        <f>IF('Data 2'!L114&lt;0.1,0,'Data 2'!L114)</f>
        <v>0</v>
      </c>
      <c r="M114" s="131">
        <f>IF('Data 2'!M114&lt;0.1,0,'Data 2'!M114)</f>
        <v>0</v>
      </c>
      <c r="O114" s="130">
        <v>25</v>
      </c>
      <c r="P114" s="131">
        <f>'Stasiun Pontianak Kota'!Q164</f>
        <v>34</v>
      </c>
      <c r="Q114" s="131">
        <f>'Stasiun Pontianak Kota'!R164</f>
        <v>0</v>
      </c>
      <c r="R114" s="131">
        <f>'Stasiun Pontianak Kota'!S164</f>
        <v>0</v>
      </c>
      <c r="S114" s="131">
        <f>'Stasiun Pontianak Kota'!T164</f>
        <v>0</v>
      </c>
      <c r="T114" s="131">
        <f>'Stasiun Pontianak Kota'!U164</f>
        <v>0</v>
      </c>
      <c r="U114" s="131">
        <f>'Stasiun Pontianak Kota'!V164</f>
        <v>0</v>
      </c>
      <c r="V114" s="131">
        <f>'Stasiun Pontianak Kota'!W164</f>
        <v>10</v>
      </c>
      <c r="W114" s="131">
        <f>'Stasiun Pontianak Kota'!X164</f>
        <v>0</v>
      </c>
      <c r="X114" s="131">
        <f>'Stasiun Pontianak Kota'!Y164</f>
        <v>0</v>
      </c>
      <c r="Y114" s="131">
        <f>'Stasiun Pontianak Kota'!Z164</f>
        <v>0</v>
      </c>
      <c r="Z114" s="131">
        <f>'Stasiun Pontianak Kota'!AA164</f>
        <v>0</v>
      </c>
      <c r="AA114" s="131">
        <f>'Stasiun Pontianak Kota'!AB164</f>
        <v>0</v>
      </c>
      <c r="AC114" s="130">
        <v>25</v>
      </c>
      <c r="AD114" s="131">
        <f>'Sta. Meteorologi pnk'!B122</f>
        <v>24.5</v>
      </c>
      <c r="AE114" s="131">
        <f>'Sta. Meteorologi pnk'!C122</f>
        <v>0</v>
      </c>
      <c r="AF114" s="131">
        <f>'Sta. Meteorologi pnk'!D122</f>
        <v>0</v>
      </c>
      <c r="AG114" s="131">
        <f>'Sta. Meteorologi pnk'!E122</f>
        <v>0</v>
      </c>
      <c r="AH114" s="131">
        <f>'Sta. Meteorologi pnk'!F122</f>
        <v>0</v>
      </c>
      <c r="AI114" s="131">
        <f>'Sta. Meteorologi pnk'!G122</f>
        <v>0</v>
      </c>
      <c r="AJ114" s="131">
        <f>'Sta. Meteorologi pnk'!H122</f>
        <v>0</v>
      </c>
      <c r="AK114" s="131">
        <f>'Sta. Meteorologi pnk'!I122</f>
        <v>0</v>
      </c>
      <c r="AL114" s="131">
        <f>'Sta. Meteorologi pnk'!J122</f>
        <v>0</v>
      </c>
      <c r="AM114" s="131">
        <f>'Sta. Meteorologi pnk'!K122</f>
        <v>0</v>
      </c>
      <c r="AN114" s="131">
        <f>'Sta. Meteorologi pnk'!L122</f>
        <v>0</v>
      </c>
      <c r="AO114" s="131">
        <f>'Sta. Meteorologi pnk'!M122</f>
        <v>0</v>
      </c>
      <c r="AQ114" s="130">
        <v>25</v>
      </c>
      <c r="AR114" s="131">
        <f t="shared" si="62"/>
        <v>27.576150342424995</v>
      </c>
      <c r="AS114" s="131">
        <f t="shared" si="62"/>
        <v>0</v>
      </c>
      <c r="AT114" s="131">
        <f t="shared" si="62"/>
        <v>0</v>
      </c>
      <c r="AU114" s="131">
        <f t="shared" si="64"/>
        <v>0</v>
      </c>
      <c r="AV114" s="131">
        <f t="shared" si="64"/>
        <v>0</v>
      </c>
      <c r="AW114" s="131">
        <f t="shared" si="64"/>
        <v>0</v>
      </c>
      <c r="AX114" s="131">
        <f t="shared" si="64"/>
        <v>3.2380529920263119</v>
      </c>
      <c r="AY114" s="131">
        <f t="shared" si="64"/>
        <v>0</v>
      </c>
      <c r="AZ114" s="131">
        <f t="shared" si="64"/>
        <v>0</v>
      </c>
      <c r="BA114" s="131">
        <f t="shared" si="64"/>
        <v>0</v>
      </c>
      <c r="BB114" s="131">
        <f t="shared" si="64"/>
        <v>0</v>
      </c>
      <c r="BC114" s="131">
        <f t="shared" si="64"/>
        <v>0</v>
      </c>
      <c r="BE114" s="130">
        <v>25</v>
      </c>
      <c r="BF114" s="131">
        <f t="shared" si="63"/>
        <v>27.98971810727668</v>
      </c>
      <c r="BG114" s="131">
        <f t="shared" si="63"/>
        <v>0</v>
      </c>
      <c r="BH114" s="131">
        <f t="shared" si="63"/>
        <v>0</v>
      </c>
      <c r="BI114" s="131">
        <f t="shared" si="65"/>
        <v>0</v>
      </c>
      <c r="BJ114" s="131">
        <f t="shared" si="65"/>
        <v>0</v>
      </c>
      <c r="BK114" s="131">
        <f t="shared" si="65"/>
        <v>0</v>
      </c>
      <c r="BL114" s="131">
        <f t="shared" si="65"/>
        <v>3.6733874813438696</v>
      </c>
      <c r="BM114" s="131">
        <f t="shared" si="65"/>
        <v>0</v>
      </c>
      <c r="BN114" s="131">
        <f t="shared" si="65"/>
        <v>0</v>
      </c>
      <c r="BO114" s="131">
        <f t="shared" si="65"/>
        <v>0</v>
      </c>
      <c r="BP114" s="131">
        <f t="shared" si="65"/>
        <v>0</v>
      </c>
      <c r="BQ114" s="131">
        <f t="shared" si="65"/>
        <v>0</v>
      </c>
    </row>
    <row r="115" spans="1:82">
      <c r="A115" s="130">
        <v>26</v>
      </c>
      <c r="B115" s="131">
        <f>IF('Data 2'!B115&lt;0.1,0,'Data 2'!B115)</f>
        <v>0</v>
      </c>
      <c r="C115" s="131">
        <f>IF('Data 2'!C115&lt;0.1,0,'Data 2'!C115)</f>
        <v>0</v>
      </c>
      <c r="D115" s="131">
        <f>IF('Data 2'!D115&lt;0.1,0,'Data 2'!D115)</f>
        <v>20.143548465937791</v>
      </c>
      <c r="E115" s="131">
        <f>IF('Data 2'!E115&lt;0.1,0,'Data 2'!E115)</f>
        <v>4.7001613087188172</v>
      </c>
      <c r="F115" s="131">
        <f>IF('Data 2'!F115&lt;0.1,0,'Data 2'!F115)</f>
        <v>0</v>
      </c>
      <c r="G115" s="131">
        <f>IF('Data 2'!G115&lt;0.1,0,'Data 2'!G115)</f>
        <v>0</v>
      </c>
      <c r="H115" s="131">
        <f>IF('Data 2'!H115&lt;0.1,0,'Data 2'!H115)</f>
        <v>26.858064621250385</v>
      </c>
      <c r="I115" s="131">
        <f>IF('Data 2'!I115&lt;0.1,0,'Data 2'!I115)</f>
        <v>0</v>
      </c>
      <c r="J115" s="131">
        <f>IF('Data 2'!J115&lt;0.1,0,'Data 2'!J115)</f>
        <v>0</v>
      </c>
      <c r="K115" s="131">
        <f>IF('Data 2'!K115&lt;0.1,0,'Data 2'!K115)</f>
        <v>0</v>
      </c>
      <c r="L115" s="131">
        <f>IF('Data 2'!L115&lt;0.1,0,'Data 2'!L115)</f>
        <v>4.0143548465937791</v>
      </c>
      <c r="M115" s="131">
        <f>IF('Data 2'!M115&lt;0.1,0,'Data 2'!M115)</f>
        <v>0</v>
      </c>
      <c r="O115" s="130">
        <v>26</v>
      </c>
      <c r="P115" s="131">
        <f>'Stasiun Pontianak Kota'!Q165</f>
        <v>0</v>
      </c>
      <c r="Q115" s="131">
        <f>'Stasiun Pontianak Kota'!R165</f>
        <v>0</v>
      </c>
      <c r="R115" s="131">
        <f>'Stasiun Pontianak Kota'!S165</f>
        <v>30</v>
      </c>
      <c r="S115" s="131">
        <f>'Stasiun Pontianak Kota'!T165</f>
        <v>7</v>
      </c>
      <c r="T115" s="131">
        <f>'Stasiun Pontianak Kota'!U165</f>
        <v>0</v>
      </c>
      <c r="U115" s="131">
        <f>'Stasiun Pontianak Kota'!V165</f>
        <v>0</v>
      </c>
      <c r="V115" s="131">
        <f>'Stasiun Pontianak Kota'!W165</f>
        <v>40</v>
      </c>
      <c r="W115" s="131">
        <f>'Stasiun Pontianak Kota'!X165</f>
        <v>0</v>
      </c>
      <c r="X115" s="131">
        <f>'Stasiun Pontianak Kota'!Y165</f>
        <v>0</v>
      </c>
      <c r="Y115" s="131">
        <f>'Stasiun Pontianak Kota'!Z165</f>
        <v>0</v>
      </c>
      <c r="Z115" s="131">
        <f>'Stasiun Pontianak Kota'!AA165</f>
        <v>5</v>
      </c>
      <c r="AA115" s="131">
        <f>'Stasiun Pontianak Kota'!AB165</f>
        <v>0</v>
      </c>
      <c r="AC115" s="130">
        <v>26</v>
      </c>
      <c r="AD115" s="131">
        <f>'Sta. Meteorologi pnk'!B123</f>
        <v>0.1</v>
      </c>
      <c r="AE115" s="131">
        <f>'Sta. Meteorologi pnk'!C123</f>
        <v>0</v>
      </c>
      <c r="AF115" s="131">
        <f>'Sta. Meteorologi pnk'!D123</f>
        <v>0</v>
      </c>
      <c r="AG115" s="131">
        <f>'Sta. Meteorologi pnk'!E123</f>
        <v>0</v>
      </c>
      <c r="AH115" s="131">
        <f>'Sta. Meteorologi pnk'!F123</f>
        <v>0</v>
      </c>
      <c r="AI115" s="131">
        <f>'Sta. Meteorologi pnk'!G123</f>
        <v>0</v>
      </c>
      <c r="AJ115" s="131">
        <f>'Sta. Meteorologi pnk'!H123</f>
        <v>0</v>
      </c>
      <c r="AK115" s="131">
        <f>'Sta. Meteorologi pnk'!I123</f>
        <v>0</v>
      </c>
      <c r="AL115" s="131">
        <f>'Sta. Meteorologi pnk'!J123</f>
        <v>0</v>
      </c>
      <c r="AM115" s="131">
        <f>'Sta. Meteorologi pnk'!K123</f>
        <v>0</v>
      </c>
      <c r="AN115" s="131">
        <f>'Sta. Meteorologi pnk'!L123</f>
        <v>2</v>
      </c>
      <c r="AO115" s="131">
        <f>'Sta. Meteorologi pnk'!M123</f>
        <v>0</v>
      </c>
      <c r="AQ115" s="130">
        <v>26</v>
      </c>
      <c r="AR115" s="131">
        <f t="shared" si="62"/>
        <v>6.7619470079736871E-2</v>
      </c>
      <c r="AS115" s="131">
        <f t="shared" si="62"/>
        <v>0</v>
      </c>
      <c r="AT115" s="131">
        <f t="shared" si="62"/>
        <v>9.7141589760789362</v>
      </c>
      <c r="AU115" s="131">
        <f t="shared" si="64"/>
        <v>2.2666370944184182</v>
      </c>
      <c r="AV115" s="131">
        <f t="shared" si="64"/>
        <v>0</v>
      </c>
      <c r="AW115" s="131">
        <f t="shared" si="64"/>
        <v>0</v>
      </c>
      <c r="AX115" s="131">
        <f t="shared" si="64"/>
        <v>12.952211968105248</v>
      </c>
      <c r="AY115" s="131">
        <f t="shared" si="64"/>
        <v>0</v>
      </c>
      <c r="AZ115" s="131">
        <f t="shared" si="64"/>
        <v>0</v>
      </c>
      <c r="BA115" s="131">
        <f t="shared" si="64"/>
        <v>0</v>
      </c>
      <c r="BB115" s="131">
        <f t="shared" si="64"/>
        <v>2.9714158976078933</v>
      </c>
      <c r="BC115" s="131">
        <f t="shared" si="64"/>
        <v>0</v>
      </c>
      <c r="BE115" s="130">
        <v>26</v>
      </c>
      <c r="BF115" s="131">
        <f t="shared" si="63"/>
        <v>5.9151931063083127E-2</v>
      </c>
      <c r="BG115" s="131">
        <f t="shared" si="63"/>
        <v>0</v>
      </c>
      <c r="BH115" s="131">
        <f t="shared" si="63"/>
        <v>11.020162444031611</v>
      </c>
      <c r="BI115" s="131">
        <f t="shared" si="65"/>
        <v>2.5713712369407089</v>
      </c>
      <c r="BJ115" s="131">
        <f t="shared" si="65"/>
        <v>0</v>
      </c>
      <c r="BK115" s="131">
        <f t="shared" si="65"/>
        <v>0</v>
      </c>
      <c r="BL115" s="131">
        <f t="shared" si="65"/>
        <v>14.693549925375478</v>
      </c>
      <c r="BM115" s="131">
        <f t="shared" si="65"/>
        <v>0</v>
      </c>
      <c r="BN115" s="131">
        <f t="shared" si="65"/>
        <v>0</v>
      </c>
      <c r="BO115" s="131">
        <f t="shared" si="65"/>
        <v>0</v>
      </c>
      <c r="BP115" s="131">
        <f t="shared" si="65"/>
        <v>3.1020162444031611</v>
      </c>
      <c r="BQ115" s="131">
        <f t="shared" si="65"/>
        <v>0</v>
      </c>
    </row>
    <row r="116" spans="1:82">
      <c r="A116" s="130">
        <v>27</v>
      </c>
      <c r="B116" s="131">
        <f>IF('Data 2'!B116&lt;0.1,0,'Data 2'!B116)</f>
        <v>0</v>
      </c>
      <c r="C116" s="131">
        <f>IF('Data 2'!C116&lt;0.1,0,'Data 2'!C116)</f>
        <v>0</v>
      </c>
      <c r="D116" s="131">
        <f>IF('Data 2'!D116&lt;0.1,0,'Data 2'!D116)</f>
        <v>9.4003226174376344</v>
      </c>
      <c r="E116" s="131">
        <f>IF('Data 2'!E116&lt;0.1,0,'Data 2'!E116)</f>
        <v>0</v>
      </c>
      <c r="F116" s="131">
        <f>IF('Data 2'!F116&lt;0.1,0,'Data 2'!F116)</f>
        <v>25.515161390187867</v>
      </c>
      <c r="G116" s="131">
        <f>IF('Data 2'!G116&lt;0.1,0,'Data 2'!G116)</f>
        <v>0</v>
      </c>
      <c r="H116" s="131">
        <f>IF('Data 2'!H116&lt;0.1,0,'Data 2'!H116)</f>
        <v>0</v>
      </c>
      <c r="I116" s="131">
        <f>IF('Data 2'!I116&lt;0.1,0,'Data 2'!I116)</f>
        <v>0</v>
      </c>
      <c r="J116" s="131">
        <f>IF('Data 2'!J116&lt;0.1,0,'Data 2'!J116)</f>
        <v>0</v>
      </c>
      <c r="K116" s="131">
        <f>IF('Data 2'!K116&lt;0.1,0,'Data 2'!K116)</f>
        <v>4.7001613087188172</v>
      </c>
      <c r="L116" s="131">
        <f>IF('Data 2'!L116&lt;0.1,0,'Data 2'!L116)</f>
        <v>2.6283870757499219</v>
      </c>
      <c r="M116" s="131">
        <f>IF('Data 2'!M116&lt;0.1,0,'Data 2'!M116)</f>
        <v>0.16427419223437012</v>
      </c>
      <c r="O116" s="130">
        <v>27</v>
      </c>
      <c r="P116" s="131">
        <f>'Stasiun Pontianak Kota'!Q166</f>
        <v>0</v>
      </c>
      <c r="Q116" s="131">
        <f>'Stasiun Pontianak Kota'!R166</f>
        <v>0</v>
      </c>
      <c r="R116" s="131">
        <f>'Stasiun Pontianak Kota'!S166</f>
        <v>14</v>
      </c>
      <c r="S116" s="131">
        <f>'Stasiun Pontianak Kota'!T166</f>
        <v>0</v>
      </c>
      <c r="T116" s="131">
        <f>'Stasiun Pontianak Kota'!U166</f>
        <v>38</v>
      </c>
      <c r="U116" s="131">
        <f>'Stasiun Pontianak Kota'!V166</f>
        <v>0</v>
      </c>
      <c r="V116" s="131">
        <f>'Stasiun Pontianak Kota'!W166</f>
        <v>0</v>
      </c>
      <c r="W116" s="131">
        <f>'Stasiun Pontianak Kota'!X166</f>
        <v>0</v>
      </c>
      <c r="X116" s="131">
        <f>'Stasiun Pontianak Kota'!Y166</f>
        <v>0</v>
      </c>
      <c r="Y116" s="131">
        <f>'Stasiun Pontianak Kota'!Z166</f>
        <v>7</v>
      </c>
      <c r="Z116" s="131">
        <f>'Stasiun Pontianak Kota'!AA166</f>
        <v>0</v>
      </c>
      <c r="AA116" s="131">
        <f>'Stasiun Pontianak Kota'!AB166</f>
        <v>0</v>
      </c>
      <c r="AC116" s="130">
        <v>27</v>
      </c>
      <c r="AD116" s="131">
        <f>'Sta. Meteorologi pnk'!B124</f>
        <v>0</v>
      </c>
      <c r="AE116" s="131">
        <f>'Sta. Meteorologi pnk'!C124</f>
        <v>0</v>
      </c>
      <c r="AF116" s="131">
        <f>'Sta. Meteorologi pnk'!D124</f>
        <v>0</v>
      </c>
      <c r="AG116" s="131">
        <f>'Sta. Meteorologi pnk'!E124</f>
        <v>0</v>
      </c>
      <c r="AH116" s="131">
        <f>'Sta. Meteorologi pnk'!F124</f>
        <v>0</v>
      </c>
      <c r="AI116" s="131">
        <f>'Sta. Meteorologi pnk'!G124</f>
        <v>0</v>
      </c>
      <c r="AJ116" s="131">
        <f>'Sta. Meteorologi pnk'!H124</f>
        <v>0</v>
      </c>
      <c r="AK116" s="131">
        <f>'Sta. Meteorologi pnk'!I124</f>
        <v>0</v>
      </c>
      <c r="AL116" s="131">
        <f>'Sta. Meteorologi pnk'!J124</f>
        <v>0</v>
      </c>
      <c r="AM116" s="131">
        <f>'Sta. Meteorologi pnk'!K124</f>
        <v>0</v>
      </c>
      <c r="AN116" s="131">
        <f>'Sta. Meteorologi pnk'!L124</f>
        <v>8</v>
      </c>
      <c r="AO116" s="131">
        <f>'Sta. Meteorologi pnk'!M124</f>
        <v>0.5</v>
      </c>
      <c r="AQ116" s="130">
        <v>27</v>
      </c>
      <c r="AR116" s="131">
        <f t="shared" si="62"/>
        <v>0</v>
      </c>
      <c r="AS116" s="131">
        <f t="shared" si="62"/>
        <v>0</v>
      </c>
      <c r="AT116" s="131">
        <f t="shared" si="62"/>
        <v>4.5332741888368364</v>
      </c>
      <c r="AU116" s="131">
        <f t="shared" si="64"/>
        <v>0</v>
      </c>
      <c r="AV116" s="131">
        <f t="shared" si="64"/>
        <v>12.304601369699986</v>
      </c>
      <c r="AW116" s="131">
        <f t="shared" si="64"/>
        <v>0</v>
      </c>
      <c r="AX116" s="131">
        <f t="shared" si="64"/>
        <v>0</v>
      </c>
      <c r="AY116" s="131">
        <f t="shared" si="64"/>
        <v>0</v>
      </c>
      <c r="AZ116" s="131">
        <f t="shared" si="64"/>
        <v>0</v>
      </c>
      <c r="BA116" s="131">
        <f t="shared" si="64"/>
        <v>2.2666370944184182</v>
      </c>
      <c r="BB116" s="131">
        <f t="shared" si="64"/>
        <v>5.4095576063789501</v>
      </c>
      <c r="BC116" s="131">
        <f t="shared" si="64"/>
        <v>0.33809735039868438</v>
      </c>
      <c r="BE116" s="130">
        <v>27</v>
      </c>
      <c r="BF116" s="131">
        <f t="shared" si="63"/>
        <v>0</v>
      </c>
      <c r="BG116" s="131">
        <f t="shared" si="63"/>
        <v>0</v>
      </c>
      <c r="BH116" s="131">
        <f t="shared" si="63"/>
        <v>5.1427424738814178</v>
      </c>
      <c r="BI116" s="131">
        <f t="shared" si="65"/>
        <v>0</v>
      </c>
      <c r="BJ116" s="131">
        <f t="shared" si="65"/>
        <v>13.958872429106705</v>
      </c>
      <c r="BK116" s="131">
        <f t="shared" si="65"/>
        <v>0</v>
      </c>
      <c r="BL116" s="131">
        <f t="shared" si="65"/>
        <v>0</v>
      </c>
      <c r="BM116" s="131">
        <f t="shared" si="65"/>
        <v>0</v>
      </c>
      <c r="BN116" s="131">
        <f t="shared" si="65"/>
        <v>0</v>
      </c>
      <c r="BO116" s="131">
        <f t="shared" si="65"/>
        <v>2.5713712369407089</v>
      </c>
      <c r="BP116" s="131">
        <f t="shared" si="65"/>
        <v>5.0612900149249036</v>
      </c>
      <c r="BQ116" s="131">
        <f t="shared" si="65"/>
        <v>0.31633062593280648</v>
      </c>
    </row>
    <row r="117" spans="1:82">
      <c r="A117" s="130">
        <v>28</v>
      </c>
      <c r="B117" s="131">
        <f>IF('Data 2'!B117&lt;0.1,0,'Data 2'!B117)</f>
        <v>0</v>
      </c>
      <c r="C117" s="131">
        <f>IF('Data 2'!C117&lt;0.1,0,'Data 2'!C117)</f>
        <v>0.67145161553125965</v>
      </c>
      <c r="D117" s="131">
        <f>IF('Data 2'!D117&lt;0.1,0,'Data 2'!D117)</f>
        <v>36.258387238688023</v>
      </c>
      <c r="E117" s="131">
        <f>IF('Data 2'!E117&lt;0.1,0,'Data 2'!E117)</f>
        <v>0</v>
      </c>
      <c r="F117" s="131">
        <f>IF('Data 2'!F117&lt;0.1,0,'Data 2'!F117)</f>
        <v>0</v>
      </c>
      <c r="G117" s="131">
        <f>IF('Data 2'!G117&lt;0.1,0,'Data 2'!G117)</f>
        <v>0</v>
      </c>
      <c r="H117" s="131">
        <f>IF('Data 2'!H117&lt;0.1,0,'Data 2'!H117)</f>
        <v>11.414677464031413</v>
      </c>
      <c r="I117" s="131">
        <f>IF('Data 2'!I117&lt;0.1,0,'Data 2'!I117)</f>
        <v>0</v>
      </c>
      <c r="J117" s="131">
        <f>IF('Data 2'!J117&lt;0.1,0,'Data 2'!J117)</f>
        <v>0</v>
      </c>
      <c r="K117" s="131">
        <f>IF('Data 2'!K117&lt;0.1,0,'Data 2'!K117)</f>
        <v>0</v>
      </c>
      <c r="L117" s="131">
        <f>IF('Data 2'!L117&lt;0.1,0,'Data 2'!L117)</f>
        <v>0.59138709204373252</v>
      </c>
      <c r="M117" s="131">
        <f>IF('Data 2'!M117&lt;0.1,0,'Data 2'!M117)</f>
        <v>35.802564645691099</v>
      </c>
      <c r="O117" s="130">
        <v>28</v>
      </c>
      <c r="P117" s="131">
        <f>'Stasiun Pontianak Kota'!Q167</f>
        <v>0</v>
      </c>
      <c r="Q117" s="131">
        <f>'Stasiun Pontianak Kota'!R167</f>
        <v>1</v>
      </c>
      <c r="R117" s="131">
        <f>'Stasiun Pontianak Kota'!S167</f>
        <v>54</v>
      </c>
      <c r="S117" s="131">
        <f>'Stasiun Pontianak Kota'!T167</f>
        <v>0</v>
      </c>
      <c r="T117" s="131">
        <f>'Stasiun Pontianak Kota'!U167</f>
        <v>0</v>
      </c>
      <c r="U117" s="131">
        <f>'Stasiun Pontianak Kota'!V167</f>
        <v>0</v>
      </c>
      <c r="V117" s="131">
        <f>'Stasiun Pontianak Kota'!W167</f>
        <v>17</v>
      </c>
      <c r="W117" s="131">
        <f>'Stasiun Pontianak Kota'!X167</f>
        <v>0</v>
      </c>
      <c r="X117" s="131">
        <f>'Stasiun Pontianak Kota'!Y167</f>
        <v>0</v>
      </c>
      <c r="Y117" s="131">
        <f>'Stasiun Pontianak Kota'!Z167</f>
        <v>0</v>
      </c>
      <c r="Z117" s="131">
        <f>'Stasiun Pontianak Kota'!AA167</f>
        <v>0</v>
      </c>
      <c r="AA117" s="131">
        <f>'Stasiun Pontianak Kota'!AB167</f>
        <v>52</v>
      </c>
      <c r="AC117" s="130">
        <v>28</v>
      </c>
      <c r="AD117" s="131">
        <f>'Sta. Meteorologi pnk'!B125</f>
        <v>0</v>
      </c>
      <c r="AE117" s="131">
        <f>'Sta. Meteorologi pnk'!C125</f>
        <v>0</v>
      </c>
      <c r="AF117" s="131">
        <f>'Sta. Meteorologi pnk'!D125</f>
        <v>0</v>
      </c>
      <c r="AG117" s="131">
        <f>'Sta. Meteorologi pnk'!E125</f>
        <v>0</v>
      </c>
      <c r="AH117" s="131">
        <f>'Sta. Meteorologi pnk'!F125</f>
        <v>0</v>
      </c>
      <c r="AI117" s="131">
        <f>'Sta. Meteorologi pnk'!G125</f>
        <v>0</v>
      </c>
      <c r="AJ117" s="131">
        <f>'Sta. Meteorologi pnk'!H125</f>
        <v>0</v>
      </c>
      <c r="AK117" s="131">
        <f>'Sta. Meteorologi pnk'!I125</f>
        <v>0</v>
      </c>
      <c r="AL117" s="131">
        <f>'Sta. Meteorologi pnk'!J125</f>
        <v>0</v>
      </c>
      <c r="AM117" s="131">
        <f>'Sta. Meteorologi pnk'!K125</f>
        <v>0</v>
      </c>
      <c r="AN117" s="131">
        <f>'Sta. Meteorologi pnk'!L125</f>
        <v>1.8</v>
      </c>
      <c r="AO117" s="131">
        <f>'Sta. Meteorologi pnk'!M125</f>
        <v>2.7</v>
      </c>
      <c r="AQ117" s="130">
        <v>28</v>
      </c>
      <c r="AR117" s="131">
        <f t="shared" si="62"/>
        <v>0</v>
      </c>
      <c r="AS117" s="131">
        <f t="shared" si="62"/>
        <v>0.32380529920263124</v>
      </c>
      <c r="AT117" s="131">
        <f t="shared" si="62"/>
        <v>17.485486156942084</v>
      </c>
      <c r="AU117" s="131">
        <f t="shared" si="64"/>
        <v>0</v>
      </c>
      <c r="AV117" s="131">
        <f t="shared" si="64"/>
        <v>0</v>
      </c>
      <c r="AW117" s="131">
        <f t="shared" si="64"/>
        <v>0</v>
      </c>
      <c r="AX117" s="131">
        <f t="shared" si="64"/>
        <v>5.5046900864447297</v>
      </c>
      <c r="AY117" s="131">
        <f t="shared" si="64"/>
        <v>0</v>
      </c>
      <c r="AZ117" s="131">
        <f t="shared" si="64"/>
        <v>0</v>
      </c>
      <c r="BA117" s="131">
        <f t="shared" si="64"/>
        <v>0</v>
      </c>
      <c r="BB117" s="131">
        <f t="shared" si="64"/>
        <v>1.2171504614352637</v>
      </c>
      <c r="BC117" s="131">
        <f t="shared" si="64"/>
        <v>18.66360125068972</v>
      </c>
      <c r="BE117" s="130">
        <v>28</v>
      </c>
      <c r="BF117" s="131">
        <f t="shared" si="63"/>
        <v>0</v>
      </c>
      <c r="BG117" s="131">
        <f t="shared" si="63"/>
        <v>0.36733874813438699</v>
      </c>
      <c r="BH117" s="131">
        <f t="shared" si="63"/>
        <v>19.836292399256898</v>
      </c>
      <c r="BI117" s="131">
        <f t="shared" si="65"/>
        <v>0</v>
      </c>
      <c r="BJ117" s="131">
        <f t="shared" si="65"/>
        <v>0</v>
      </c>
      <c r="BK117" s="131">
        <f t="shared" si="65"/>
        <v>0</v>
      </c>
      <c r="BL117" s="131">
        <f t="shared" si="65"/>
        <v>6.2447587182845785</v>
      </c>
      <c r="BM117" s="131">
        <f t="shared" si="65"/>
        <v>0</v>
      </c>
      <c r="BN117" s="131">
        <f t="shared" si="65"/>
        <v>0</v>
      </c>
      <c r="BO117" s="131">
        <f t="shared" si="65"/>
        <v>0</v>
      </c>
      <c r="BP117" s="131">
        <f t="shared" si="65"/>
        <v>1.1387902533581036</v>
      </c>
      <c r="BQ117" s="131">
        <f t="shared" si="65"/>
        <v>20.809800283025279</v>
      </c>
    </row>
    <row r="118" spans="1:82">
      <c r="A118" s="130">
        <v>29</v>
      </c>
      <c r="B118" s="131">
        <f>IF('Data 2'!B118&lt;0.1,0,'Data 2'!B118)</f>
        <v>0</v>
      </c>
      <c r="C118" s="131">
        <f>IF('Data 2'!C118&lt;0.1,0,'Data 2'!C118)</f>
        <v>0</v>
      </c>
      <c r="D118" s="131">
        <f>IF('Data 2'!D118&lt;0.1,0,'Data 2'!D118)</f>
        <v>0.67145161553125965</v>
      </c>
      <c r="E118" s="131">
        <f>IF('Data 2'!E118&lt;0.1,0,'Data 2'!E118)</f>
        <v>0</v>
      </c>
      <c r="F118" s="131">
        <f>IF('Data 2'!F118&lt;0.1,0,'Data 2'!F118)</f>
        <v>0</v>
      </c>
      <c r="G118" s="131">
        <f>IF('Data 2'!G118&lt;0.1,0,'Data 2'!G118)</f>
        <v>4.0287096931875581</v>
      </c>
      <c r="H118" s="131">
        <f>IF('Data 2'!H118&lt;0.1,0,'Data 2'!H118)</f>
        <v>2.6858064621250386</v>
      </c>
      <c r="I118" s="131">
        <f>IF('Data 2'!I118&lt;0.1,0,'Data 2'!I118)</f>
        <v>0</v>
      </c>
      <c r="J118" s="131">
        <f>IF('Data 2'!J118&lt;0.1,0,'Data 2'!J118)</f>
        <v>0.39425806136248831</v>
      </c>
      <c r="K118" s="131">
        <f>IF('Data 2'!K118&lt;0.1,0,'Data 2'!K118)</f>
        <v>0.26283870757499223</v>
      </c>
      <c r="L118" s="131">
        <f>IF('Data 2'!L118&lt;0.1,0,'Data 2'!L118)</f>
        <v>0.19712903068124416</v>
      </c>
      <c r="M118" s="131">
        <f>IF('Data 2'!M118&lt;0.1,0,'Data 2'!M118)</f>
        <v>5.4784677301093314</v>
      </c>
      <c r="O118" s="130">
        <v>29</v>
      </c>
      <c r="P118" s="131">
        <f>'Stasiun Pontianak Kota'!Q168</f>
        <v>0</v>
      </c>
      <c r="Q118" s="131">
        <f>'Stasiun Pontianak Kota'!R168</f>
        <v>0</v>
      </c>
      <c r="R118" s="131">
        <f>'Stasiun Pontianak Kota'!S168</f>
        <v>1</v>
      </c>
      <c r="S118" s="131">
        <f>'Stasiun Pontianak Kota'!T168</f>
        <v>0</v>
      </c>
      <c r="T118" s="131">
        <f>'Stasiun Pontianak Kota'!U168</f>
        <v>0</v>
      </c>
      <c r="U118" s="131">
        <f>'Stasiun Pontianak Kota'!V168</f>
        <v>6</v>
      </c>
      <c r="V118" s="131">
        <f>'Stasiun Pontianak Kota'!W168</f>
        <v>4</v>
      </c>
      <c r="W118" s="131">
        <f>'Stasiun Pontianak Kota'!X168</f>
        <v>0</v>
      </c>
      <c r="X118" s="131">
        <f>'Stasiun Pontianak Kota'!Y168</f>
        <v>0</v>
      </c>
      <c r="Y118" s="131">
        <f>'Stasiun Pontianak Kota'!Z168</f>
        <v>0</v>
      </c>
      <c r="Z118" s="131">
        <f>'Stasiun Pontianak Kota'!AA168</f>
        <v>0</v>
      </c>
      <c r="AA118" s="131">
        <f>'Stasiun Pontianak Kota'!AB168</f>
        <v>4</v>
      </c>
      <c r="AC118" s="130">
        <v>29</v>
      </c>
      <c r="AD118" s="131">
        <f>'Sta. Meteorologi pnk'!B126</f>
        <v>0</v>
      </c>
      <c r="AE118" s="131">
        <f>'Sta. Meteorologi pnk'!C126</f>
        <v>0</v>
      </c>
      <c r="AF118" s="131">
        <f>'Sta. Meteorologi pnk'!D126</f>
        <v>0</v>
      </c>
      <c r="AG118" s="131">
        <f>'Sta. Meteorologi pnk'!E126</f>
        <v>0</v>
      </c>
      <c r="AH118" s="131">
        <f>'Sta. Meteorologi pnk'!F126</f>
        <v>0</v>
      </c>
      <c r="AI118" s="131">
        <f>'Sta. Meteorologi pnk'!G126</f>
        <v>0</v>
      </c>
      <c r="AJ118" s="131">
        <f>'Sta. Meteorologi pnk'!H126</f>
        <v>0</v>
      </c>
      <c r="AK118" s="131">
        <f>'Sta. Meteorologi pnk'!I126</f>
        <v>0</v>
      </c>
      <c r="AL118" s="131">
        <f>'Sta. Meteorologi pnk'!J126</f>
        <v>1.2</v>
      </c>
      <c r="AM118" s="131">
        <f>'Sta. Meteorologi pnk'!K126</f>
        <v>0.8</v>
      </c>
      <c r="AN118" s="131">
        <f>'Sta. Meteorologi pnk'!L126</f>
        <v>0.6</v>
      </c>
      <c r="AO118" s="131">
        <f>'Sta. Meteorologi pnk'!M126</f>
        <v>8.5</v>
      </c>
      <c r="AQ118" s="130">
        <v>29</v>
      </c>
      <c r="AR118" s="131">
        <f t="shared" si="62"/>
        <v>0</v>
      </c>
      <c r="AS118" s="131">
        <f t="shared" si="62"/>
        <v>0</v>
      </c>
      <c r="AT118" s="131">
        <f t="shared" si="62"/>
        <v>0.32380529920263124</v>
      </c>
      <c r="AU118" s="131">
        <f t="shared" si="64"/>
        <v>0</v>
      </c>
      <c r="AV118" s="131">
        <f t="shared" si="64"/>
        <v>0</v>
      </c>
      <c r="AW118" s="131">
        <f t="shared" si="64"/>
        <v>1.942831795215787</v>
      </c>
      <c r="AX118" s="131">
        <f t="shared" si="64"/>
        <v>1.2952211968105249</v>
      </c>
      <c r="AY118" s="131">
        <f t="shared" si="64"/>
        <v>0</v>
      </c>
      <c r="AZ118" s="131">
        <f t="shared" si="64"/>
        <v>0.81143364095684245</v>
      </c>
      <c r="BA118" s="131">
        <f t="shared" si="64"/>
        <v>0.54095576063789497</v>
      </c>
      <c r="BB118" s="131">
        <f t="shared" si="64"/>
        <v>0.40571682047842123</v>
      </c>
      <c r="BC118" s="131">
        <f t="shared" si="64"/>
        <v>7.0428761535881588</v>
      </c>
      <c r="BE118" s="130">
        <v>29</v>
      </c>
      <c r="BF118" s="131">
        <f t="shared" si="63"/>
        <v>0</v>
      </c>
      <c r="BG118" s="131">
        <f t="shared" si="63"/>
        <v>0</v>
      </c>
      <c r="BH118" s="131">
        <f t="shared" si="63"/>
        <v>0.36733874813438699</v>
      </c>
      <c r="BI118" s="131">
        <f t="shared" si="65"/>
        <v>0</v>
      </c>
      <c r="BJ118" s="131">
        <f t="shared" si="65"/>
        <v>0</v>
      </c>
      <c r="BK118" s="131">
        <f t="shared" si="65"/>
        <v>2.2040324888063219</v>
      </c>
      <c r="BL118" s="131">
        <f t="shared" si="65"/>
        <v>1.469354992537548</v>
      </c>
      <c r="BM118" s="131">
        <f t="shared" si="65"/>
        <v>0</v>
      </c>
      <c r="BN118" s="131">
        <f t="shared" si="65"/>
        <v>0.7591935022387355</v>
      </c>
      <c r="BO118" s="131">
        <f t="shared" si="65"/>
        <v>0.5061290014924904</v>
      </c>
      <c r="BP118" s="131">
        <f t="shared" si="65"/>
        <v>0.37959675111936775</v>
      </c>
      <c r="BQ118" s="131">
        <f t="shared" si="65"/>
        <v>6.8469756333952576</v>
      </c>
    </row>
    <row r="119" spans="1:82">
      <c r="A119" s="130">
        <v>30</v>
      </c>
      <c r="B119" s="131">
        <f>IF('Data 2'!B119&lt;0.1,0,'Data 2'!B119)</f>
        <v>0</v>
      </c>
      <c r="C119" s="131">
        <f>IF('Data 2'!C119&lt;0.1,0,'Data 2'!C119)</f>
        <v>0</v>
      </c>
      <c r="D119" s="131">
        <f>IF('Data 2'!D119&lt;0.1,0,'Data 2'!D119)</f>
        <v>0</v>
      </c>
      <c r="E119" s="131">
        <f>IF('Data 2'!E119&lt;0.1,0,'Data 2'!E119)</f>
        <v>0</v>
      </c>
      <c r="F119" s="131">
        <f>IF('Data 2'!F119&lt;0.1,0,'Data 2'!F119)</f>
        <v>2.0143548465937791</v>
      </c>
      <c r="G119" s="131">
        <f>IF('Data 2'!G119&lt;0.1,0,'Data 2'!G119)</f>
        <v>0</v>
      </c>
      <c r="H119" s="131">
        <f>IF('Data 2'!H119&lt;0.1,0,'Data 2'!H119)</f>
        <v>0</v>
      </c>
      <c r="I119" s="131">
        <f>IF('Data 2'!I119&lt;0.1,0,'Data 2'!I119)</f>
        <v>0</v>
      </c>
      <c r="J119" s="131">
        <f>IF('Data 2'!J119&lt;0.1,0,'Data 2'!J119)</f>
        <v>0</v>
      </c>
      <c r="K119" s="131">
        <f>IF('Data 2'!K119&lt;0.1,0,'Data 2'!K119)</f>
        <v>15.008290290518632</v>
      </c>
      <c r="L119" s="131">
        <f>IF('Data 2'!L119&lt;0.1,0,'Data 2'!L119)</f>
        <v>33.831580662506312</v>
      </c>
      <c r="M119" s="131">
        <f>IF('Data 2'!M119&lt;0.1,0,'Data 2'!M119)</f>
        <v>2.145774200381275</v>
      </c>
      <c r="O119" s="130">
        <v>30</v>
      </c>
      <c r="P119" s="131">
        <f>'Stasiun Pontianak Kota'!Q169</f>
        <v>0</v>
      </c>
      <c r="Q119" s="131">
        <f>'Stasiun Pontianak Kota'!R169</f>
        <v>0</v>
      </c>
      <c r="R119" s="131">
        <f>'Stasiun Pontianak Kota'!S169</f>
        <v>0</v>
      </c>
      <c r="S119" s="131">
        <f>'Stasiun Pontianak Kota'!T169</f>
        <v>0</v>
      </c>
      <c r="T119" s="131">
        <f>'Stasiun Pontianak Kota'!U169</f>
        <v>3</v>
      </c>
      <c r="U119" s="131">
        <f>'Stasiun Pontianak Kota'!V169</f>
        <v>0</v>
      </c>
      <c r="V119" s="131">
        <f>'Stasiun Pontianak Kota'!W169</f>
        <v>0</v>
      </c>
      <c r="W119" s="131">
        <f>'Stasiun Pontianak Kota'!X169</f>
        <v>0</v>
      </c>
      <c r="X119" s="131">
        <f>'Stasiun Pontianak Kota'!Y169</f>
        <v>0</v>
      </c>
      <c r="Y119" s="131">
        <f>'Stasiun Pontianak Kota'!Z169</f>
        <v>11</v>
      </c>
      <c r="Z119" s="131">
        <f>'Stasiun Pontianak Kota'!AA169</f>
        <v>36</v>
      </c>
      <c r="AA119" s="131">
        <f>'Stasiun Pontianak Kota'!AB169</f>
        <v>3</v>
      </c>
      <c r="AC119" s="130">
        <v>30</v>
      </c>
      <c r="AD119" s="131">
        <f>'Sta. Meteorologi pnk'!B127</f>
        <v>0</v>
      </c>
      <c r="AE119" s="131">
        <f>'Sta. Meteorologi pnk'!C127</f>
        <v>0</v>
      </c>
      <c r="AF119" s="131">
        <f>'Sta. Meteorologi pnk'!D127</f>
        <v>0</v>
      </c>
      <c r="AG119" s="131">
        <f>'Sta. Meteorologi pnk'!E127</f>
        <v>0</v>
      </c>
      <c r="AH119" s="131">
        <f>'Sta. Meteorologi pnk'!F127</f>
        <v>0</v>
      </c>
      <c r="AI119" s="131">
        <f>'Sta. Meteorologi pnk'!G127</f>
        <v>0</v>
      </c>
      <c r="AJ119" s="131">
        <f>'Sta. Meteorologi pnk'!H127</f>
        <v>0</v>
      </c>
      <c r="AK119" s="131">
        <f>'Sta. Meteorologi pnk'!I127</f>
        <v>0</v>
      </c>
      <c r="AL119" s="131">
        <f>'Sta. Meteorologi pnk'!J127</f>
        <v>0</v>
      </c>
      <c r="AM119" s="131">
        <f>'Sta. Meteorologi pnk'!K127</f>
        <v>23.2</v>
      </c>
      <c r="AN119" s="131">
        <f>'Sta. Meteorologi pnk'!L127</f>
        <v>29.4</v>
      </c>
      <c r="AO119" s="131">
        <f>'Sta. Meteorologi pnk'!M127</f>
        <v>0.4</v>
      </c>
      <c r="AQ119" s="130">
        <v>30</v>
      </c>
      <c r="AR119" s="131">
        <f t="shared" si="62"/>
        <v>0</v>
      </c>
      <c r="AS119" s="131">
        <f t="shared" si="62"/>
        <v>0</v>
      </c>
      <c r="AT119" s="131">
        <f t="shared" si="62"/>
        <v>0</v>
      </c>
      <c r="AU119" s="131">
        <f t="shared" si="64"/>
        <v>0</v>
      </c>
      <c r="AV119" s="131">
        <f t="shared" si="64"/>
        <v>0.97141589760789349</v>
      </c>
      <c r="AW119" s="131">
        <f t="shared" si="64"/>
        <v>0</v>
      </c>
      <c r="AX119" s="131">
        <f t="shared" si="64"/>
        <v>0</v>
      </c>
      <c r="AY119" s="131">
        <f t="shared" si="64"/>
        <v>0</v>
      </c>
      <c r="AZ119" s="131">
        <f t="shared" si="64"/>
        <v>0</v>
      </c>
      <c r="BA119" s="131">
        <f t="shared" si="64"/>
        <v>19.249575349727898</v>
      </c>
      <c r="BB119" s="131">
        <f t="shared" si="64"/>
        <v>31.537114974737367</v>
      </c>
      <c r="BC119" s="131">
        <f t="shared" si="64"/>
        <v>1.2418937779268411</v>
      </c>
      <c r="BE119" s="130">
        <v>30</v>
      </c>
      <c r="BF119" s="131">
        <f t="shared" si="63"/>
        <v>0</v>
      </c>
      <c r="BG119" s="131">
        <f t="shared" si="63"/>
        <v>0</v>
      </c>
      <c r="BH119" s="131">
        <f t="shared" si="63"/>
        <v>0</v>
      </c>
      <c r="BI119" s="131">
        <f t="shared" si="65"/>
        <v>0</v>
      </c>
      <c r="BJ119" s="131">
        <f t="shared" si="65"/>
        <v>1.1020162444031609</v>
      </c>
      <c r="BK119" s="131">
        <f t="shared" si="65"/>
        <v>0</v>
      </c>
      <c r="BL119" s="131">
        <f t="shared" si="65"/>
        <v>0</v>
      </c>
      <c r="BM119" s="131">
        <f t="shared" si="65"/>
        <v>0</v>
      </c>
      <c r="BN119" s="131">
        <f t="shared" si="65"/>
        <v>0</v>
      </c>
      <c r="BO119" s="131">
        <f t="shared" si="65"/>
        <v>18.718467272760478</v>
      </c>
      <c r="BP119" s="131">
        <f t="shared" si="65"/>
        <v>31.824435737686954</v>
      </c>
      <c r="BQ119" s="131">
        <f t="shared" si="65"/>
        <v>1.355080745149406</v>
      </c>
    </row>
    <row r="120" spans="1:82" ht="15.75" thickBot="1">
      <c r="A120" s="133">
        <v>31</v>
      </c>
      <c r="B120" s="131">
        <f>IF('Data 2'!B120&lt;0.1,0,'Data 2'!B120)</f>
        <v>0</v>
      </c>
      <c r="C120" s="131">
        <f>IF('Data 2'!C120&lt;0.1,0,'Data 2'!C120)</f>
        <v>0</v>
      </c>
      <c r="D120" s="131">
        <f>IF('Data 2'!D120&lt;0.1,0,'Data 2'!D120)</f>
        <v>36.258387238688023</v>
      </c>
      <c r="E120" s="131">
        <f>IF('Data 2'!E120&lt;0.1,0,'Data 2'!E120)</f>
        <v>0</v>
      </c>
      <c r="F120" s="131">
        <f>IF('Data 2'!F120&lt;0.1,0,'Data 2'!F120)</f>
        <v>0</v>
      </c>
      <c r="G120" s="131">
        <f>IF('Data 2'!G120&lt;0.1,0,'Data 2'!G120)</f>
        <v>0</v>
      </c>
      <c r="H120" s="131">
        <f>IF('Data 2'!H120&lt;0.1,0,'Data 2'!H120)</f>
        <v>26.186613005719128</v>
      </c>
      <c r="I120" s="131">
        <f>IF('Data 2'!I120&lt;0.1,0,'Data 2'!I120)</f>
        <v>7.1910644746060965</v>
      </c>
      <c r="J120" s="131">
        <f>IF('Data 2'!J120&lt;0.1,0,'Data 2'!J120)</f>
        <v>0</v>
      </c>
      <c r="K120" s="131">
        <f>IF('Data 2'!K120&lt;0.1,0,'Data 2'!K120)</f>
        <v>0</v>
      </c>
      <c r="L120" s="131">
        <f>IF('Data 2'!L120&lt;0.1,0,'Data 2'!L120)</f>
        <v>0</v>
      </c>
      <c r="M120" s="131">
        <f>IF('Data 2'!M120&lt;0.1,0,'Data 2'!M120)</f>
        <v>0</v>
      </c>
      <c r="O120" s="133">
        <v>31</v>
      </c>
      <c r="P120" s="131">
        <f>'Stasiun Pontianak Kota'!Q170</f>
        <v>0</v>
      </c>
      <c r="Q120" s="131">
        <f>'Stasiun Pontianak Kota'!R170</f>
        <v>0</v>
      </c>
      <c r="R120" s="131">
        <f>'Stasiun Pontianak Kota'!S170</f>
        <v>54</v>
      </c>
      <c r="S120" s="131">
        <f>'Stasiun Pontianak Kota'!T170</f>
        <v>0</v>
      </c>
      <c r="T120" s="131">
        <f>'Stasiun Pontianak Kota'!U170</f>
        <v>0</v>
      </c>
      <c r="U120" s="131">
        <f>'Stasiun Pontianak Kota'!V170</f>
        <v>0</v>
      </c>
      <c r="V120" s="131">
        <f>'Stasiun Pontianak Kota'!W170</f>
        <v>39</v>
      </c>
      <c r="W120" s="131">
        <f>'Stasiun Pontianak Kota'!X170</f>
        <v>2</v>
      </c>
      <c r="X120" s="131">
        <f>'Stasiun Pontianak Kota'!Y170</f>
        <v>0</v>
      </c>
      <c r="Y120" s="131">
        <f>'Stasiun Pontianak Kota'!Z170</f>
        <v>0</v>
      </c>
      <c r="Z120" s="131">
        <f>'Stasiun Pontianak Kota'!AA170</f>
        <v>0</v>
      </c>
      <c r="AA120" s="131">
        <f>'Stasiun Pontianak Kota'!AB170</f>
        <v>0</v>
      </c>
      <c r="AC120" s="133">
        <v>31</v>
      </c>
      <c r="AD120" s="131">
        <f>'Sta. Meteorologi pnk'!B128</f>
        <v>0</v>
      </c>
      <c r="AE120" s="131">
        <f>'Sta. Meteorologi pnk'!C128</f>
        <v>0</v>
      </c>
      <c r="AF120" s="131">
        <f>'Sta. Meteorologi pnk'!D128</f>
        <v>0</v>
      </c>
      <c r="AG120" s="131">
        <f>'Sta. Meteorologi pnk'!E128</f>
        <v>0</v>
      </c>
      <c r="AH120" s="131">
        <f>'Sta. Meteorologi pnk'!F128</f>
        <v>0</v>
      </c>
      <c r="AI120" s="131">
        <f>'Sta. Meteorologi pnk'!G128</f>
        <v>0</v>
      </c>
      <c r="AJ120" s="131">
        <f>'Sta. Meteorologi pnk'!H128</f>
        <v>0</v>
      </c>
      <c r="AK120" s="131">
        <f>'Sta. Meteorologi pnk'!I128</f>
        <v>17.8</v>
      </c>
      <c r="AL120" s="131">
        <f>'Sta. Meteorologi pnk'!J128</f>
        <v>0</v>
      </c>
      <c r="AM120" s="131">
        <f>'Sta. Meteorologi pnk'!K128</f>
        <v>0</v>
      </c>
      <c r="AN120" s="131">
        <f>'Sta. Meteorologi pnk'!L128</f>
        <v>0</v>
      </c>
      <c r="AO120" s="131">
        <f>'Sta. Meteorologi pnk'!M128</f>
        <v>0</v>
      </c>
      <c r="AQ120" s="133">
        <v>31</v>
      </c>
      <c r="AR120" s="131">
        <f t="shared" si="62"/>
        <v>0</v>
      </c>
      <c r="AS120" s="131">
        <f t="shared" si="62"/>
        <v>0</v>
      </c>
      <c r="AT120" s="131">
        <f t="shared" si="62"/>
        <v>17.485486156942084</v>
      </c>
      <c r="AU120" s="131">
        <f t="shared" si="64"/>
        <v>0</v>
      </c>
      <c r="AV120" s="131">
        <f t="shared" si="64"/>
        <v>0</v>
      </c>
      <c r="AW120" s="131">
        <f t="shared" si="64"/>
        <v>0</v>
      </c>
      <c r="AX120" s="131">
        <f t="shared" si="64"/>
        <v>12.628406668902617</v>
      </c>
      <c r="AY120" s="131">
        <f t="shared" si="64"/>
        <v>12.683876272598425</v>
      </c>
      <c r="AZ120" s="131">
        <f t="shared" si="64"/>
        <v>0</v>
      </c>
      <c r="BA120" s="131">
        <f t="shared" si="64"/>
        <v>0</v>
      </c>
      <c r="BB120" s="131">
        <f t="shared" si="64"/>
        <v>0</v>
      </c>
      <c r="BC120" s="131">
        <f t="shared" si="64"/>
        <v>0</v>
      </c>
      <c r="BE120" s="133">
        <v>31</v>
      </c>
      <c r="BF120" s="131">
        <f t="shared" si="63"/>
        <v>0</v>
      </c>
      <c r="BG120" s="131">
        <f t="shared" si="63"/>
        <v>0</v>
      </c>
      <c r="BH120" s="131">
        <f t="shared" si="63"/>
        <v>19.836292399256898</v>
      </c>
      <c r="BI120" s="131">
        <f t="shared" si="65"/>
        <v>0</v>
      </c>
      <c r="BJ120" s="131">
        <f t="shared" si="65"/>
        <v>0</v>
      </c>
      <c r="BK120" s="131">
        <f t="shared" si="65"/>
        <v>0</v>
      </c>
      <c r="BL120" s="131">
        <f t="shared" si="65"/>
        <v>14.326211177241094</v>
      </c>
      <c r="BM120" s="131">
        <f t="shared" si="65"/>
        <v>11.996047779476685</v>
      </c>
      <c r="BN120" s="131">
        <f t="shared" si="65"/>
        <v>0</v>
      </c>
      <c r="BO120" s="131">
        <f t="shared" si="65"/>
        <v>0</v>
      </c>
      <c r="BP120" s="131">
        <f t="shared" si="65"/>
        <v>0</v>
      </c>
      <c r="BQ120" s="131">
        <f t="shared" si="65"/>
        <v>0</v>
      </c>
    </row>
    <row r="121" spans="1:82">
      <c r="A121" s="135" t="s">
        <v>28</v>
      </c>
      <c r="B121" s="136">
        <f>SUM(B90:B120)</f>
        <v>227.96491942710963</v>
      </c>
      <c r="C121" s="136">
        <f t="shared" ref="C121:M121" si="66">SUM(C90:C120)</f>
        <v>145.85998403206619</v>
      </c>
      <c r="D121" s="136">
        <f t="shared" si="66"/>
        <v>184.64919427109641</v>
      </c>
      <c r="E121" s="136">
        <f t="shared" si="66"/>
        <v>83.260000325876192</v>
      </c>
      <c r="F121" s="136">
        <f t="shared" si="66"/>
        <v>232.99371058934713</v>
      </c>
      <c r="G121" s="136">
        <f t="shared" si="66"/>
        <v>165.84854903622113</v>
      </c>
      <c r="H121" s="136">
        <f t="shared" si="66"/>
        <v>94.674677789907605</v>
      </c>
      <c r="I121" s="136">
        <f t="shared" si="66"/>
        <v>40.09219363563782</v>
      </c>
      <c r="J121" s="136">
        <f t="shared" si="66"/>
        <v>29.236048425203265</v>
      </c>
      <c r="K121" s="136">
        <f t="shared" si="66"/>
        <v>243.94480634806837</v>
      </c>
      <c r="L121" s="136">
        <f t="shared" si="66"/>
        <v>271.13556449904684</v>
      </c>
      <c r="M121" s="136">
        <f t="shared" si="66"/>
        <v>277.45137112410998</v>
      </c>
      <c r="N121" s="137"/>
      <c r="O121" s="135" t="s">
        <v>28</v>
      </c>
      <c r="P121" s="136">
        <f>SUM(P90:P120)</f>
        <v>237</v>
      </c>
      <c r="Q121" s="136">
        <f t="shared" ref="Q121:AA121" si="67">SUM(Q90:Q120)</f>
        <v>166</v>
      </c>
      <c r="R121" s="136">
        <f t="shared" si="67"/>
        <v>275</v>
      </c>
      <c r="S121" s="136">
        <f t="shared" si="67"/>
        <v>124</v>
      </c>
      <c r="T121" s="136">
        <f t="shared" si="67"/>
        <v>347</v>
      </c>
      <c r="U121" s="136">
        <f t="shared" si="67"/>
        <v>247</v>
      </c>
      <c r="V121" s="136">
        <f t="shared" si="67"/>
        <v>141</v>
      </c>
      <c r="W121" s="136">
        <f t="shared" si="67"/>
        <v>51</v>
      </c>
      <c r="X121" s="136">
        <f t="shared" si="67"/>
        <v>34</v>
      </c>
      <c r="Y121" s="136">
        <f t="shared" si="67"/>
        <v>231</v>
      </c>
      <c r="Z121" s="136">
        <f t="shared" si="67"/>
        <v>269</v>
      </c>
      <c r="AA121" s="136">
        <f t="shared" si="67"/>
        <v>297</v>
      </c>
      <c r="AB121" s="137"/>
      <c r="AC121" s="135" t="s">
        <v>28</v>
      </c>
      <c r="AD121" s="136">
        <f>SUM(AD90:AD120)</f>
        <v>209.6</v>
      </c>
      <c r="AE121" s="136">
        <f t="shared" ref="AE121:AO121" si="68">SUM(AE90:AE120)</f>
        <v>104.69999999999999</v>
      </c>
      <c r="AF121" s="136">
        <f t="shared" si="68"/>
        <v>0</v>
      </c>
      <c r="AG121" s="136">
        <f t="shared" si="68"/>
        <v>0</v>
      </c>
      <c r="AH121" s="136">
        <f t="shared" si="68"/>
        <v>0</v>
      </c>
      <c r="AI121" s="136">
        <f t="shared" si="68"/>
        <v>0</v>
      </c>
      <c r="AJ121" s="136">
        <f t="shared" si="68"/>
        <v>0</v>
      </c>
      <c r="AK121" s="136">
        <f t="shared" si="68"/>
        <v>17.8</v>
      </c>
      <c r="AL121" s="136">
        <f t="shared" si="68"/>
        <v>19.5</v>
      </c>
      <c r="AM121" s="136">
        <f t="shared" si="68"/>
        <v>270.40000000000003</v>
      </c>
      <c r="AN121" s="136">
        <f t="shared" si="68"/>
        <v>275.5</v>
      </c>
      <c r="AO121" s="136">
        <f t="shared" si="68"/>
        <v>237.50000000000003</v>
      </c>
      <c r="AP121" s="137"/>
      <c r="AQ121" s="135" t="s">
        <v>28</v>
      </c>
      <c r="AR121" s="136">
        <f>SUM(AR90:AR120)</f>
        <v>218.47226519815209</v>
      </c>
      <c r="AS121" s="136">
        <f t="shared" ref="AS121:BC121" si="69">SUM(AS90:AS120)</f>
        <v>124.54926484112127</v>
      </c>
      <c r="AT121" s="136">
        <f t="shared" si="69"/>
        <v>89.046457280723587</v>
      </c>
      <c r="AU121" s="136">
        <f t="shared" si="69"/>
        <v>40.151857101126268</v>
      </c>
      <c r="AV121" s="136">
        <f t="shared" si="69"/>
        <v>112.36043882331303</v>
      </c>
      <c r="AW121" s="136">
        <f t="shared" si="69"/>
        <v>79.979908903049889</v>
      </c>
      <c r="AX121" s="136">
        <f t="shared" si="69"/>
        <v>45.656547187570993</v>
      </c>
      <c r="AY121" s="136">
        <f t="shared" si="69"/>
        <v>28.550335933527354</v>
      </c>
      <c r="AZ121" s="136">
        <f t="shared" si="69"/>
        <v>24.195176838438154</v>
      </c>
      <c r="BA121" s="136">
        <f t="shared" si="69"/>
        <v>257.64207121141629</v>
      </c>
      <c r="BB121" s="136">
        <f t="shared" si="69"/>
        <v>273.3952655551829</v>
      </c>
      <c r="BC121" s="136">
        <f t="shared" si="69"/>
        <v>256.76641530255654</v>
      </c>
      <c r="BD121" s="137"/>
      <c r="BE121" s="135" t="s">
        <v>28</v>
      </c>
      <c r="BF121" s="136">
        <f>SUM(BF90:BF120)</f>
        <v>219.66096750475873</v>
      </c>
      <c r="BG121" s="136">
        <f t="shared" ref="BG121:BQ121" si="70">SUM(BG90:BG120)</f>
        <v>127.21786526063789</v>
      </c>
      <c r="BH121" s="136">
        <f t="shared" si="70"/>
        <v>101.01815573695643</v>
      </c>
      <c r="BI121" s="136">
        <f t="shared" si="70"/>
        <v>45.550004768663975</v>
      </c>
      <c r="BJ121" s="136">
        <f t="shared" si="70"/>
        <v>127.46654560263228</v>
      </c>
      <c r="BK121" s="136">
        <f t="shared" si="70"/>
        <v>90.732670789193577</v>
      </c>
      <c r="BL121" s="136">
        <f t="shared" si="70"/>
        <v>51.794763486948561</v>
      </c>
      <c r="BM121" s="136">
        <f t="shared" si="70"/>
        <v>29.995646438061641</v>
      </c>
      <c r="BN121" s="136">
        <f t="shared" si="70"/>
        <v>24.826411847948613</v>
      </c>
      <c r="BO121" s="136">
        <f t="shared" si="70"/>
        <v>255.92685332350518</v>
      </c>
      <c r="BP121" s="136">
        <f t="shared" si="70"/>
        <v>273.11229813712652</v>
      </c>
      <c r="BQ121" s="136">
        <f t="shared" si="70"/>
        <v>259.35665551399597</v>
      </c>
      <c r="BR121" s="137"/>
    </row>
    <row r="122" spans="1:82">
      <c r="A122" s="138" t="s">
        <v>29</v>
      </c>
      <c r="B122" s="139">
        <f>MAX(B90:B120)</f>
        <v>52.958854871034497</v>
      </c>
      <c r="C122" s="139">
        <f t="shared" ref="C122:M122" si="71">MAX(C90:C120)</f>
        <v>26.858064621250385</v>
      </c>
      <c r="D122" s="139">
        <f t="shared" si="71"/>
        <v>44.9872582405944</v>
      </c>
      <c r="E122" s="139">
        <f t="shared" si="71"/>
        <v>24.172258159125345</v>
      </c>
      <c r="F122" s="139">
        <f t="shared" si="71"/>
        <v>43.644355009531878</v>
      </c>
      <c r="G122" s="139">
        <f t="shared" si="71"/>
        <v>53.044677626969509</v>
      </c>
      <c r="H122" s="139">
        <f t="shared" si="71"/>
        <v>26.858064621250385</v>
      </c>
      <c r="I122" s="139">
        <f t="shared" si="71"/>
        <v>12.757580695093933</v>
      </c>
      <c r="J122" s="139">
        <f t="shared" si="71"/>
        <v>16.786290388281493</v>
      </c>
      <c r="K122" s="139">
        <f t="shared" si="71"/>
        <v>66.184999918530949</v>
      </c>
      <c r="L122" s="139">
        <f t="shared" si="71"/>
        <v>47.75980642953742</v>
      </c>
      <c r="M122" s="139">
        <f t="shared" si="71"/>
        <v>50.373838658693565</v>
      </c>
      <c r="O122" s="138" t="s">
        <v>29</v>
      </c>
      <c r="P122" s="139">
        <f>MAX(P90:P120)</f>
        <v>57</v>
      </c>
      <c r="Q122" s="139">
        <f t="shared" ref="Q122:AA122" si="72">MAX(Q90:Q120)</f>
        <v>40</v>
      </c>
      <c r="R122" s="139">
        <f t="shared" si="72"/>
        <v>67</v>
      </c>
      <c r="S122" s="139">
        <f t="shared" si="72"/>
        <v>36</v>
      </c>
      <c r="T122" s="139">
        <f t="shared" si="72"/>
        <v>65</v>
      </c>
      <c r="U122" s="139">
        <f t="shared" si="72"/>
        <v>79</v>
      </c>
      <c r="V122" s="139">
        <f t="shared" si="72"/>
        <v>40</v>
      </c>
      <c r="W122" s="139">
        <f t="shared" si="72"/>
        <v>19</v>
      </c>
      <c r="X122" s="139">
        <f t="shared" si="72"/>
        <v>25</v>
      </c>
      <c r="Y122" s="139">
        <f t="shared" si="72"/>
        <v>56</v>
      </c>
      <c r="Z122" s="139">
        <f t="shared" si="72"/>
        <v>48</v>
      </c>
      <c r="AA122" s="139">
        <f t="shared" si="72"/>
        <v>52</v>
      </c>
      <c r="AC122" s="138" t="s">
        <v>29</v>
      </c>
      <c r="AD122" s="139">
        <f>MAX(AD90:AD120)</f>
        <v>44.7</v>
      </c>
      <c r="AE122" s="139">
        <f t="shared" ref="AE122:AO122" si="73">MAX(AE90:AE120)</f>
        <v>43.8</v>
      </c>
      <c r="AF122" s="139">
        <f t="shared" si="73"/>
        <v>0</v>
      </c>
      <c r="AG122" s="139">
        <f t="shared" si="73"/>
        <v>0</v>
      </c>
      <c r="AH122" s="139">
        <f t="shared" si="73"/>
        <v>0</v>
      </c>
      <c r="AI122" s="139">
        <f t="shared" si="73"/>
        <v>0</v>
      </c>
      <c r="AJ122" s="139">
        <f t="shared" si="73"/>
        <v>0</v>
      </c>
      <c r="AK122" s="139">
        <f t="shared" si="73"/>
        <v>17.8</v>
      </c>
      <c r="AL122" s="139">
        <f t="shared" si="73"/>
        <v>10.6</v>
      </c>
      <c r="AM122" s="139">
        <f t="shared" si="73"/>
        <v>87</v>
      </c>
      <c r="AN122" s="139">
        <f t="shared" si="73"/>
        <v>53.4</v>
      </c>
      <c r="AO122" s="139">
        <f t="shared" si="73"/>
        <v>63.4</v>
      </c>
      <c r="AQ122" s="138" t="s">
        <v>29</v>
      </c>
      <c r="AR122" s="139">
        <f>MAX(AR90:AR120)</f>
        <v>48.682805180192361</v>
      </c>
      <c r="AS122" s="139">
        <f t="shared" ref="AS122:BC122" si="74">MAX(AS90:AS120)</f>
        <v>29.617327894924749</v>
      </c>
      <c r="AT122" s="139">
        <f t="shared" si="74"/>
        <v>21.69495504657629</v>
      </c>
      <c r="AU122" s="139">
        <f t="shared" si="74"/>
        <v>11.656990771294723</v>
      </c>
      <c r="AV122" s="139">
        <f t="shared" si="74"/>
        <v>21.047344448171028</v>
      </c>
      <c r="AW122" s="139">
        <f t="shared" si="74"/>
        <v>25.580618637007866</v>
      </c>
      <c r="AX122" s="139">
        <f t="shared" si="74"/>
        <v>12.952211968105248</v>
      </c>
      <c r="AY122" s="139">
        <f t="shared" si="74"/>
        <v>12.683876272598425</v>
      </c>
      <c r="AZ122" s="139">
        <f t="shared" si="74"/>
        <v>8.0951324800657805</v>
      </c>
      <c r="BA122" s="139">
        <f t="shared" si="74"/>
        <v>76.962035724718433</v>
      </c>
      <c r="BB122" s="139">
        <f t="shared" si="74"/>
        <v>50.680035486697896</v>
      </c>
      <c r="BC122" s="139">
        <f t="shared" si="74"/>
        <v>57.118177195468952</v>
      </c>
      <c r="BE122" s="138" t="s">
        <v>29</v>
      </c>
      <c r="BF122" s="139">
        <f>MAX(BF90:BF120)</f>
        <v>49.218266602052957</v>
      </c>
      <c r="BG122" s="139">
        <f t="shared" ref="BG122:BQ122" si="75">MAX(BG90:BG120)</f>
        <v>27.710562831713847</v>
      </c>
      <c r="BH122" s="139">
        <f t="shared" si="75"/>
        <v>24.611696125003931</v>
      </c>
      <c r="BI122" s="139">
        <f t="shared" si="75"/>
        <v>13.22419493283793</v>
      </c>
      <c r="BJ122" s="139">
        <f t="shared" si="75"/>
        <v>23.877018628735154</v>
      </c>
      <c r="BK122" s="139">
        <f t="shared" si="75"/>
        <v>29.019761102616574</v>
      </c>
      <c r="BL122" s="139">
        <f t="shared" si="75"/>
        <v>14.693549925375478</v>
      </c>
      <c r="BM122" s="139">
        <f t="shared" si="75"/>
        <v>11.996047779476685</v>
      </c>
      <c r="BN122" s="139">
        <f t="shared" si="75"/>
        <v>9.1834687033596758</v>
      </c>
      <c r="BO122" s="139">
        <f t="shared" si="75"/>
        <v>75.612498807834015</v>
      </c>
      <c r="BP122" s="139">
        <f t="shared" si="75"/>
        <v>50.314354515671148</v>
      </c>
      <c r="BQ122" s="139">
        <f t="shared" si="75"/>
        <v>56.273628286192888</v>
      </c>
    </row>
    <row r="123" spans="1:82">
      <c r="A123" s="130" t="s">
        <v>30</v>
      </c>
      <c r="B123" s="131">
        <f>SUM(B90:B104)</f>
        <v>66.384048360028018</v>
      </c>
      <c r="C123" s="131">
        <f t="shared" ref="C123:M123" si="76">SUM(C90:C104)</f>
        <v>106.24433871572188</v>
      </c>
      <c r="D123" s="131">
        <f t="shared" si="76"/>
        <v>71.845322861844792</v>
      </c>
      <c r="E123" s="131">
        <f t="shared" si="76"/>
        <v>68.488064784188481</v>
      </c>
      <c r="F123" s="131">
        <f t="shared" si="76"/>
        <v>126.23290371987682</v>
      </c>
      <c r="G123" s="131">
        <f t="shared" si="76"/>
        <v>161.81983934303358</v>
      </c>
      <c r="H123" s="131">
        <f t="shared" si="76"/>
        <v>0</v>
      </c>
      <c r="I123" s="131">
        <f t="shared" si="76"/>
        <v>14.100483926156452</v>
      </c>
      <c r="J123" s="131">
        <f t="shared" si="76"/>
        <v>21.385967770843859</v>
      </c>
      <c r="K123" s="131">
        <f t="shared" si="76"/>
        <v>158.8956772522119</v>
      </c>
      <c r="L123" s="131">
        <f t="shared" si="76"/>
        <v>146.86635491176901</v>
      </c>
      <c r="M123" s="131">
        <f t="shared" si="76"/>
        <v>214.10048392615647</v>
      </c>
      <c r="O123" s="130" t="s">
        <v>30</v>
      </c>
      <c r="P123" s="131">
        <f>SUM(P90:P104)</f>
        <v>63</v>
      </c>
      <c r="Q123" s="131">
        <f t="shared" ref="Q123:AA123" si="77">SUM(Q90:Q104)</f>
        <v>107</v>
      </c>
      <c r="R123" s="131">
        <f t="shared" si="77"/>
        <v>107</v>
      </c>
      <c r="S123" s="131">
        <f t="shared" si="77"/>
        <v>102</v>
      </c>
      <c r="T123" s="131">
        <f t="shared" si="77"/>
        <v>188</v>
      </c>
      <c r="U123" s="131">
        <f t="shared" si="77"/>
        <v>241</v>
      </c>
      <c r="V123" s="131">
        <f t="shared" si="77"/>
        <v>0</v>
      </c>
      <c r="W123" s="131">
        <f t="shared" si="77"/>
        <v>21</v>
      </c>
      <c r="X123" s="131">
        <f t="shared" si="77"/>
        <v>25</v>
      </c>
      <c r="Y123" s="131">
        <f t="shared" si="77"/>
        <v>138</v>
      </c>
      <c r="Z123" s="131">
        <f t="shared" si="77"/>
        <v>156</v>
      </c>
      <c r="AA123" s="131">
        <f t="shared" si="77"/>
        <v>221</v>
      </c>
      <c r="AC123" s="130" t="s">
        <v>30</v>
      </c>
      <c r="AD123" s="131">
        <f>SUM(AD90:AD104)</f>
        <v>73.300000000000011</v>
      </c>
      <c r="AE123" s="131">
        <f t="shared" ref="AE123:AO123" si="78">SUM(AE90:AE104)</f>
        <v>104.69999999999999</v>
      </c>
      <c r="AF123" s="131">
        <f t="shared" si="78"/>
        <v>0</v>
      </c>
      <c r="AG123" s="131">
        <f t="shared" si="78"/>
        <v>0</v>
      </c>
      <c r="AH123" s="131">
        <f t="shared" si="78"/>
        <v>0</v>
      </c>
      <c r="AI123" s="131">
        <f t="shared" si="78"/>
        <v>0</v>
      </c>
      <c r="AJ123" s="131">
        <f t="shared" si="78"/>
        <v>0</v>
      </c>
      <c r="AK123" s="131">
        <f t="shared" si="78"/>
        <v>0</v>
      </c>
      <c r="AL123" s="131">
        <f t="shared" si="78"/>
        <v>14</v>
      </c>
      <c r="AM123" s="131">
        <f t="shared" si="78"/>
        <v>201.6</v>
      </c>
      <c r="AN123" s="131">
        <f t="shared" si="78"/>
        <v>128.20000000000002</v>
      </c>
      <c r="AO123" s="131">
        <f t="shared" si="78"/>
        <v>200.00000000000003</v>
      </c>
      <c r="AQ123" s="130" t="s">
        <v>30</v>
      </c>
      <c r="AR123" s="131">
        <f>SUM(AR90:AR104)</f>
        <v>69.964805418212876</v>
      </c>
      <c r="AS123" s="131">
        <f t="shared" ref="AS123:BC123" si="79">SUM(AS90:AS104)</f>
        <v>105.44475218816604</v>
      </c>
      <c r="AT123" s="131">
        <f t="shared" si="79"/>
        <v>34.647167014681543</v>
      </c>
      <c r="AU123" s="131">
        <f t="shared" si="79"/>
        <v>33.02814051866838</v>
      </c>
      <c r="AV123" s="131">
        <f t="shared" si="79"/>
        <v>60.875396250094667</v>
      </c>
      <c r="AW123" s="131">
        <f t="shared" si="79"/>
        <v>78.037077107834108</v>
      </c>
      <c r="AX123" s="131">
        <f t="shared" si="79"/>
        <v>0</v>
      </c>
      <c r="AY123" s="131">
        <f t="shared" si="79"/>
        <v>6.7999112832552546</v>
      </c>
      <c r="AZ123" s="131">
        <f t="shared" si="79"/>
        <v>17.561858291228944</v>
      </c>
      <c r="BA123" s="131">
        <f t="shared" si="79"/>
        <v>181.00598297071264</v>
      </c>
      <c r="BB123" s="131">
        <f t="shared" si="79"/>
        <v>137.20178731783315</v>
      </c>
      <c r="BC123" s="131">
        <f t="shared" si="79"/>
        <v>206.79991128325523</v>
      </c>
      <c r="BE123" s="130" t="s">
        <v>30</v>
      </c>
      <c r="BF123" s="131">
        <f>SUM(BF90:BF104)</f>
        <v>69.516410894215809</v>
      </c>
      <c r="BG123" s="131">
        <f t="shared" ref="BG123:BQ123" si="80">SUM(BG90:BG104)</f>
        <v>105.54487912070907</v>
      </c>
      <c r="BH123" s="131">
        <f t="shared" si="80"/>
        <v>39.305246050379409</v>
      </c>
      <c r="BI123" s="131">
        <f t="shared" si="80"/>
        <v>37.468552309707469</v>
      </c>
      <c r="BJ123" s="131">
        <f t="shared" si="80"/>
        <v>69.059684649264753</v>
      </c>
      <c r="BK123" s="131">
        <f t="shared" si="80"/>
        <v>88.528638300387257</v>
      </c>
      <c r="BL123" s="131">
        <f t="shared" si="80"/>
        <v>0</v>
      </c>
      <c r="BM123" s="131">
        <f t="shared" si="80"/>
        <v>7.7141137108221258</v>
      </c>
      <c r="BN123" s="131">
        <f t="shared" si="80"/>
        <v>18.04072622947826</v>
      </c>
      <c r="BO123" s="131">
        <f t="shared" si="80"/>
        <v>178.23725561865302</v>
      </c>
      <c r="BP123" s="131">
        <f t="shared" si="80"/>
        <v>138.41201719813597</v>
      </c>
      <c r="BQ123" s="131">
        <f t="shared" si="80"/>
        <v>207.71411371082212</v>
      </c>
    </row>
    <row r="124" spans="1:82">
      <c r="A124" s="140" t="s">
        <v>31</v>
      </c>
      <c r="B124" s="141">
        <f>SUM(B105:B120)</f>
        <v>161.5808710670816</v>
      </c>
      <c r="C124" s="141">
        <f t="shared" ref="C124:M124" si="81">SUM(C105:C120)</f>
        <v>39.61564531634432</v>
      </c>
      <c r="D124" s="141">
        <f t="shared" si="81"/>
        <v>112.80387140925163</v>
      </c>
      <c r="E124" s="141">
        <f t="shared" si="81"/>
        <v>14.771935541687713</v>
      </c>
      <c r="F124" s="141">
        <f t="shared" si="81"/>
        <v>106.76080686947029</v>
      </c>
      <c r="G124" s="141">
        <f t="shared" si="81"/>
        <v>4.0287096931875581</v>
      </c>
      <c r="H124" s="141">
        <f t="shared" si="81"/>
        <v>94.674677789907605</v>
      </c>
      <c r="I124" s="141">
        <f t="shared" si="81"/>
        <v>25.991709709481366</v>
      </c>
      <c r="J124" s="141">
        <f t="shared" si="81"/>
        <v>7.8500806543594086</v>
      </c>
      <c r="K124" s="141">
        <f t="shared" si="81"/>
        <v>85.049129095856486</v>
      </c>
      <c r="L124" s="141">
        <f t="shared" si="81"/>
        <v>124.2692095872778</v>
      </c>
      <c r="M124" s="141">
        <f t="shared" si="81"/>
        <v>63.35088719795349</v>
      </c>
      <c r="O124" s="140" t="s">
        <v>31</v>
      </c>
      <c r="P124" s="141">
        <f>SUM(P105:P120)</f>
        <v>174</v>
      </c>
      <c r="Q124" s="141">
        <f t="shared" ref="Q124:AA124" si="82">SUM(Q105:Q120)</f>
        <v>59</v>
      </c>
      <c r="R124" s="141">
        <f t="shared" si="82"/>
        <v>168</v>
      </c>
      <c r="S124" s="141">
        <f t="shared" si="82"/>
        <v>22</v>
      </c>
      <c r="T124" s="141">
        <f t="shared" si="82"/>
        <v>159</v>
      </c>
      <c r="U124" s="141">
        <f t="shared" si="82"/>
        <v>6</v>
      </c>
      <c r="V124" s="141">
        <f t="shared" si="82"/>
        <v>141</v>
      </c>
      <c r="W124" s="141">
        <f t="shared" si="82"/>
        <v>30</v>
      </c>
      <c r="X124" s="141">
        <f t="shared" si="82"/>
        <v>9</v>
      </c>
      <c r="Y124" s="141">
        <f t="shared" si="82"/>
        <v>93</v>
      </c>
      <c r="Z124" s="141">
        <f t="shared" si="82"/>
        <v>113</v>
      </c>
      <c r="AA124" s="141">
        <f t="shared" si="82"/>
        <v>76</v>
      </c>
      <c r="AC124" s="140" t="s">
        <v>31</v>
      </c>
      <c r="AD124" s="141">
        <f>SUM(AD105:AD120)</f>
        <v>136.29999999999998</v>
      </c>
      <c r="AE124" s="141">
        <f t="shared" ref="AE124:AO124" si="83">SUM(AE105:AE120)</f>
        <v>0</v>
      </c>
      <c r="AF124" s="141">
        <f t="shared" si="83"/>
        <v>0</v>
      </c>
      <c r="AG124" s="141">
        <f t="shared" si="83"/>
        <v>0</v>
      </c>
      <c r="AH124" s="141">
        <f t="shared" si="83"/>
        <v>0</v>
      </c>
      <c r="AI124" s="141">
        <f t="shared" si="83"/>
        <v>0</v>
      </c>
      <c r="AJ124" s="141">
        <f t="shared" si="83"/>
        <v>0</v>
      </c>
      <c r="AK124" s="141">
        <f t="shared" si="83"/>
        <v>17.8</v>
      </c>
      <c r="AL124" s="141">
        <f t="shared" si="83"/>
        <v>5.5</v>
      </c>
      <c r="AM124" s="141">
        <f t="shared" si="83"/>
        <v>68.8</v>
      </c>
      <c r="AN124" s="141">
        <f t="shared" si="83"/>
        <v>147.29999999999998</v>
      </c>
      <c r="AO124" s="141">
        <f t="shared" si="83"/>
        <v>37.5</v>
      </c>
      <c r="AQ124" s="140" t="s">
        <v>31</v>
      </c>
      <c r="AR124" s="141">
        <f>SUM(AR105:AR120)</f>
        <v>148.50745977993918</v>
      </c>
      <c r="AS124" s="141">
        <f t="shared" ref="AS124:BC124" si="84">SUM(AS105:AS120)</f>
        <v>19.10451265295524</v>
      </c>
      <c r="AT124" s="141">
        <f t="shared" si="84"/>
        <v>54.399290266042044</v>
      </c>
      <c r="AU124" s="141">
        <f t="shared" si="84"/>
        <v>7.1237165824578854</v>
      </c>
      <c r="AV124" s="141">
        <f t="shared" si="84"/>
        <v>51.485042573218365</v>
      </c>
      <c r="AW124" s="141">
        <f t="shared" si="84"/>
        <v>1.942831795215787</v>
      </c>
      <c r="AX124" s="141">
        <f t="shared" si="84"/>
        <v>45.656547187570993</v>
      </c>
      <c r="AY124" s="141">
        <f t="shared" si="84"/>
        <v>21.750424650272102</v>
      </c>
      <c r="AZ124" s="141">
        <f t="shared" si="84"/>
        <v>6.6333185472092087</v>
      </c>
      <c r="BA124" s="141">
        <f t="shared" si="84"/>
        <v>76.636088240703671</v>
      </c>
      <c r="BB124" s="141">
        <f t="shared" si="84"/>
        <v>136.19347823734975</v>
      </c>
      <c r="BC124" s="141">
        <f t="shared" si="84"/>
        <v>49.966504019301297</v>
      </c>
      <c r="BE124" s="140" t="s">
        <v>31</v>
      </c>
      <c r="BF124" s="141">
        <f>SUM(BF105:BF120)</f>
        <v>150.14455661054288</v>
      </c>
      <c r="BG124" s="141">
        <f t="shared" ref="BG124:BQ124" si="85">SUM(BG105:BG120)</f>
        <v>21.672986139928831</v>
      </c>
      <c r="BH124" s="141">
        <f t="shared" si="85"/>
        <v>61.712909686577014</v>
      </c>
      <c r="BI124" s="141">
        <f t="shared" si="85"/>
        <v>8.0814524589565124</v>
      </c>
      <c r="BJ124" s="141">
        <f t="shared" si="85"/>
        <v>58.406860953367534</v>
      </c>
      <c r="BK124" s="141">
        <f t="shared" si="85"/>
        <v>2.2040324888063219</v>
      </c>
      <c r="BL124" s="141">
        <f t="shared" si="85"/>
        <v>51.794763486948561</v>
      </c>
      <c r="BM124" s="141">
        <f t="shared" si="85"/>
        <v>22.281532727239522</v>
      </c>
      <c r="BN124" s="141">
        <f t="shared" si="85"/>
        <v>6.7856856184703549</v>
      </c>
      <c r="BO124" s="141">
        <f t="shared" si="85"/>
        <v>77.689597704852162</v>
      </c>
      <c r="BP124" s="141">
        <f t="shared" si="85"/>
        <v>134.70028093899052</v>
      </c>
      <c r="BQ124" s="141">
        <f t="shared" si="85"/>
        <v>51.642541803173899</v>
      </c>
    </row>
    <row r="125" spans="1:82" ht="15.75" thickBot="1">
      <c r="A125" s="133" t="s">
        <v>32</v>
      </c>
      <c r="B125" s="134">
        <f>COUNTIF(B92:B122,"&gt;0")</f>
        <v>19</v>
      </c>
      <c r="C125" s="134">
        <f t="shared" ref="C125:M125" si="86">COUNTIF(C92:C122,"&gt;0")</f>
        <v>15</v>
      </c>
      <c r="D125" s="134">
        <f t="shared" si="86"/>
        <v>12</v>
      </c>
      <c r="E125" s="134">
        <f t="shared" si="86"/>
        <v>11</v>
      </c>
      <c r="F125" s="134">
        <f t="shared" si="86"/>
        <v>15</v>
      </c>
      <c r="G125" s="134">
        <f t="shared" si="86"/>
        <v>11</v>
      </c>
      <c r="H125" s="134">
        <f t="shared" si="86"/>
        <v>8</v>
      </c>
      <c r="I125" s="134">
        <f t="shared" si="86"/>
        <v>7</v>
      </c>
      <c r="J125" s="134">
        <f t="shared" si="86"/>
        <v>9</v>
      </c>
      <c r="K125" s="134">
        <f t="shared" si="86"/>
        <v>16</v>
      </c>
      <c r="L125" s="134">
        <f t="shared" si="86"/>
        <v>27</v>
      </c>
      <c r="M125" s="134">
        <f t="shared" si="86"/>
        <v>22</v>
      </c>
      <c r="O125" s="133" t="s">
        <v>32</v>
      </c>
      <c r="P125" s="134">
        <f>COUNTIF(P90:P120,"&gt;0")</f>
        <v>15</v>
      </c>
      <c r="Q125" s="134">
        <f t="shared" ref="Q125:AA125" si="87">COUNTIF(Q90:Q120,"&gt;0")</f>
        <v>13</v>
      </c>
      <c r="R125" s="134">
        <f t="shared" si="87"/>
        <v>12</v>
      </c>
      <c r="S125" s="134">
        <f t="shared" si="87"/>
        <v>10</v>
      </c>
      <c r="T125" s="134">
        <f t="shared" si="87"/>
        <v>15</v>
      </c>
      <c r="U125" s="134">
        <f t="shared" si="87"/>
        <v>10</v>
      </c>
      <c r="V125" s="134">
        <f t="shared" si="87"/>
        <v>6</v>
      </c>
      <c r="W125" s="134">
        <f t="shared" si="87"/>
        <v>6</v>
      </c>
      <c r="X125" s="134">
        <f t="shared" si="87"/>
        <v>3</v>
      </c>
      <c r="Y125" s="134">
        <f t="shared" si="87"/>
        <v>10</v>
      </c>
      <c r="Z125" s="134">
        <f t="shared" si="87"/>
        <v>16</v>
      </c>
      <c r="AA125" s="134">
        <f t="shared" si="87"/>
        <v>13</v>
      </c>
      <c r="AC125" s="133" t="s">
        <v>32</v>
      </c>
      <c r="AD125" s="134">
        <f>COUNTIF(AD90:AD120,"&gt;0")</f>
        <v>17</v>
      </c>
      <c r="AE125" s="134">
        <f t="shared" ref="AE125:AO125" si="88">COUNTIF(AE90:AE120,"&gt;0")</f>
        <v>5</v>
      </c>
      <c r="AF125" s="134">
        <f t="shared" si="88"/>
        <v>0</v>
      </c>
      <c r="AG125" s="134">
        <f t="shared" si="88"/>
        <v>0</v>
      </c>
      <c r="AH125" s="134">
        <f t="shared" si="88"/>
        <v>0</v>
      </c>
      <c r="AI125" s="134">
        <f t="shared" si="88"/>
        <v>0</v>
      </c>
      <c r="AJ125" s="134">
        <f t="shared" si="88"/>
        <v>0</v>
      </c>
      <c r="AK125" s="134">
        <f t="shared" si="88"/>
        <v>1</v>
      </c>
      <c r="AL125" s="134">
        <f t="shared" si="88"/>
        <v>6</v>
      </c>
      <c r="AM125" s="134">
        <f t="shared" si="88"/>
        <v>13</v>
      </c>
      <c r="AN125" s="134">
        <f t="shared" si="88"/>
        <v>26</v>
      </c>
      <c r="AO125" s="134">
        <f t="shared" si="88"/>
        <v>21</v>
      </c>
      <c r="AQ125" s="133" t="s">
        <v>32</v>
      </c>
      <c r="AR125" s="134">
        <f>COUNTIF(AR90:AR120,"&gt;0")</f>
        <v>20</v>
      </c>
      <c r="AS125" s="134">
        <f t="shared" ref="AS125:BC125" si="89">COUNTIF(AS90:AS120,"&gt;0")</f>
        <v>15</v>
      </c>
      <c r="AT125" s="134">
        <f t="shared" si="89"/>
        <v>12</v>
      </c>
      <c r="AU125" s="134">
        <f t="shared" si="89"/>
        <v>10</v>
      </c>
      <c r="AV125" s="134">
        <f t="shared" si="89"/>
        <v>15</v>
      </c>
      <c r="AW125" s="134">
        <f t="shared" si="89"/>
        <v>10</v>
      </c>
      <c r="AX125" s="134">
        <f t="shared" si="89"/>
        <v>6</v>
      </c>
      <c r="AY125" s="134">
        <f t="shared" si="89"/>
        <v>6</v>
      </c>
      <c r="AZ125" s="134">
        <f t="shared" si="89"/>
        <v>7</v>
      </c>
      <c r="BA125" s="134">
        <f t="shared" si="89"/>
        <v>14</v>
      </c>
      <c r="BB125" s="134">
        <f t="shared" si="89"/>
        <v>27</v>
      </c>
      <c r="BC125" s="134">
        <f t="shared" si="89"/>
        <v>22</v>
      </c>
      <c r="BE125" s="133" t="s">
        <v>32</v>
      </c>
      <c r="BF125" s="134">
        <f>COUNTIF(BF90:BF120,"&gt;0")</f>
        <v>20</v>
      </c>
      <c r="BG125" s="134">
        <f t="shared" ref="BG125:BQ125" si="90">COUNTIF(BG90:BG120,"&gt;0")</f>
        <v>15</v>
      </c>
      <c r="BH125" s="134">
        <f t="shared" si="90"/>
        <v>12</v>
      </c>
      <c r="BI125" s="134">
        <f t="shared" si="90"/>
        <v>10</v>
      </c>
      <c r="BJ125" s="134">
        <f t="shared" si="90"/>
        <v>15</v>
      </c>
      <c r="BK125" s="134">
        <f t="shared" si="90"/>
        <v>10</v>
      </c>
      <c r="BL125" s="134">
        <f t="shared" si="90"/>
        <v>6</v>
      </c>
      <c r="BM125" s="134">
        <f t="shared" si="90"/>
        <v>6</v>
      </c>
      <c r="BN125" s="134">
        <f t="shared" si="90"/>
        <v>7</v>
      </c>
      <c r="BO125" s="134">
        <f t="shared" si="90"/>
        <v>14</v>
      </c>
      <c r="BP125" s="134">
        <f t="shared" si="90"/>
        <v>27</v>
      </c>
      <c r="BQ125" s="134">
        <f t="shared" si="90"/>
        <v>22</v>
      </c>
    </row>
    <row r="126" spans="1:82" ht="15.75" thickBot="1"/>
    <row r="127" spans="1:82" s="142" customFormat="1">
      <c r="A127" s="147" t="s">
        <v>35</v>
      </c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9"/>
      <c r="N127" s="129"/>
      <c r="O127" s="147" t="s">
        <v>35</v>
      </c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9"/>
      <c r="AB127" s="129"/>
      <c r="AC127" s="147" t="s">
        <v>35</v>
      </c>
      <c r="AD127" s="148"/>
      <c r="AE127" s="148"/>
      <c r="AF127" s="148"/>
      <c r="AG127" s="148"/>
      <c r="AH127" s="148"/>
      <c r="AI127" s="148"/>
      <c r="AJ127" s="148"/>
      <c r="AK127" s="148"/>
      <c r="AL127" s="148"/>
      <c r="AM127" s="148"/>
      <c r="AN127" s="148"/>
      <c r="AO127" s="149"/>
      <c r="AP127" s="129"/>
      <c r="AQ127" s="147" t="s">
        <v>35</v>
      </c>
      <c r="AR127" s="148"/>
      <c r="AS127" s="148"/>
      <c r="AT127" s="148"/>
      <c r="AU127" s="148"/>
      <c r="AV127" s="148"/>
      <c r="AW127" s="148"/>
      <c r="AX127" s="148"/>
      <c r="AY127" s="148"/>
      <c r="AZ127" s="148"/>
      <c r="BA127" s="148"/>
      <c r="BB127" s="148"/>
      <c r="BC127" s="149"/>
      <c r="BD127" s="129"/>
      <c r="BE127" s="147" t="s">
        <v>35</v>
      </c>
      <c r="BF127" s="148"/>
      <c r="BG127" s="148"/>
      <c r="BH127" s="148"/>
      <c r="BI127" s="148"/>
      <c r="BJ127" s="148"/>
      <c r="BK127" s="148"/>
      <c r="BL127" s="148"/>
      <c r="BM127" s="148"/>
      <c r="BN127" s="148"/>
      <c r="BO127" s="148"/>
      <c r="BP127" s="148"/>
      <c r="BQ127" s="14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</row>
    <row r="128" spans="1:82">
      <c r="A128" s="144"/>
      <c r="B128" s="145" t="s">
        <v>15</v>
      </c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6"/>
      <c r="O128" s="144"/>
      <c r="P128" s="145" t="s">
        <v>15</v>
      </c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6"/>
      <c r="AC128" s="144"/>
      <c r="AD128" s="145" t="s">
        <v>15</v>
      </c>
      <c r="AE128" s="145"/>
      <c r="AF128" s="145"/>
      <c r="AG128" s="145"/>
      <c r="AH128" s="145"/>
      <c r="AI128" s="145"/>
      <c r="AJ128" s="145"/>
      <c r="AK128" s="145"/>
      <c r="AL128" s="145"/>
      <c r="AM128" s="145"/>
      <c r="AN128" s="145"/>
      <c r="AO128" s="146"/>
      <c r="AQ128" s="144"/>
      <c r="AR128" s="145" t="s">
        <v>15</v>
      </c>
      <c r="AS128" s="145"/>
      <c r="AT128" s="145"/>
      <c r="AU128" s="145"/>
      <c r="AV128" s="145"/>
      <c r="AW128" s="145"/>
      <c r="AX128" s="145"/>
      <c r="AY128" s="145"/>
      <c r="AZ128" s="145"/>
      <c r="BA128" s="145"/>
      <c r="BB128" s="145"/>
      <c r="BC128" s="146"/>
      <c r="BE128" s="144"/>
      <c r="BF128" s="145" t="s">
        <v>15</v>
      </c>
      <c r="BG128" s="145"/>
      <c r="BH128" s="145"/>
      <c r="BI128" s="145"/>
      <c r="BJ128" s="145"/>
      <c r="BK128" s="145"/>
      <c r="BL128" s="145"/>
      <c r="BM128" s="145"/>
      <c r="BN128" s="145"/>
      <c r="BO128" s="145"/>
      <c r="BP128" s="145"/>
      <c r="BQ128" s="146"/>
    </row>
    <row r="129" spans="1:69">
      <c r="A129" s="144"/>
      <c r="B129" s="131" t="s">
        <v>16</v>
      </c>
      <c r="C129" s="131" t="s">
        <v>17</v>
      </c>
      <c r="D129" s="131" t="s">
        <v>18</v>
      </c>
      <c r="E129" s="131" t="s">
        <v>19</v>
      </c>
      <c r="F129" s="131" t="s">
        <v>20</v>
      </c>
      <c r="G129" s="131" t="s">
        <v>21</v>
      </c>
      <c r="H129" s="131" t="s">
        <v>22</v>
      </c>
      <c r="I129" s="131" t="s">
        <v>23</v>
      </c>
      <c r="J129" s="131" t="s">
        <v>24</v>
      </c>
      <c r="K129" s="131" t="s">
        <v>25</v>
      </c>
      <c r="L129" s="131" t="s">
        <v>26</v>
      </c>
      <c r="M129" s="132" t="s">
        <v>27</v>
      </c>
      <c r="O129" s="144"/>
      <c r="P129" s="131" t="s">
        <v>16</v>
      </c>
      <c r="Q129" s="131" t="s">
        <v>17</v>
      </c>
      <c r="R129" s="131" t="s">
        <v>18</v>
      </c>
      <c r="S129" s="131" t="s">
        <v>19</v>
      </c>
      <c r="T129" s="131" t="s">
        <v>20</v>
      </c>
      <c r="U129" s="131" t="s">
        <v>21</v>
      </c>
      <c r="V129" s="131" t="s">
        <v>22</v>
      </c>
      <c r="W129" s="131" t="s">
        <v>23</v>
      </c>
      <c r="X129" s="131" t="s">
        <v>24</v>
      </c>
      <c r="Y129" s="131" t="s">
        <v>25</v>
      </c>
      <c r="Z129" s="131" t="s">
        <v>26</v>
      </c>
      <c r="AA129" s="132" t="s">
        <v>27</v>
      </c>
      <c r="AC129" s="144"/>
      <c r="AD129" s="131" t="s">
        <v>16</v>
      </c>
      <c r="AE129" s="131" t="s">
        <v>17</v>
      </c>
      <c r="AF129" s="131" t="s">
        <v>18</v>
      </c>
      <c r="AG129" s="131" t="s">
        <v>19</v>
      </c>
      <c r="AH129" s="131" t="s">
        <v>20</v>
      </c>
      <c r="AI129" s="131" t="s">
        <v>21</v>
      </c>
      <c r="AJ129" s="131" t="s">
        <v>22</v>
      </c>
      <c r="AK129" s="131" t="s">
        <v>23</v>
      </c>
      <c r="AL129" s="131" t="s">
        <v>24</v>
      </c>
      <c r="AM129" s="131" t="s">
        <v>25</v>
      </c>
      <c r="AN129" s="131" t="s">
        <v>26</v>
      </c>
      <c r="AO129" s="132" t="s">
        <v>27</v>
      </c>
      <c r="AQ129" s="144"/>
      <c r="AR129" s="131" t="s">
        <v>16</v>
      </c>
      <c r="AS129" s="131" t="s">
        <v>17</v>
      </c>
      <c r="AT129" s="131" t="s">
        <v>18</v>
      </c>
      <c r="AU129" s="131" t="s">
        <v>19</v>
      </c>
      <c r="AV129" s="131" t="s">
        <v>20</v>
      </c>
      <c r="AW129" s="131" t="s">
        <v>21</v>
      </c>
      <c r="AX129" s="131" t="s">
        <v>22</v>
      </c>
      <c r="AY129" s="131" t="s">
        <v>23</v>
      </c>
      <c r="AZ129" s="131" t="s">
        <v>24</v>
      </c>
      <c r="BA129" s="131" t="s">
        <v>25</v>
      </c>
      <c r="BB129" s="131" t="s">
        <v>26</v>
      </c>
      <c r="BC129" s="132" t="s">
        <v>27</v>
      </c>
      <c r="BE129" s="144"/>
      <c r="BF129" s="131" t="s">
        <v>16</v>
      </c>
      <c r="BG129" s="131" t="s">
        <v>17</v>
      </c>
      <c r="BH129" s="131" t="s">
        <v>18</v>
      </c>
      <c r="BI129" s="131" t="s">
        <v>19</v>
      </c>
      <c r="BJ129" s="131" t="s">
        <v>20</v>
      </c>
      <c r="BK129" s="131" t="s">
        <v>21</v>
      </c>
      <c r="BL129" s="131" t="s">
        <v>22</v>
      </c>
      <c r="BM129" s="131" t="s">
        <v>23</v>
      </c>
      <c r="BN129" s="131" t="s">
        <v>24</v>
      </c>
      <c r="BO129" s="131" t="s">
        <v>25</v>
      </c>
      <c r="BP129" s="131" t="s">
        <v>26</v>
      </c>
      <c r="BQ129" s="132" t="s">
        <v>27</v>
      </c>
    </row>
    <row r="130" spans="1:69">
      <c r="A130" s="130">
        <v>1</v>
      </c>
      <c r="B130" s="131">
        <f>IF('Data 2'!B130&lt;0.1,0,'Data 2'!B130)</f>
        <v>17.786290388281493</v>
      </c>
      <c r="C130" s="131">
        <f>IF('Data 2'!C130&lt;0.1,0,'Data 2'!C130)</f>
        <v>4.0287096931875581</v>
      </c>
      <c r="D130" s="131">
        <f>IF('Data 2'!D130&lt;0.1,0,'Data 2'!D130)</f>
        <v>23.229983869128116</v>
      </c>
      <c r="E130" s="131">
        <f>IF('Data 2'!E130&lt;0.1,0,'Data 2'!E130)</f>
        <v>0</v>
      </c>
      <c r="F130" s="131">
        <f>IF('Data 2'!F130&lt;0.1,0,'Data 2'!F130)</f>
        <v>29.145774200381272</v>
      </c>
      <c r="G130" s="131">
        <f>IF('Data 2'!G130&lt;0.1,0,'Data 2'!G130)</f>
        <v>4.3572580776562981</v>
      </c>
      <c r="H130" s="131">
        <f>IF('Data 2'!H130&lt;0.1,0,'Data 2'!H130)</f>
        <v>0</v>
      </c>
      <c r="I130" s="131">
        <f>IF('Data 2'!I130&lt;0.1,0,'Data 2'!I130)</f>
        <v>0</v>
      </c>
      <c r="J130" s="131">
        <f>IF('Data 2'!J130&lt;0.1,0,'Data 2'!J130)</f>
        <v>0.32854838446874024</v>
      </c>
      <c r="K130" s="131">
        <f>IF('Data 2'!K130&lt;0.1,0,'Data 2'!K130)</f>
        <v>0</v>
      </c>
      <c r="L130" s="131">
        <f>IF('Data 2'!L130&lt;0.1,0,'Data 2'!L130)</f>
        <v>2.9486451697000309</v>
      </c>
      <c r="M130" s="131">
        <f>IF('Data 2'!M130&lt;0.1,0,'Data 2'!M130)</f>
        <v>18.813080670653218</v>
      </c>
      <c r="O130" s="130">
        <v>1</v>
      </c>
      <c r="P130" s="131">
        <f>'Stasiun Pontianak Kota'!Q184</f>
        <v>26</v>
      </c>
      <c r="Q130" s="131">
        <f>'Stasiun Pontianak Kota'!R184</f>
        <v>6</v>
      </c>
      <c r="R130" s="131">
        <f>'Stasiun Pontianak Kota'!S184</f>
        <v>23</v>
      </c>
      <c r="S130" s="131">
        <f>'Stasiun Pontianak Kota'!T184</f>
        <v>0</v>
      </c>
      <c r="T130" s="131">
        <f>'Stasiun Pontianak Kota'!U184</f>
        <v>30</v>
      </c>
      <c r="U130" s="131">
        <f>'Stasiun Pontianak Kota'!V184</f>
        <v>6</v>
      </c>
      <c r="V130" s="131">
        <f>'Stasiun Pontianak Kota'!W184</f>
        <v>0</v>
      </c>
      <c r="W130" s="131">
        <f>'Stasiun Pontianak Kota'!X184</f>
        <v>0</v>
      </c>
      <c r="X130" s="131">
        <f>'Stasiun Pontianak Kota'!Y184</f>
        <v>0</v>
      </c>
      <c r="Y130" s="131">
        <f>'Stasiun Pontianak Kota'!Z184</f>
        <v>0</v>
      </c>
      <c r="Z130" s="131">
        <f>'Stasiun Pontianak Kota'!AA184</f>
        <v>4</v>
      </c>
      <c r="AA130" s="131">
        <f>'Stasiun Pontianak Kota'!AB184</f>
        <v>22</v>
      </c>
      <c r="AC130" s="130">
        <v>1</v>
      </c>
      <c r="AD130" s="131">
        <f>'Sta. Meteorologi pnk'!B143</f>
        <v>1</v>
      </c>
      <c r="AE130" s="131">
        <f>'Sta. Meteorologi pnk'!C143</f>
        <v>0</v>
      </c>
      <c r="AF130" s="131">
        <f>'Sta. Meteorologi pnk'!D143</f>
        <v>23.7</v>
      </c>
      <c r="AG130" s="131">
        <f>'Sta. Meteorologi pnk'!E143</f>
        <v>0</v>
      </c>
      <c r="AH130" s="131">
        <f>'Sta. Meteorologi pnk'!F143</f>
        <v>27.4</v>
      </c>
      <c r="AI130" s="131">
        <f>'Sta. Meteorologi pnk'!G143</f>
        <v>1</v>
      </c>
      <c r="AJ130" s="131">
        <f>'Sta. Meteorologi pnk'!H143</f>
        <v>0</v>
      </c>
      <c r="AK130" s="131">
        <f>'Sta. Meteorologi pnk'!I143</f>
        <v>0</v>
      </c>
      <c r="AL130" s="131">
        <f>'Sta. Meteorologi pnk'!J143</f>
        <v>1</v>
      </c>
      <c r="AM130" s="131">
        <f>'Sta. Meteorologi pnk'!K143</f>
        <v>0</v>
      </c>
      <c r="AN130" s="131">
        <f>'Sta. Meteorologi pnk'!L143</f>
        <v>0.8</v>
      </c>
      <c r="AO130" s="131">
        <f>'Sta. Meteorologi pnk'!M143</f>
        <v>12.3</v>
      </c>
      <c r="AQ130" s="130">
        <v>1</v>
      </c>
      <c r="AR130" s="131">
        <f>((P130/($AV$1^2))+(AD130/($AV$2^2)))/((1/($AV$1^2))+(1/($AV$2^2)))</f>
        <v>9.0951324800657805</v>
      </c>
      <c r="AS130" s="131">
        <f t="shared" ref="AS130:BC153" si="91">((Q130/($AV$1^2))+(AE130/($AV$2^2)))/((1/($AV$1^2))+(1/($AV$2^2)))</f>
        <v>1.942831795215787</v>
      </c>
      <c r="AT130" s="131">
        <f t="shared" si="91"/>
        <v>23.473336290558155</v>
      </c>
      <c r="AU130" s="131">
        <f t="shared" si="91"/>
        <v>0</v>
      </c>
      <c r="AV130" s="131">
        <f t="shared" si="91"/>
        <v>28.241893777926837</v>
      </c>
      <c r="AW130" s="131">
        <f t="shared" si="91"/>
        <v>2.6190264960131557</v>
      </c>
      <c r="AX130" s="131">
        <f t="shared" si="91"/>
        <v>0</v>
      </c>
      <c r="AY130" s="131">
        <f t="shared" si="91"/>
        <v>0</v>
      </c>
      <c r="AZ130" s="131">
        <f t="shared" si="91"/>
        <v>0.67619470079736876</v>
      </c>
      <c r="BA130" s="131">
        <f t="shared" si="91"/>
        <v>0</v>
      </c>
      <c r="BB130" s="131">
        <f t="shared" si="91"/>
        <v>1.8361769574484197</v>
      </c>
      <c r="BC130" s="131">
        <f t="shared" si="91"/>
        <v>15.440911402265522</v>
      </c>
      <c r="BE130" s="130">
        <v>1</v>
      </c>
      <c r="BF130" s="131">
        <f>((B130/($BI$1^2))+(P130/($AV$1^2))+(AD130/($AV$2^2)))/((1/($BI$1^2))+(1/($AV$1^2))+(1/($AV$2^2)))</f>
        <v>10.183468703359674</v>
      </c>
      <c r="BG130" s="131">
        <f t="shared" ref="BG130:BQ153" si="92">((C130/($BI$1^2))+(Q130/($AV$1^2))+(AE130/($AV$2^2)))/((1/($BI$1^2))+(1/($AV$1^2))+(1/($AV$2^2)))</f>
        <v>2.2040324888063219</v>
      </c>
      <c r="BH130" s="131">
        <f t="shared" si="92"/>
        <v>23.442862876305931</v>
      </c>
      <c r="BI130" s="131">
        <f t="shared" si="92"/>
        <v>0</v>
      </c>
      <c r="BJ130" s="131">
        <f t="shared" si="92"/>
        <v>28.355080745149404</v>
      </c>
      <c r="BK130" s="131">
        <f t="shared" si="92"/>
        <v>2.8366937406719348</v>
      </c>
      <c r="BL130" s="131">
        <f t="shared" si="92"/>
        <v>0</v>
      </c>
      <c r="BM130" s="131">
        <f t="shared" si="92"/>
        <v>0</v>
      </c>
      <c r="BN130" s="131">
        <f t="shared" si="92"/>
        <v>0.63266125186561295</v>
      </c>
      <c r="BO130" s="131">
        <f t="shared" si="92"/>
        <v>0</v>
      </c>
      <c r="BP130" s="131">
        <f t="shared" si="92"/>
        <v>1.9754839940300384</v>
      </c>
      <c r="BQ130" s="131">
        <f t="shared" si="92"/>
        <v>15.863185856903554</v>
      </c>
    </row>
    <row r="131" spans="1:69">
      <c r="A131" s="130">
        <v>2</v>
      </c>
      <c r="B131" s="131">
        <f>IF('Data 2'!B131&lt;0.1,0,'Data 2'!B131)</f>
        <v>60.063177618822607</v>
      </c>
      <c r="C131" s="131">
        <f>IF('Data 2'!C131&lt;0.1,0,'Data 2'!C131)</f>
        <v>9.2896289899467188</v>
      </c>
      <c r="D131" s="131">
        <f>IF('Data 2'!D131&lt;0.1,0,'Data 2'!D131)</f>
        <v>34.312274127059126</v>
      </c>
      <c r="E131" s="131">
        <f>IF('Data 2'!E131&lt;0.1,0,'Data 2'!E131)</f>
        <v>9.8111612598373874</v>
      </c>
      <c r="F131" s="131">
        <f>IF('Data 2'!F131&lt;0.1,0,'Data 2'!F131)</f>
        <v>0</v>
      </c>
      <c r="G131" s="131">
        <f>IF('Data 2'!G131&lt;0.1,0,'Data 2'!G131)</f>
        <v>2.0143548465937791</v>
      </c>
      <c r="H131" s="131">
        <f>IF('Data 2'!H131&lt;0.1,0,'Data 2'!H131)</f>
        <v>0</v>
      </c>
      <c r="I131" s="131">
        <f>IF('Data 2'!I131&lt;0.1,0,'Data 2'!I131)</f>
        <v>0</v>
      </c>
      <c r="J131" s="131">
        <f>IF('Data 2'!J131&lt;0.1,0,'Data 2'!J131)</f>
        <v>20.702080719534649</v>
      </c>
      <c r="K131" s="131">
        <f>IF('Data 2'!K131&lt;0.1,0,'Data 2'!K131)</f>
        <v>6.7228064458312282</v>
      </c>
      <c r="L131" s="131">
        <f>IF('Data 2'!L131&lt;0.1,0,'Data 2'!L131)</f>
        <v>7.8172258159125336</v>
      </c>
      <c r="M131" s="131">
        <f>IF('Data 2'!M131&lt;0.1,0,'Data 2'!M131)</f>
        <v>37.305903247356326</v>
      </c>
      <c r="O131" s="130">
        <v>2</v>
      </c>
      <c r="P131" s="131">
        <f>'Stasiun Pontianak Kota'!Q185</f>
        <v>85</v>
      </c>
      <c r="Q131" s="131">
        <f>'Stasiun Pontianak Kota'!R185</f>
        <v>4</v>
      </c>
      <c r="R131" s="131">
        <f>'Stasiun Pontianak Kota'!S185</f>
        <v>26</v>
      </c>
      <c r="S131" s="131">
        <f>'Stasiun Pontianak Kota'!T185</f>
        <v>6</v>
      </c>
      <c r="T131" s="131">
        <f>'Stasiun Pontianak Kota'!U185</f>
        <v>0</v>
      </c>
      <c r="U131" s="131">
        <f>'Stasiun Pontianak Kota'!V185</f>
        <v>3</v>
      </c>
      <c r="V131" s="131">
        <f>'Stasiun Pontianak Kota'!W185</f>
        <v>0</v>
      </c>
      <c r="W131" s="131">
        <f>'Stasiun Pontianak Kota'!X185</f>
        <v>0</v>
      </c>
      <c r="X131" s="131">
        <f>'Stasiun Pontianak Kota'!Y185</f>
        <v>30</v>
      </c>
      <c r="Y131" s="131">
        <f>'Stasiun Pontianak Kota'!Z185</f>
        <v>6</v>
      </c>
      <c r="Z131" s="131">
        <f>'Stasiun Pontianak Kota'!AA185</f>
        <v>9</v>
      </c>
      <c r="AA131" s="131">
        <f>'Stasiun Pontianak Kota'!AB185</f>
        <v>40</v>
      </c>
      <c r="AC131" s="130">
        <v>2</v>
      </c>
      <c r="AD131" s="131">
        <f>'Sta. Meteorologi pnk'!B144</f>
        <v>9.1</v>
      </c>
      <c r="AE131" s="131">
        <f>'Sta. Meteorologi pnk'!C144</f>
        <v>20.100000000000001</v>
      </c>
      <c r="AF131" s="131">
        <f>'Sta. Meteorologi pnk'!D144</f>
        <v>51.3</v>
      </c>
      <c r="AG131" s="131">
        <f>'Sta. Meteorologi pnk'!E144</f>
        <v>17.600000000000001</v>
      </c>
      <c r="AH131" s="131">
        <f>'Sta. Meteorologi pnk'!F144</f>
        <v>0</v>
      </c>
      <c r="AI131" s="131">
        <f>'Sta. Meteorologi pnk'!G144</f>
        <v>0</v>
      </c>
      <c r="AJ131" s="131">
        <f>'Sta. Meteorologi pnk'!H144</f>
        <v>0</v>
      </c>
      <c r="AK131" s="131">
        <f>'Sta. Meteorologi pnk'!I144</f>
        <v>0</v>
      </c>
      <c r="AL131" s="131">
        <f>'Sta. Meteorologi pnk'!J144</f>
        <v>1.7</v>
      </c>
      <c r="AM131" s="131">
        <f>'Sta. Meteorologi pnk'!K144</f>
        <v>8.1999999999999993</v>
      </c>
      <c r="AN131" s="131">
        <f>'Sta. Meteorologi pnk'!L144</f>
        <v>5.4</v>
      </c>
      <c r="AO131" s="131">
        <f>'Sta. Meteorologi pnk'!M144</f>
        <v>31.8</v>
      </c>
      <c r="AQ131" s="130">
        <v>2</v>
      </c>
      <c r="AR131" s="131">
        <f t="shared" ref="AR131:AT160" si="93">((P131/($AV$1^2))+(AD131/($AV$2^2)))/((1/($AV$1^2))+(1/($AV$2^2)))</f>
        <v>33.67682220947971</v>
      </c>
      <c r="AS131" s="131">
        <f t="shared" si="91"/>
        <v>14.886734682837638</v>
      </c>
      <c r="AT131" s="131">
        <f t="shared" si="91"/>
        <v>43.107725930173423</v>
      </c>
      <c r="AU131" s="131">
        <f t="shared" si="91"/>
        <v>13.843858529249477</v>
      </c>
      <c r="AV131" s="131">
        <f t="shared" si="91"/>
        <v>0</v>
      </c>
      <c r="AW131" s="131">
        <f t="shared" si="91"/>
        <v>0.97141589760789349</v>
      </c>
      <c r="AX131" s="131">
        <f t="shared" si="91"/>
        <v>0</v>
      </c>
      <c r="AY131" s="131">
        <f t="shared" si="91"/>
        <v>0</v>
      </c>
      <c r="AZ131" s="131">
        <f t="shared" si="91"/>
        <v>10.863689967434464</v>
      </c>
      <c r="BA131" s="131">
        <f t="shared" si="91"/>
        <v>7.4876283417542098</v>
      </c>
      <c r="BB131" s="131">
        <f t="shared" si="91"/>
        <v>6.565699077129473</v>
      </c>
      <c r="BC131" s="131">
        <f t="shared" si="91"/>
        <v>34.455203453461579</v>
      </c>
      <c r="BE131" s="130">
        <v>2</v>
      </c>
      <c r="BF131" s="131">
        <f t="shared" ref="BF131:BH160" si="94">((B131/($BI$1^2))+(P131/($AV$1^2))+(AD131/($AV$2^2)))/((1/($BI$1^2))+(1/($AV$1^2))+(1/($AV$2^2)))</f>
        <v>36.981010983399976</v>
      </c>
      <c r="BG131" s="131">
        <f t="shared" si="92"/>
        <v>14.185846155036369</v>
      </c>
      <c r="BH131" s="131">
        <f t="shared" si="92"/>
        <v>42.006329672200003</v>
      </c>
      <c r="BI131" s="131">
        <f t="shared" si="92"/>
        <v>13.338870521641111</v>
      </c>
      <c r="BJ131" s="131">
        <f t="shared" si="92"/>
        <v>0</v>
      </c>
      <c r="BK131" s="131">
        <f t="shared" si="92"/>
        <v>1.1020162444031609</v>
      </c>
      <c r="BL131" s="131">
        <f t="shared" si="92"/>
        <v>0</v>
      </c>
      <c r="BM131" s="131">
        <f t="shared" si="92"/>
        <v>0</v>
      </c>
      <c r="BN131" s="131">
        <f t="shared" si="92"/>
        <v>12.095686572203151</v>
      </c>
      <c r="BO131" s="131">
        <f t="shared" si="92"/>
        <v>7.3918547541043473</v>
      </c>
      <c r="BP131" s="131">
        <f t="shared" si="92"/>
        <v>6.7224194932837928</v>
      </c>
      <c r="BQ131" s="131">
        <f t="shared" si="92"/>
        <v>34.812177734701969</v>
      </c>
    </row>
    <row r="132" spans="1:69">
      <c r="A132" s="130">
        <v>3</v>
      </c>
      <c r="B132" s="131">
        <f>IF('Data 2'!B132&lt;0.1,0,'Data 2'!B132)</f>
        <v>26.026483958744073</v>
      </c>
      <c r="C132" s="131">
        <f>IF('Data 2'!C132&lt;0.1,0,'Data 2'!C132)</f>
        <v>4.2258387238688018</v>
      </c>
      <c r="D132" s="131">
        <f>IF('Data 2'!D132&lt;0.1,0,'Data 2'!D132)</f>
        <v>4.6385967770843859</v>
      </c>
      <c r="E132" s="131">
        <f>IF('Data 2'!E132&lt;0.1,0,'Data 2'!E132)</f>
        <v>1.314193537874961</v>
      </c>
      <c r="F132" s="131">
        <f>IF('Data 2'!F132&lt;0.1,0,'Data 2'!F132)</f>
        <v>5.4826128753686465</v>
      </c>
      <c r="G132" s="131">
        <f>IF('Data 2'!G132&lt;0.1,0,'Data 2'!G132)</f>
        <v>1.8028709693187557</v>
      </c>
      <c r="H132" s="131">
        <f>IF('Data 2'!H132&lt;0.1,0,'Data 2'!H132)</f>
        <v>0</v>
      </c>
      <c r="I132" s="131">
        <f>IF('Data 2'!I132&lt;0.1,0,'Data 2'!I132)</f>
        <v>0</v>
      </c>
      <c r="J132" s="131">
        <f>IF('Data 2'!J132&lt;0.1,0,'Data 2'!J132)</f>
        <v>17.741306437684326</v>
      </c>
      <c r="K132" s="131">
        <f>IF('Data 2'!K132&lt;0.1,0,'Data 2'!K132)</f>
        <v>0</v>
      </c>
      <c r="L132" s="131">
        <f>IF('Data 2'!L132&lt;0.1,0,'Data 2'!L132)</f>
        <v>6.8870806380655978</v>
      </c>
      <c r="M132" s="131">
        <f>IF('Data 2'!M132&lt;0.1,0,'Data 2'!M132)</f>
        <v>4.1457742003812754</v>
      </c>
      <c r="O132" s="130">
        <v>3</v>
      </c>
      <c r="P132" s="131">
        <f>'Stasiun Pontianak Kota'!Q186</f>
        <v>37</v>
      </c>
      <c r="Q132" s="131">
        <f>'Stasiun Pontianak Kota'!R186</f>
        <v>6</v>
      </c>
      <c r="R132" s="131">
        <f>'Stasiun Pontianak Kota'!S186</f>
        <v>5</v>
      </c>
      <c r="S132" s="131">
        <f>'Stasiun Pontianak Kota'!T186</f>
        <v>0</v>
      </c>
      <c r="T132" s="131">
        <f>'Stasiun Pontianak Kota'!U186</f>
        <v>2</v>
      </c>
      <c r="U132" s="131">
        <f>'Stasiun Pontianak Kota'!V186</f>
        <v>2</v>
      </c>
      <c r="V132" s="131">
        <f>'Stasiun Pontianak Kota'!W186</f>
        <v>0</v>
      </c>
      <c r="W132" s="131">
        <f>'Stasiun Pontianak Kota'!X186</f>
        <v>0</v>
      </c>
      <c r="X132" s="131">
        <f>'Stasiun Pontianak Kota'!Y186</f>
        <v>16</v>
      </c>
      <c r="Y132" s="131">
        <f>'Stasiun Pontianak Kota'!Z186</f>
        <v>0</v>
      </c>
      <c r="Z132" s="131">
        <f>'Stasiun Pontianak Kota'!AA186</f>
        <v>6</v>
      </c>
      <c r="AA132" s="131">
        <f>'Stasiun Pontianak Kota'!AB186</f>
        <v>5</v>
      </c>
      <c r="AC132" s="130">
        <v>3</v>
      </c>
      <c r="AD132" s="131">
        <f>'Sta. Meteorologi pnk'!B145</f>
        <v>3.6</v>
      </c>
      <c r="AE132" s="131">
        <f>'Sta. Meteorologi pnk'!C145</f>
        <v>0.6</v>
      </c>
      <c r="AF132" s="131">
        <f>'Sta. Meteorologi pnk'!D145</f>
        <v>3.9</v>
      </c>
      <c r="AG132" s="131">
        <f>'Sta. Meteorologi pnk'!E145</f>
        <v>4</v>
      </c>
      <c r="AH132" s="131">
        <f>'Sta. Meteorologi pnk'!F145</f>
        <v>12.6</v>
      </c>
      <c r="AI132" s="131">
        <f>'Sta. Meteorologi pnk'!G145</f>
        <v>1.4</v>
      </c>
      <c r="AJ132" s="131">
        <f>'Sta. Meteorologi pnk'!H145</f>
        <v>0</v>
      </c>
      <c r="AK132" s="131">
        <f>'Sta. Meteorologi pnk'!I145</f>
        <v>0</v>
      </c>
      <c r="AL132" s="131">
        <f>'Sta. Meteorologi pnk'!J145</f>
        <v>21.3</v>
      </c>
      <c r="AM132" s="131">
        <f>'Sta. Meteorologi pnk'!K145</f>
        <v>0</v>
      </c>
      <c r="AN132" s="131">
        <f>'Sta. Meteorologi pnk'!L145</f>
        <v>8.6999999999999993</v>
      </c>
      <c r="AO132" s="131">
        <f>'Sta. Meteorologi pnk'!M145</f>
        <v>2.4</v>
      </c>
      <c r="AQ132" s="130">
        <v>3</v>
      </c>
      <c r="AR132" s="131">
        <f t="shared" si="93"/>
        <v>14.415096993367882</v>
      </c>
      <c r="AS132" s="131">
        <f t="shared" si="91"/>
        <v>2.3485486156942081</v>
      </c>
      <c r="AT132" s="131">
        <f t="shared" si="91"/>
        <v>4.2561858291228942</v>
      </c>
      <c r="AU132" s="131">
        <f t="shared" si="91"/>
        <v>2.7047788031894751</v>
      </c>
      <c r="AV132" s="131">
        <f t="shared" si="91"/>
        <v>9.1676638284521079</v>
      </c>
      <c r="AW132" s="131">
        <f t="shared" si="91"/>
        <v>1.5942831795215786</v>
      </c>
      <c r="AX132" s="131">
        <f t="shared" si="91"/>
        <v>0</v>
      </c>
      <c r="AY132" s="131">
        <f t="shared" si="91"/>
        <v>0</v>
      </c>
      <c r="AZ132" s="131">
        <f t="shared" si="91"/>
        <v>19.583831914226053</v>
      </c>
      <c r="BA132" s="131">
        <f t="shared" si="91"/>
        <v>0</v>
      </c>
      <c r="BB132" s="131">
        <f t="shared" si="91"/>
        <v>7.8257256921528953</v>
      </c>
      <c r="BC132" s="131">
        <f t="shared" si="91"/>
        <v>3.2418937779268404</v>
      </c>
      <c r="BE132" s="130">
        <v>3</v>
      </c>
      <c r="BF132" s="131">
        <f t="shared" si="94"/>
        <v>15.869114187688528</v>
      </c>
      <c r="BG132" s="131">
        <f t="shared" si="92"/>
        <v>2.5836292399256893</v>
      </c>
      <c r="BH132" s="131">
        <f t="shared" si="92"/>
        <v>4.3040726229478254</v>
      </c>
      <c r="BI132" s="131">
        <f t="shared" si="92"/>
        <v>2.5306450074624518</v>
      </c>
      <c r="BJ132" s="131">
        <f t="shared" si="92"/>
        <v>8.7062092697754974</v>
      </c>
      <c r="BK132" s="131">
        <f t="shared" si="92"/>
        <v>1.6204032488806321</v>
      </c>
      <c r="BL132" s="131">
        <f t="shared" si="92"/>
        <v>0</v>
      </c>
      <c r="BM132" s="131">
        <f t="shared" si="92"/>
        <v>0</v>
      </c>
      <c r="BN132" s="131">
        <f t="shared" si="92"/>
        <v>19.35310463488775</v>
      </c>
      <c r="BO132" s="131">
        <f t="shared" si="92"/>
        <v>0</v>
      </c>
      <c r="BP132" s="131">
        <f t="shared" si="92"/>
        <v>7.7081853800371549</v>
      </c>
      <c r="BQ132" s="131">
        <f t="shared" si="92"/>
        <v>3.3550807451494067</v>
      </c>
    </row>
    <row r="133" spans="1:69">
      <c r="A133" s="130">
        <v>4</v>
      </c>
      <c r="B133" s="131">
        <f>IF('Data 2'!B133&lt;0.1,0,'Data 2'!B133)</f>
        <v>3.4086129079562673</v>
      </c>
      <c r="C133" s="131">
        <f>IF('Data 2'!C133&lt;0.1,0,'Data 2'!C133)</f>
        <v>8.3859677708438554</v>
      </c>
      <c r="D133" s="131">
        <f>IF('Data 2'!D133&lt;0.1,0,'Data 2'!D133)</f>
        <v>25.76809672005605</v>
      </c>
      <c r="E133" s="131">
        <f>IF('Data 2'!E133&lt;0.1,0,'Data 2'!E133)</f>
        <v>4.3470483763218342</v>
      </c>
      <c r="F133" s="131">
        <f>IF('Data 2'!F133&lt;0.1,0,'Data 2'!F133)</f>
        <v>23.544177407003076</v>
      </c>
      <c r="G133" s="131">
        <f>IF('Data 2'!G133&lt;0.1,0,'Data 2'!G133)</f>
        <v>2.6858064621250386</v>
      </c>
      <c r="H133" s="131">
        <f>IF('Data 2'!H133&lt;0.1,0,'Data 2'!H133)</f>
        <v>0</v>
      </c>
      <c r="I133" s="131">
        <f>IF('Data 2'!I133&lt;0.1,0,'Data 2'!I133)</f>
        <v>0</v>
      </c>
      <c r="J133" s="131">
        <f>IF('Data 2'!J133&lt;0.1,0,'Data 2'!J133)</f>
        <v>4.7639515747967343</v>
      </c>
      <c r="K133" s="131">
        <f>IF('Data 2'!K133&lt;0.1,0,'Data 2'!K133)</f>
        <v>0</v>
      </c>
      <c r="L133" s="131">
        <f>IF('Data 2'!L133&lt;0.1,0,'Data 2'!L133)</f>
        <v>6.8685806462125027</v>
      </c>
      <c r="M133" s="131">
        <f>IF('Data 2'!M133&lt;0.1,0,'Data 2'!M133)</f>
        <v>4.3696935134342461</v>
      </c>
      <c r="O133" s="130">
        <v>4</v>
      </c>
      <c r="P133" s="131">
        <f>'Stasiun Pontianak Kota'!Q187</f>
        <v>4</v>
      </c>
      <c r="Q133" s="131">
        <f>'Stasiun Pontianak Kota'!R187</f>
        <v>12</v>
      </c>
      <c r="R133" s="131">
        <f>'Stasiun Pontianak Kota'!S187</f>
        <v>19</v>
      </c>
      <c r="S133" s="131">
        <f>'Stasiun Pontianak Kota'!T187</f>
        <v>3</v>
      </c>
      <c r="T133" s="131">
        <f>'Stasiun Pontianak Kota'!U187</f>
        <v>22</v>
      </c>
      <c r="U133" s="131">
        <f>'Stasiun Pontianak Kota'!V187</f>
        <v>4</v>
      </c>
      <c r="V133" s="131">
        <f>'Stasiun Pontianak Kota'!W187</f>
        <v>0</v>
      </c>
      <c r="W133" s="131">
        <f>'Stasiun Pontianak Kota'!X187</f>
        <v>0</v>
      </c>
      <c r="X133" s="131">
        <f>'Stasiun Pontianak Kota'!Y187</f>
        <v>0</v>
      </c>
      <c r="Y133" s="131">
        <f>'Stasiun Pontianak Kota'!Z187</f>
        <v>0</v>
      </c>
      <c r="Z133" s="131">
        <f>'Stasiun Pontianak Kota'!AA187</f>
        <v>7</v>
      </c>
      <c r="AA133" s="131">
        <f>'Stasiun Pontianak Kota'!AB187</f>
        <v>0</v>
      </c>
      <c r="AC133" s="130">
        <v>4</v>
      </c>
      <c r="AD133" s="131">
        <f>'Sta. Meteorologi pnk'!B146</f>
        <v>2.2000000000000002</v>
      </c>
      <c r="AE133" s="131">
        <f>'Sta. Meteorologi pnk'!C146</f>
        <v>1</v>
      </c>
      <c r="AF133" s="131">
        <f>'Sta. Meteorologi pnk'!D146</f>
        <v>39.6</v>
      </c>
      <c r="AG133" s="131">
        <f>'Sta. Meteorologi pnk'!E146</f>
        <v>7.1</v>
      </c>
      <c r="AH133" s="131">
        <f>'Sta. Meteorologi pnk'!F146</f>
        <v>26.7</v>
      </c>
      <c r="AI133" s="131">
        <f>'Sta. Meteorologi pnk'!G146</f>
        <v>0</v>
      </c>
      <c r="AJ133" s="131">
        <f>'Sta. Meteorologi pnk'!H146</f>
        <v>0</v>
      </c>
      <c r="AK133" s="131">
        <f>'Sta. Meteorologi pnk'!I146</f>
        <v>0</v>
      </c>
      <c r="AL133" s="131">
        <f>'Sta. Meteorologi pnk'!J146</f>
        <v>14.5</v>
      </c>
      <c r="AM133" s="131">
        <f>'Sta. Meteorologi pnk'!K146</f>
        <v>0</v>
      </c>
      <c r="AN133" s="131">
        <f>'Sta. Meteorologi pnk'!L146</f>
        <v>6.6</v>
      </c>
      <c r="AO133" s="131">
        <f>'Sta. Meteorologi pnk'!M146</f>
        <v>13.3</v>
      </c>
      <c r="AQ133" s="130">
        <v>4</v>
      </c>
      <c r="AR133" s="131">
        <f t="shared" si="93"/>
        <v>2.7828495385647365</v>
      </c>
      <c r="AS133" s="131">
        <f t="shared" si="91"/>
        <v>4.5618582912289432</v>
      </c>
      <c r="AT133" s="131">
        <f t="shared" si="91"/>
        <v>32.929610836425802</v>
      </c>
      <c r="AU133" s="131">
        <f t="shared" si="91"/>
        <v>5.7723982732692116</v>
      </c>
      <c r="AV133" s="131">
        <f t="shared" si="91"/>
        <v>25.178115093747632</v>
      </c>
      <c r="AW133" s="131">
        <f t="shared" si="91"/>
        <v>1.2952211968105249</v>
      </c>
      <c r="AX133" s="131">
        <f t="shared" si="91"/>
        <v>0</v>
      </c>
      <c r="AY133" s="131">
        <f t="shared" si="91"/>
        <v>0</v>
      </c>
      <c r="AZ133" s="131">
        <f t="shared" si="91"/>
        <v>9.8048231615618473</v>
      </c>
      <c r="BA133" s="131">
        <f t="shared" si="91"/>
        <v>0</v>
      </c>
      <c r="BB133" s="131">
        <f t="shared" si="91"/>
        <v>6.7295221196810511</v>
      </c>
      <c r="BC133" s="131">
        <f t="shared" si="91"/>
        <v>8.993389520605005</v>
      </c>
      <c r="BE133" s="130">
        <v>4</v>
      </c>
      <c r="BF133" s="131">
        <f t="shared" si="94"/>
        <v>2.8612097466418969</v>
      </c>
      <c r="BG133" s="131">
        <f t="shared" si="92"/>
        <v>5.0407262294782562</v>
      </c>
      <c r="BH133" s="131">
        <f t="shared" si="92"/>
        <v>32.032821788431633</v>
      </c>
      <c r="BI133" s="131">
        <f t="shared" si="92"/>
        <v>5.593911132649013</v>
      </c>
      <c r="BJ133" s="131">
        <f t="shared" si="92"/>
        <v>24.973507883768381</v>
      </c>
      <c r="BK133" s="131">
        <f t="shared" si="92"/>
        <v>1.469354992537548</v>
      </c>
      <c r="BL133" s="131">
        <f t="shared" si="92"/>
        <v>0</v>
      </c>
      <c r="BM133" s="131">
        <f t="shared" si="92"/>
        <v>0</v>
      </c>
      <c r="BN133" s="131">
        <f t="shared" si="92"/>
        <v>9.1735881520513889</v>
      </c>
      <c r="BO133" s="131">
        <f t="shared" si="92"/>
        <v>0</v>
      </c>
      <c r="BP133" s="131">
        <f t="shared" si="92"/>
        <v>6.7469354992537545</v>
      </c>
      <c r="BQ133" s="131">
        <f t="shared" si="92"/>
        <v>8.4143946498126549</v>
      </c>
    </row>
    <row r="134" spans="1:69">
      <c r="A134" s="130">
        <v>5</v>
      </c>
      <c r="B134" s="131">
        <f>IF('Data 2'!B134&lt;0.1,0,'Data 2'!B134)</f>
        <v>0</v>
      </c>
      <c r="C134" s="131">
        <f>IF('Data 2'!C134&lt;0.1,0,'Data 2'!C134)</f>
        <v>16.626161341306439</v>
      </c>
      <c r="D134" s="131">
        <f>IF('Data 2'!D134&lt;0.1,0,'Data 2'!D134)</f>
        <v>5.0328548384468732</v>
      </c>
      <c r="E134" s="131">
        <f>IF('Data 2'!E134&lt;0.1,0,'Data 2'!E134)</f>
        <v>28.694096752643674</v>
      </c>
      <c r="F134" s="131">
        <f>IF('Data 2'!F134&lt;0.1,0,'Data 2'!F134)</f>
        <v>0</v>
      </c>
      <c r="G134" s="131">
        <f>IF('Data 2'!G134&lt;0.1,0,'Data 2'!G134)</f>
        <v>0</v>
      </c>
      <c r="H134" s="131">
        <f>IF('Data 2'!H134&lt;0.1,0,'Data 2'!H134)</f>
        <v>0</v>
      </c>
      <c r="I134" s="131">
        <f>IF('Data 2'!I134&lt;0.1,0,'Data 2'!I134)</f>
        <v>1.4086129079562673</v>
      </c>
      <c r="J134" s="131">
        <f>IF('Data 2'!J134&lt;0.1,0,'Data 2'!J134)</f>
        <v>20.032854838446873</v>
      </c>
      <c r="K134" s="131">
        <f>IF('Data 2'!K134&lt;0.1,0,'Data 2'!K134)</f>
        <v>9.3799032147687083</v>
      </c>
      <c r="L134" s="131">
        <f>IF('Data 2'!L134&lt;0.1,0,'Data 2'!L134)</f>
        <v>19.956935460218663</v>
      </c>
      <c r="M134" s="131">
        <f>IF('Data 2'!M134&lt;0.1,0,'Data 2'!M134)</f>
        <v>24.135564499046811</v>
      </c>
      <c r="O134" s="130">
        <v>5</v>
      </c>
      <c r="P134" s="131">
        <f>'Stasiun Pontianak Kota'!Q188</f>
        <v>0</v>
      </c>
      <c r="Q134" s="131">
        <f>'Stasiun Pontianak Kota'!R188</f>
        <v>23</v>
      </c>
      <c r="R134" s="131">
        <f>'Stasiun Pontianak Kota'!S188</f>
        <v>5</v>
      </c>
      <c r="S134" s="131">
        <f>'Stasiun Pontianak Kota'!T188</f>
        <v>26</v>
      </c>
      <c r="T134" s="131">
        <f>'Stasiun Pontianak Kota'!U188</f>
        <v>0</v>
      </c>
      <c r="U134" s="131">
        <f>'Stasiun Pontianak Kota'!V188</f>
        <v>0</v>
      </c>
      <c r="V134" s="131">
        <f>'Stasiun Pontianak Kota'!W188</f>
        <v>0</v>
      </c>
      <c r="W134" s="131">
        <f>'Stasiun Pontianak Kota'!X188</f>
        <v>2</v>
      </c>
      <c r="X134" s="131">
        <f>'Stasiun Pontianak Kota'!Y188</f>
        <v>20</v>
      </c>
      <c r="Y134" s="131">
        <f>'Stasiun Pontianak Kota'!Z188</f>
        <v>8</v>
      </c>
      <c r="Z134" s="131">
        <f>'Stasiun Pontianak Kota'!AA188</f>
        <v>17</v>
      </c>
      <c r="AA134" s="131">
        <f>'Stasiun Pontianak Kota'!AB188</f>
        <v>22</v>
      </c>
      <c r="AC134" s="130">
        <v>5</v>
      </c>
      <c r="AD134" s="131">
        <f>'Sta. Meteorologi pnk'!B147</f>
        <v>0</v>
      </c>
      <c r="AE134" s="131">
        <f>'Sta. Meteorologi pnk'!C147</f>
        <v>3.6</v>
      </c>
      <c r="AF134" s="131">
        <f>'Sta. Meteorologi pnk'!D147</f>
        <v>5.0999999999999996</v>
      </c>
      <c r="AG134" s="131">
        <f>'Sta. Meteorologi pnk'!E147</f>
        <v>34.200000000000003</v>
      </c>
      <c r="AH134" s="131">
        <f>'Sta. Meteorologi pnk'!F147</f>
        <v>0</v>
      </c>
      <c r="AI134" s="131">
        <f>'Sta. Meteorologi pnk'!G147</f>
        <v>0</v>
      </c>
      <c r="AJ134" s="131">
        <f>'Sta. Meteorologi pnk'!H147</f>
        <v>0</v>
      </c>
      <c r="AK134" s="131">
        <f>'Sta. Meteorologi pnk'!I147</f>
        <v>0.2</v>
      </c>
      <c r="AL134" s="131">
        <f>'Sta. Meteorologi pnk'!J147</f>
        <v>20.100000000000001</v>
      </c>
      <c r="AM134" s="131">
        <f>'Sta. Meteorologi pnk'!K147</f>
        <v>12.2</v>
      </c>
      <c r="AN134" s="131">
        <f>'Sta. Meteorologi pnk'!L147</f>
        <v>26</v>
      </c>
      <c r="AO134" s="131">
        <f>'Sta. Meteorologi pnk'!M147</f>
        <v>28.5</v>
      </c>
      <c r="AQ134" s="130">
        <v>5</v>
      </c>
      <c r="AR134" s="131">
        <f t="shared" si="93"/>
        <v>0</v>
      </c>
      <c r="AS134" s="131">
        <f t="shared" si="91"/>
        <v>9.8818228045310441</v>
      </c>
      <c r="AT134" s="131">
        <f t="shared" si="91"/>
        <v>5.0676194700797357</v>
      </c>
      <c r="AU134" s="131">
        <f t="shared" si="91"/>
        <v>31.544796546538421</v>
      </c>
      <c r="AV134" s="131">
        <f t="shared" si="91"/>
        <v>0</v>
      </c>
      <c r="AW134" s="131">
        <f t="shared" si="91"/>
        <v>0</v>
      </c>
      <c r="AX134" s="131">
        <f t="shared" si="91"/>
        <v>0</v>
      </c>
      <c r="AY134" s="131">
        <f t="shared" si="91"/>
        <v>0.78284953856473616</v>
      </c>
      <c r="AZ134" s="131">
        <f t="shared" si="91"/>
        <v>20.067619470079737</v>
      </c>
      <c r="BA134" s="131">
        <f t="shared" si="91"/>
        <v>10.840017743348946</v>
      </c>
      <c r="BB134" s="131">
        <f t="shared" si="91"/>
        <v>23.085752307176318</v>
      </c>
      <c r="BC134" s="131">
        <f t="shared" si="91"/>
        <v>26.395265555182895</v>
      </c>
      <c r="BE134" s="130">
        <v>5</v>
      </c>
      <c r="BF134" s="131">
        <f t="shared" si="94"/>
        <v>0</v>
      </c>
      <c r="BG134" s="131">
        <f t="shared" si="92"/>
        <v>10.726371713807108</v>
      </c>
      <c r="BH134" s="131">
        <f t="shared" si="92"/>
        <v>5.0632661251865612</v>
      </c>
      <c r="BI134" s="131">
        <f t="shared" si="92"/>
        <v>31.187822265298028</v>
      </c>
      <c r="BJ134" s="131">
        <f t="shared" si="92"/>
        <v>0</v>
      </c>
      <c r="BK134" s="131">
        <f t="shared" si="92"/>
        <v>0</v>
      </c>
      <c r="BL134" s="131">
        <f t="shared" si="92"/>
        <v>0</v>
      </c>
      <c r="BM134" s="131">
        <f t="shared" si="92"/>
        <v>0.86120974664189653</v>
      </c>
      <c r="BN134" s="131">
        <f t="shared" si="92"/>
        <v>20.063266125186562</v>
      </c>
      <c r="BO134" s="131">
        <f t="shared" si="92"/>
        <v>10.657177257835574</v>
      </c>
      <c r="BP134" s="131">
        <f t="shared" si="92"/>
        <v>22.693951266790513</v>
      </c>
      <c r="BQ134" s="131">
        <f t="shared" si="92"/>
        <v>26.112298137126484</v>
      </c>
    </row>
    <row r="135" spans="1:69">
      <c r="A135" s="130">
        <v>6</v>
      </c>
      <c r="B135" s="131">
        <f>IF('Data 2'!B135&lt;0.1,0,'Data 2'!B135)</f>
        <v>0</v>
      </c>
      <c r="C135" s="131">
        <f>IF('Data 2'!C135&lt;0.1,0,'Data 2'!C135)</f>
        <v>4.0657096768937482</v>
      </c>
      <c r="D135" s="131">
        <f>IF('Data 2'!D135&lt;0.1,0,'Data 2'!D135)</f>
        <v>3.1869193293467806</v>
      </c>
      <c r="E135" s="131">
        <f>IF('Data 2'!E135&lt;0.1,0,'Data 2'!E135)</f>
        <v>12.69217734182784</v>
      </c>
      <c r="F135" s="131">
        <f>IF('Data 2'!F135&lt;0.1,0,'Data 2'!F135)</f>
        <v>14.638596777084386</v>
      </c>
      <c r="G135" s="131">
        <f>IF('Data 2'!G135&lt;0.1,0,'Data 2'!G135)</f>
        <v>0</v>
      </c>
      <c r="H135" s="131">
        <f>IF('Data 2'!H135&lt;0.1,0,'Data 2'!H135)</f>
        <v>0</v>
      </c>
      <c r="I135" s="131">
        <f>IF('Data 2'!I135&lt;0.1,0,'Data 2'!I135)</f>
        <v>0</v>
      </c>
      <c r="J135" s="131">
        <f>IF('Data 2'!J135&lt;0.1,0,'Data 2'!J135)</f>
        <v>6.5996773825623629</v>
      </c>
      <c r="K135" s="131">
        <f>IF('Data 2'!K135&lt;0.1,0,'Data 2'!K135)</f>
        <v>6.7802258322063444</v>
      </c>
      <c r="L135" s="131">
        <f>IF('Data 2'!L135&lt;0.1,0,'Data 2'!L135)</f>
        <v>70.081983934303352</v>
      </c>
      <c r="M135" s="131">
        <f>IF('Data 2'!M135&lt;0.1,0,'Data 2'!M135)</f>
        <v>0</v>
      </c>
      <c r="O135" s="130">
        <v>6</v>
      </c>
      <c r="P135" s="131">
        <f>'Stasiun Pontianak Kota'!Q189</f>
        <v>0</v>
      </c>
      <c r="Q135" s="131">
        <f>'Stasiun Pontianak Kota'!R189</f>
        <v>4</v>
      </c>
      <c r="R135" s="131">
        <f>'Stasiun Pontianak Kota'!S189</f>
        <v>0</v>
      </c>
      <c r="S135" s="131">
        <f>'Stasiun Pontianak Kota'!T189</f>
        <v>3</v>
      </c>
      <c r="T135" s="131">
        <f>'Stasiun Pontianak Kota'!U189</f>
        <v>15</v>
      </c>
      <c r="U135" s="131">
        <f>'Stasiun Pontianak Kota'!V189</f>
        <v>0</v>
      </c>
      <c r="V135" s="131">
        <f>'Stasiun Pontianak Kota'!W189</f>
        <v>0</v>
      </c>
      <c r="W135" s="131">
        <f>'Stasiun Pontianak Kota'!X189</f>
        <v>0</v>
      </c>
      <c r="X135" s="131">
        <f>'Stasiun Pontianak Kota'!Y189</f>
        <v>2</v>
      </c>
      <c r="Y135" s="131">
        <f>'Stasiun Pontianak Kota'!Z189</f>
        <v>10</v>
      </c>
      <c r="Z135" s="131">
        <f>'Stasiun Pontianak Kota'!AA189</f>
        <v>78</v>
      </c>
      <c r="AA135" s="131">
        <f>'Stasiun Pontianak Kota'!AB189</f>
        <v>0</v>
      </c>
      <c r="AC135" s="130">
        <v>6</v>
      </c>
      <c r="AD135" s="131">
        <f>'Sta. Meteorologi pnk'!B148</f>
        <v>0.1</v>
      </c>
      <c r="AE135" s="131">
        <f>'Sta. Meteorologi pnk'!C148</f>
        <v>4.2</v>
      </c>
      <c r="AF135" s="131">
        <f>'Sta. Meteorologi pnk'!D148</f>
        <v>9.6999999999999993</v>
      </c>
      <c r="AG135" s="131">
        <f>'Sta. Meteorologi pnk'!E148</f>
        <v>32.5</v>
      </c>
      <c r="AH135" s="131">
        <f>'Sta. Meteorologi pnk'!F148</f>
        <v>13.9</v>
      </c>
      <c r="AI135" s="131">
        <f>'Sta. Meteorologi pnk'!G148</f>
        <v>0</v>
      </c>
      <c r="AJ135" s="131">
        <f>'Sta. Meteorologi pnk'!H148</f>
        <v>0</v>
      </c>
      <c r="AK135" s="131">
        <f>'Sta. Meteorologi pnk'!I148</f>
        <v>0</v>
      </c>
      <c r="AL135" s="131">
        <f>'Sta. Meteorologi pnk'!J148</f>
        <v>16</v>
      </c>
      <c r="AM135" s="131">
        <f>'Sta. Meteorologi pnk'!K148</f>
        <v>0.2</v>
      </c>
      <c r="AN135" s="131">
        <f>'Sta. Meteorologi pnk'!L148</f>
        <v>53.9</v>
      </c>
      <c r="AO135" s="131">
        <f>'Sta. Meteorologi pnk'!M148</f>
        <v>0</v>
      </c>
      <c r="AQ135" s="130">
        <v>6</v>
      </c>
      <c r="AR135" s="131">
        <f t="shared" si="93"/>
        <v>6.7619470079736871E-2</v>
      </c>
      <c r="AS135" s="131">
        <f t="shared" si="91"/>
        <v>4.135238940159474</v>
      </c>
      <c r="AT135" s="131">
        <f t="shared" si="91"/>
        <v>6.5590885977344762</v>
      </c>
      <c r="AU135" s="131">
        <f t="shared" si="91"/>
        <v>22.947743673522378</v>
      </c>
      <c r="AV135" s="131">
        <f t="shared" si="91"/>
        <v>14.256185829122895</v>
      </c>
      <c r="AW135" s="131">
        <f t="shared" si="91"/>
        <v>0</v>
      </c>
      <c r="AX135" s="131">
        <f t="shared" si="91"/>
        <v>0</v>
      </c>
      <c r="AY135" s="131">
        <f t="shared" si="91"/>
        <v>0</v>
      </c>
      <c r="AZ135" s="131">
        <f t="shared" si="91"/>
        <v>11.466725811163162</v>
      </c>
      <c r="BA135" s="131">
        <f t="shared" si="91"/>
        <v>3.3732919321857855</v>
      </c>
      <c r="BB135" s="131">
        <f t="shared" si="91"/>
        <v>61.703707710783405</v>
      </c>
      <c r="BC135" s="131">
        <f t="shared" si="91"/>
        <v>0</v>
      </c>
      <c r="BE135" s="130">
        <v>6</v>
      </c>
      <c r="BF135" s="131">
        <f t="shared" si="94"/>
        <v>5.9151931063083127E-2</v>
      </c>
      <c r="BG135" s="131">
        <f t="shared" si="92"/>
        <v>4.1265322503731232</v>
      </c>
      <c r="BH135" s="131">
        <f t="shared" si="92"/>
        <v>6.1368141430964451</v>
      </c>
      <c r="BI135" s="131">
        <f t="shared" si="92"/>
        <v>21.663506930035584</v>
      </c>
      <c r="BJ135" s="131">
        <f t="shared" si="92"/>
        <v>14.304072622947828</v>
      </c>
      <c r="BK135" s="131">
        <f t="shared" si="92"/>
        <v>0</v>
      </c>
      <c r="BL135" s="131">
        <f t="shared" si="92"/>
        <v>0</v>
      </c>
      <c r="BM135" s="131">
        <f t="shared" si="92"/>
        <v>0</v>
      </c>
      <c r="BN135" s="131">
        <f t="shared" si="92"/>
        <v>10.857257526118582</v>
      </c>
      <c r="BO135" s="131">
        <f t="shared" si="92"/>
        <v>3.7999197317169924</v>
      </c>
      <c r="BP135" s="131">
        <f t="shared" si="92"/>
        <v>62.752863830038727</v>
      </c>
      <c r="BQ135" s="131">
        <f t="shared" si="92"/>
        <v>0</v>
      </c>
    </row>
    <row r="136" spans="1:69">
      <c r="A136" s="130">
        <v>7</v>
      </c>
      <c r="B136" s="131">
        <f>IF('Data 2'!B136&lt;0.1,0,'Data 2'!B136)</f>
        <v>38.856145210434555</v>
      </c>
      <c r="C136" s="131">
        <f>IF('Data 2'!C136&lt;0.1,0,'Data 2'!C136)</f>
        <v>1.5400322617437634</v>
      </c>
      <c r="D136" s="131">
        <f>IF('Data 2'!D136&lt;0.1,0,'Data 2'!D136)</f>
        <v>25.93429032310625</v>
      </c>
      <c r="E136" s="131">
        <f>IF('Data 2'!E136&lt;0.1,0,'Data 2'!E136)</f>
        <v>1.3614032229156143</v>
      </c>
      <c r="F136" s="131">
        <f>IF('Data 2'!F136&lt;0.1,0,'Data 2'!F136)</f>
        <v>45.658709856125654</v>
      </c>
      <c r="G136" s="131">
        <f>IF('Data 2'!G136&lt;0.1,0,'Data 2'!G136)</f>
        <v>1.4784677301093312</v>
      </c>
      <c r="H136" s="131">
        <f>IF('Data 2'!H136&lt;0.1,0,'Data 2'!H136)</f>
        <v>2.7269515910905446</v>
      </c>
      <c r="I136" s="131">
        <f>IF('Data 2'!I136&lt;0.1,0,'Data 2'!I136)</f>
        <v>0</v>
      </c>
      <c r="J136" s="131">
        <f>IF('Data 2'!J136&lt;0.1,0,'Data 2'!J136)</f>
        <v>13.002225734443483</v>
      </c>
      <c r="K136" s="131">
        <f>IF('Data 2'!K136&lt;0.1,0,'Data 2'!K136)</f>
        <v>2.0985645153406218</v>
      </c>
      <c r="L136" s="131">
        <f>IF('Data 2'!L136&lt;0.1,0,'Data 2'!L136)</f>
        <v>1.0842096687468428</v>
      </c>
      <c r="M136" s="131">
        <f>IF('Data 2'!M136&lt;0.1,0,'Data 2'!M136)</f>
        <v>0</v>
      </c>
      <c r="O136" s="130">
        <v>7</v>
      </c>
      <c r="P136" s="131">
        <f>'Stasiun Pontianak Kota'!Q190</f>
        <v>45</v>
      </c>
      <c r="Q136" s="131">
        <f>'Stasiun Pontianak Kota'!R190</f>
        <v>2</v>
      </c>
      <c r="R136" s="131">
        <f>'Stasiun Pontianak Kota'!S190</f>
        <v>26</v>
      </c>
      <c r="S136" s="131">
        <f>'Stasiun Pontianak Kota'!T190</f>
        <v>1</v>
      </c>
      <c r="T136" s="131">
        <f>'Stasiun Pontianak Kota'!U190</f>
        <v>68</v>
      </c>
      <c r="U136" s="131">
        <f>'Stasiun Pontianak Kota'!V190</f>
        <v>0</v>
      </c>
      <c r="V136" s="131">
        <f>'Stasiun Pontianak Kota'!W190</f>
        <v>0</v>
      </c>
      <c r="W136" s="131">
        <f>'Stasiun Pontianak Kota'!X190</f>
        <v>0</v>
      </c>
      <c r="X136" s="131">
        <f>'Stasiun Pontianak Kota'!Y190</f>
        <v>4</v>
      </c>
      <c r="Y136" s="131">
        <f>'Stasiun Pontianak Kota'!Z190</f>
        <v>2</v>
      </c>
      <c r="Z136" s="131">
        <f>'Stasiun Pontianak Kota'!AA190</f>
        <v>0</v>
      </c>
      <c r="AA136" s="131">
        <f>'Stasiun Pontianak Kota'!AB190</f>
        <v>0</v>
      </c>
      <c r="AC136" s="130">
        <v>7</v>
      </c>
      <c r="AD136" s="131">
        <f>'Sta. Meteorologi pnk'!B149</f>
        <v>26.3</v>
      </c>
      <c r="AE136" s="131">
        <f>'Sta. Meteorologi pnk'!C149</f>
        <v>0.6</v>
      </c>
      <c r="AF136" s="131">
        <f>'Sta. Meteorologi pnk'!D149</f>
        <v>25.8</v>
      </c>
      <c r="AG136" s="131">
        <f>'Sta. Meteorologi pnk'!E149</f>
        <v>2.1</v>
      </c>
      <c r="AH136" s="131">
        <f>'Sta. Meteorologi pnk'!F149</f>
        <v>0</v>
      </c>
      <c r="AI136" s="131">
        <f>'Sta. Meteorologi pnk'!G149</f>
        <v>4.5</v>
      </c>
      <c r="AJ136" s="131">
        <f>'Sta. Meteorologi pnk'!H149</f>
        <v>8.3000000000000007</v>
      </c>
      <c r="AK136" s="131">
        <f>'Sta. Meteorologi pnk'!I149</f>
        <v>0</v>
      </c>
      <c r="AL136" s="131">
        <f>'Sta. Meteorologi pnk'!J149</f>
        <v>31.4</v>
      </c>
      <c r="AM136" s="131">
        <f>'Sta. Meteorologi pnk'!K149</f>
        <v>2.2999999999999998</v>
      </c>
      <c r="AN136" s="131">
        <f>'Sta. Meteorologi pnk'!L149</f>
        <v>3.3</v>
      </c>
      <c r="AO136" s="131">
        <f>'Sta. Meteorologi pnk'!M149</f>
        <v>0</v>
      </c>
      <c r="AQ136" s="130">
        <v>7</v>
      </c>
      <c r="AR136" s="131">
        <f t="shared" si="93"/>
        <v>32.355159095089199</v>
      </c>
      <c r="AS136" s="131">
        <f t="shared" si="91"/>
        <v>1.0533274188836836</v>
      </c>
      <c r="AT136" s="131">
        <f t="shared" si="91"/>
        <v>25.864761059840525</v>
      </c>
      <c r="AU136" s="131">
        <f t="shared" si="91"/>
        <v>1.7438141708771058</v>
      </c>
      <c r="AV136" s="131">
        <f t="shared" si="91"/>
        <v>22.018760345778919</v>
      </c>
      <c r="AW136" s="131">
        <f t="shared" si="91"/>
        <v>3.0428761535881592</v>
      </c>
      <c r="AX136" s="131">
        <f t="shared" si="91"/>
        <v>5.6124160166181607</v>
      </c>
      <c r="AY136" s="131">
        <f t="shared" si="91"/>
        <v>0</v>
      </c>
      <c r="AZ136" s="131">
        <f t="shared" si="91"/>
        <v>22.527734801847902</v>
      </c>
      <c r="BA136" s="131">
        <f t="shared" si="91"/>
        <v>2.2028584102392106</v>
      </c>
      <c r="BB136" s="131">
        <f t="shared" si="91"/>
        <v>2.2314425126313169</v>
      </c>
      <c r="BC136" s="131">
        <f t="shared" si="91"/>
        <v>0</v>
      </c>
      <c r="BE136" s="130">
        <v>7</v>
      </c>
      <c r="BF136" s="131">
        <f t="shared" si="94"/>
        <v>33.169234590113035</v>
      </c>
      <c r="BG136" s="131">
        <f t="shared" si="92"/>
        <v>1.1142742473881417</v>
      </c>
      <c r="BH136" s="131">
        <f t="shared" si="92"/>
        <v>25.873467749626876</v>
      </c>
      <c r="BI136" s="131">
        <f t="shared" si="92"/>
        <v>1.6959273770521746</v>
      </c>
      <c r="BJ136" s="131">
        <f t="shared" si="92"/>
        <v>24.979034873138314</v>
      </c>
      <c r="BK136" s="131">
        <f t="shared" si="92"/>
        <v>2.8469756333952585</v>
      </c>
      <c r="BL136" s="131">
        <f t="shared" si="92"/>
        <v>5.2510883904845889</v>
      </c>
      <c r="BM136" s="131">
        <f t="shared" si="92"/>
        <v>0</v>
      </c>
      <c r="BN136" s="131">
        <f t="shared" si="92"/>
        <v>21.334918301117796</v>
      </c>
      <c r="BO136" s="131">
        <f t="shared" si="92"/>
        <v>2.1897983755596839</v>
      </c>
      <c r="BP136" s="131">
        <f t="shared" si="92"/>
        <v>2.0877821311565228</v>
      </c>
      <c r="BQ136" s="131">
        <f t="shared" si="92"/>
        <v>0</v>
      </c>
    </row>
    <row r="137" spans="1:69">
      <c r="A137" s="130">
        <v>8</v>
      </c>
      <c r="B137" s="131">
        <f>IF('Data 2'!B137&lt;0.1,0,'Data 2'!B137)</f>
        <v>43.578951656265787</v>
      </c>
      <c r="C137" s="131">
        <f>IF('Data 2'!C137&lt;0.1,0,'Data 2'!C137)</f>
        <v>0.52567741514998445</v>
      </c>
      <c r="D137" s="131">
        <f>IF('Data 2'!D137&lt;0.1,0,'Data 2'!D137)</f>
        <v>1.065709676893748</v>
      </c>
      <c r="E137" s="131">
        <f>IF('Data 2'!E137&lt;0.1,0,'Data 2'!E137)</f>
        <v>0.82137096117185071</v>
      </c>
      <c r="F137" s="131">
        <f>IF('Data 2'!F137&lt;0.1,0,'Data 2'!F137)</f>
        <v>3.1869193293467806</v>
      </c>
      <c r="G137" s="131">
        <f>IF('Data 2'!G137&lt;0.1,0,'Data 2'!G137)</f>
        <v>0</v>
      </c>
      <c r="H137" s="131">
        <f>IF('Data 2'!H137&lt;0.1,0,'Data 2'!H137)</f>
        <v>0</v>
      </c>
      <c r="I137" s="131">
        <f>IF('Data 2'!I137&lt;0.1,0,'Data 2'!I137)</f>
        <v>0</v>
      </c>
      <c r="J137" s="131">
        <f>IF('Data 2'!J137&lt;0.1,0,'Data 2'!J137)</f>
        <v>33.572580776562987</v>
      </c>
      <c r="K137" s="131">
        <f>IF('Data 2'!K137&lt;0.1,0,'Data 2'!K137)</f>
        <v>2.3326935297280555</v>
      </c>
      <c r="L137" s="131">
        <f>IF('Data 2'!L137&lt;0.1,0,'Data 2'!L137)</f>
        <v>0</v>
      </c>
      <c r="M137" s="131">
        <f>IF('Data 2'!M137&lt;0.1,0,'Data 2'!M137)</f>
        <v>10.225838723868803</v>
      </c>
      <c r="O137" s="130">
        <v>8</v>
      </c>
      <c r="P137" s="131">
        <f>'Stasiun Pontianak Kota'!Q191</f>
        <v>49</v>
      </c>
      <c r="Q137" s="131">
        <f>'Stasiun Pontianak Kota'!R191</f>
        <v>0</v>
      </c>
      <c r="R137" s="131">
        <f>'Stasiun Pontianak Kota'!S191</f>
        <v>1</v>
      </c>
      <c r="S137" s="131">
        <f>'Stasiun Pontianak Kota'!T191</f>
        <v>0</v>
      </c>
      <c r="T137" s="131">
        <f>'Stasiun Pontianak Kota'!U191</f>
        <v>0</v>
      </c>
      <c r="U137" s="131">
        <f>'Stasiun Pontianak Kota'!V191</f>
        <v>0</v>
      </c>
      <c r="V137" s="131">
        <f>'Stasiun Pontianak Kota'!W191</f>
        <v>0</v>
      </c>
      <c r="W137" s="131">
        <f>'Stasiun Pontianak Kota'!X191</f>
        <v>0</v>
      </c>
      <c r="X137" s="131">
        <f>'Stasiun Pontianak Kota'!Y191</f>
        <v>50</v>
      </c>
      <c r="Y137" s="131">
        <f>'Stasiun Pontianak Kota'!Z191</f>
        <v>0</v>
      </c>
      <c r="Z137" s="131">
        <f>'Stasiun Pontianak Kota'!AA191</f>
        <v>0</v>
      </c>
      <c r="AA137" s="131">
        <f>'Stasiun Pontianak Kota'!AB191</f>
        <v>12</v>
      </c>
      <c r="AC137" s="130">
        <v>8</v>
      </c>
      <c r="AD137" s="131">
        <f>'Sta. Meteorologi pnk'!B150</f>
        <v>32.5</v>
      </c>
      <c r="AE137" s="131">
        <f>'Sta. Meteorologi pnk'!C150</f>
        <v>1.6</v>
      </c>
      <c r="AF137" s="131">
        <f>'Sta. Meteorologi pnk'!D150</f>
        <v>1.2</v>
      </c>
      <c r="AG137" s="131">
        <f>'Sta. Meteorologi pnk'!E150</f>
        <v>2.5</v>
      </c>
      <c r="AH137" s="131">
        <f>'Sta. Meteorologi pnk'!F150</f>
        <v>9.6999999999999993</v>
      </c>
      <c r="AI137" s="131">
        <f>'Sta. Meteorologi pnk'!G150</f>
        <v>0</v>
      </c>
      <c r="AJ137" s="131">
        <f>'Sta. Meteorologi pnk'!H150</f>
        <v>0</v>
      </c>
      <c r="AK137" s="131">
        <f>'Sta. Meteorologi pnk'!I150</f>
        <v>0</v>
      </c>
      <c r="AL137" s="131">
        <f>'Sta. Meteorologi pnk'!J150</f>
        <v>0</v>
      </c>
      <c r="AM137" s="131">
        <f>'Sta. Meteorologi pnk'!K150</f>
        <v>7.1</v>
      </c>
      <c r="AN137" s="131">
        <f>'Sta. Meteorologi pnk'!L150</f>
        <v>0</v>
      </c>
      <c r="AO137" s="131">
        <f>'Sta. Meteorologi pnk'!M150</f>
        <v>6.6</v>
      </c>
      <c r="AQ137" s="130">
        <v>8</v>
      </c>
      <c r="AR137" s="131">
        <f t="shared" si="93"/>
        <v>37.842787436843409</v>
      </c>
      <c r="AS137" s="131">
        <f t="shared" si="91"/>
        <v>1.0819115212757899</v>
      </c>
      <c r="AT137" s="131">
        <f t="shared" si="91"/>
        <v>1.1352389401594736</v>
      </c>
      <c r="AU137" s="131">
        <f t="shared" si="91"/>
        <v>1.6904867519934219</v>
      </c>
      <c r="AV137" s="131">
        <f t="shared" si="91"/>
        <v>6.5590885977344762</v>
      </c>
      <c r="AW137" s="131">
        <f t="shared" si="91"/>
        <v>0</v>
      </c>
      <c r="AX137" s="131">
        <f t="shared" si="91"/>
        <v>0</v>
      </c>
      <c r="AY137" s="131">
        <f t="shared" si="91"/>
        <v>0</v>
      </c>
      <c r="AZ137" s="131">
        <f t="shared" si="91"/>
        <v>16.190264960131561</v>
      </c>
      <c r="BA137" s="131">
        <f t="shared" si="91"/>
        <v>4.8009823756613184</v>
      </c>
      <c r="BB137" s="131">
        <f t="shared" si="91"/>
        <v>0</v>
      </c>
      <c r="BC137" s="131">
        <f t="shared" si="91"/>
        <v>8.3485486156942077</v>
      </c>
      <c r="BE137" s="130">
        <v>8</v>
      </c>
      <c r="BF137" s="131">
        <f t="shared" si="94"/>
        <v>38.561089344217386</v>
      </c>
      <c r="BG137" s="131">
        <f t="shared" si="92"/>
        <v>1.0122580029849808</v>
      </c>
      <c r="BH137" s="131">
        <f t="shared" si="92"/>
        <v>1.1265322503731225</v>
      </c>
      <c r="BI137" s="131">
        <f t="shared" si="92"/>
        <v>1.5816531296640326</v>
      </c>
      <c r="BJ137" s="131">
        <f t="shared" si="92"/>
        <v>6.1368141430964451</v>
      </c>
      <c r="BK137" s="131">
        <f t="shared" si="92"/>
        <v>0</v>
      </c>
      <c r="BL137" s="131">
        <f t="shared" si="92"/>
        <v>0</v>
      </c>
      <c r="BM137" s="131">
        <f t="shared" si="92"/>
        <v>0</v>
      </c>
      <c r="BN137" s="131">
        <f t="shared" si="92"/>
        <v>18.366937406719352</v>
      </c>
      <c r="BO137" s="131">
        <f t="shared" si="92"/>
        <v>4.4918948882458523</v>
      </c>
      <c r="BP137" s="131">
        <f t="shared" si="92"/>
        <v>0</v>
      </c>
      <c r="BQ137" s="131">
        <f t="shared" si="92"/>
        <v>8.5836292399256884</v>
      </c>
    </row>
    <row r="138" spans="1:69">
      <c r="A138" s="130">
        <v>9</v>
      </c>
      <c r="B138" s="131">
        <f>IF('Data 2'!B138&lt;0.1,0,'Data 2'!B138)</f>
        <v>2.2771935541687709</v>
      </c>
      <c r="C138" s="131">
        <f>IF('Data 2'!C138&lt;0.1,0,'Data 2'!C138)</f>
        <v>10.864435500953187</v>
      </c>
      <c r="D138" s="131">
        <f>IF('Data 2'!D138&lt;0.1,0,'Data 2'!D138)</f>
        <v>13.651032212862333</v>
      </c>
      <c r="E138" s="131">
        <f>IF('Data 2'!E138&lt;0.1,0,'Data 2'!E138)</f>
        <v>0</v>
      </c>
      <c r="F138" s="131">
        <f>IF('Data 2'!F138&lt;0.1,0,'Data 2'!F138)</f>
        <v>5.1725644827530015</v>
      </c>
      <c r="G138" s="131">
        <f>IF('Data 2'!G138&lt;0.1,0,'Data 2'!G138)</f>
        <v>0</v>
      </c>
      <c r="H138" s="131">
        <f>IF('Data 2'!H138&lt;0.1,0,'Data 2'!H138)</f>
        <v>0</v>
      </c>
      <c r="I138" s="131">
        <f>IF('Data 2'!I138&lt;0.1,0,'Data 2'!I138)</f>
        <v>0</v>
      </c>
      <c r="J138" s="131">
        <f>IF('Data 2'!J138&lt;0.1,0,'Data 2'!J138)</f>
        <v>10.612112818340311</v>
      </c>
      <c r="K138" s="131">
        <f>IF('Data 2'!K138&lt;0.1,0,'Data 2'!K138)</f>
        <v>46.106548482231595</v>
      </c>
      <c r="L138" s="131">
        <f>IF('Data 2'!L138&lt;0.1,0,'Data 2'!L138)</f>
        <v>13.248483860981212</v>
      </c>
      <c r="M138" s="131">
        <f>IF('Data 2'!M138&lt;0.1,0,'Data 2'!M138)</f>
        <v>26.911645185993844</v>
      </c>
      <c r="O138" s="130">
        <v>9</v>
      </c>
      <c r="P138" s="131">
        <f>'Stasiun Pontianak Kota'!Q192</f>
        <v>3</v>
      </c>
      <c r="Q138" s="131">
        <f>'Stasiun Pontianak Kota'!R192</f>
        <v>13</v>
      </c>
      <c r="R138" s="131">
        <f>'Stasiun Pontianak Kota'!S192</f>
        <v>8</v>
      </c>
      <c r="S138" s="131">
        <f>'Stasiun Pontianak Kota'!T192</f>
        <v>0</v>
      </c>
      <c r="T138" s="131">
        <f>'Stasiun Pontianak Kota'!U192</f>
        <v>1</v>
      </c>
      <c r="U138" s="131">
        <f>'Stasiun Pontianak Kota'!V192</f>
        <v>0</v>
      </c>
      <c r="V138" s="131">
        <f>'Stasiun Pontianak Kota'!W192</f>
        <v>0</v>
      </c>
      <c r="W138" s="131">
        <f>'Stasiun Pontianak Kota'!X192</f>
        <v>0</v>
      </c>
      <c r="X138" s="131">
        <f>'Stasiun Pontianak Kota'!Y192</f>
        <v>0</v>
      </c>
      <c r="Y138" s="131">
        <f>'Stasiun Pontianak Kota'!Z192</f>
        <v>58</v>
      </c>
      <c r="Z138" s="131">
        <f>'Stasiun Pontianak Kota'!AA192</f>
        <v>12</v>
      </c>
      <c r="AA138" s="131">
        <f>'Stasiun Pontianak Kota'!AB192</f>
        <v>30</v>
      </c>
      <c r="AC138" s="130">
        <v>9</v>
      </c>
      <c r="AD138" s="131">
        <f>'Sta. Meteorologi pnk'!B151</f>
        <v>0.8</v>
      </c>
      <c r="AE138" s="131">
        <f>'Sta. Meteorologi pnk'!C151</f>
        <v>6.5</v>
      </c>
      <c r="AF138" s="131">
        <f>'Sta. Meteorologi pnk'!D151</f>
        <v>25.2</v>
      </c>
      <c r="AG138" s="131">
        <f>'Sta. Meteorologi pnk'!E151</f>
        <v>0</v>
      </c>
      <c r="AH138" s="131">
        <f>'Sta. Meteorologi pnk'!F151</f>
        <v>13.7</v>
      </c>
      <c r="AI138" s="131">
        <f>'Sta. Meteorologi pnk'!G151</f>
        <v>0</v>
      </c>
      <c r="AJ138" s="131">
        <f>'Sta. Meteorologi pnk'!H151</f>
        <v>0</v>
      </c>
      <c r="AK138" s="131">
        <f>'Sta. Meteorologi pnk'!I151</f>
        <v>0</v>
      </c>
      <c r="AL138" s="131">
        <f>'Sta. Meteorologi pnk'!J151</f>
        <v>32.299999999999997</v>
      </c>
      <c r="AM138" s="131">
        <f>'Sta. Meteorologi pnk'!K151</f>
        <v>21.8</v>
      </c>
      <c r="AN138" s="131">
        <f>'Sta. Meteorologi pnk'!L151</f>
        <v>15.8</v>
      </c>
      <c r="AO138" s="131">
        <f>'Sta. Meteorologi pnk'!M151</f>
        <v>20.6</v>
      </c>
      <c r="AQ138" s="130">
        <v>9</v>
      </c>
      <c r="AR138" s="131">
        <f t="shared" si="93"/>
        <v>1.5123716582457885</v>
      </c>
      <c r="AS138" s="131">
        <f t="shared" si="91"/>
        <v>8.6047344448171028</v>
      </c>
      <c r="AT138" s="131">
        <f t="shared" si="91"/>
        <v>19.630548853714743</v>
      </c>
      <c r="AU138" s="131">
        <f t="shared" si="91"/>
        <v>0</v>
      </c>
      <c r="AV138" s="131">
        <f t="shared" si="91"/>
        <v>9.587672700126582</v>
      </c>
      <c r="AW138" s="131">
        <f t="shared" si="91"/>
        <v>0</v>
      </c>
      <c r="AX138" s="131">
        <f t="shared" si="91"/>
        <v>0</v>
      </c>
      <c r="AY138" s="131">
        <f t="shared" si="91"/>
        <v>0</v>
      </c>
      <c r="AZ138" s="131">
        <f t="shared" si="91"/>
        <v>21.841088835755006</v>
      </c>
      <c r="BA138" s="131">
        <f t="shared" si="91"/>
        <v>33.521751831135248</v>
      </c>
      <c r="BB138" s="131">
        <f t="shared" si="91"/>
        <v>14.56953986303</v>
      </c>
      <c r="BC138" s="131">
        <f t="shared" si="91"/>
        <v>23.643769812504733</v>
      </c>
      <c r="BE138" s="130">
        <v>9</v>
      </c>
      <c r="BF138" s="131">
        <f t="shared" si="94"/>
        <v>1.6081452458956513</v>
      </c>
      <c r="BG138" s="131">
        <f t="shared" si="92"/>
        <v>8.8877018628735147</v>
      </c>
      <c r="BH138" s="131">
        <f t="shared" si="92"/>
        <v>18.881773532088545</v>
      </c>
      <c r="BI138" s="131">
        <f t="shared" si="92"/>
        <v>0</v>
      </c>
      <c r="BJ138" s="131">
        <f t="shared" si="92"/>
        <v>9.0347978986932844</v>
      </c>
      <c r="BK138" s="131">
        <f t="shared" si="92"/>
        <v>0</v>
      </c>
      <c r="BL138" s="131">
        <f t="shared" si="92"/>
        <v>0</v>
      </c>
      <c r="BM138" s="131">
        <f t="shared" si="92"/>
        <v>0</v>
      </c>
      <c r="BN138" s="131">
        <f t="shared" si="92"/>
        <v>20.434958435259297</v>
      </c>
      <c r="BO138" s="131">
        <f t="shared" si="92"/>
        <v>35.097662682464808</v>
      </c>
      <c r="BP138" s="131">
        <f t="shared" si="92"/>
        <v>14.404112757089329</v>
      </c>
      <c r="BQ138" s="131">
        <f t="shared" si="92"/>
        <v>24.052984232463238</v>
      </c>
    </row>
    <row r="139" spans="1:69">
      <c r="A139" s="130">
        <v>10</v>
      </c>
      <c r="B139" s="131">
        <f>IF('Data 2'!B139&lt;0.1,0,'Data 2'!B139)</f>
        <v>14.357258077656299</v>
      </c>
      <c r="C139" s="131">
        <f>IF('Data 2'!C139&lt;0.1,0,'Data 2'!C139)</f>
        <v>57.065709676893746</v>
      </c>
      <c r="D139" s="131">
        <f>IF('Data 2'!D139&lt;0.1,0,'Data 2'!D139)</f>
        <v>1.4456128916624573</v>
      </c>
      <c r="E139" s="131">
        <f>IF('Data 2'!E139&lt;0.1,0,'Data 2'!E139)</f>
        <v>0</v>
      </c>
      <c r="F139" s="131">
        <f>IF('Data 2'!F139&lt;0.1,0,'Data 2'!F139)</f>
        <v>22.277193554168772</v>
      </c>
      <c r="G139" s="131">
        <f>IF('Data 2'!G139&lt;0.1,0,'Data 2'!G139)</f>
        <v>1.0842096687468428</v>
      </c>
      <c r="H139" s="131">
        <f>IF('Data 2'!H139&lt;0.1,0,'Data 2'!H139)</f>
        <v>0</v>
      </c>
      <c r="I139" s="131">
        <f>IF('Data 2'!I139&lt;0.1,0,'Data 2'!I139)</f>
        <v>0</v>
      </c>
      <c r="J139" s="131">
        <f>IF('Data 2'!J139&lt;0.1,0,'Data 2'!J139)</f>
        <v>0</v>
      </c>
      <c r="K139" s="131">
        <f>IF('Data 2'!K139&lt;0.1,0,'Data 2'!K139)</f>
        <v>0</v>
      </c>
      <c r="L139" s="131">
        <f>IF('Data 2'!L139&lt;0.1,0,'Data 2'!L139)</f>
        <v>3.679741906049891</v>
      </c>
      <c r="M139" s="131">
        <f>IF('Data 2'!M139&lt;0.1,0,'Data 2'!M139)</f>
        <v>33.055499975559286</v>
      </c>
      <c r="O139" s="130">
        <v>10</v>
      </c>
      <c r="P139" s="131">
        <f>'Stasiun Pontianak Kota'!Q193</f>
        <v>16</v>
      </c>
      <c r="Q139" s="131">
        <f>'Stasiun Pontianak Kota'!R193</f>
        <v>57</v>
      </c>
      <c r="R139" s="131">
        <f>'Stasiun Pontianak Kota'!S193</f>
        <v>0</v>
      </c>
      <c r="S139" s="131">
        <f>'Stasiun Pontianak Kota'!T193</f>
        <v>0</v>
      </c>
      <c r="T139" s="131">
        <f>'Stasiun Pontianak Kota'!U193</f>
        <v>23</v>
      </c>
      <c r="U139" s="131">
        <f>'Stasiun Pontianak Kota'!V193</f>
        <v>0</v>
      </c>
      <c r="V139" s="131">
        <f>'Stasiun Pontianak Kota'!W193</f>
        <v>0</v>
      </c>
      <c r="W139" s="131">
        <f>'Stasiun Pontianak Kota'!X193</f>
        <v>0</v>
      </c>
      <c r="X139" s="131">
        <f>'Stasiun Pontianak Kota'!Y193</f>
        <v>0</v>
      </c>
      <c r="Y139" s="131">
        <f>'Stasiun Pontianak Kota'!Z193</f>
        <v>0</v>
      </c>
      <c r="Z139" s="131">
        <f>'Stasiun Pontianak Kota'!AA193</f>
        <v>0</v>
      </c>
      <c r="AA139" s="131">
        <f>'Stasiun Pontianak Kota'!AB193</f>
        <v>30</v>
      </c>
      <c r="AC139" s="130">
        <v>10</v>
      </c>
      <c r="AD139" s="131">
        <f>'Sta. Meteorologi pnk'!B152</f>
        <v>11</v>
      </c>
      <c r="AE139" s="131">
        <f>'Sta. Meteorologi pnk'!C152</f>
        <v>57.2</v>
      </c>
      <c r="AF139" s="131">
        <f>'Sta. Meteorologi pnk'!D152</f>
        <v>4.4000000000000004</v>
      </c>
      <c r="AG139" s="131">
        <f>'Sta. Meteorologi pnk'!E152</f>
        <v>0</v>
      </c>
      <c r="AH139" s="131">
        <f>'Sta. Meteorologi pnk'!F152</f>
        <v>20.8</v>
      </c>
      <c r="AI139" s="131">
        <f>'Sta. Meteorologi pnk'!G152</f>
        <v>3.3</v>
      </c>
      <c r="AJ139" s="131">
        <f>'Sta. Meteorologi pnk'!H152</f>
        <v>0</v>
      </c>
      <c r="AK139" s="131">
        <f>'Sta. Meteorologi pnk'!I152</f>
        <v>0</v>
      </c>
      <c r="AL139" s="131">
        <f>'Sta. Meteorologi pnk'!J152</f>
        <v>0</v>
      </c>
      <c r="AM139" s="131">
        <f>'Sta. Meteorologi pnk'!K152</f>
        <v>0</v>
      </c>
      <c r="AN139" s="131">
        <f>'Sta. Meteorologi pnk'!L152</f>
        <v>11.2</v>
      </c>
      <c r="AO139" s="131">
        <f>'Sta. Meteorologi pnk'!M152</f>
        <v>39.299999999999997</v>
      </c>
      <c r="AQ139" s="130">
        <v>10</v>
      </c>
      <c r="AR139" s="131">
        <f t="shared" si="93"/>
        <v>12.619026496013154</v>
      </c>
      <c r="AS139" s="131">
        <f t="shared" si="91"/>
        <v>57.135238940159468</v>
      </c>
      <c r="AT139" s="131">
        <f t="shared" si="91"/>
        <v>2.9752566835084227</v>
      </c>
      <c r="AU139" s="131">
        <f t="shared" si="91"/>
        <v>0</v>
      </c>
      <c r="AV139" s="131">
        <f t="shared" si="91"/>
        <v>21.512371658245787</v>
      </c>
      <c r="AW139" s="131">
        <f t="shared" si="91"/>
        <v>2.2314425126313169</v>
      </c>
      <c r="AX139" s="131">
        <f t="shared" si="91"/>
        <v>0</v>
      </c>
      <c r="AY139" s="131">
        <f t="shared" si="91"/>
        <v>0</v>
      </c>
      <c r="AZ139" s="131">
        <f t="shared" si="91"/>
        <v>0</v>
      </c>
      <c r="BA139" s="131">
        <f t="shared" si="91"/>
        <v>0</v>
      </c>
      <c r="BB139" s="131">
        <f t="shared" si="91"/>
        <v>7.5733806489305291</v>
      </c>
      <c r="BC139" s="131">
        <f t="shared" si="91"/>
        <v>36.288610717415523</v>
      </c>
      <c r="BE139" s="130">
        <v>10</v>
      </c>
      <c r="BF139" s="131">
        <f t="shared" si="94"/>
        <v>12.836693740671933</v>
      </c>
      <c r="BG139" s="131">
        <f t="shared" si="92"/>
        <v>57.126532250373131</v>
      </c>
      <c r="BH139" s="131">
        <f t="shared" si="92"/>
        <v>2.7837095082086973</v>
      </c>
      <c r="BI139" s="131">
        <f t="shared" si="92"/>
        <v>0</v>
      </c>
      <c r="BJ139" s="131">
        <f t="shared" si="92"/>
        <v>21.608145245895653</v>
      </c>
      <c r="BK139" s="131">
        <f t="shared" si="92"/>
        <v>2.0877821311565228</v>
      </c>
      <c r="BL139" s="131">
        <f t="shared" si="92"/>
        <v>0</v>
      </c>
      <c r="BM139" s="131">
        <f t="shared" si="92"/>
        <v>0</v>
      </c>
      <c r="BN139" s="131">
        <f t="shared" si="92"/>
        <v>0</v>
      </c>
      <c r="BO139" s="131">
        <f t="shared" si="92"/>
        <v>0</v>
      </c>
      <c r="BP139" s="131">
        <f t="shared" si="92"/>
        <v>7.0858060208948652</v>
      </c>
      <c r="BQ139" s="131">
        <f t="shared" si="92"/>
        <v>35.883749642350203</v>
      </c>
    </row>
    <row r="140" spans="1:69">
      <c r="A140" s="130">
        <v>11</v>
      </c>
      <c r="B140" s="131">
        <f>IF('Data 2'!B140&lt;0.1,0,'Data 2'!B140)</f>
        <v>0</v>
      </c>
      <c r="C140" s="131">
        <f>IF('Data 2'!C140&lt;0.1,0,'Data 2'!C140)</f>
        <v>0.93429032310625193</v>
      </c>
      <c r="D140" s="131">
        <f>IF('Data 2'!D140&lt;0.1,0,'Data 2'!D140)</f>
        <v>1.7371612924250077</v>
      </c>
      <c r="E140" s="131">
        <f>IF('Data 2'!E140&lt;0.1,0,'Data 2'!E140)</f>
        <v>0</v>
      </c>
      <c r="F140" s="131">
        <f>IF('Data 2'!F140&lt;0.1,0,'Data 2'!F140)</f>
        <v>3.2114838772750232</v>
      </c>
      <c r="G140" s="131">
        <f>IF('Data 2'!G140&lt;0.1,0,'Data 2'!G140)</f>
        <v>21.455822592996917</v>
      </c>
      <c r="H140" s="131">
        <f>IF('Data 2'!H140&lt;0.1,0,'Data 2'!H140)</f>
        <v>0.26283870757499223</v>
      </c>
      <c r="I140" s="131">
        <f>IF('Data 2'!I140&lt;0.1,0,'Data 2'!I140)</f>
        <v>4.0287096931875581</v>
      </c>
      <c r="J140" s="131">
        <f>IF('Data 2'!J140&lt;0.1,0,'Data 2'!J140)</f>
        <v>0</v>
      </c>
      <c r="K140" s="131">
        <f>IF('Data 2'!K140&lt;0.1,0,'Data 2'!K140)</f>
        <v>0</v>
      </c>
      <c r="L140" s="131">
        <f>IF('Data 2'!L140&lt;0.1,0,'Data 2'!L140)</f>
        <v>35.552467697521713</v>
      </c>
      <c r="M140" s="131">
        <f>IF('Data 2'!M140&lt;0.1,0,'Data 2'!M140)</f>
        <v>13.258693562315676</v>
      </c>
      <c r="O140" s="130">
        <v>11</v>
      </c>
      <c r="P140" s="131">
        <f>'Stasiun Pontianak Kota'!Q194</f>
        <v>0</v>
      </c>
      <c r="Q140" s="131">
        <f>'Stasiun Pontianak Kota'!R194</f>
        <v>1</v>
      </c>
      <c r="R140" s="131">
        <f>'Stasiun Pontianak Kota'!S194</f>
        <v>2</v>
      </c>
      <c r="S140" s="131">
        <f>'Stasiun Pontianak Kota'!T194</f>
        <v>0</v>
      </c>
      <c r="T140" s="131">
        <f>'Stasiun Pontianak Kota'!U194</f>
        <v>4</v>
      </c>
      <c r="U140" s="131">
        <f>'Stasiun Pontianak Kota'!V194</f>
        <v>23</v>
      </c>
      <c r="V140" s="131">
        <f>'Stasiun Pontianak Kota'!W194</f>
        <v>0</v>
      </c>
      <c r="W140" s="131">
        <f>'Stasiun Pontianak Kota'!X194</f>
        <v>6</v>
      </c>
      <c r="X140" s="131">
        <f>'Stasiun Pontianak Kota'!Y194</f>
        <v>0</v>
      </c>
      <c r="Y140" s="131">
        <f>'Stasiun Pontianak Kota'!Z194</f>
        <v>0</v>
      </c>
      <c r="Z140" s="131">
        <f>'Stasiun Pontianak Kota'!AA194</f>
        <v>30</v>
      </c>
      <c r="AA140" s="131">
        <f>'Stasiun Pontianak Kota'!AB194</f>
        <v>15</v>
      </c>
      <c r="AC140" s="130">
        <v>11</v>
      </c>
      <c r="AD140" s="131">
        <f>'Sta. Meteorologi pnk'!B153</f>
        <v>0.1</v>
      </c>
      <c r="AE140" s="131">
        <f>'Sta. Meteorologi pnk'!C153</f>
        <v>0.8</v>
      </c>
      <c r="AF140" s="131">
        <f>'Sta. Meteorologi pnk'!D153</f>
        <v>1.2</v>
      </c>
      <c r="AG140" s="131">
        <f>'Sta. Meteorologi pnk'!E153</f>
        <v>0</v>
      </c>
      <c r="AH140" s="131">
        <f>'Sta. Meteorologi pnk'!F153</f>
        <v>1.6</v>
      </c>
      <c r="AI140" s="131">
        <f>'Sta. Meteorologi pnk'!G153</f>
        <v>18.3</v>
      </c>
      <c r="AJ140" s="131">
        <f>'Sta. Meteorologi pnk'!H153</f>
        <v>0.8</v>
      </c>
      <c r="AK140" s="131">
        <f>'Sta. Meteorologi pnk'!I153</f>
        <v>0</v>
      </c>
      <c r="AL140" s="131">
        <f>'Sta. Meteorologi pnk'!J153</f>
        <v>0</v>
      </c>
      <c r="AM140" s="131">
        <f>'Sta. Meteorologi pnk'!K153</f>
        <v>0</v>
      </c>
      <c r="AN140" s="131">
        <f>'Sta. Meteorologi pnk'!L153</f>
        <v>46.9</v>
      </c>
      <c r="AO140" s="131">
        <f>'Sta. Meteorologi pnk'!M153</f>
        <v>9.6999999999999993</v>
      </c>
      <c r="AQ140" s="130">
        <v>11</v>
      </c>
      <c r="AR140" s="131">
        <f t="shared" si="93"/>
        <v>6.7619470079736871E-2</v>
      </c>
      <c r="AS140" s="131">
        <f t="shared" si="91"/>
        <v>0.8647610598405262</v>
      </c>
      <c r="AT140" s="131">
        <f t="shared" si="91"/>
        <v>1.459044239362105</v>
      </c>
      <c r="AU140" s="131">
        <f t="shared" si="91"/>
        <v>0</v>
      </c>
      <c r="AV140" s="131">
        <f t="shared" si="91"/>
        <v>2.3771327180863149</v>
      </c>
      <c r="AW140" s="131">
        <f t="shared" si="91"/>
        <v>19.821884906252365</v>
      </c>
      <c r="AX140" s="131">
        <f t="shared" si="91"/>
        <v>0.54095576063789497</v>
      </c>
      <c r="AY140" s="131">
        <f t="shared" si="91"/>
        <v>1.942831795215787</v>
      </c>
      <c r="AZ140" s="131">
        <f t="shared" si="91"/>
        <v>0</v>
      </c>
      <c r="BA140" s="131">
        <f t="shared" si="91"/>
        <v>0</v>
      </c>
      <c r="BB140" s="131">
        <f t="shared" si="91"/>
        <v>41.427690443475534</v>
      </c>
      <c r="BC140" s="131">
        <f t="shared" si="91"/>
        <v>11.416168085773943</v>
      </c>
      <c r="BE140" s="130">
        <v>11</v>
      </c>
      <c r="BF140" s="131">
        <f t="shared" si="94"/>
        <v>5.9151931063083127E-2</v>
      </c>
      <c r="BG140" s="131">
        <f t="shared" si="92"/>
        <v>0.87346774962687734</v>
      </c>
      <c r="BH140" s="131">
        <f t="shared" si="92"/>
        <v>1.4938709985075098</v>
      </c>
      <c r="BI140" s="131">
        <f t="shared" si="92"/>
        <v>0</v>
      </c>
      <c r="BJ140" s="131">
        <f t="shared" si="92"/>
        <v>2.481612995522529</v>
      </c>
      <c r="BK140" s="131">
        <f t="shared" si="92"/>
        <v>20.026492116231619</v>
      </c>
      <c r="BL140" s="131">
        <f t="shared" si="92"/>
        <v>0.5061290014924904</v>
      </c>
      <c r="BM140" s="131">
        <f t="shared" si="92"/>
        <v>2.2040324888063219</v>
      </c>
      <c r="BN140" s="131">
        <f t="shared" si="92"/>
        <v>0</v>
      </c>
      <c r="BO140" s="131">
        <f t="shared" si="92"/>
        <v>0</v>
      </c>
      <c r="BP140" s="131">
        <f t="shared" si="92"/>
        <v>40.691975156528862</v>
      </c>
      <c r="BQ140" s="131">
        <f t="shared" si="92"/>
        <v>11.64689536511225</v>
      </c>
    </row>
    <row r="141" spans="1:69">
      <c r="A141" s="130">
        <v>12</v>
      </c>
      <c r="B141" s="131">
        <f>IF('Data 2'!B141&lt;0.1,0,'Data 2'!B141)</f>
        <v>0.16427419223437012</v>
      </c>
      <c r="C141" s="131">
        <f>IF('Data 2'!C141&lt;0.1,0,'Data 2'!C141)</f>
        <v>6.1438547895654434</v>
      </c>
      <c r="D141" s="131">
        <f>IF('Data 2'!D141&lt;0.1,0,'Data 2'!D141)</f>
        <v>16.21562902253434</v>
      </c>
      <c r="E141" s="131">
        <f>IF('Data 2'!E141&lt;0.1,0,'Data 2'!E141)</f>
        <v>0</v>
      </c>
      <c r="F141" s="131">
        <f>IF('Data 2'!F141&lt;0.1,0,'Data 2'!F141)</f>
        <v>15.96300001629381</v>
      </c>
      <c r="G141" s="131">
        <f>IF('Data 2'!G141&lt;0.1,0,'Data 2'!G141)</f>
        <v>0</v>
      </c>
      <c r="H141" s="131">
        <f>IF('Data 2'!H141&lt;0.1,0,'Data 2'!H141)</f>
        <v>0</v>
      </c>
      <c r="I141" s="131">
        <f>IF('Data 2'!I141&lt;0.1,0,'Data 2'!I141)</f>
        <v>0</v>
      </c>
      <c r="J141" s="131">
        <f>IF('Data 2'!J141&lt;0.1,0,'Data 2'!J141)</f>
        <v>2.4641128835155519</v>
      </c>
      <c r="K141" s="131">
        <f>IF('Data 2'!K141&lt;0.1,0,'Data 2'!K141)</f>
        <v>0</v>
      </c>
      <c r="L141" s="131">
        <f>IF('Data 2'!L141&lt;0.1,0,'Data 2'!L141)</f>
        <v>2.9856451534062209</v>
      </c>
      <c r="M141" s="131">
        <f>IF('Data 2'!M141&lt;0.1,0,'Data 2'!M141)</f>
        <v>11.35119352158115</v>
      </c>
      <c r="O141" s="130">
        <v>12</v>
      </c>
      <c r="P141" s="131">
        <f>'Stasiun Pontianak Kota'!Q195</f>
        <v>0</v>
      </c>
      <c r="Q141" s="131">
        <f>'Stasiun Pontianak Kota'!R195</f>
        <v>0</v>
      </c>
      <c r="R141" s="131">
        <f>'Stasiun Pontianak Kota'!S195</f>
        <v>15</v>
      </c>
      <c r="S141" s="131">
        <f>'Stasiun Pontianak Kota'!T195</f>
        <v>0</v>
      </c>
      <c r="T141" s="131">
        <f>'Stasiun Pontianak Kota'!U195</f>
        <v>18</v>
      </c>
      <c r="U141" s="131">
        <f>'Stasiun Pontianak Kota'!V195</f>
        <v>0</v>
      </c>
      <c r="V141" s="131">
        <f>'Stasiun Pontianak Kota'!W195</f>
        <v>0</v>
      </c>
      <c r="W141" s="131">
        <f>'Stasiun Pontianak Kota'!X195</f>
        <v>0</v>
      </c>
      <c r="X141" s="131">
        <f>'Stasiun Pontianak Kota'!Y195</f>
        <v>0</v>
      </c>
      <c r="Y141" s="131">
        <f>'Stasiun Pontianak Kota'!Z195</f>
        <v>0</v>
      </c>
      <c r="Z141" s="131">
        <f>'Stasiun Pontianak Kota'!AA195</f>
        <v>2</v>
      </c>
      <c r="AA141" s="131">
        <f>'Stasiun Pontianak Kota'!AB195</f>
        <v>8</v>
      </c>
      <c r="AC141" s="130">
        <v>12</v>
      </c>
      <c r="AD141" s="131">
        <f>'Sta. Meteorologi pnk'!B154</f>
        <v>0.5</v>
      </c>
      <c r="AE141" s="131">
        <f>'Sta. Meteorologi pnk'!C154</f>
        <v>18.7</v>
      </c>
      <c r="AF141" s="131">
        <f>'Sta. Meteorologi pnk'!D154</f>
        <v>18.7</v>
      </c>
      <c r="AG141" s="131">
        <f>'Sta. Meteorologi pnk'!E154</f>
        <v>0</v>
      </c>
      <c r="AH141" s="131">
        <f>'Sta. Meteorologi pnk'!F154</f>
        <v>11.8</v>
      </c>
      <c r="AI141" s="131">
        <f>'Sta. Meteorologi pnk'!G154</f>
        <v>0</v>
      </c>
      <c r="AJ141" s="131">
        <f>'Sta. Meteorologi pnk'!H154</f>
        <v>0</v>
      </c>
      <c r="AK141" s="131">
        <f>'Sta. Meteorologi pnk'!I154</f>
        <v>0</v>
      </c>
      <c r="AL141" s="131">
        <f>'Sta. Meteorologi pnk'!J154</f>
        <v>7.5</v>
      </c>
      <c r="AM141" s="131">
        <f>'Sta. Meteorologi pnk'!K154</f>
        <v>0</v>
      </c>
      <c r="AN141" s="131">
        <f>'Sta. Meteorologi pnk'!L154</f>
        <v>5</v>
      </c>
      <c r="AO141" s="131">
        <f>'Sta. Meteorologi pnk'!M154</f>
        <v>18.2</v>
      </c>
      <c r="AQ141" s="130">
        <v>12</v>
      </c>
      <c r="AR141" s="131">
        <f t="shared" si="93"/>
        <v>0.33809735039868438</v>
      </c>
      <c r="AS141" s="131">
        <f t="shared" si="91"/>
        <v>12.644840904910795</v>
      </c>
      <c r="AT141" s="131">
        <f t="shared" si="91"/>
        <v>17.501920392950261</v>
      </c>
      <c r="AU141" s="131">
        <f t="shared" si="91"/>
        <v>0</v>
      </c>
      <c r="AV141" s="131">
        <f t="shared" si="91"/>
        <v>13.807592855056313</v>
      </c>
      <c r="AW141" s="131">
        <f t="shared" si="91"/>
        <v>0</v>
      </c>
      <c r="AX141" s="131">
        <f t="shared" si="91"/>
        <v>0</v>
      </c>
      <c r="AY141" s="131">
        <f t="shared" si="91"/>
        <v>0</v>
      </c>
      <c r="AZ141" s="131">
        <f t="shared" si="91"/>
        <v>5.0714602559802655</v>
      </c>
      <c r="BA141" s="131">
        <f t="shared" si="91"/>
        <v>0</v>
      </c>
      <c r="BB141" s="131">
        <f t="shared" si="91"/>
        <v>4.0285841023921067</v>
      </c>
      <c r="BC141" s="131">
        <f t="shared" si="91"/>
        <v>14.897185948133162</v>
      </c>
      <c r="BE141" s="130">
        <v>12</v>
      </c>
      <c r="BF141" s="131">
        <f t="shared" si="94"/>
        <v>0.31633062593280648</v>
      </c>
      <c r="BG141" s="131">
        <f t="shared" si="92"/>
        <v>11.830765409886963</v>
      </c>
      <c r="BH141" s="131">
        <f t="shared" si="92"/>
        <v>17.340846631902767</v>
      </c>
      <c r="BI141" s="131">
        <f t="shared" si="92"/>
        <v>0</v>
      </c>
      <c r="BJ141" s="131">
        <f t="shared" si="92"/>
        <v>14.077500238433201</v>
      </c>
      <c r="BK141" s="131">
        <f t="shared" si="92"/>
        <v>0</v>
      </c>
      <c r="BL141" s="131">
        <f t="shared" si="92"/>
        <v>0</v>
      </c>
      <c r="BM141" s="131">
        <f t="shared" si="92"/>
        <v>0</v>
      </c>
      <c r="BN141" s="131">
        <f t="shared" si="92"/>
        <v>4.7449593889920978</v>
      </c>
      <c r="BO141" s="131">
        <f t="shared" si="92"/>
        <v>0</v>
      </c>
      <c r="BP141" s="131">
        <f t="shared" si="92"/>
        <v>3.8979837555968393</v>
      </c>
      <c r="BQ141" s="131">
        <f t="shared" si="92"/>
        <v>14.453144769029253</v>
      </c>
    </row>
    <row r="142" spans="1:69">
      <c r="A142" s="130">
        <v>13</v>
      </c>
      <c r="B142" s="131">
        <f>IF('Data 2'!B142&lt;0.1,0,'Data 2'!B142)</f>
        <v>47.400016293809983</v>
      </c>
      <c r="C142" s="131">
        <f>IF('Data 2'!C142&lt;0.1,0,'Data 2'!C142)</f>
        <v>17.457742003812751</v>
      </c>
      <c r="D142" s="131">
        <f>IF('Data 2'!D142&lt;0.1,0,'Data 2'!D142)</f>
        <v>0.52567741514998445</v>
      </c>
      <c r="E142" s="131">
        <f>IF('Data 2'!E142&lt;0.1,0,'Data 2'!E142)</f>
        <v>0</v>
      </c>
      <c r="F142" s="131">
        <f>IF('Data 2'!F142&lt;0.1,0,'Data 2'!F142)</f>
        <v>30.036693660078537</v>
      </c>
      <c r="G142" s="131">
        <f>IF('Data 2'!G142&lt;0.1,0,'Data 2'!G142)</f>
        <v>0</v>
      </c>
      <c r="H142" s="131">
        <f>IF('Data 2'!H142&lt;0.1,0,'Data 2'!H142)</f>
        <v>0.19712903068124416</v>
      </c>
      <c r="I142" s="131">
        <f>IF('Data 2'!I142&lt;0.1,0,'Data 2'!I142)</f>
        <v>0</v>
      </c>
      <c r="J142" s="131">
        <f>IF('Data 2'!J142&lt;0.1,0,'Data 2'!J142)</f>
        <v>0</v>
      </c>
      <c r="K142" s="131">
        <f>IF('Data 2'!K142&lt;0.1,0,'Data 2'!K142)</f>
        <v>0</v>
      </c>
      <c r="L142" s="131">
        <f>IF('Data 2'!L142&lt;0.1,0,'Data 2'!L142)</f>
        <v>0.98564515340622083</v>
      </c>
      <c r="M142" s="131">
        <f>IF('Data 2'!M142&lt;0.1,0,'Data 2'!M142)</f>
        <v>1.6714516155312595</v>
      </c>
      <c r="O142" s="130">
        <v>13</v>
      </c>
      <c r="P142" s="131">
        <f>'Stasiun Pontianak Kota'!Q196</f>
        <v>68</v>
      </c>
      <c r="Q142" s="131">
        <f>'Stasiun Pontianak Kota'!R196</f>
        <v>26</v>
      </c>
      <c r="R142" s="131">
        <f>'Stasiun Pontianak Kota'!S196</f>
        <v>0</v>
      </c>
      <c r="S142" s="131">
        <f>'Stasiun Pontianak Kota'!T196</f>
        <v>0</v>
      </c>
      <c r="T142" s="131">
        <f>'Stasiun Pontianak Kota'!U196</f>
        <v>44</v>
      </c>
      <c r="U142" s="131">
        <f>'Stasiun Pontianak Kota'!V196</f>
        <v>0</v>
      </c>
      <c r="V142" s="131">
        <f>'Stasiun Pontianak Kota'!W196</f>
        <v>0</v>
      </c>
      <c r="W142" s="131">
        <f>'Stasiun Pontianak Kota'!X196</f>
        <v>0</v>
      </c>
      <c r="X142" s="131">
        <f>'Stasiun Pontianak Kota'!Y196</f>
        <v>0</v>
      </c>
      <c r="Y142" s="131">
        <f>'Stasiun Pontianak Kota'!Z196</f>
        <v>0</v>
      </c>
      <c r="Z142" s="131">
        <f>'Stasiun Pontianak Kota'!AA196</f>
        <v>0</v>
      </c>
      <c r="AA142" s="131">
        <f>'Stasiun Pontianak Kota'!AB196</f>
        <v>2</v>
      </c>
      <c r="AC142" s="130">
        <v>13</v>
      </c>
      <c r="AD142" s="131">
        <f>'Sta. Meteorologi pnk'!B155</f>
        <v>5.3</v>
      </c>
      <c r="AE142" s="131">
        <f>'Sta. Meteorologi pnk'!C155</f>
        <v>0</v>
      </c>
      <c r="AF142" s="131">
        <f>'Sta. Meteorologi pnk'!D155</f>
        <v>1.6</v>
      </c>
      <c r="AG142" s="131">
        <f>'Sta. Meteorologi pnk'!E155</f>
        <v>0</v>
      </c>
      <c r="AH142" s="131">
        <f>'Sta. Meteorologi pnk'!F155</f>
        <v>1.5</v>
      </c>
      <c r="AI142" s="131">
        <f>'Sta. Meteorologi pnk'!G155</f>
        <v>0</v>
      </c>
      <c r="AJ142" s="131">
        <f>'Sta. Meteorologi pnk'!H155</f>
        <v>0.6</v>
      </c>
      <c r="AK142" s="131">
        <f>'Sta. Meteorologi pnk'!I155</f>
        <v>0</v>
      </c>
      <c r="AL142" s="131">
        <f>'Sta. Meteorologi pnk'!J155</f>
        <v>0</v>
      </c>
      <c r="AM142" s="131">
        <f>'Sta. Meteorologi pnk'!K155</f>
        <v>0</v>
      </c>
      <c r="AN142" s="131">
        <f>'Sta. Meteorologi pnk'!L155</f>
        <v>3</v>
      </c>
      <c r="AO142" s="131">
        <f>'Sta. Meteorologi pnk'!M155</f>
        <v>1</v>
      </c>
      <c r="AQ142" s="130">
        <v>13</v>
      </c>
      <c r="AR142" s="131">
        <f t="shared" si="93"/>
        <v>25.602592260004975</v>
      </c>
      <c r="AS142" s="131">
        <f t="shared" si="91"/>
        <v>8.4189377792684112</v>
      </c>
      <c r="AT142" s="131">
        <f t="shared" si="91"/>
        <v>1.0819115212757899</v>
      </c>
      <c r="AU142" s="131">
        <f t="shared" si="91"/>
        <v>0</v>
      </c>
      <c r="AV142" s="131">
        <f t="shared" si="91"/>
        <v>15.261725216111826</v>
      </c>
      <c r="AW142" s="131">
        <f t="shared" si="91"/>
        <v>0</v>
      </c>
      <c r="AX142" s="131">
        <f t="shared" si="91"/>
        <v>0.40571682047842123</v>
      </c>
      <c r="AY142" s="131">
        <f t="shared" si="91"/>
        <v>0</v>
      </c>
      <c r="AZ142" s="131">
        <f t="shared" si="91"/>
        <v>0</v>
      </c>
      <c r="BA142" s="131">
        <f t="shared" si="91"/>
        <v>0</v>
      </c>
      <c r="BB142" s="131">
        <f t="shared" si="91"/>
        <v>2.0285841023921063</v>
      </c>
      <c r="BC142" s="131">
        <f t="shared" si="91"/>
        <v>1.3238052992026312</v>
      </c>
      <c r="BE142" s="130">
        <v>13</v>
      </c>
      <c r="BF142" s="131">
        <f t="shared" si="94"/>
        <v>28.332139508026064</v>
      </c>
      <c r="BG142" s="131">
        <f t="shared" si="92"/>
        <v>9.5508074514940624</v>
      </c>
      <c r="BH142" s="131">
        <f t="shared" si="92"/>
        <v>1.0122580029849808</v>
      </c>
      <c r="BI142" s="131">
        <f t="shared" si="92"/>
        <v>0</v>
      </c>
      <c r="BJ142" s="131">
        <f t="shared" si="92"/>
        <v>17.111896795711445</v>
      </c>
      <c r="BK142" s="131">
        <f t="shared" si="92"/>
        <v>0</v>
      </c>
      <c r="BL142" s="131">
        <f t="shared" si="92"/>
        <v>0.37959675111936775</v>
      </c>
      <c r="BM142" s="131">
        <f t="shared" si="92"/>
        <v>0</v>
      </c>
      <c r="BN142" s="131">
        <f t="shared" si="92"/>
        <v>0</v>
      </c>
      <c r="BO142" s="131">
        <f t="shared" si="92"/>
        <v>0</v>
      </c>
      <c r="BP142" s="131">
        <f t="shared" si="92"/>
        <v>1.8979837555968391</v>
      </c>
      <c r="BQ142" s="131">
        <f t="shared" si="92"/>
        <v>1.367338748134387</v>
      </c>
    </row>
    <row r="143" spans="1:69">
      <c r="A143" s="130">
        <v>14</v>
      </c>
      <c r="B143" s="131">
        <f>IF('Data 2'!B143&lt;0.1,0,'Data 2'!B143)</f>
        <v>37.697935574275334</v>
      </c>
      <c r="C143" s="131">
        <f>IF('Data 2'!C143&lt;0.1,0,'Data 2'!C143)</f>
        <v>35.96714516155312</v>
      </c>
      <c r="D143" s="131">
        <f>IF('Data 2'!D143&lt;0.1,0,'Data 2'!D143)</f>
        <v>1.5770322454499532</v>
      </c>
      <c r="E143" s="131">
        <f>IF('Data 2'!E143&lt;0.1,0,'Data 2'!E143)</f>
        <v>12.250403271797044</v>
      </c>
      <c r="F143" s="131">
        <f>IF('Data 2'!F143&lt;0.1,0,'Data 2'!F143)</f>
        <v>20.624241930490605</v>
      </c>
      <c r="G143" s="131">
        <f>IF('Data 2'!G143&lt;0.1,0,'Data 2'!G143)</f>
        <v>0</v>
      </c>
      <c r="H143" s="131">
        <f>IF('Data 2'!H143&lt;0.1,0,'Data 2'!H143)</f>
        <v>0</v>
      </c>
      <c r="I143" s="131">
        <f>IF('Data 2'!I143&lt;0.1,0,'Data 2'!I143)</f>
        <v>0</v>
      </c>
      <c r="J143" s="131">
        <f>IF('Data 2'!J143&lt;0.1,0,'Data 2'!J143)</f>
        <v>0</v>
      </c>
      <c r="K143" s="131">
        <f>IF('Data 2'!K143&lt;0.1,0,'Data 2'!K143)</f>
        <v>0</v>
      </c>
      <c r="L143" s="131">
        <f>IF('Data 2'!L143&lt;0.1,0,'Data 2'!L143)</f>
        <v>12.759806429537417</v>
      </c>
      <c r="M143" s="131">
        <f>IF('Data 2'!M143&lt;0.1,0,'Data 2'!M143)</f>
        <v>0</v>
      </c>
      <c r="O143" s="130">
        <v>14</v>
      </c>
      <c r="P143" s="131">
        <f>'Stasiun Pontianak Kota'!Q197</f>
        <v>49</v>
      </c>
      <c r="Q143" s="131">
        <f>'Stasiun Pontianak Kota'!R197</f>
        <v>36</v>
      </c>
      <c r="R143" s="131">
        <f>'Stasiun Pontianak Kota'!S197</f>
        <v>0</v>
      </c>
      <c r="S143" s="131">
        <f>'Stasiun Pontianak Kota'!T197</f>
        <v>18</v>
      </c>
      <c r="T143" s="131">
        <f>'Stasiun Pontianak Kota'!U197</f>
        <v>20</v>
      </c>
      <c r="U143" s="131">
        <f>'Stasiun Pontianak Kota'!V197</f>
        <v>0</v>
      </c>
      <c r="V143" s="131">
        <f>'Stasiun Pontianak Kota'!W197</f>
        <v>0</v>
      </c>
      <c r="W143" s="131">
        <f>'Stasiun Pontianak Kota'!X197</f>
        <v>0</v>
      </c>
      <c r="X143" s="131">
        <f>'Stasiun Pontianak Kota'!Y197</f>
        <v>0</v>
      </c>
      <c r="Y143" s="131">
        <f>'Stasiun Pontianak Kota'!Z197</f>
        <v>0</v>
      </c>
      <c r="Z143" s="131">
        <f>'Stasiun Pontianak Kota'!AA197</f>
        <v>10</v>
      </c>
      <c r="AA143" s="131">
        <f>'Stasiun Pontianak Kota'!AB197</f>
        <v>0</v>
      </c>
      <c r="AC143" s="130">
        <v>14</v>
      </c>
      <c r="AD143" s="131">
        <f>'Sta. Meteorologi pnk'!B156</f>
        <v>14.6</v>
      </c>
      <c r="AE143" s="131">
        <f>'Sta. Meteorologi pnk'!C156</f>
        <v>35.9</v>
      </c>
      <c r="AF143" s="131">
        <f>'Sta. Meteorologi pnk'!D156</f>
        <v>4.8</v>
      </c>
      <c r="AG143" s="131">
        <f>'Sta. Meteorologi pnk'!E156</f>
        <v>0.5</v>
      </c>
      <c r="AH143" s="131">
        <f>'Sta. Meteorologi pnk'!F156</f>
        <v>21.9</v>
      </c>
      <c r="AI143" s="131">
        <f>'Sta. Meteorologi pnk'!G156</f>
        <v>0</v>
      </c>
      <c r="AJ143" s="131">
        <f>'Sta. Meteorologi pnk'!H156</f>
        <v>0.3</v>
      </c>
      <c r="AK143" s="131">
        <f>'Sta. Meteorologi pnk'!I156</f>
        <v>0</v>
      </c>
      <c r="AL143" s="131">
        <f>'Sta. Meteorologi pnk'!J156</f>
        <v>0</v>
      </c>
      <c r="AM143" s="131">
        <f>'Sta. Meteorologi pnk'!K156</f>
        <v>0</v>
      </c>
      <c r="AN143" s="131">
        <f>'Sta. Meteorologi pnk'!L156</f>
        <v>18.399999999999999</v>
      </c>
      <c r="AO143" s="131">
        <f>'Sta. Meteorologi pnk'!M156</f>
        <v>0</v>
      </c>
      <c r="AQ143" s="130">
        <v>14</v>
      </c>
      <c r="AR143" s="131">
        <f t="shared" si="93"/>
        <v>25.738902292570511</v>
      </c>
      <c r="AS143" s="131">
        <f t="shared" si="91"/>
        <v>35.932380529920259</v>
      </c>
      <c r="AT143" s="131">
        <f t="shared" si="91"/>
        <v>3.2457345638273698</v>
      </c>
      <c r="AU143" s="131">
        <f t="shared" si="91"/>
        <v>6.166592736046046</v>
      </c>
      <c r="AV143" s="131">
        <f t="shared" si="91"/>
        <v>21.284769931514997</v>
      </c>
      <c r="AW143" s="131">
        <f t="shared" si="91"/>
        <v>0</v>
      </c>
      <c r="AX143" s="131">
        <f t="shared" si="91"/>
        <v>0.20285841023921061</v>
      </c>
      <c r="AY143" s="131">
        <f t="shared" si="91"/>
        <v>0</v>
      </c>
      <c r="AZ143" s="131">
        <f t="shared" si="91"/>
        <v>0</v>
      </c>
      <c r="BA143" s="131">
        <f t="shared" si="91"/>
        <v>0</v>
      </c>
      <c r="BB143" s="131">
        <f t="shared" si="91"/>
        <v>15.680035486697896</v>
      </c>
      <c r="BC143" s="131">
        <f t="shared" si="91"/>
        <v>0</v>
      </c>
      <c r="BE143" s="130">
        <v>14</v>
      </c>
      <c r="BF143" s="131">
        <f t="shared" si="94"/>
        <v>27.236452935822911</v>
      </c>
      <c r="BG143" s="131">
        <f t="shared" si="92"/>
        <v>35.936733874813442</v>
      </c>
      <c r="BH143" s="131">
        <f t="shared" si="92"/>
        <v>3.036774008954942</v>
      </c>
      <c r="BI143" s="131">
        <f t="shared" si="92"/>
        <v>6.9284280923517718</v>
      </c>
      <c r="BJ143" s="131">
        <f t="shared" si="92"/>
        <v>21.202056378544665</v>
      </c>
      <c r="BK143" s="131">
        <f t="shared" si="92"/>
        <v>0</v>
      </c>
      <c r="BL143" s="131">
        <f t="shared" si="92"/>
        <v>0.17745579318924937</v>
      </c>
      <c r="BM143" s="131">
        <f t="shared" si="92"/>
        <v>0</v>
      </c>
      <c r="BN143" s="131">
        <f t="shared" si="92"/>
        <v>0</v>
      </c>
      <c r="BO143" s="131">
        <f t="shared" si="92"/>
        <v>0</v>
      </c>
      <c r="BP143" s="131">
        <f t="shared" si="92"/>
        <v>15.314354515671148</v>
      </c>
      <c r="BQ143" s="131">
        <f t="shared" si="92"/>
        <v>0</v>
      </c>
    </row>
    <row r="144" spans="1:69">
      <c r="A144" s="130">
        <v>15</v>
      </c>
      <c r="B144" s="131">
        <f>IF('Data 2'!B144&lt;0.1,0,'Data 2'!B144)</f>
        <v>20.006370879702796</v>
      </c>
      <c r="C144" s="131">
        <f>IF('Data 2'!C144&lt;0.1,0,'Data 2'!C144)</f>
        <v>6.2424193049060648</v>
      </c>
      <c r="D144" s="131">
        <f>IF('Data 2'!D144&lt;0.1,0,'Data 2'!D144)</f>
        <v>2.6858064621250386</v>
      </c>
      <c r="E144" s="131">
        <f>IF('Data 2'!E144&lt;0.1,0,'Data 2'!E144)</f>
        <v>5.4210483437342152</v>
      </c>
      <c r="F144" s="131">
        <f>IF('Data 2'!F144&lt;0.1,0,'Data 2'!F144)</f>
        <v>38.905580629918688</v>
      </c>
      <c r="G144" s="131">
        <f>IF('Data 2'!G144&lt;0.1,0,'Data 2'!G144)</f>
        <v>56.014354846593776</v>
      </c>
      <c r="H144" s="131">
        <f>IF('Data 2'!H144&lt;0.1,0,'Data 2'!H144)</f>
        <v>9.6960161634595021</v>
      </c>
      <c r="I144" s="131">
        <f>IF('Data 2'!I144&lt;0.1,0,'Data 2'!I144)</f>
        <v>0</v>
      </c>
      <c r="J144" s="131">
        <f>IF('Data 2'!J144&lt;0.1,0,'Data 2'!J144)</f>
        <v>0.49282257670311042</v>
      </c>
      <c r="K144" s="131">
        <f>IF('Data 2'!K144&lt;0.1,0,'Data 2'!K144)</f>
        <v>32.188838740162609</v>
      </c>
      <c r="L144" s="131">
        <f>IF('Data 2'!L144&lt;0.1,0,'Data 2'!L144)</f>
        <v>2</v>
      </c>
      <c r="M144" s="131">
        <f>IF('Data 2'!M144&lt;0.1,0,'Data 2'!M144)</f>
        <v>0</v>
      </c>
      <c r="O144" s="130">
        <v>15</v>
      </c>
      <c r="P144" s="131">
        <f>'Stasiun Pontianak Kota'!Q198</f>
        <v>9</v>
      </c>
      <c r="Q144" s="131">
        <f>'Stasiun Pontianak Kota'!R198</f>
        <v>0</v>
      </c>
      <c r="R144" s="131">
        <f>'Stasiun Pontianak Kota'!S198</f>
        <v>4</v>
      </c>
      <c r="S144" s="131">
        <f>'Stasiun Pontianak Kota'!T198</f>
        <v>0</v>
      </c>
      <c r="T144" s="131">
        <f>'Stasiun Pontianak Kota'!U198</f>
        <v>37</v>
      </c>
      <c r="U144" s="131">
        <f>'Stasiun Pontianak Kota'!V198</f>
        <v>57</v>
      </c>
      <c r="V144" s="131">
        <f>'Stasiun Pontianak Kota'!W198</f>
        <v>14</v>
      </c>
      <c r="W144" s="131">
        <f>'Stasiun Pontianak Kota'!X198</f>
        <v>0</v>
      </c>
      <c r="X144" s="131">
        <f>'Stasiun Pontianak Kota'!Y198</f>
        <v>0</v>
      </c>
      <c r="Y144" s="131">
        <f>'Stasiun Pontianak Kota'!Z198</f>
        <v>36</v>
      </c>
      <c r="Z144" s="131">
        <f>'Stasiun Pontianak Kota'!AA198</f>
        <v>2</v>
      </c>
      <c r="AA144" s="131">
        <f>'Stasiun Pontianak Kota'!AB198</f>
        <v>0</v>
      </c>
      <c r="AC144" s="130">
        <v>15</v>
      </c>
      <c r="AD144" s="131">
        <f>'Sta. Meteorologi pnk'!B157</f>
        <v>42.5</v>
      </c>
      <c r="AE144" s="131">
        <f>'Sta. Meteorologi pnk'!C157</f>
        <v>19</v>
      </c>
      <c r="AF144" s="131">
        <f>'Sta. Meteorologi pnk'!D157</f>
        <v>0</v>
      </c>
      <c r="AG144" s="131">
        <f>'Sta. Meteorologi pnk'!E157</f>
        <v>16.5</v>
      </c>
      <c r="AH144" s="131">
        <f>'Sta. Meteorologi pnk'!F157</f>
        <v>42.8</v>
      </c>
      <c r="AI144" s="131">
        <f>'Sta. Meteorologi pnk'!G157</f>
        <v>54</v>
      </c>
      <c r="AJ144" s="131">
        <f>'Sta. Meteorologi pnk'!H157</f>
        <v>0.9</v>
      </c>
      <c r="AK144" s="131">
        <f>'Sta. Meteorologi pnk'!I157</f>
        <v>0</v>
      </c>
      <c r="AL144" s="131">
        <f>'Sta. Meteorologi pnk'!J157</f>
        <v>1.5</v>
      </c>
      <c r="AM144" s="131">
        <f>'Sta. Meteorologi pnk'!K157</f>
        <v>24.4</v>
      </c>
      <c r="AN144" s="131">
        <f>'Sta. Meteorologi pnk'!L157</f>
        <v>2</v>
      </c>
      <c r="AO144" s="131">
        <f>'Sta. Meteorologi pnk'!M157</f>
        <v>0</v>
      </c>
      <c r="AQ144" s="130">
        <v>15</v>
      </c>
      <c r="AR144" s="131">
        <f t="shared" si="93"/>
        <v>31.652522476711848</v>
      </c>
      <c r="AS144" s="131">
        <f t="shared" si="91"/>
        <v>12.847699315150004</v>
      </c>
      <c r="AT144" s="131">
        <f t="shared" si="91"/>
        <v>1.2952211968105249</v>
      </c>
      <c r="AU144" s="131">
        <f t="shared" si="91"/>
        <v>11.157212563156584</v>
      </c>
      <c r="AV144" s="131">
        <f t="shared" si="91"/>
        <v>40.921929264624737</v>
      </c>
      <c r="AW144" s="131">
        <f t="shared" si="91"/>
        <v>54.971415897607891</v>
      </c>
      <c r="AX144" s="131">
        <f t="shared" si="91"/>
        <v>5.1418494195544691</v>
      </c>
      <c r="AY144" s="131">
        <f t="shared" si="91"/>
        <v>0</v>
      </c>
      <c r="AZ144" s="131">
        <f t="shared" si="91"/>
        <v>1.0142920511960531</v>
      </c>
      <c r="BA144" s="131">
        <f t="shared" si="91"/>
        <v>28.156141470750519</v>
      </c>
      <c r="BB144" s="131">
        <f t="shared" si="91"/>
        <v>2</v>
      </c>
      <c r="BC144" s="131">
        <f t="shared" si="91"/>
        <v>0</v>
      </c>
      <c r="BE144" s="130">
        <v>15</v>
      </c>
      <c r="BF144" s="131">
        <f t="shared" si="94"/>
        <v>30.194151937498034</v>
      </c>
      <c r="BG144" s="131">
        <f t="shared" si="92"/>
        <v>12.020563785446647</v>
      </c>
      <c r="BH144" s="131">
        <f t="shared" si="92"/>
        <v>1.469354992537548</v>
      </c>
      <c r="BI144" s="131">
        <f t="shared" si="92"/>
        <v>10.438910655782614</v>
      </c>
      <c r="BJ144" s="131">
        <f t="shared" si="92"/>
        <v>40.669435260820556</v>
      </c>
      <c r="BK144" s="131">
        <f t="shared" si="92"/>
        <v>55.102016244403167</v>
      </c>
      <c r="BL144" s="131">
        <f t="shared" si="92"/>
        <v>5.7121376005604692</v>
      </c>
      <c r="BM144" s="131">
        <f t="shared" si="92"/>
        <v>0</v>
      </c>
      <c r="BN144" s="131">
        <f t="shared" si="92"/>
        <v>0.94899187779841954</v>
      </c>
      <c r="BO144" s="131">
        <f t="shared" si="92"/>
        <v>28.661129478358891</v>
      </c>
      <c r="BP144" s="131">
        <f t="shared" si="92"/>
        <v>2</v>
      </c>
      <c r="BQ144" s="131">
        <f t="shared" si="92"/>
        <v>0</v>
      </c>
    </row>
    <row r="145" spans="1:69">
      <c r="A145" s="130">
        <v>16</v>
      </c>
      <c r="B145" s="131">
        <f>IF('Data 2'!B145&lt;0.1,0,'Data 2'!B145)</f>
        <v>26.408612907956265</v>
      </c>
      <c r="C145" s="131">
        <f>IF('Data 2'!C145&lt;0.1,0,'Data 2'!C145)</f>
        <v>11.815306405096702</v>
      </c>
      <c r="D145" s="131">
        <f>IF('Data 2'!D145&lt;0.1,0,'Data 2'!D145)</f>
        <v>0</v>
      </c>
      <c r="E145" s="131">
        <f>IF('Data 2'!E145&lt;0.1,0,'Data 2'!E145)</f>
        <v>0</v>
      </c>
      <c r="F145" s="131">
        <f>IF('Data 2'!F145&lt;0.1,0,'Data 2'!F145)</f>
        <v>37.60988708389683</v>
      </c>
      <c r="G145" s="131">
        <f>IF('Data 2'!G145&lt;0.1,0,'Data 2'!G145)</f>
        <v>0</v>
      </c>
      <c r="H145" s="131">
        <f>IF('Data 2'!H145&lt;0.1,0,'Data 2'!H145)</f>
        <v>59.827129193619342</v>
      </c>
      <c r="I145" s="131">
        <f>IF('Data 2'!I145&lt;0.1,0,'Data 2'!I145)</f>
        <v>0</v>
      </c>
      <c r="J145" s="131">
        <f>IF('Data 2'!J145&lt;0.1,0,'Data 2'!J145)</f>
        <v>0</v>
      </c>
      <c r="K145" s="131">
        <f>IF('Data 2'!K145&lt;0.1,0,'Data 2'!K145)</f>
        <v>0</v>
      </c>
      <c r="L145" s="131">
        <f>IF('Data 2'!L145&lt;0.1,0,'Data 2'!L145)</f>
        <v>3.8829354928062827</v>
      </c>
      <c r="M145" s="131">
        <f>IF('Data 2'!M145&lt;0.1,0,'Data 2'!M145)</f>
        <v>0</v>
      </c>
      <c r="O145" s="130">
        <v>16</v>
      </c>
      <c r="P145" s="131">
        <f>'Stasiun Pontianak Kota'!Q199</f>
        <v>27</v>
      </c>
      <c r="Q145" s="131">
        <f>'Stasiun Pontianak Kota'!R199</f>
        <v>6</v>
      </c>
      <c r="R145" s="131">
        <f>'Stasiun Pontianak Kota'!S199</f>
        <v>0</v>
      </c>
      <c r="S145" s="131">
        <f>'Stasiun Pontianak Kota'!T199</f>
        <v>0</v>
      </c>
      <c r="T145" s="131">
        <f>'Stasiun Pontianak Kota'!U199</f>
        <v>36</v>
      </c>
      <c r="U145" s="131">
        <f>'Stasiun Pontianak Kota'!V199</f>
        <v>0</v>
      </c>
      <c r="V145" s="131">
        <f>'Stasiun Pontianak Kota'!W199</f>
        <v>80</v>
      </c>
      <c r="W145" s="131">
        <f>'Stasiun Pontianak Kota'!X199</f>
        <v>0</v>
      </c>
      <c r="X145" s="131">
        <f>'Stasiun Pontianak Kota'!Y199</f>
        <v>0</v>
      </c>
      <c r="Y145" s="131">
        <f>'Stasiun Pontianak Kota'!Z199</f>
        <v>0</v>
      </c>
      <c r="Z145" s="131">
        <f>'Stasiun Pontianak Kota'!AA199</f>
        <v>5</v>
      </c>
      <c r="AA145" s="131">
        <f>'Stasiun Pontianak Kota'!AB199</f>
        <v>0</v>
      </c>
      <c r="AC145" s="130">
        <v>16</v>
      </c>
      <c r="AD145" s="131">
        <f>'Sta. Meteorologi pnk'!B158</f>
        <v>25.2</v>
      </c>
      <c r="AE145" s="131">
        <f>'Sta. Meteorologi pnk'!C158</f>
        <v>23.7</v>
      </c>
      <c r="AF145" s="131">
        <f>'Sta. Meteorologi pnk'!D158</f>
        <v>0</v>
      </c>
      <c r="AG145" s="131">
        <f>'Sta. Meteorologi pnk'!E158</f>
        <v>0</v>
      </c>
      <c r="AH145" s="131">
        <f>'Sta. Meteorologi pnk'!F158</f>
        <v>40.9</v>
      </c>
      <c r="AI145" s="131">
        <f>'Sta. Meteorologi pnk'!G158</f>
        <v>0</v>
      </c>
      <c r="AJ145" s="131">
        <f>'Sta. Meteorologi pnk'!H158</f>
        <v>18.600000000000001</v>
      </c>
      <c r="AK145" s="131">
        <f>'Sta. Meteorologi pnk'!I158</f>
        <v>0</v>
      </c>
      <c r="AL145" s="131">
        <f>'Sta. Meteorologi pnk'!J158</f>
        <v>0</v>
      </c>
      <c r="AM145" s="131">
        <f>'Sta. Meteorologi pnk'!K158</f>
        <v>0</v>
      </c>
      <c r="AN145" s="131">
        <f>'Sta. Meteorologi pnk'!L158</f>
        <v>1.6</v>
      </c>
      <c r="AO145" s="131">
        <f>'Sta. Meteorologi pnk'!M158</f>
        <v>0</v>
      </c>
      <c r="AQ145" s="130">
        <v>16</v>
      </c>
      <c r="AR145" s="131">
        <f t="shared" si="93"/>
        <v>25.782849538564736</v>
      </c>
      <c r="AS145" s="131">
        <f t="shared" si="91"/>
        <v>17.968646204113423</v>
      </c>
      <c r="AT145" s="131">
        <f t="shared" si="91"/>
        <v>0</v>
      </c>
      <c r="AU145" s="131">
        <f t="shared" si="91"/>
        <v>0</v>
      </c>
      <c r="AV145" s="131">
        <f t="shared" si="91"/>
        <v>39.313354033907103</v>
      </c>
      <c r="AW145" s="131">
        <f t="shared" si="91"/>
        <v>0</v>
      </c>
      <c r="AX145" s="131">
        <f t="shared" si="91"/>
        <v>38.481645371041559</v>
      </c>
      <c r="AY145" s="131">
        <f t="shared" si="91"/>
        <v>0</v>
      </c>
      <c r="AZ145" s="131">
        <f t="shared" si="91"/>
        <v>0</v>
      </c>
      <c r="BA145" s="131">
        <f t="shared" si="91"/>
        <v>0</v>
      </c>
      <c r="BB145" s="131">
        <f t="shared" si="91"/>
        <v>2.7009380172889461</v>
      </c>
      <c r="BC145" s="131">
        <f t="shared" si="91"/>
        <v>0</v>
      </c>
      <c r="BE145" s="130">
        <v>16</v>
      </c>
      <c r="BF145" s="131">
        <f t="shared" si="94"/>
        <v>25.861209746641897</v>
      </c>
      <c r="BG145" s="131">
        <f t="shared" si="92"/>
        <v>17.198104158021348</v>
      </c>
      <c r="BH145" s="131">
        <f t="shared" si="92"/>
        <v>0</v>
      </c>
      <c r="BI145" s="131">
        <f t="shared" si="92"/>
        <v>0</v>
      </c>
      <c r="BJ145" s="131">
        <f t="shared" si="92"/>
        <v>39.100040134141501</v>
      </c>
      <c r="BK145" s="131">
        <f t="shared" si="92"/>
        <v>0</v>
      </c>
      <c r="BL145" s="131">
        <f t="shared" si="92"/>
        <v>41.154599135451363</v>
      </c>
      <c r="BM145" s="131">
        <f t="shared" si="92"/>
        <v>0</v>
      </c>
      <c r="BN145" s="131">
        <f t="shared" si="92"/>
        <v>0</v>
      </c>
      <c r="BO145" s="131">
        <f t="shared" si="92"/>
        <v>0</v>
      </c>
      <c r="BP145" s="131">
        <f t="shared" si="92"/>
        <v>2.8489517436569161</v>
      </c>
      <c r="BQ145" s="131">
        <f t="shared" si="92"/>
        <v>0</v>
      </c>
    </row>
    <row r="146" spans="1:69">
      <c r="A146" s="130">
        <v>17</v>
      </c>
      <c r="B146" s="131">
        <f>IF('Data 2'!B146&lt;0.1,0,'Data 2'!B146)</f>
        <v>54.702080719534642</v>
      </c>
      <c r="C146" s="131">
        <f>IF('Data 2'!C146&lt;0.1,0,'Data 2'!C146)</f>
        <v>0</v>
      </c>
      <c r="D146" s="131">
        <f>IF('Data 2'!D146&lt;0.1,0,'Data 2'!D146)</f>
        <v>0</v>
      </c>
      <c r="E146" s="131">
        <f>IF('Data 2'!E146&lt;0.1,0,'Data 2'!E146)</f>
        <v>46.154064490899913</v>
      </c>
      <c r="F146" s="131">
        <f>IF('Data 2'!F146&lt;0.1,0,'Data 2'!F146)</f>
        <v>1.8685806462125039</v>
      </c>
      <c r="G146" s="131">
        <f>IF('Data 2'!G146&lt;0.1,0,'Data 2'!G146)</f>
        <v>50.987564564222055</v>
      </c>
      <c r="H146" s="131">
        <f>IF('Data 2'!H146&lt;0.1,0,'Data 2'!H146)</f>
        <v>0.39425806136248831</v>
      </c>
      <c r="I146" s="131">
        <f>IF('Data 2'!I146&lt;0.1,0,'Data 2'!I146)</f>
        <v>0</v>
      </c>
      <c r="J146" s="131">
        <f>IF('Data 2'!J146&lt;0.1,0,'Data 2'!J146)</f>
        <v>0</v>
      </c>
      <c r="K146" s="131">
        <f>IF('Data 2'!K146&lt;0.1,0,'Data 2'!K146)</f>
        <v>5.3429032310625191</v>
      </c>
      <c r="L146" s="131">
        <f>IF('Data 2'!L146&lt;0.1,0,'Data 2'!L146)</f>
        <v>7.995854854740684</v>
      </c>
      <c r="M146" s="131">
        <f>IF('Data 2'!M146&lt;0.1,0,'Data 2'!M146)</f>
        <v>0</v>
      </c>
      <c r="O146" s="130">
        <v>17</v>
      </c>
      <c r="P146" s="131">
        <f>'Stasiun Pontianak Kota'!Q200</f>
        <v>64</v>
      </c>
      <c r="Q146" s="131">
        <f>'Stasiun Pontianak Kota'!R200</f>
        <v>0</v>
      </c>
      <c r="R146" s="131">
        <f>'Stasiun Pontianak Kota'!S200</f>
        <v>0</v>
      </c>
      <c r="S146" s="131">
        <f>'Stasiun Pontianak Kota'!T200</f>
        <v>43</v>
      </c>
      <c r="T146" s="131">
        <f>'Stasiun Pontianak Kota'!U200</f>
        <v>2</v>
      </c>
      <c r="U146" s="131">
        <f>'Stasiun Pontianak Kota'!V200</f>
        <v>57</v>
      </c>
      <c r="V146" s="131">
        <f>'Stasiun Pontianak Kota'!W200</f>
        <v>0</v>
      </c>
      <c r="W146" s="131">
        <f>'Stasiun Pontianak Kota'!X200</f>
        <v>0</v>
      </c>
      <c r="X146" s="131">
        <f>'Stasiun Pontianak Kota'!Y200</f>
        <v>0</v>
      </c>
      <c r="Y146" s="131">
        <f>'Stasiun Pontianak Kota'!Z200</f>
        <v>6</v>
      </c>
      <c r="Z146" s="131">
        <f>'Stasiun Pontianak Kota'!AA200</f>
        <v>10</v>
      </c>
      <c r="AA146" s="131">
        <f>'Stasiun Pontianak Kota'!AB200</f>
        <v>0</v>
      </c>
      <c r="AC146" s="130">
        <v>17</v>
      </c>
      <c r="AD146" s="131">
        <f>'Sta. Meteorologi pnk'!B159</f>
        <v>35.700000000000003</v>
      </c>
      <c r="AE146" s="131">
        <f>'Sta. Meteorologi pnk'!C159</f>
        <v>0</v>
      </c>
      <c r="AF146" s="131">
        <f>'Sta. Meteorologi pnk'!D159</f>
        <v>0</v>
      </c>
      <c r="AG146" s="131">
        <f>'Sta. Meteorologi pnk'!E159</f>
        <v>52.6</v>
      </c>
      <c r="AH146" s="131">
        <f>'Sta. Meteorologi pnk'!F159</f>
        <v>1.6</v>
      </c>
      <c r="AI146" s="131">
        <f>'Sta. Meteorologi pnk'!G159</f>
        <v>38.700000000000003</v>
      </c>
      <c r="AJ146" s="131">
        <f>'Sta. Meteorologi pnk'!H159</f>
        <v>1.2</v>
      </c>
      <c r="AK146" s="131">
        <f>'Sta. Meteorologi pnk'!I159</f>
        <v>0</v>
      </c>
      <c r="AL146" s="131">
        <f>'Sta. Meteorologi pnk'!J159</f>
        <v>0</v>
      </c>
      <c r="AM146" s="131">
        <f>'Sta. Meteorologi pnk'!K159</f>
        <v>4</v>
      </c>
      <c r="AN146" s="131">
        <f>'Sta. Meteorologi pnk'!L159</f>
        <v>3.9</v>
      </c>
      <c r="AO146" s="131">
        <f>'Sta. Meteorologi pnk'!M159</f>
        <v>0</v>
      </c>
      <c r="AQ146" s="130">
        <v>17</v>
      </c>
      <c r="AR146" s="131">
        <f t="shared" si="93"/>
        <v>44.86368996743446</v>
      </c>
      <c r="AS146" s="131">
        <f t="shared" si="91"/>
        <v>0</v>
      </c>
      <c r="AT146" s="131">
        <f t="shared" si="91"/>
        <v>0</v>
      </c>
      <c r="AU146" s="131">
        <f t="shared" si="91"/>
        <v>49.491469127654732</v>
      </c>
      <c r="AV146" s="131">
        <f t="shared" si="91"/>
        <v>1.7295221196810524</v>
      </c>
      <c r="AW146" s="131">
        <f t="shared" si="91"/>
        <v>44.625636975408149</v>
      </c>
      <c r="AX146" s="131">
        <f t="shared" si="91"/>
        <v>0.81143364095684245</v>
      </c>
      <c r="AY146" s="131">
        <f t="shared" si="91"/>
        <v>0</v>
      </c>
      <c r="AZ146" s="131">
        <f t="shared" si="91"/>
        <v>0</v>
      </c>
      <c r="BA146" s="131">
        <f t="shared" si="91"/>
        <v>4.6476105984052616</v>
      </c>
      <c r="BB146" s="131">
        <f t="shared" si="91"/>
        <v>5.87521232513605</v>
      </c>
      <c r="BC146" s="131">
        <f t="shared" si="91"/>
        <v>0</v>
      </c>
      <c r="BE146" s="130">
        <v>17</v>
      </c>
      <c r="BF146" s="131">
        <f t="shared" si="94"/>
        <v>46.095686572203157</v>
      </c>
      <c r="BG146" s="131">
        <f t="shared" si="92"/>
        <v>0</v>
      </c>
      <c r="BH146" s="131">
        <f t="shared" si="92"/>
        <v>0</v>
      </c>
      <c r="BI146" s="131">
        <f t="shared" si="92"/>
        <v>49.073548017909886</v>
      </c>
      <c r="BJ146" s="131">
        <f t="shared" si="92"/>
        <v>1.7469354992537547</v>
      </c>
      <c r="BK146" s="131">
        <f t="shared" si="92"/>
        <v>45.422299090859291</v>
      </c>
      <c r="BL146" s="131">
        <f t="shared" si="92"/>
        <v>0.7591935022387355</v>
      </c>
      <c r="BM146" s="131">
        <f t="shared" si="92"/>
        <v>0</v>
      </c>
      <c r="BN146" s="131">
        <f t="shared" si="92"/>
        <v>0</v>
      </c>
      <c r="BO146" s="131">
        <f t="shared" si="92"/>
        <v>4.7346774962687732</v>
      </c>
      <c r="BP146" s="131">
        <f t="shared" si="92"/>
        <v>6.1407663636197611</v>
      </c>
      <c r="BQ146" s="131">
        <f t="shared" si="92"/>
        <v>0</v>
      </c>
    </row>
    <row r="147" spans="1:69">
      <c r="A147" s="130">
        <v>18</v>
      </c>
      <c r="B147" s="131">
        <f>IF('Data 2'!B147&lt;0.1,0,'Data 2'!B147)</f>
        <v>5.3881935052873402</v>
      </c>
      <c r="C147" s="131">
        <f>IF('Data 2'!C147&lt;0.1,0,'Data 2'!C147)</f>
        <v>0.55853225359685843</v>
      </c>
      <c r="D147" s="131">
        <f>IF('Data 2'!D147&lt;0.1,0,'Data 2'!D147)</f>
        <v>6.4641128835155515</v>
      </c>
      <c r="E147" s="131">
        <f>IF('Data 2'!E147&lt;0.1,0,'Data 2'!E147)</f>
        <v>5.3716129242500772</v>
      </c>
      <c r="F147" s="131">
        <f>IF('Data 2'!F147&lt;0.1,0,'Data 2'!F147)</f>
        <v>1.4599677382562364</v>
      </c>
      <c r="G147" s="131">
        <f>IF('Data 2'!G147&lt;0.1,0,'Data 2'!G147)</f>
        <v>28.059951444446252</v>
      </c>
      <c r="H147" s="131">
        <f>IF('Data 2'!H147&lt;0.1,0,'Data 2'!H147)</f>
        <v>51.110693627490917</v>
      </c>
      <c r="I147" s="131">
        <f>IF('Data 2'!I147&lt;0.1,0,'Data 2'!I147)</f>
        <v>0</v>
      </c>
      <c r="J147" s="131">
        <f>IF('Data 2'!J147&lt;0.1,0,'Data 2'!J147)</f>
        <v>0</v>
      </c>
      <c r="K147" s="131">
        <f>IF('Data 2'!K147&lt;0.1,0,'Data 2'!K147)</f>
        <v>7.3614032229156132</v>
      </c>
      <c r="L147" s="131">
        <f>IF('Data 2'!L147&lt;0.1,0,'Data 2'!L147)</f>
        <v>3.0657096768937482</v>
      </c>
      <c r="M147" s="131">
        <f>IF('Data 2'!M147&lt;0.1,0,'Data 2'!M147)</f>
        <v>0</v>
      </c>
      <c r="O147" s="130">
        <v>18</v>
      </c>
      <c r="P147" s="131">
        <f>'Stasiun Pontianak Kota'!Q201</f>
        <v>0</v>
      </c>
      <c r="Q147" s="131">
        <f>'Stasiun Pontianak Kota'!R201</f>
        <v>0</v>
      </c>
      <c r="R147" s="131">
        <f>'Stasiun Pontianak Kota'!S201</f>
        <v>4</v>
      </c>
      <c r="S147" s="131">
        <f>'Stasiun Pontianak Kota'!T201</f>
        <v>8</v>
      </c>
      <c r="T147" s="131">
        <f>'Stasiun Pontianak Kota'!U201</f>
        <v>1</v>
      </c>
      <c r="U147" s="131">
        <f>'Stasiun Pontianak Kota'!V201</f>
        <v>7</v>
      </c>
      <c r="V147" s="131">
        <f>'Stasiun Pontianak Kota'!W201</f>
        <v>61</v>
      </c>
      <c r="W147" s="131">
        <f>'Stasiun Pontianak Kota'!X201</f>
        <v>0</v>
      </c>
      <c r="X147" s="131">
        <f>'Stasiun Pontianak Kota'!Y201</f>
        <v>0</v>
      </c>
      <c r="Y147" s="131">
        <f>'Stasiun Pontianak Kota'!Z201</f>
        <v>7</v>
      </c>
      <c r="Z147" s="131">
        <f>'Stasiun Pontianak Kota'!AA201</f>
        <v>3</v>
      </c>
      <c r="AA147" s="131">
        <f>'Stasiun Pontianak Kota'!AB201</f>
        <v>0</v>
      </c>
      <c r="AC147" s="130">
        <v>18</v>
      </c>
      <c r="AD147" s="131">
        <f>'Sta. Meteorologi pnk'!B160</f>
        <v>16.399999999999999</v>
      </c>
      <c r="AE147" s="131">
        <f>'Sta. Meteorologi pnk'!C160</f>
        <v>1.7</v>
      </c>
      <c r="AF147" s="131">
        <f>'Sta. Meteorologi pnk'!D160</f>
        <v>11.5</v>
      </c>
      <c r="AG147" s="131">
        <f>'Sta. Meteorologi pnk'!E160</f>
        <v>0</v>
      </c>
      <c r="AH147" s="131">
        <f>'Sta. Meteorologi pnk'!F160</f>
        <v>2.4</v>
      </c>
      <c r="AI147" s="131">
        <f>'Sta. Meteorologi pnk'!G160</f>
        <v>71.099999999999994</v>
      </c>
      <c r="AJ147" s="131">
        <f>'Sta. Meteorologi pnk'!H160</f>
        <v>30.9</v>
      </c>
      <c r="AK147" s="131">
        <f>'Sta. Meteorologi pnk'!I160</f>
        <v>0</v>
      </c>
      <c r="AL147" s="131">
        <f>'Sta. Meteorologi pnk'!J160</f>
        <v>0</v>
      </c>
      <c r="AM147" s="131">
        <f>'Sta. Meteorologi pnk'!K160</f>
        <v>8.1</v>
      </c>
      <c r="AN147" s="131">
        <f>'Sta. Meteorologi pnk'!L160</f>
        <v>3.2</v>
      </c>
      <c r="AO147" s="131">
        <f>'Sta. Meteorologi pnk'!M160</f>
        <v>0</v>
      </c>
      <c r="AQ147" s="130">
        <v>18</v>
      </c>
      <c r="AR147" s="131">
        <f t="shared" si="93"/>
        <v>11.089593093076846</v>
      </c>
      <c r="AS147" s="131">
        <f t="shared" si="91"/>
        <v>1.1495309913555267</v>
      </c>
      <c r="AT147" s="131">
        <f t="shared" si="91"/>
        <v>9.0714602559802646</v>
      </c>
      <c r="AU147" s="131">
        <f t="shared" si="91"/>
        <v>2.5904423936210499</v>
      </c>
      <c r="AV147" s="131">
        <f t="shared" si="91"/>
        <v>1.9466725811163161</v>
      </c>
      <c r="AW147" s="131">
        <f t="shared" si="91"/>
        <v>50.344080321111328</v>
      </c>
      <c r="AX147" s="131">
        <f t="shared" si="91"/>
        <v>40.646539505999193</v>
      </c>
      <c r="AY147" s="131">
        <f t="shared" si="91"/>
        <v>0</v>
      </c>
      <c r="AZ147" s="131">
        <f t="shared" si="91"/>
        <v>0</v>
      </c>
      <c r="BA147" s="131">
        <f t="shared" si="91"/>
        <v>7.7438141708771049</v>
      </c>
      <c r="BB147" s="131">
        <f t="shared" si="91"/>
        <v>3.1352389401594736</v>
      </c>
      <c r="BC147" s="131">
        <f t="shared" si="91"/>
        <v>0</v>
      </c>
      <c r="BE147" s="130">
        <v>18</v>
      </c>
      <c r="BF147" s="131">
        <f t="shared" si="94"/>
        <v>10.375644530596052</v>
      </c>
      <c r="BG147" s="131">
        <f t="shared" si="92"/>
        <v>1.075524128171542</v>
      </c>
      <c r="BH147" s="131">
        <f t="shared" si="92"/>
        <v>8.7449593889920969</v>
      </c>
      <c r="BI147" s="131">
        <f t="shared" si="92"/>
        <v>2.938709985075096</v>
      </c>
      <c r="BJ147" s="131">
        <f t="shared" si="92"/>
        <v>1.8857257526118583</v>
      </c>
      <c r="BK147" s="131">
        <f t="shared" si="92"/>
        <v>47.553586244585794</v>
      </c>
      <c r="BL147" s="131">
        <f t="shared" si="92"/>
        <v>41.956896318845047</v>
      </c>
      <c r="BM147" s="131">
        <f t="shared" si="92"/>
        <v>0</v>
      </c>
      <c r="BN147" s="131">
        <f t="shared" si="92"/>
        <v>0</v>
      </c>
      <c r="BO147" s="131">
        <f t="shared" si="92"/>
        <v>7.6959273770521737</v>
      </c>
      <c r="BP147" s="131">
        <f t="shared" si="92"/>
        <v>3.1265322503731223</v>
      </c>
      <c r="BQ147" s="131">
        <f t="shared" si="92"/>
        <v>0</v>
      </c>
    </row>
    <row r="148" spans="1:69">
      <c r="A148" s="130">
        <v>19</v>
      </c>
      <c r="B148" s="131">
        <f>IF('Data 2'!B148&lt;0.1,0,'Data 2'!B148)</f>
        <v>0.13141935378749611</v>
      </c>
      <c r="C148" s="131">
        <f>IF('Data 2'!C148&lt;0.1,0,'Data 2'!C148)</f>
        <v>25.671451615531257</v>
      </c>
      <c r="D148" s="131">
        <f>IF('Data 2'!D148&lt;0.1,0,'Data 2'!D148)</f>
        <v>1.182774184087465</v>
      </c>
      <c r="E148" s="131">
        <f>IF('Data 2'!E148&lt;0.1,0,'Data 2'!E148)</f>
        <v>4.0287096931875581</v>
      </c>
      <c r="F148" s="131">
        <f>IF('Data 2'!F148&lt;0.1,0,'Data 2'!F148)</f>
        <v>17.096645104524789</v>
      </c>
      <c r="G148" s="131">
        <f>IF('Data 2'!G148&lt;0.1,0,'Data 2'!G148)</f>
        <v>22.661241914196797</v>
      </c>
      <c r="H148" s="131">
        <f>IF('Data 2'!H148&lt;0.1,0,'Data 2'!H148)</f>
        <v>4.0287096931875581</v>
      </c>
      <c r="I148" s="131">
        <f>IF('Data 2'!I148&lt;0.1,0,'Data 2'!I148)</f>
        <v>0</v>
      </c>
      <c r="J148" s="131">
        <f>IF('Data 2'!J148&lt;0.1,0,'Data 2'!J148)</f>
        <v>0.32854838446874024</v>
      </c>
      <c r="K148" s="131">
        <f>IF('Data 2'!K148&lt;0.1,0,'Data 2'!K148)</f>
        <v>0</v>
      </c>
      <c r="L148" s="131">
        <f>IF('Data 2'!L148&lt;0.1,0,'Data 2'!L148)</f>
        <v>36.929838854219284</v>
      </c>
      <c r="M148" s="131">
        <f>IF('Data 2'!M148&lt;0.1,0,'Data 2'!M148)</f>
        <v>0.13141935378749611</v>
      </c>
      <c r="O148" s="130">
        <v>19</v>
      </c>
      <c r="P148" s="131">
        <f>'Stasiun Pontianak Kota'!Q202</f>
        <v>0</v>
      </c>
      <c r="Q148" s="131">
        <f>'Stasiun Pontianak Kota'!R202</f>
        <v>26</v>
      </c>
      <c r="R148" s="131">
        <f>'Stasiun Pontianak Kota'!S202</f>
        <v>0</v>
      </c>
      <c r="S148" s="131">
        <f>'Stasiun Pontianak Kota'!T202</f>
        <v>6</v>
      </c>
      <c r="T148" s="131">
        <f>'Stasiun Pontianak Kota'!U202</f>
        <v>10</v>
      </c>
      <c r="U148" s="131">
        <f>'Stasiun Pontianak Kota'!V202</f>
        <v>20</v>
      </c>
      <c r="V148" s="131">
        <f>'Stasiun Pontianak Kota'!W202</f>
        <v>6</v>
      </c>
      <c r="W148" s="131">
        <f>'Stasiun Pontianak Kota'!X202</f>
        <v>0</v>
      </c>
      <c r="X148" s="131">
        <f>'Stasiun Pontianak Kota'!Y202</f>
        <v>0</v>
      </c>
      <c r="Y148" s="131">
        <f>'Stasiun Pontianak Kota'!Z202</f>
        <v>0</v>
      </c>
      <c r="Z148" s="131">
        <f>'Stasiun Pontianak Kota'!AA202</f>
        <v>55</v>
      </c>
      <c r="AA148" s="131">
        <f>'Stasiun Pontianak Kota'!AB202</f>
        <v>0</v>
      </c>
      <c r="AC148" s="130">
        <v>19</v>
      </c>
      <c r="AD148" s="131">
        <f>'Sta. Meteorologi pnk'!B161</f>
        <v>0.4</v>
      </c>
      <c r="AE148" s="131">
        <f>'Sta. Meteorologi pnk'!C161</f>
        <v>25</v>
      </c>
      <c r="AF148" s="131">
        <f>'Sta. Meteorologi pnk'!D161</f>
        <v>3.6</v>
      </c>
      <c r="AG148" s="131">
        <f>'Sta. Meteorologi pnk'!E161</f>
        <v>0</v>
      </c>
      <c r="AH148" s="131">
        <f>'Sta. Meteorologi pnk'!F161</f>
        <v>31.6</v>
      </c>
      <c r="AI148" s="131">
        <f>'Sta. Meteorologi pnk'!G161</f>
        <v>28.1</v>
      </c>
      <c r="AJ148" s="131">
        <f>'Sta. Meteorologi pnk'!H161</f>
        <v>0</v>
      </c>
      <c r="AK148" s="131">
        <f>'Sta. Meteorologi pnk'!I161</f>
        <v>0</v>
      </c>
      <c r="AL148" s="131">
        <f>'Sta. Meteorologi pnk'!J161</f>
        <v>1</v>
      </c>
      <c r="AM148" s="131">
        <f>'Sta. Meteorologi pnk'!K161</f>
        <v>0</v>
      </c>
      <c r="AN148" s="131">
        <f>'Sta. Meteorologi pnk'!L161</f>
        <v>0</v>
      </c>
      <c r="AO148" s="131">
        <f>'Sta. Meteorologi pnk'!M161</f>
        <v>0.4</v>
      </c>
      <c r="AQ148" s="130">
        <v>19</v>
      </c>
      <c r="AR148" s="131">
        <f t="shared" si="93"/>
        <v>0.27047788031894748</v>
      </c>
      <c r="AS148" s="131">
        <f t="shared" si="91"/>
        <v>25.323805299202633</v>
      </c>
      <c r="AT148" s="131">
        <f t="shared" si="91"/>
        <v>2.4343009228705275</v>
      </c>
      <c r="AU148" s="131">
        <f t="shared" si="91"/>
        <v>1.942831795215787</v>
      </c>
      <c r="AV148" s="131">
        <f t="shared" si="91"/>
        <v>24.605805537223166</v>
      </c>
      <c r="AW148" s="131">
        <f t="shared" si="91"/>
        <v>25.477177076458688</v>
      </c>
      <c r="AX148" s="131">
        <f t="shared" si="91"/>
        <v>1.942831795215787</v>
      </c>
      <c r="AY148" s="131">
        <f t="shared" si="91"/>
        <v>0</v>
      </c>
      <c r="AZ148" s="131">
        <f t="shared" si="91"/>
        <v>0.67619470079736876</v>
      </c>
      <c r="BA148" s="131">
        <f t="shared" si="91"/>
        <v>0</v>
      </c>
      <c r="BB148" s="131">
        <f t="shared" si="91"/>
        <v>17.809291456144717</v>
      </c>
      <c r="BC148" s="131">
        <f t="shared" si="91"/>
        <v>0.27047788031894748</v>
      </c>
      <c r="BE148" s="130">
        <v>19</v>
      </c>
      <c r="BF148" s="131">
        <f t="shared" si="94"/>
        <v>0.2530645007462452</v>
      </c>
      <c r="BG148" s="131">
        <f t="shared" si="92"/>
        <v>25.367338748134387</v>
      </c>
      <c r="BH148" s="131">
        <f t="shared" si="92"/>
        <v>2.2775805067162072</v>
      </c>
      <c r="BI148" s="131">
        <f t="shared" si="92"/>
        <v>2.2040324888063219</v>
      </c>
      <c r="BJ148" s="131">
        <f t="shared" si="92"/>
        <v>23.665483040297243</v>
      </c>
      <c r="BK148" s="131">
        <f t="shared" si="92"/>
        <v>25.124556140111466</v>
      </c>
      <c r="BL148" s="131">
        <f t="shared" si="92"/>
        <v>2.2040324888063219</v>
      </c>
      <c r="BM148" s="131">
        <f t="shared" si="92"/>
        <v>0</v>
      </c>
      <c r="BN148" s="131">
        <f t="shared" si="92"/>
        <v>0.63266125186561295</v>
      </c>
      <c r="BO148" s="131">
        <f t="shared" si="92"/>
        <v>0</v>
      </c>
      <c r="BP148" s="131">
        <f t="shared" si="92"/>
        <v>20.203631147391285</v>
      </c>
      <c r="BQ148" s="131">
        <f t="shared" si="92"/>
        <v>0.2530645007462452</v>
      </c>
    </row>
    <row r="149" spans="1:69">
      <c r="A149" s="130">
        <v>20</v>
      </c>
      <c r="B149" s="131">
        <f>IF('Data 2'!B149&lt;0.1,0,'Data 2'!B149)</f>
        <v>13.429032310625193</v>
      </c>
      <c r="C149" s="131">
        <f>IF('Data 2'!C149&lt;0.1,0,'Data 2'!C149)</f>
        <v>12.400322617437636</v>
      </c>
      <c r="D149" s="131">
        <f>IF('Data 2'!D149&lt;0.1,0,'Data 2'!D149)</f>
        <v>0</v>
      </c>
      <c r="E149" s="131">
        <f>IF('Data 2'!E149&lt;0.1,0,'Data 2'!E149)</f>
        <v>0</v>
      </c>
      <c r="F149" s="131">
        <f>IF('Data 2'!F149&lt;0.1,0,'Data 2'!F149)</f>
        <v>6.3183386831342769</v>
      </c>
      <c r="G149" s="131">
        <f>IF('Data 2'!G149&lt;0.1,0,'Data 2'!G149)</f>
        <v>25.004145145259315</v>
      </c>
      <c r="H149" s="131">
        <f>IF('Data 2'!H149&lt;0.1,0,'Data 2'!H149)</f>
        <v>32.632532221009235</v>
      </c>
      <c r="I149" s="131">
        <f>IF('Data 2'!I149&lt;0.1,0,'Data 2'!I149)</f>
        <v>0</v>
      </c>
      <c r="J149" s="131">
        <f>IF('Data 2'!J149&lt;0.1,0,'Data 2'!J149)</f>
        <v>21.172564482753</v>
      </c>
      <c r="K149" s="131">
        <f>IF('Data 2'!K149&lt;0.1,0,'Data 2'!K149)</f>
        <v>0</v>
      </c>
      <c r="L149" s="131">
        <f>IF('Data 2'!L149&lt;0.1,0,'Data 2'!L149)</f>
        <v>0</v>
      </c>
      <c r="M149" s="131">
        <f>IF('Data 2'!M149&lt;0.1,0,'Data 2'!M149)</f>
        <v>14.051354830299967</v>
      </c>
      <c r="O149" s="130">
        <v>20</v>
      </c>
      <c r="P149" s="131">
        <f>'Stasiun Pontianak Kota'!Q203</f>
        <v>20</v>
      </c>
      <c r="Q149" s="131">
        <f>'Stasiun Pontianak Kota'!R203</f>
        <v>17</v>
      </c>
      <c r="R149" s="131">
        <f>'Stasiun Pontianak Kota'!S203</f>
        <v>0</v>
      </c>
      <c r="S149" s="131">
        <f>'Stasiun Pontianak Kota'!T203</f>
        <v>0</v>
      </c>
      <c r="T149" s="131">
        <f>'Stasiun Pontianak Kota'!U203</f>
        <v>3</v>
      </c>
      <c r="U149" s="131">
        <f>'Stasiun Pontianak Kota'!V203</f>
        <v>23</v>
      </c>
      <c r="V149" s="131">
        <f>'Stasiun Pontianak Kota'!W203</f>
        <v>28</v>
      </c>
      <c r="W149" s="131">
        <f>'Stasiun Pontianak Kota'!X203</f>
        <v>0</v>
      </c>
      <c r="X149" s="131">
        <f>'Stasiun Pontianak Kota'!Y203</f>
        <v>17</v>
      </c>
      <c r="Y149" s="131">
        <f>'Stasiun Pontianak Kota'!Z203</f>
        <v>0</v>
      </c>
      <c r="Z149" s="131">
        <f>'Stasiun Pontianak Kota'!AA203</f>
        <v>0</v>
      </c>
      <c r="AA149" s="131">
        <f>'Stasiun Pontianak Kota'!AB203</f>
        <v>13</v>
      </c>
      <c r="AC149" s="130">
        <v>20</v>
      </c>
      <c r="AD149" s="131">
        <f>'Sta. Meteorologi pnk'!B162</f>
        <v>0</v>
      </c>
      <c r="AE149" s="131">
        <f>'Sta. Meteorologi pnk'!C162</f>
        <v>3</v>
      </c>
      <c r="AF149" s="131">
        <f>'Sta. Meteorologi pnk'!D162</f>
        <v>0</v>
      </c>
      <c r="AG149" s="131">
        <f>'Sta. Meteorologi pnk'!E162</f>
        <v>0</v>
      </c>
      <c r="AH149" s="131">
        <f>'Sta. Meteorologi pnk'!F162</f>
        <v>13.1</v>
      </c>
      <c r="AI149" s="131">
        <f>'Sta. Meteorologi pnk'!G162</f>
        <v>29.1</v>
      </c>
      <c r="AJ149" s="131">
        <f>'Sta. Meteorologi pnk'!H162</f>
        <v>42.1</v>
      </c>
      <c r="AK149" s="131">
        <f>'Sta. Meteorologi pnk'!I162</f>
        <v>0</v>
      </c>
      <c r="AL149" s="131">
        <f>'Sta. Meteorologi pnk'!J162</f>
        <v>29.7</v>
      </c>
      <c r="AM149" s="131">
        <f>'Sta. Meteorologi pnk'!K162</f>
        <v>0.2</v>
      </c>
      <c r="AN149" s="131">
        <f>'Sta. Meteorologi pnk'!L162</f>
        <v>0.2</v>
      </c>
      <c r="AO149" s="131">
        <f>'Sta. Meteorologi pnk'!M162</f>
        <v>16.2</v>
      </c>
      <c r="AQ149" s="130">
        <v>20</v>
      </c>
      <c r="AR149" s="131">
        <f t="shared" si="93"/>
        <v>6.4761059840526238</v>
      </c>
      <c r="AS149" s="131">
        <f t="shared" si="91"/>
        <v>7.5332741888368364</v>
      </c>
      <c r="AT149" s="131">
        <f t="shared" si="91"/>
        <v>0</v>
      </c>
      <c r="AU149" s="131">
        <f t="shared" si="91"/>
        <v>0</v>
      </c>
      <c r="AV149" s="131">
        <f t="shared" si="91"/>
        <v>9.8295664780534224</v>
      </c>
      <c r="AW149" s="131">
        <f t="shared" si="91"/>
        <v>27.124787674863949</v>
      </c>
      <c r="AX149" s="131">
        <f t="shared" si="91"/>
        <v>37.534345281242899</v>
      </c>
      <c r="AY149" s="131">
        <f t="shared" si="91"/>
        <v>0</v>
      </c>
      <c r="AZ149" s="131">
        <f t="shared" si="91"/>
        <v>25.587672700126578</v>
      </c>
      <c r="BA149" s="131">
        <f t="shared" si="91"/>
        <v>0.13523894015947374</v>
      </c>
      <c r="BB149" s="131">
        <f t="shared" si="91"/>
        <v>0.13523894015947374</v>
      </c>
      <c r="BC149" s="131">
        <f t="shared" si="91"/>
        <v>15.163823042551581</v>
      </c>
      <c r="BE149" s="130">
        <v>20</v>
      </c>
      <c r="BF149" s="131">
        <f t="shared" si="94"/>
        <v>7.3467749626877392</v>
      </c>
      <c r="BG149" s="131">
        <f t="shared" si="92"/>
        <v>8.1427424738814178</v>
      </c>
      <c r="BH149" s="131">
        <f t="shared" si="92"/>
        <v>0</v>
      </c>
      <c r="BI149" s="131">
        <f t="shared" si="92"/>
        <v>0</v>
      </c>
      <c r="BJ149" s="131">
        <f t="shared" si="92"/>
        <v>9.3898786438426907</v>
      </c>
      <c r="BK149" s="131">
        <f t="shared" si="92"/>
        <v>26.859233636380242</v>
      </c>
      <c r="BL149" s="131">
        <f t="shared" si="92"/>
        <v>36.920523651305146</v>
      </c>
      <c r="BM149" s="131">
        <f t="shared" si="92"/>
        <v>0</v>
      </c>
      <c r="BN149" s="131">
        <f t="shared" si="92"/>
        <v>25.034797898693288</v>
      </c>
      <c r="BO149" s="131">
        <f t="shared" si="92"/>
        <v>0.11830386212616625</v>
      </c>
      <c r="BP149" s="131">
        <f t="shared" si="92"/>
        <v>0.11830386212616625</v>
      </c>
      <c r="BQ149" s="131">
        <f t="shared" si="92"/>
        <v>15.024516005969961</v>
      </c>
    </row>
    <row r="150" spans="1:69">
      <c r="A150" s="130">
        <v>21</v>
      </c>
      <c r="B150" s="131">
        <f>IF('Data 2'!B150&lt;0.1,0,'Data 2'!B150)</f>
        <v>64.677822495234054</v>
      </c>
      <c r="C150" s="131">
        <f>IF('Data 2'!C150&lt;0.1,0,'Data 2'!C150)</f>
        <v>11.143854789565443</v>
      </c>
      <c r="D150" s="131">
        <f>IF('Data 2'!D150&lt;0.1,0,'Data 2'!D150)</f>
        <v>18.160129046975054</v>
      </c>
      <c r="E150" s="131">
        <f>IF('Data 2'!E150&lt;0.1,0,'Data 2'!E150)</f>
        <v>46.373838658693558</v>
      </c>
      <c r="F150" s="131">
        <f>IF('Data 2'!F150&lt;0.1,0,'Data 2'!F150)</f>
        <v>0</v>
      </c>
      <c r="G150" s="131">
        <f>IF('Data 2'!G150&lt;0.1,0,'Data 2'!G150)</f>
        <v>0</v>
      </c>
      <c r="H150" s="131">
        <f>IF('Data 2'!H150&lt;0.1,0,'Data 2'!H150)</f>
        <v>13.006064556075145</v>
      </c>
      <c r="I150" s="131">
        <f>IF('Data 2'!I150&lt;0.1,0,'Data 2'!I150)</f>
        <v>0</v>
      </c>
      <c r="J150" s="131">
        <f>IF('Data 2'!J150&lt;0.1,0,'Data 2'!J150)</f>
        <v>15.201274175940558</v>
      </c>
      <c r="K150" s="131">
        <f>IF('Data 2'!K150&lt;0.1,0,'Data 2'!K150)</f>
        <v>0.16427419223437012</v>
      </c>
      <c r="L150" s="131">
        <f>IF('Data 2'!L150&lt;0.1,0,'Data 2'!L150)</f>
        <v>17.546096817818913</v>
      </c>
      <c r="M150" s="131">
        <f>IF('Data 2'!M150&lt;0.1,0,'Data 2'!M150)</f>
        <v>0.49282257670311042</v>
      </c>
      <c r="O150" s="130">
        <v>21</v>
      </c>
      <c r="P150" s="131">
        <f>'Stasiun Pontianak Kota'!Q204</f>
        <v>54</v>
      </c>
      <c r="Q150" s="131">
        <f>'Stasiun Pontianak Kota'!R204</f>
        <v>5</v>
      </c>
      <c r="R150" s="131">
        <f>'Stasiun Pontianak Kota'!S204</f>
        <v>20</v>
      </c>
      <c r="S150" s="131">
        <f>'Stasiun Pontianak Kota'!T204</f>
        <v>40</v>
      </c>
      <c r="T150" s="131">
        <f>'Stasiun Pontianak Kota'!U204</f>
        <v>0</v>
      </c>
      <c r="U150" s="131">
        <f>'Stasiun Pontianak Kota'!V204</f>
        <v>0</v>
      </c>
      <c r="V150" s="131">
        <f>'Stasiun Pontianak Kota'!W204</f>
        <v>18</v>
      </c>
      <c r="W150" s="131">
        <f>'Stasiun Pontianak Kota'!X204</f>
        <v>0</v>
      </c>
      <c r="X150" s="131">
        <f>'Stasiun Pontianak Kota'!Y204</f>
        <v>13</v>
      </c>
      <c r="Y150" s="131">
        <f>'Stasiun Pontianak Kota'!Z204</f>
        <v>0</v>
      </c>
      <c r="Z150" s="131">
        <f>'Stasiun Pontianak Kota'!AA204</f>
        <v>23</v>
      </c>
      <c r="AA150" s="131">
        <f>'Stasiun Pontianak Kota'!AB204</f>
        <v>0</v>
      </c>
      <c r="AC150" s="130">
        <v>21</v>
      </c>
      <c r="AD150" s="131">
        <f>'Sta. Meteorologi pnk'!B163</f>
        <v>86.5</v>
      </c>
      <c r="AE150" s="131">
        <f>'Sta. Meteorologi pnk'!C163</f>
        <v>23.7</v>
      </c>
      <c r="AF150" s="131">
        <f>'Sta. Meteorologi pnk'!D163</f>
        <v>14.4</v>
      </c>
      <c r="AG150" s="131">
        <f>'Sta. Meteorologi pnk'!E163</f>
        <v>59.4</v>
      </c>
      <c r="AH150" s="131">
        <f>'Sta. Meteorologi pnk'!F163</f>
        <v>0</v>
      </c>
      <c r="AI150" s="131">
        <f>'Sta. Meteorologi pnk'!G163</f>
        <v>0</v>
      </c>
      <c r="AJ150" s="131">
        <f>'Sta. Meteorologi pnk'!H163</f>
        <v>2.8</v>
      </c>
      <c r="AK150" s="131">
        <f>'Sta. Meteorologi pnk'!I163</f>
        <v>0</v>
      </c>
      <c r="AL150" s="131">
        <f>'Sta. Meteorologi pnk'!J163</f>
        <v>19.7</v>
      </c>
      <c r="AM150" s="131">
        <f>'Sta. Meteorologi pnk'!K163</f>
        <v>0.5</v>
      </c>
      <c r="AN150" s="131">
        <f>'Sta. Meteorologi pnk'!L163</f>
        <v>6.4</v>
      </c>
      <c r="AO150" s="131">
        <f>'Sta. Meteorologi pnk'!M163</f>
        <v>1.5</v>
      </c>
      <c r="AQ150" s="130">
        <v>21</v>
      </c>
      <c r="AR150" s="131">
        <f t="shared" si="93"/>
        <v>75.976327775914484</v>
      </c>
      <c r="AS150" s="131">
        <f t="shared" si="91"/>
        <v>17.64484090491079</v>
      </c>
      <c r="AT150" s="131">
        <f t="shared" si="91"/>
        <v>16.213309675534735</v>
      </c>
      <c r="AU150" s="131">
        <f t="shared" si="91"/>
        <v>53.118177195468952</v>
      </c>
      <c r="AV150" s="131">
        <f t="shared" si="91"/>
        <v>0</v>
      </c>
      <c r="AW150" s="131">
        <f t="shared" si="91"/>
        <v>0</v>
      </c>
      <c r="AX150" s="131">
        <f t="shared" si="91"/>
        <v>7.7218405478799932</v>
      </c>
      <c r="AY150" s="131">
        <f t="shared" si="91"/>
        <v>0</v>
      </c>
      <c r="AZ150" s="131">
        <f t="shared" si="91"/>
        <v>17.530504495342367</v>
      </c>
      <c r="BA150" s="131">
        <f t="shared" si="91"/>
        <v>0.33809735039868438</v>
      </c>
      <c r="BB150" s="131">
        <f t="shared" si="91"/>
        <v>11.775167966763679</v>
      </c>
      <c r="BC150" s="131">
        <f t="shared" si="91"/>
        <v>1.0142920511960531</v>
      </c>
      <c r="BE150" s="130">
        <v>21</v>
      </c>
      <c r="BF150" s="131">
        <f t="shared" si="94"/>
        <v>74.561490685632421</v>
      </c>
      <c r="BG150" s="131">
        <f t="shared" si="92"/>
        <v>16.830765409886961</v>
      </c>
      <c r="BH150" s="131">
        <f t="shared" si="92"/>
        <v>16.457096989552568</v>
      </c>
      <c r="BI150" s="131">
        <f t="shared" si="92"/>
        <v>52.273628286192896</v>
      </c>
      <c r="BJ150" s="131">
        <f t="shared" si="92"/>
        <v>0</v>
      </c>
      <c r="BK150" s="131">
        <f t="shared" si="92"/>
        <v>0</v>
      </c>
      <c r="BL150" s="131">
        <f t="shared" si="92"/>
        <v>8.3835489716426821</v>
      </c>
      <c r="BM150" s="131">
        <f t="shared" si="92"/>
        <v>0</v>
      </c>
      <c r="BN150" s="131">
        <f t="shared" si="92"/>
        <v>17.238830387499608</v>
      </c>
      <c r="BO150" s="131">
        <f t="shared" si="92"/>
        <v>0.31633062593280648</v>
      </c>
      <c r="BP150" s="131">
        <f t="shared" si="92"/>
        <v>12.497823219030824</v>
      </c>
      <c r="BQ150" s="131">
        <f t="shared" si="92"/>
        <v>0.94899187779841954</v>
      </c>
    </row>
    <row r="151" spans="1:69">
      <c r="A151" s="130">
        <v>22</v>
      </c>
      <c r="B151" s="131">
        <f>IF('Data 2'!B151&lt;0.1,0,'Data 2'!B151)</f>
        <v>0</v>
      </c>
      <c r="C151" s="131">
        <f>IF('Data 2'!C151&lt;0.1,0,'Data 2'!C151)</f>
        <v>5.2628387075749918</v>
      </c>
      <c r="D151" s="131">
        <f>IF('Data 2'!D151&lt;0.1,0,'Data 2'!D151)</f>
        <v>0</v>
      </c>
      <c r="E151" s="131">
        <f>IF('Data 2'!E151&lt;0.1,0,'Data 2'!E151)</f>
        <v>28.948645169700033</v>
      </c>
      <c r="F151" s="131">
        <f>IF('Data 2'!F151&lt;0.1,0,'Data 2'!F151)</f>
        <v>26.416903198474895</v>
      </c>
      <c r="G151" s="131">
        <f>IF('Data 2'!G151&lt;0.1,0,'Data 2'!G151)</f>
        <v>0</v>
      </c>
      <c r="H151" s="131">
        <f>IF('Data 2'!H151&lt;0.1,0,'Data 2'!H151)</f>
        <v>21.40446776269695</v>
      </c>
      <c r="I151" s="131">
        <f>IF('Data 2'!I151&lt;0.1,0,'Data 2'!I151)</f>
        <v>0</v>
      </c>
      <c r="J151" s="131">
        <f>IF('Data 2'!J151&lt;0.1,0,'Data 2'!J151)</f>
        <v>4.0184999918530941</v>
      </c>
      <c r="K151" s="131">
        <f>IF('Data 2'!K151&lt;0.1,0,'Data 2'!K151)</f>
        <v>12.683887051309206</v>
      </c>
      <c r="L151" s="131">
        <f>IF('Data 2'!L151&lt;0.1,0,'Data 2'!L151)</f>
        <v>21.155983901715739</v>
      </c>
      <c r="M151" s="131">
        <f>IF('Data 2'!M151&lt;0.1,0,'Data 2'!M151)</f>
        <v>0</v>
      </c>
      <c r="O151" s="130">
        <v>22</v>
      </c>
      <c r="P151" s="131">
        <f>'Stasiun Pontianak Kota'!Q205</f>
        <v>0</v>
      </c>
      <c r="Q151" s="131">
        <f>'Stasiun Pontianak Kota'!R205</f>
        <v>5</v>
      </c>
      <c r="R151" s="131">
        <f>'Stasiun Pontianak Kota'!S205</f>
        <v>0</v>
      </c>
      <c r="S151" s="131">
        <f>'Stasiun Pontianak Kota'!T205</f>
        <v>30</v>
      </c>
      <c r="T151" s="131">
        <f>'Stasiun Pontianak Kota'!U205</f>
        <v>23</v>
      </c>
      <c r="U151" s="131">
        <f>'Stasiun Pontianak Kota'!V205</f>
        <v>0</v>
      </c>
      <c r="V151" s="131">
        <f>'Stasiun Pontianak Kota'!W205</f>
        <v>24</v>
      </c>
      <c r="W151" s="131">
        <f>'Stasiun Pontianak Kota'!X205</f>
        <v>0</v>
      </c>
      <c r="X151" s="131">
        <f>'Stasiun Pontianak Kota'!Y205</f>
        <v>3</v>
      </c>
      <c r="Y151" s="131">
        <f>'Stasiun Pontianak Kota'!Z205</f>
        <v>7</v>
      </c>
      <c r="Z151" s="131">
        <f>'Stasiun Pontianak Kota'!AA205</f>
        <v>25</v>
      </c>
      <c r="AA151" s="131">
        <f>'Stasiun Pontianak Kota'!AB205</f>
        <v>0</v>
      </c>
      <c r="AC151" s="130">
        <v>22</v>
      </c>
      <c r="AD151" s="131">
        <f>'Sta. Meteorologi pnk'!B164</f>
        <v>0</v>
      </c>
      <c r="AE151" s="131">
        <f>'Sta. Meteorologi pnk'!C164</f>
        <v>5.8</v>
      </c>
      <c r="AF151" s="131">
        <f>'Sta. Meteorologi pnk'!D164</f>
        <v>0</v>
      </c>
      <c r="AG151" s="131">
        <f>'Sta. Meteorologi pnk'!E164</f>
        <v>26.8</v>
      </c>
      <c r="AH151" s="131">
        <f>'Sta. Meteorologi pnk'!F164</f>
        <v>33.4</v>
      </c>
      <c r="AI151" s="131">
        <f>'Sta. Meteorologi pnk'!G164</f>
        <v>0</v>
      </c>
      <c r="AJ151" s="131">
        <f>'Sta. Meteorologi pnk'!H164</f>
        <v>16.100000000000001</v>
      </c>
      <c r="AK151" s="131">
        <f>'Sta. Meteorologi pnk'!I164</f>
        <v>0</v>
      </c>
      <c r="AL151" s="131">
        <f>'Sta. Meteorologi pnk'!J164</f>
        <v>6.1</v>
      </c>
      <c r="AM151" s="131">
        <f>'Sta. Meteorologi pnk'!K164</f>
        <v>24.3</v>
      </c>
      <c r="AN151" s="131">
        <f>'Sta. Meteorologi pnk'!L164</f>
        <v>13.3</v>
      </c>
      <c r="AO151" s="131">
        <f>'Sta. Meteorologi pnk'!M164</f>
        <v>0</v>
      </c>
      <c r="AQ151" s="130">
        <v>22</v>
      </c>
      <c r="AR151" s="131">
        <f t="shared" si="93"/>
        <v>0</v>
      </c>
      <c r="AS151" s="131">
        <f t="shared" si="91"/>
        <v>5.5409557606378943</v>
      </c>
      <c r="AT151" s="131">
        <f t="shared" si="91"/>
        <v>0</v>
      </c>
      <c r="AU151" s="131">
        <f t="shared" si="91"/>
        <v>27.836176957448416</v>
      </c>
      <c r="AV151" s="131">
        <f t="shared" si="91"/>
        <v>30.032424888292635</v>
      </c>
      <c r="AW151" s="131">
        <f t="shared" si="91"/>
        <v>0</v>
      </c>
      <c r="AX151" s="131">
        <f t="shared" si="91"/>
        <v>18.658061863700784</v>
      </c>
      <c r="AY151" s="131">
        <f t="shared" si="91"/>
        <v>0</v>
      </c>
      <c r="AZ151" s="131">
        <f t="shared" si="91"/>
        <v>5.0962035724718424</v>
      </c>
      <c r="BA151" s="131">
        <f t="shared" si="91"/>
        <v>18.69816832379448</v>
      </c>
      <c r="BB151" s="131">
        <f t="shared" si="91"/>
        <v>17.088522000670785</v>
      </c>
      <c r="BC151" s="131">
        <f t="shared" si="91"/>
        <v>0</v>
      </c>
      <c r="BE151" s="130">
        <v>22</v>
      </c>
      <c r="BF151" s="131">
        <f t="shared" si="94"/>
        <v>0</v>
      </c>
      <c r="BG151" s="131">
        <f t="shared" si="92"/>
        <v>5.5061290014924902</v>
      </c>
      <c r="BH151" s="131">
        <f t="shared" si="92"/>
        <v>0</v>
      </c>
      <c r="BI151" s="131">
        <f t="shared" si="92"/>
        <v>27.975483994030039</v>
      </c>
      <c r="BJ151" s="131">
        <f t="shared" si="92"/>
        <v>29.579677019402371</v>
      </c>
      <c r="BK151" s="131">
        <f t="shared" si="92"/>
        <v>0</v>
      </c>
      <c r="BL151" s="131">
        <f t="shared" si="92"/>
        <v>19.001976110261658</v>
      </c>
      <c r="BM151" s="131">
        <f t="shared" si="92"/>
        <v>0</v>
      </c>
      <c r="BN151" s="131">
        <f t="shared" si="92"/>
        <v>4.9612498807833996</v>
      </c>
      <c r="BO151" s="131">
        <f t="shared" si="92"/>
        <v>17.945039657275107</v>
      </c>
      <c r="BP151" s="131">
        <f t="shared" si="92"/>
        <v>17.597863353172329</v>
      </c>
      <c r="BQ151" s="131">
        <f t="shared" si="92"/>
        <v>0</v>
      </c>
    </row>
    <row r="152" spans="1:69">
      <c r="A152" s="130">
        <v>23</v>
      </c>
      <c r="B152" s="131">
        <f>IF('Data 2'!B152&lt;0.1,0,'Data 2'!B152)</f>
        <v>14.667306470271942</v>
      </c>
      <c r="C152" s="131">
        <f>IF('Data 2'!C152&lt;0.1,0,'Data 2'!C152)</f>
        <v>0</v>
      </c>
      <c r="D152" s="131">
        <f>IF('Data 2'!D152&lt;0.1,0,'Data 2'!D152)</f>
        <v>0</v>
      </c>
      <c r="E152" s="131">
        <f>IF('Data 2'!E152&lt;0.1,0,'Data 2'!E152)</f>
        <v>0</v>
      </c>
      <c r="F152" s="131">
        <f>IF('Data 2'!F152&lt;0.1,0,'Data 2'!F152)</f>
        <v>6.0759193782282104</v>
      </c>
      <c r="G152" s="131">
        <f>IF('Data 2'!G152&lt;0.1,0,'Data 2'!G152)</f>
        <v>12.145774200381275</v>
      </c>
      <c r="H152" s="131">
        <f>IF('Data 2'!H152&lt;0.1,0,'Data 2'!H152)</f>
        <v>2.0143548465937791</v>
      </c>
      <c r="I152" s="131">
        <f>IF('Data 2'!I152&lt;0.1,0,'Data 2'!I152)</f>
        <v>0</v>
      </c>
      <c r="J152" s="131">
        <f>IF('Data 2'!J152&lt;0.1,0,'Data 2'!J152)</f>
        <v>6.7700161308718805</v>
      </c>
      <c r="K152" s="131">
        <f>IF('Data 2'!K152&lt;0.1,0,'Data 2'!K152)</f>
        <v>43.87050005702833</v>
      </c>
      <c r="L152" s="131">
        <f>IF('Data 2'!L152&lt;0.1,0,'Data 2'!L152)</f>
        <v>0</v>
      </c>
      <c r="M152" s="131">
        <f>IF('Data 2'!M152&lt;0.1,0,'Data 2'!M152)</f>
        <v>9.6714516155312573</v>
      </c>
      <c r="O152" s="130">
        <v>23</v>
      </c>
      <c r="P152" s="131">
        <f>'Stasiun Pontianak Kota'!Q206</f>
        <v>17</v>
      </c>
      <c r="Q152" s="131">
        <f>'Stasiun Pontianak Kota'!R206</f>
        <v>0</v>
      </c>
      <c r="R152" s="131">
        <f>'Stasiun Pontianak Kota'!S206</f>
        <v>0</v>
      </c>
      <c r="S152" s="131">
        <f>'Stasiun Pontianak Kota'!T206</f>
        <v>0</v>
      </c>
      <c r="T152" s="131">
        <f>'Stasiun Pontianak Kota'!U206</f>
        <v>9</v>
      </c>
      <c r="U152" s="131">
        <f>'Stasiun Pontianak Kota'!V206</f>
        <v>13</v>
      </c>
      <c r="V152" s="131">
        <f>'Stasiun Pontianak Kota'!W206</f>
        <v>3</v>
      </c>
      <c r="W152" s="131">
        <f>'Stasiun Pontianak Kota'!X206</f>
        <v>0</v>
      </c>
      <c r="X152" s="131">
        <f>'Stasiun Pontianak Kota'!Y206</f>
        <v>7</v>
      </c>
      <c r="Y152" s="131">
        <f>'Stasiun Pontianak Kota'!Z206</f>
        <v>51</v>
      </c>
      <c r="Z152" s="131">
        <f>'Stasiun Pontianak Kota'!AA206</f>
        <v>0</v>
      </c>
      <c r="AA152" s="131">
        <f>'Stasiun Pontianak Kota'!AB206</f>
        <v>10</v>
      </c>
      <c r="AC152" s="130">
        <v>23</v>
      </c>
      <c r="AD152" s="131">
        <f>'Sta. Meteorologi pnk'!B165</f>
        <v>9.9</v>
      </c>
      <c r="AE152" s="131">
        <f>'Sta. Meteorologi pnk'!C165</f>
        <v>0.2</v>
      </c>
      <c r="AF152" s="131">
        <f>'Sta. Meteorologi pnk'!D165</f>
        <v>0</v>
      </c>
      <c r="AG152" s="131">
        <f>'Sta. Meteorologi pnk'!E165</f>
        <v>0</v>
      </c>
      <c r="AH152" s="131">
        <f>'Sta. Meteorologi pnk'!F165</f>
        <v>0.1</v>
      </c>
      <c r="AI152" s="131">
        <f>'Sta. Meteorologi pnk'!G165</f>
        <v>10.4</v>
      </c>
      <c r="AJ152" s="131">
        <f>'Sta. Meteorologi pnk'!H165</f>
        <v>0</v>
      </c>
      <c r="AK152" s="131">
        <f>'Sta. Meteorologi pnk'!I165</f>
        <v>0</v>
      </c>
      <c r="AL152" s="131">
        <f>'Sta. Meteorologi pnk'!J165</f>
        <v>6.3</v>
      </c>
      <c r="AM152" s="131">
        <f>'Sta. Meteorologi pnk'!K165</f>
        <v>29.3</v>
      </c>
      <c r="AN152" s="131">
        <f>'Sta. Meteorologi pnk'!L165</f>
        <v>0</v>
      </c>
      <c r="AO152" s="131">
        <f>'Sta. Meteorologi pnk'!M165</f>
        <v>9</v>
      </c>
      <c r="AQ152" s="130">
        <v>23</v>
      </c>
      <c r="AR152" s="131">
        <f t="shared" si="93"/>
        <v>12.199017624338682</v>
      </c>
      <c r="AS152" s="131">
        <f t="shared" si="91"/>
        <v>0.13523894015947374</v>
      </c>
      <c r="AT152" s="131">
        <f t="shared" si="91"/>
        <v>0</v>
      </c>
      <c r="AU152" s="131">
        <f t="shared" si="91"/>
        <v>0</v>
      </c>
      <c r="AV152" s="131">
        <f t="shared" si="91"/>
        <v>2.9818671629034177</v>
      </c>
      <c r="AW152" s="131">
        <f t="shared" si="91"/>
        <v>11.24189377792684</v>
      </c>
      <c r="AX152" s="131">
        <f t="shared" si="91"/>
        <v>0.97141589760789349</v>
      </c>
      <c r="AY152" s="131">
        <f t="shared" si="91"/>
        <v>0</v>
      </c>
      <c r="AZ152" s="131">
        <f t="shared" si="91"/>
        <v>6.5266637094418414</v>
      </c>
      <c r="BA152" s="131">
        <f t="shared" si="91"/>
        <v>36.32657499269709</v>
      </c>
      <c r="BB152" s="131">
        <f t="shared" si="91"/>
        <v>0</v>
      </c>
      <c r="BC152" s="131">
        <f t="shared" si="91"/>
        <v>9.3238052992026308</v>
      </c>
      <c r="BE152" s="130">
        <v>23</v>
      </c>
      <c r="BF152" s="131">
        <f t="shared" si="94"/>
        <v>12.508105111754148</v>
      </c>
      <c r="BG152" s="131">
        <f t="shared" si="92"/>
        <v>0.11830386212616625</v>
      </c>
      <c r="BH152" s="131">
        <f t="shared" si="92"/>
        <v>0</v>
      </c>
      <c r="BI152" s="131">
        <f t="shared" si="92"/>
        <v>0</v>
      </c>
      <c r="BJ152" s="131">
        <f t="shared" si="92"/>
        <v>3.3693148583960442</v>
      </c>
      <c r="BK152" s="131">
        <f t="shared" si="92"/>
        <v>11.355080745149406</v>
      </c>
      <c r="BL152" s="131">
        <f t="shared" si="92"/>
        <v>1.1020162444031609</v>
      </c>
      <c r="BM152" s="131">
        <f t="shared" si="92"/>
        <v>0</v>
      </c>
      <c r="BN152" s="131">
        <f t="shared" si="92"/>
        <v>6.5571371236940701</v>
      </c>
      <c r="BO152" s="131">
        <f t="shared" si="92"/>
        <v>37.271250834516195</v>
      </c>
      <c r="BP152" s="131">
        <f t="shared" si="92"/>
        <v>0</v>
      </c>
      <c r="BQ152" s="131">
        <f t="shared" si="92"/>
        <v>9.3673387481343866</v>
      </c>
    </row>
    <row r="153" spans="1:69">
      <c r="A153" s="130">
        <v>24</v>
      </c>
      <c r="B153" s="131">
        <f>IF('Data 2'!B153&lt;0.1,0,'Data 2'!B153)</f>
        <v>38.157903312531566</v>
      </c>
      <c r="C153" s="131">
        <f>IF('Data 2'!C153&lt;0.1,0,'Data 2'!C153)</f>
        <v>22.016580581037264</v>
      </c>
      <c r="D153" s="131">
        <f>IF('Data 2'!D153&lt;0.1,0,'Data 2'!D153)</f>
        <v>0</v>
      </c>
      <c r="E153" s="131">
        <f>IF('Data 2'!E153&lt;0.1,0,'Data 2'!E153)</f>
        <v>47.683580727681552</v>
      </c>
      <c r="F153" s="131">
        <f>IF('Data 2'!F153&lt;0.1,0,'Data 2'!F153)</f>
        <v>0</v>
      </c>
      <c r="G153" s="131">
        <f>IF('Data 2'!G153&lt;0.1,0,'Data 2'!G153)</f>
        <v>0.32854838446874024</v>
      </c>
      <c r="H153" s="131">
        <f>IF('Data 2'!H153&lt;0.1,0,'Data 2'!H153)</f>
        <v>25.946725758884195</v>
      </c>
      <c r="I153" s="131">
        <f>IF('Data 2'!I153&lt;0.1,0,'Data 2'!I153)</f>
        <v>0</v>
      </c>
      <c r="J153" s="131">
        <f>IF('Data 2'!J153&lt;0.1,0,'Data 2'!J153)</f>
        <v>0</v>
      </c>
      <c r="K153" s="131">
        <f>IF('Data 2'!K153&lt;0.1,0,'Data 2'!K153)</f>
        <v>0.22998386912811819</v>
      </c>
      <c r="L153" s="131">
        <f>IF('Data 2'!L153&lt;0.1,0,'Data 2'!L153)</f>
        <v>0</v>
      </c>
      <c r="M153" s="131">
        <f>IF('Data 2'!M153&lt;0.1,0,'Data 2'!M153)</f>
        <v>0.72280644583122866</v>
      </c>
      <c r="O153" s="130">
        <v>24</v>
      </c>
      <c r="P153" s="131">
        <f>'Stasiun Pontianak Kota'!Q207</f>
        <v>49</v>
      </c>
      <c r="Q153" s="131">
        <f>'Stasiun Pontianak Kota'!R207</f>
        <v>14</v>
      </c>
      <c r="R153" s="131">
        <f>'Stasiun Pontianak Kota'!S207</f>
        <v>0</v>
      </c>
      <c r="S153" s="131">
        <f>'Stasiun Pontianak Kota'!T207</f>
        <v>58</v>
      </c>
      <c r="T153" s="131">
        <f>'Stasiun Pontianak Kota'!U207</f>
        <v>0</v>
      </c>
      <c r="U153" s="131">
        <f>'Stasiun Pontianak Kota'!V207</f>
        <v>0</v>
      </c>
      <c r="V153" s="131">
        <f>'Stasiun Pontianak Kota'!W207</f>
        <v>20</v>
      </c>
      <c r="W153" s="131">
        <f>'Stasiun Pontianak Kota'!X207</f>
        <v>0</v>
      </c>
      <c r="X153" s="131">
        <f>'Stasiun Pontianak Kota'!Y207</f>
        <v>0</v>
      </c>
      <c r="Y153" s="131">
        <f>'Stasiun Pontianak Kota'!Z207</f>
        <v>0</v>
      </c>
      <c r="Z153" s="131">
        <f>'Stasiun Pontianak Kota'!AA207</f>
        <v>0</v>
      </c>
      <c r="AA153" s="131">
        <f>'Stasiun Pontianak Kota'!AB207</f>
        <v>0</v>
      </c>
      <c r="AC153" s="130">
        <v>24</v>
      </c>
      <c r="AD153" s="131">
        <f>'Sta. Meteorologi pnk'!B166</f>
        <v>16</v>
      </c>
      <c r="AE153" s="131">
        <f>'Sta. Meteorologi pnk'!C166</f>
        <v>38.4</v>
      </c>
      <c r="AF153" s="131">
        <f>'Sta. Meteorologi pnk'!D166</f>
        <v>0</v>
      </c>
      <c r="AG153" s="131">
        <f>'Sta. Meteorologi pnk'!E166</f>
        <v>26.6</v>
      </c>
      <c r="AH153" s="131">
        <f>'Sta. Meteorologi pnk'!F166</f>
        <v>0</v>
      </c>
      <c r="AI153" s="131">
        <f>'Sta. Meteorologi pnk'!G166</f>
        <v>1</v>
      </c>
      <c r="AJ153" s="131">
        <f>'Sta. Meteorologi pnk'!H166</f>
        <v>38.1</v>
      </c>
      <c r="AK153" s="131">
        <f>'Sta. Meteorologi pnk'!I166</f>
        <v>0</v>
      </c>
      <c r="AL153" s="131">
        <f>'Sta. Meteorologi pnk'!J166</f>
        <v>0</v>
      </c>
      <c r="AM153" s="131">
        <f>'Sta. Meteorologi pnk'!K166</f>
        <v>0.7</v>
      </c>
      <c r="AN153" s="131">
        <f>'Sta. Meteorologi pnk'!L166</f>
        <v>0</v>
      </c>
      <c r="AO153" s="131">
        <f>'Sta. Meteorologi pnk'!M166</f>
        <v>2.2000000000000002</v>
      </c>
      <c r="AQ153" s="130">
        <v>24</v>
      </c>
      <c r="AR153" s="131">
        <f t="shared" si="93"/>
        <v>26.685574873686825</v>
      </c>
      <c r="AS153" s="131">
        <f t="shared" si="91"/>
        <v>30.499150699455797</v>
      </c>
      <c r="AT153" s="131">
        <f t="shared" si="91"/>
        <v>0</v>
      </c>
      <c r="AU153" s="131">
        <f t="shared" ref="AU153:BC160" si="95">((S153/($AV$1^2))+(AG153/($AV$2^2)))/((1/($AV$1^2))+(1/($AV$2^2)))</f>
        <v>36.767486394962617</v>
      </c>
      <c r="AV153" s="131">
        <f t="shared" si="95"/>
        <v>0</v>
      </c>
      <c r="AW153" s="131">
        <f t="shared" si="95"/>
        <v>0.67619470079736876</v>
      </c>
      <c r="AX153" s="131">
        <f t="shared" si="95"/>
        <v>32.239124084432376</v>
      </c>
      <c r="AY153" s="131">
        <f t="shared" si="95"/>
        <v>0</v>
      </c>
      <c r="AZ153" s="131">
        <f t="shared" si="95"/>
        <v>0</v>
      </c>
      <c r="BA153" s="131">
        <f t="shared" si="95"/>
        <v>0.47333629055815807</v>
      </c>
      <c r="BB153" s="131">
        <f t="shared" si="95"/>
        <v>0</v>
      </c>
      <c r="BC153" s="131">
        <f t="shared" si="95"/>
        <v>1.4876283417542113</v>
      </c>
      <c r="BE153" s="130">
        <v>24</v>
      </c>
      <c r="BF153" s="131">
        <f t="shared" si="94"/>
        <v>28.122178688434769</v>
      </c>
      <c r="BG153" s="131">
        <f t="shared" si="92"/>
        <v>29.436934545520955</v>
      </c>
      <c r="BH153" s="131">
        <f t="shared" si="92"/>
        <v>0</v>
      </c>
      <c r="BI153" s="131">
        <f t="shared" ref="BI153:BQ160" si="96">((E153/($BI$1^2))+(S153/($AV$1^2))+(AG153/($AV$2^2)))/((1/($BI$1^2))+(1/($AV$1^2))+(1/($AV$2^2)))</f>
        <v>38.134436691419751</v>
      </c>
      <c r="BJ153" s="131">
        <f t="shared" si="96"/>
        <v>0</v>
      </c>
      <c r="BK153" s="131">
        <f t="shared" si="96"/>
        <v>0.63266125186561295</v>
      </c>
      <c r="BL153" s="131">
        <f t="shared" si="96"/>
        <v>31.451168658767596</v>
      </c>
      <c r="BM153" s="131">
        <f t="shared" si="96"/>
        <v>0</v>
      </c>
      <c r="BN153" s="131">
        <f t="shared" si="96"/>
        <v>0</v>
      </c>
      <c r="BO153" s="131">
        <f t="shared" si="96"/>
        <v>0.44286287630592908</v>
      </c>
      <c r="BP153" s="131">
        <f t="shared" si="96"/>
        <v>0</v>
      </c>
      <c r="BQ153" s="131">
        <f t="shared" si="96"/>
        <v>1.3918547541043487</v>
      </c>
    </row>
    <row r="154" spans="1:69">
      <c r="A154" s="130">
        <v>25</v>
      </c>
      <c r="B154" s="131">
        <f>IF('Data 2'!B154&lt;0.1,0,'Data 2'!B154)</f>
        <v>0</v>
      </c>
      <c r="C154" s="131">
        <f>IF('Data 2'!C154&lt;0.1,0,'Data 2'!C154)</f>
        <v>27.287403255503232</v>
      </c>
      <c r="D154" s="131">
        <f>IF('Data 2'!D154&lt;0.1,0,'Data 2'!D154)</f>
        <v>0.16427419223437012</v>
      </c>
      <c r="E154" s="131">
        <f>IF('Data 2'!E154&lt;0.1,0,'Data 2'!E154)</f>
        <v>0</v>
      </c>
      <c r="F154" s="131">
        <f>IF('Data 2'!F154&lt;0.1,0,'Data 2'!F154)</f>
        <v>1.3429032310625193</v>
      </c>
      <c r="G154" s="131">
        <f>IF('Data 2'!G154&lt;0.1,0,'Data 2'!G154)</f>
        <v>3.0883548140061587</v>
      </c>
      <c r="H154" s="131">
        <f>IF('Data 2'!H154&lt;0.1,0,'Data 2'!H154)</f>
        <v>46.993935443924848</v>
      </c>
      <c r="I154" s="131">
        <f>IF('Data 2'!I154&lt;0.1,0,'Data 2'!I154)</f>
        <v>0</v>
      </c>
      <c r="J154" s="131">
        <f>IF('Data 2'!J154&lt;0.1,0,'Data 2'!J154)</f>
        <v>0</v>
      </c>
      <c r="K154" s="131">
        <f>IF('Data 2'!K154&lt;0.1,0,'Data 2'!K154)</f>
        <v>0.82137096117185071</v>
      </c>
      <c r="L154" s="131">
        <f>IF('Data 2'!L154&lt;0.1,0,'Data 2'!L154)</f>
        <v>3.1540644908999065</v>
      </c>
      <c r="M154" s="131">
        <f>IF('Data 2'!M154&lt;0.1,0,'Data 2'!M154)</f>
        <v>7.9569354602186628</v>
      </c>
      <c r="O154" s="130">
        <v>25</v>
      </c>
      <c r="P154" s="131">
        <f>'Stasiun Pontianak Kota'!Q208</f>
        <v>0</v>
      </c>
      <c r="Q154" s="131">
        <f>'Stasiun Pontianak Kota'!R208</f>
        <v>31</v>
      </c>
      <c r="R154" s="131">
        <f>'Stasiun Pontianak Kota'!S208</f>
        <v>0</v>
      </c>
      <c r="S154" s="131">
        <f>'Stasiun Pontianak Kota'!T208</f>
        <v>0</v>
      </c>
      <c r="T154" s="131">
        <f>'Stasiun Pontianak Kota'!U208</f>
        <v>2</v>
      </c>
      <c r="U154" s="131">
        <f>'Stasiun Pontianak Kota'!V208</f>
        <v>0</v>
      </c>
      <c r="V154" s="131">
        <f>'Stasiun Pontianak Kota'!W208</f>
        <v>42</v>
      </c>
      <c r="W154" s="131">
        <f>'Stasiun Pontianak Kota'!X208</f>
        <v>0</v>
      </c>
      <c r="X154" s="131">
        <f>'Stasiun Pontianak Kota'!Y208</f>
        <v>0</v>
      </c>
      <c r="Y154" s="131">
        <f>'Stasiun Pontianak Kota'!Z208</f>
        <v>0</v>
      </c>
      <c r="Z154" s="131">
        <f>'Stasiun Pontianak Kota'!AA208</f>
        <v>0</v>
      </c>
      <c r="AA154" s="131">
        <f>'Stasiun Pontianak Kota'!AB208</f>
        <v>5</v>
      </c>
      <c r="AC154" s="130">
        <v>25</v>
      </c>
      <c r="AD154" s="131">
        <f>'Sta. Meteorologi pnk'!B167</f>
        <v>0</v>
      </c>
      <c r="AE154" s="131">
        <f>'Sta. Meteorologi pnk'!C167</f>
        <v>19.7</v>
      </c>
      <c r="AF154" s="131">
        <f>'Sta. Meteorologi pnk'!D167</f>
        <v>0.5</v>
      </c>
      <c r="AG154" s="131">
        <f>'Sta. Meteorologi pnk'!E167</f>
        <v>0</v>
      </c>
      <c r="AH154" s="131">
        <f>'Sta. Meteorologi pnk'!F167</f>
        <v>0</v>
      </c>
      <c r="AI154" s="131">
        <f>'Sta. Meteorologi pnk'!G167</f>
        <v>9.4</v>
      </c>
      <c r="AJ154" s="131">
        <f>'Sta. Meteorologi pnk'!H167</f>
        <v>57.2</v>
      </c>
      <c r="AK154" s="131">
        <f>'Sta. Meteorologi pnk'!I167</f>
        <v>0</v>
      </c>
      <c r="AL154" s="131">
        <f>'Sta. Meteorologi pnk'!J167</f>
        <v>0</v>
      </c>
      <c r="AM154" s="131">
        <f>'Sta. Meteorologi pnk'!K167</f>
        <v>2.5</v>
      </c>
      <c r="AN154" s="131">
        <f>'Sta. Meteorologi pnk'!L167</f>
        <v>9.6</v>
      </c>
      <c r="AO154" s="131">
        <f>'Sta. Meteorologi pnk'!M167</f>
        <v>14</v>
      </c>
      <c r="AQ154" s="130">
        <v>25</v>
      </c>
      <c r="AR154" s="131">
        <f t="shared" si="93"/>
        <v>0</v>
      </c>
      <c r="AS154" s="131">
        <f t="shared" si="93"/>
        <v>23.358999880989732</v>
      </c>
      <c r="AT154" s="131">
        <f t="shared" si="93"/>
        <v>0.33809735039868438</v>
      </c>
      <c r="AU154" s="131">
        <f t="shared" si="95"/>
        <v>0</v>
      </c>
      <c r="AV154" s="131">
        <f t="shared" si="95"/>
        <v>0.64761059840526247</v>
      </c>
      <c r="AW154" s="131">
        <f t="shared" si="95"/>
        <v>6.3562301874952656</v>
      </c>
      <c r="AX154" s="131">
        <f t="shared" si="95"/>
        <v>52.278159452120001</v>
      </c>
      <c r="AY154" s="131">
        <f t="shared" si="95"/>
        <v>0</v>
      </c>
      <c r="AZ154" s="131">
        <f t="shared" si="95"/>
        <v>0</v>
      </c>
      <c r="BA154" s="131">
        <f t="shared" si="95"/>
        <v>1.6904867519934219</v>
      </c>
      <c r="BB154" s="131">
        <f t="shared" si="95"/>
        <v>6.4914691276547396</v>
      </c>
      <c r="BC154" s="131">
        <f t="shared" si="95"/>
        <v>11.085752307176319</v>
      </c>
      <c r="BE154" s="130">
        <v>25</v>
      </c>
      <c r="BF154" s="131">
        <f t="shared" si="94"/>
        <v>0</v>
      </c>
      <c r="BG154" s="131">
        <f t="shared" si="94"/>
        <v>23.85092785391857</v>
      </c>
      <c r="BH154" s="131">
        <f t="shared" si="94"/>
        <v>0.31633062593280648</v>
      </c>
      <c r="BI154" s="131">
        <f t="shared" si="96"/>
        <v>0</v>
      </c>
      <c r="BJ154" s="131">
        <f t="shared" si="96"/>
        <v>0.73467749626877399</v>
      </c>
      <c r="BK154" s="131">
        <f t="shared" si="96"/>
        <v>5.9470157675367616</v>
      </c>
      <c r="BL154" s="131">
        <f t="shared" si="96"/>
        <v>51.616451028357311</v>
      </c>
      <c r="BM154" s="131">
        <f t="shared" si="96"/>
        <v>0</v>
      </c>
      <c r="BN154" s="131">
        <f t="shared" si="96"/>
        <v>0</v>
      </c>
      <c r="BO154" s="131">
        <f t="shared" si="96"/>
        <v>1.5816531296640326</v>
      </c>
      <c r="BP154" s="131">
        <f t="shared" si="96"/>
        <v>6.073548017909884</v>
      </c>
      <c r="BQ154" s="131">
        <f t="shared" si="96"/>
        <v>10.693951266790517</v>
      </c>
    </row>
    <row r="155" spans="1:69">
      <c r="A155" s="130">
        <v>26</v>
      </c>
      <c r="B155" s="131">
        <f>IF('Data 2'!B155&lt;0.1,0,'Data 2'!B155)</f>
        <v>0</v>
      </c>
      <c r="C155" s="131">
        <f>IF('Data 2'!C155&lt;0.1,0,'Data 2'!C155)</f>
        <v>0</v>
      </c>
      <c r="D155" s="131">
        <f>IF('Data 2'!D155&lt;0.1,0,'Data 2'!D155)</f>
        <v>0</v>
      </c>
      <c r="E155" s="131">
        <f>IF('Data 2'!E155&lt;0.1,0,'Data 2'!E155)</f>
        <v>18.574806511006472</v>
      </c>
      <c r="F155" s="131">
        <f>IF('Data 2'!F155&lt;0.1,0,'Data 2'!F155)</f>
        <v>17.515467713815521</v>
      </c>
      <c r="G155" s="131">
        <f>IF('Data 2'!G155&lt;0.1,0,'Data 2'!G155)</f>
        <v>26.878790347546968</v>
      </c>
      <c r="H155" s="131">
        <f>IF('Data 2'!H155&lt;0.1,0,'Data 2'!H155)</f>
        <v>17.410838642399749</v>
      </c>
      <c r="I155" s="131">
        <f>IF('Data 2'!I155&lt;0.1,0,'Data 2'!I155)</f>
        <v>3.3614032229156141</v>
      </c>
      <c r="J155" s="131">
        <f>IF('Data 2'!J155&lt;0.1,0,'Data 2'!J155)</f>
        <v>0</v>
      </c>
      <c r="K155" s="131">
        <f>IF('Data 2'!K155&lt;0.1,0,'Data 2'!K155)</f>
        <v>1.4784677301093312</v>
      </c>
      <c r="L155" s="131">
        <f>IF('Data 2'!L155&lt;0.1,0,'Data 2'!L155)</f>
        <v>0</v>
      </c>
      <c r="M155" s="131">
        <f>IF('Data 2'!M155&lt;0.1,0,'Data 2'!M155)</f>
        <v>35.716741889756079</v>
      </c>
      <c r="O155" s="130">
        <v>26</v>
      </c>
      <c r="P155" s="131">
        <f>'Stasiun Pontianak Kota'!Q209</f>
        <v>0</v>
      </c>
      <c r="Q155" s="131">
        <f>'Stasiun Pontianak Kota'!R209</f>
        <v>0</v>
      </c>
      <c r="R155" s="131">
        <f>'Stasiun Pontianak Kota'!S209</f>
        <v>0</v>
      </c>
      <c r="S155" s="131">
        <f>'Stasiun Pontianak Kota'!T209</f>
        <v>26</v>
      </c>
      <c r="T155" s="131">
        <f>'Stasiun Pontianak Kota'!U209</f>
        <v>14</v>
      </c>
      <c r="U155" s="131">
        <f>'Stasiun Pontianak Kota'!V209</f>
        <v>30</v>
      </c>
      <c r="V155" s="131">
        <f>'Stasiun Pontianak Kota'!W209</f>
        <v>9</v>
      </c>
      <c r="W155" s="131">
        <f>'Stasiun Pontianak Kota'!X209</f>
        <v>3</v>
      </c>
      <c r="X155" s="131">
        <f>'Stasiun Pontianak Kota'!Y209</f>
        <v>0</v>
      </c>
      <c r="Y155" s="131">
        <f>'Stasiun Pontianak Kota'!Z209</f>
        <v>0</v>
      </c>
      <c r="Z155" s="131">
        <f>'Stasiun Pontianak Kota'!AA209</f>
        <v>0</v>
      </c>
      <c r="AA155" s="131">
        <f>'Stasiun Pontianak Kota'!AB209</f>
        <v>30</v>
      </c>
      <c r="AC155" s="130">
        <v>26</v>
      </c>
      <c r="AD155" s="131">
        <f>'Sta. Meteorologi pnk'!B168</f>
        <v>0</v>
      </c>
      <c r="AE155" s="131">
        <f>'Sta. Meteorologi pnk'!C168</f>
        <v>0</v>
      </c>
      <c r="AF155" s="131">
        <f>'Sta. Meteorologi pnk'!D168</f>
        <v>0</v>
      </c>
      <c r="AG155" s="131">
        <f>'Sta. Meteorologi pnk'!E168</f>
        <v>3.4</v>
      </c>
      <c r="AH155" s="131">
        <f>'Sta. Meteorologi pnk'!F168</f>
        <v>24.7</v>
      </c>
      <c r="AI155" s="131">
        <f>'Sta. Meteorologi pnk'!G168</f>
        <v>20.5</v>
      </c>
      <c r="AJ155" s="131">
        <f>'Sta. Meteorologi pnk'!H168</f>
        <v>34.6</v>
      </c>
      <c r="AK155" s="131">
        <f>'Sta. Meteorologi pnk'!I168</f>
        <v>4.0999999999999996</v>
      </c>
      <c r="AL155" s="131">
        <f>'Sta. Meteorologi pnk'!J168</f>
        <v>0</v>
      </c>
      <c r="AM155" s="131">
        <f>'Sta. Meteorologi pnk'!K168</f>
        <v>4.5</v>
      </c>
      <c r="AN155" s="131">
        <f>'Sta. Meteorologi pnk'!L168</f>
        <v>0</v>
      </c>
      <c r="AO155" s="131">
        <f>'Sta. Meteorologi pnk'!M168</f>
        <v>47.4</v>
      </c>
      <c r="AQ155" s="130">
        <v>26</v>
      </c>
      <c r="AR155" s="131">
        <f t="shared" si="93"/>
        <v>0</v>
      </c>
      <c r="AS155" s="131">
        <f t="shared" si="93"/>
        <v>0</v>
      </c>
      <c r="AT155" s="131">
        <f t="shared" si="93"/>
        <v>0</v>
      </c>
      <c r="AU155" s="131">
        <f t="shared" si="95"/>
        <v>10.717999761979465</v>
      </c>
      <c r="AV155" s="131">
        <f t="shared" si="95"/>
        <v>21.235283298531847</v>
      </c>
      <c r="AW155" s="131">
        <f t="shared" si="95"/>
        <v>23.576150342424995</v>
      </c>
      <c r="AX155" s="131">
        <f t="shared" si="95"/>
        <v>26.310584340412639</v>
      </c>
      <c r="AY155" s="131">
        <f t="shared" si="95"/>
        <v>3.7438141708771049</v>
      </c>
      <c r="AZ155" s="131">
        <f t="shared" si="95"/>
        <v>0</v>
      </c>
      <c r="BA155" s="131">
        <f t="shared" si="95"/>
        <v>3.0428761535881592</v>
      </c>
      <c r="BB155" s="131">
        <f t="shared" si="95"/>
        <v>0</v>
      </c>
      <c r="BC155" s="131">
        <f t="shared" si="95"/>
        <v>41.76578779387421</v>
      </c>
      <c r="BE155" s="130">
        <v>26</v>
      </c>
      <c r="BF155" s="131">
        <f t="shared" si="94"/>
        <v>0</v>
      </c>
      <c r="BG155" s="131">
        <f t="shared" si="94"/>
        <v>0</v>
      </c>
      <c r="BH155" s="131">
        <f t="shared" si="94"/>
        <v>0</v>
      </c>
      <c r="BI155" s="131">
        <f t="shared" si="96"/>
        <v>11.701855707837145</v>
      </c>
      <c r="BJ155" s="131">
        <f t="shared" si="96"/>
        <v>20.769475394962058</v>
      </c>
      <c r="BK155" s="131">
        <f t="shared" si="96"/>
        <v>23.989718107276673</v>
      </c>
      <c r="BL155" s="131">
        <f t="shared" si="96"/>
        <v>25.196128047759693</v>
      </c>
      <c r="BM155" s="131">
        <f t="shared" si="96"/>
        <v>3.6959273770521737</v>
      </c>
      <c r="BN155" s="131">
        <f t="shared" si="96"/>
        <v>0</v>
      </c>
      <c r="BO155" s="131">
        <f t="shared" si="96"/>
        <v>2.8469756333952585</v>
      </c>
      <c r="BP155" s="131">
        <f t="shared" si="96"/>
        <v>0</v>
      </c>
      <c r="BQ155" s="131">
        <f t="shared" si="96"/>
        <v>41.008305782461662</v>
      </c>
    </row>
    <row r="156" spans="1:69">
      <c r="A156" s="130">
        <v>27</v>
      </c>
      <c r="B156" s="131">
        <f>IF('Data 2'!B156&lt;0.1,0,'Data 2'!B156)</f>
        <v>0</v>
      </c>
      <c r="C156" s="131">
        <f>IF('Data 2'!C156&lt;0.1,0,'Data 2'!C156)</f>
        <v>1.1971290306812441</v>
      </c>
      <c r="D156" s="131">
        <f>IF('Data 2'!D156&lt;0.1,0,'Data 2'!D156)</f>
        <v>13.086129079562674</v>
      </c>
      <c r="E156" s="131">
        <f>IF('Data 2'!E156&lt;0.1,0,'Data 2'!E156)</f>
        <v>6.4127580532155832</v>
      </c>
      <c r="F156" s="131">
        <f>IF('Data 2'!F156&lt;0.1,0,'Data 2'!F156)</f>
        <v>23.763645251169081</v>
      </c>
      <c r="G156" s="131">
        <f>IF('Data 2'!G156&lt;0.1,0,'Data 2'!G156)</f>
        <v>0</v>
      </c>
      <c r="H156" s="131">
        <f>IF('Data 2'!H156&lt;0.1,0,'Data 2'!H156)</f>
        <v>0</v>
      </c>
      <c r="I156" s="131">
        <f>IF('Data 2'!I156&lt;0.1,0,'Data 2'!I156)</f>
        <v>1.8357258077656298</v>
      </c>
      <c r="J156" s="131">
        <f>IF('Data 2'!J156&lt;0.1,0,'Data 2'!J156)</f>
        <v>3.3757580695093932</v>
      </c>
      <c r="K156" s="131">
        <f>IF('Data 2'!K156&lt;0.1,0,'Data 2'!K156)</f>
        <v>3.4229677545500463</v>
      </c>
      <c r="L156" s="131">
        <f>IF('Data 2'!L156&lt;0.1,0,'Data 2'!L156)</f>
        <v>12.043064539781337</v>
      </c>
      <c r="M156" s="131">
        <f>IF('Data 2'!M156&lt;0.1,0,'Data 2'!M156)</f>
        <v>9.6816613168657213</v>
      </c>
      <c r="O156" s="130">
        <v>27</v>
      </c>
      <c r="P156" s="131">
        <f>'Stasiun Pontianak Kota'!Q210</f>
        <v>0</v>
      </c>
      <c r="Q156" s="131">
        <f>'Stasiun Pontianak Kota'!R210</f>
        <v>1</v>
      </c>
      <c r="R156" s="131">
        <f>'Stasiun Pontianak Kota'!S210</f>
        <v>19</v>
      </c>
      <c r="S156" s="131">
        <f>'Stasiun Pontianak Kota'!T210</f>
        <v>5</v>
      </c>
      <c r="T156" s="131">
        <f>'Stasiun Pontianak Kota'!U210</f>
        <v>35</v>
      </c>
      <c r="U156" s="131">
        <f>'Stasiun Pontianak Kota'!V210</f>
        <v>0</v>
      </c>
      <c r="V156" s="131">
        <f>'Stasiun Pontianak Kota'!W210</f>
        <v>0</v>
      </c>
      <c r="W156" s="131">
        <f>'Stasiun Pontianak Kota'!X210</f>
        <v>2</v>
      </c>
      <c r="X156" s="131">
        <f>'Stasiun Pontianak Kota'!Y210</f>
        <v>4</v>
      </c>
      <c r="Y156" s="131">
        <f>'Stasiun Pontianak Kota'!Z210</f>
        <v>5</v>
      </c>
      <c r="Z156" s="131">
        <f>'Stasiun Pontianak Kota'!AA210</f>
        <v>15</v>
      </c>
      <c r="AA156" s="131">
        <f>'Stasiun Pontianak Kota'!AB210</f>
        <v>13</v>
      </c>
      <c r="AC156" s="130">
        <v>27</v>
      </c>
      <c r="AD156" s="131">
        <f>'Sta. Meteorologi pnk'!B169</f>
        <v>0</v>
      </c>
      <c r="AE156" s="131">
        <f>'Sta. Meteorologi pnk'!C169</f>
        <v>1.6</v>
      </c>
      <c r="AF156" s="131">
        <f>'Sta. Meteorologi pnk'!D169</f>
        <v>1</v>
      </c>
      <c r="AG156" s="131">
        <f>'Sta. Meteorologi pnk'!E169</f>
        <v>9.3000000000000007</v>
      </c>
      <c r="AH156" s="131">
        <f>'Sta. Meteorologi pnk'!F169</f>
        <v>0.8</v>
      </c>
      <c r="AI156" s="131">
        <f>'Sta. Meteorologi pnk'!G169</f>
        <v>0</v>
      </c>
      <c r="AJ156" s="131">
        <f>'Sta. Meteorologi pnk'!H169</f>
        <v>0</v>
      </c>
      <c r="AK156" s="131">
        <f>'Sta. Meteorologi pnk'!I169</f>
        <v>1.5</v>
      </c>
      <c r="AL156" s="131">
        <f>'Sta. Meteorologi pnk'!J169</f>
        <v>2.1</v>
      </c>
      <c r="AM156" s="131">
        <f>'Sta. Meteorologi pnk'!K169</f>
        <v>0.2</v>
      </c>
      <c r="AN156" s="131">
        <f>'Sta. Meteorologi pnk'!L169</f>
        <v>6</v>
      </c>
      <c r="AO156" s="131">
        <f>'Sta. Meteorologi pnk'!M169</f>
        <v>2.9</v>
      </c>
      <c r="AQ156" s="130">
        <v>27</v>
      </c>
      <c r="AR156" s="131">
        <f t="shared" si="93"/>
        <v>0</v>
      </c>
      <c r="AS156" s="131">
        <f t="shared" si="93"/>
        <v>1.4057168204784212</v>
      </c>
      <c r="AT156" s="131">
        <f t="shared" si="93"/>
        <v>6.8284953856473614</v>
      </c>
      <c r="AU156" s="131">
        <f t="shared" si="95"/>
        <v>7.9076372134286848</v>
      </c>
      <c r="AV156" s="131">
        <f t="shared" si="95"/>
        <v>11.874141232729986</v>
      </c>
      <c r="AW156" s="131">
        <f t="shared" si="95"/>
        <v>0</v>
      </c>
      <c r="AX156" s="131">
        <f t="shared" si="95"/>
        <v>0</v>
      </c>
      <c r="AY156" s="131">
        <f t="shared" si="95"/>
        <v>1.6619026496013156</v>
      </c>
      <c r="AZ156" s="131">
        <f t="shared" si="95"/>
        <v>2.7152300684849995</v>
      </c>
      <c r="BA156" s="131">
        <f t="shared" si="95"/>
        <v>1.7542654361726295</v>
      </c>
      <c r="BB156" s="131">
        <f t="shared" si="95"/>
        <v>8.9142476928236807</v>
      </c>
      <c r="BC156" s="131">
        <f t="shared" si="95"/>
        <v>6.1704335219465749</v>
      </c>
      <c r="BE156" s="130">
        <v>27</v>
      </c>
      <c r="BF156" s="131">
        <f t="shared" si="94"/>
        <v>0</v>
      </c>
      <c r="BG156" s="131">
        <f t="shared" si="94"/>
        <v>1.3795967511193679</v>
      </c>
      <c r="BH156" s="131">
        <f t="shared" si="94"/>
        <v>7.612097466418966</v>
      </c>
      <c r="BI156" s="131">
        <f t="shared" si="96"/>
        <v>7.7204433830221362</v>
      </c>
      <c r="BJ156" s="131">
        <f t="shared" si="96"/>
        <v>13.362985186196033</v>
      </c>
      <c r="BK156" s="131">
        <f t="shared" si="96"/>
        <v>0</v>
      </c>
      <c r="BL156" s="131">
        <f t="shared" si="96"/>
        <v>0</v>
      </c>
      <c r="BM156" s="131">
        <f t="shared" si="96"/>
        <v>1.6836693740671935</v>
      </c>
      <c r="BN156" s="131">
        <f t="shared" si="96"/>
        <v>2.7979436214553357</v>
      </c>
      <c r="BO156" s="131">
        <f t="shared" si="96"/>
        <v>1.9632259910450574</v>
      </c>
      <c r="BP156" s="131">
        <f t="shared" si="96"/>
        <v>9.3060487332094848</v>
      </c>
      <c r="BQ156" s="131">
        <f t="shared" si="96"/>
        <v>6.6101213561573084</v>
      </c>
    </row>
    <row r="157" spans="1:69">
      <c r="A157" s="130">
        <v>28</v>
      </c>
      <c r="B157" s="131">
        <f>IF('Data 2'!B157&lt;0.1,0,'Data 2'!B157)</f>
        <v>27.926612679842922</v>
      </c>
      <c r="C157" s="131">
        <f>IF('Data 2'!C157&lt;0.1,0,'Data 2'!C157)</f>
        <v>1.4086129079562673</v>
      </c>
      <c r="D157" s="131">
        <f>IF('Data 2'!D157&lt;0.1,0,'Data 2'!D157)</f>
        <v>0.32854838446874024</v>
      </c>
      <c r="E157" s="131">
        <f>IF('Data 2'!E157&lt;0.1,0,'Data 2'!E157)</f>
        <v>0.32854838446874024</v>
      </c>
      <c r="F157" s="131">
        <f>IF('Data 2'!F157&lt;0.1,0,'Data 2'!F157)</f>
        <v>20.337144998615024</v>
      </c>
      <c r="G157" s="131">
        <f>IF('Data 2'!G157&lt;0.1,0,'Data 2'!G157)</f>
        <v>0.32854838446874024</v>
      </c>
      <c r="H157" s="131">
        <f>IF('Data 2'!H157&lt;0.1,0,'Data 2'!H157)</f>
        <v>0</v>
      </c>
      <c r="I157" s="131">
        <f>IF('Data 2'!I157&lt;0.1,0,'Data 2'!I157)</f>
        <v>0</v>
      </c>
      <c r="J157" s="131">
        <f>IF('Data 2'!J157&lt;0.1,0,'Data 2'!J157)</f>
        <v>0</v>
      </c>
      <c r="K157" s="131">
        <f>IF('Data 2'!K157&lt;0.1,0,'Data 2'!K157)</f>
        <v>32.265064442018478</v>
      </c>
      <c r="L157" s="131">
        <f>IF('Data 2'!L157&lt;0.1,0,'Data 2'!L157)</f>
        <v>58.301451778469357</v>
      </c>
      <c r="M157" s="131">
        <f>IF('Data 2'!M157&lt;0.1,0,'Data 2'!M157)</f>
        <v>19.328548384468739</v>
      </c>
      <c r="O157" s="130">
        <v>28</v>
      </c>
      <c r="P157" s="131">
        <f>'Stasiun Pontianak Kota'!Q211</f>
        <v>0</v>
      </c>
      <c r="Q157" s="131">
        <f>'Stasiun Pontianak Kota'!R211</f>
        <v>2</v>
      </c>
      <c r="R157" s="131">
        <f>'Stasiun Pontianak Kota'!S211</f>
        <v>0</v>
      </c>
      <c r="S157" s="131">
        <f>'Stasiun Pontianak Kota'!T211</f>
        <v>0</v>
      </c>
      <c r="T157" s="131">
        <f>'Stasiun Pontianak Kota'!U211</f>
        <v>0</v>
      </c>
      <c r="U157" s="131">
        <f>'Stasiun Pontianak Kota'!V211</f>
        <v>0</v>
      </c>
      <c r="V157" s="131">
        <f>'Stasiun Pontianak Kota'!W211</f>
        <v>0</v>
      </c>
      <c r="W157" s="131">
        <f>'Stasiun Pontianak Kota'!X211</f>
        <v>0</v>
      </c>
      <c r="X157" s="131">
        <f>'Stasiun Pontianak Kota'!Y211</f>
        <v>0</v>
      </c>
      <c r="Y157" s="131">
        <f>'Stasiun Pontianak Kota'!Z211</f>
        <v>23</v>
      </c>
      <c r="Z157" s="131">
        <f>'Stasiun Pontianak Kota'!AA211</f>
        <v>79</v>
      </c>
      <c r="AA157" s="131">
        <f>'Stasiun Pontianak Kota'!AB211</f>
        <v>19</v>
      </c>
      <c r="AC157" s="130">
        <v>28</v>
      </c>
      <c r="AD157" s="131">
        <f>'Sta. Meteorologi pnk'!B170</f>
        <v>85</v>
      </c>
      <c r="AE157" s="131">
        <f>'Sta. Meteorologi pnk'!C170</f>
        <v>0.2</v>
      </c>
      <c r="AF157" s="131">
        <f>'Sta. Meteorologi pnk'!D170</f>
        <v>1</v>
      </c>
      <c r="AG157" s="131">
        <f>'Sta. Meteorologi pnk'!E170</f>
        <v>1</v>
      </c>
      <c r="AH157" s="131">
        <f>'Sta. Meteorologi pnk'!F170</f>
        <v>61.9</v>
      </c>
      <c r="AI157" s="131">
        <f>'Sta. Meteorologi pnk'!G170</f>
        <v>1</v>
      </c>
      <c r="AJ157" s="131">
        <f>'Sta. Meteorologi pnk'!H170</f>
        <v>0</v>
      </c>
      <c r="AK157" s="131">
        <f>'Sta. Meteorologi pnk'!I170</f>
        <v>0.1</v>
      </c>
      <c r="AL157" s="131">
        <f>'Sta. Meteorologi pnk'!J170</f>
        <v>0</v>
      </c>
      <c r="AM157" s="131">
        <f>'Sta. Meteorologi pnk'!K170</f>
        <v>51.2</v>
      </c>
      <c r="AN157" s="131">
        <f>'Sta. Meteorologi pnk'!L170</f>
        <v>16</v>
      </c>
      <c r="AO157" s="131">
        <f>'Sta. Meteorologi pnk'!M170</f>
        <v>20</v>
      </c>
      <c r="AQ157" s="130">
        <v>28</v>
      </c>
      <c r="AR157" s="131">
        <f t="shared" si="93"/>
        <v>57.476549567776338</v>
      </c>
      <c r="AS157" s="131">
        <f t="shared" si="93"/>
        <v>0.78284953856473616</v>
      </c>
      <c r="AT157" s="131">
        <f t="shared" si="93"/>
        <v>0.67619470079736876</v>
      </c>
      <c r="AU157" s="131">
        <f t="shared" si="95"/>
        <v>0.67619470079736876</v>
      </c>
      <c r="AV157" s="131">
        <f t="shared" si="95"/>
        <v>41.856451979357125</v>
      </c>
      <c r="AW157" s="131">
        <f t="shared" si="95"/>
        <v>0.67619470079736876</v>
      </c>
      <c r="AX157" s="131">
        <f t="shared" si="95"/>
        <v>0</v>
      </c>
      <c r="AY157" s="131">
        <f t="shared" si="95"/>
        <v>6.7619470079736871E-2</v>
      </c>
      <c r="AZ157" s="131">
        <f t="shared" si="95"/>
        <v>0</v>
      </c>
      <c r="BA157" s="131">
        <f t="shared" si="95"/>
        <v>42.068690562485799</v>
      </c>
      <c r="BB157" s="131">
        <f t="shared" si="95"/>
        <v>36.399733849765767</v>
      </c>
      <c r="BC157" s="131">
        <f t="shared" si="95"/>
        <v>19.676194700797367</v>
      </c>
      <c r="BE157" s="130">
        <v>28</v>
      </c>
      <c r="BF157" s="131">
        <f t="shared" si="94"/>
        <v>53.776206408577096</v>
      </c>
      <c r="BG157" s="131">
        <f t="shared" si="94"/>
        <v>0.86120974664189653</v>
      </c>
      <c r="BH157" s="131">
        <f t="shared" si="94"/>
        <v>0.63266125186561295</v>
      </c>
      <c r="BI157" s="131">
        <f t="shared" si="96"/>
        <v>0.63266125186561295</v>
      </c>
      <c r="BJ157" s="131">
        <f t="shared" si="96"/>
        <v>39.161731490481444</v>
      </c>
      <c r="BK157" s="131">
        <f t="shared" si="96"/>
        <v>0.63266125186561295</v>
      </c>
      <c r="BL157" s="131">
        <f t="shared" si="96"/>
        <v>0</v>
      </c>
      <c r="BM157" s="131">
        <f t="shared" si="96"/>
        <v>5.9151931063083127E-2</v>
      </c>
      <c r="BN157" s="131">
        <f t="shared" si="96"/>
        <v>0</v>
      </c>
      <c r="BO157" s="131">
        <f t="shared" si="96"/>
        <v>40.841047302610292</v>
      </c>
      <c r="BP157" s="131">
        <f t="shared" si="96"/>
        <v>39.142341132466385</v>
      </c>
      <c r="BQ157" s="131">
        <f t="shared" si="96"/>
        <v>19.632661251865613</v>
      </c>
    </row>
    <row r="158" spans="1:69">
      <c r="A158" s="130">
        <v>29</v>
      </c>
      <c r="B158" s="131">
        <f>IF('Data 2'!B158&lt;0.1,0,'Data 2'!B158)</f>
        <v>0.32854838446874024</v>
      </c>
      <c r="C158" s="131">
        <f>IF('Data 2'!C158&lt;0.1,0,'Data 2'!C158)</f>
        <v>20.535887116484446</v>
      </c>
      <c r="D158" s="131">
        <f>IF('Data 2'!D158&lt;0.1,0,'Data 2'!D158)</f>
        <v>17.457742003812751</v>
      </c>
      <c r="E158" s="131">
        <f>IF('Data 2'!E158&lt;0.1,0,'Data 2'!E158)</f>
        <v>0</v>
      </c>
      <c r="F158" s="131">
        <f>IF('Data 2'!F158&lt;0.1,0,'Data 2'!F158)</f>
        <v>2.981500008146905</v>
      </c>
      <c r="G158" s="131">
        <f>IF('Data 2'!G158&lt;0.1,0,'Data 2'!G158)</f>
        <v>0</v>
      </c>
      <c r="H158" s="131">
        <f>IF('Data 2'!H158&lt;0.1,0,'Data 2'!H158)</f>
        <v>0.91993547651247276</v>
      </c>
      <c r="I158" s="131">
        <f>IF('Data 2'!I158&lt;0.1,0,'Data 2'!I158)</f>
        <v>0</v>
      </c>
      <c r="J158" s="131">
        <f>IF('Data 2'!J158&lt;0.1,0,'Data 2'!J158)</f>
        <v>0</v>
      </c>
      <c r="K158" s="131">
        <f>IF('Data 2'!K158&lt;0.1,0,'Data 2'!K158)</f>
        <v>0.32854838446874024</v>
      </c>
      <c r="L158" s="131">
        <f>IF('Data 2'!L158&lt;0.1,0,'Data 2'!L158)</f>
        <v>19.47209685040653</v>
      </c>
      <c r="M158" s="131">
        <f>IF('Data 2'!M158&lt;0.1,0,'Data 2'!M158)</f>
        <v>4.2711289980936229</v>
      </c>
      <c r="O158" s="130">
        <v>29</v>
      </c>
      <c r="P158" s="131">
        <f>'Stasiun Pontianak Kota'!Q212</f>
        <v>0</v>
      </c>
      <c r="Q158" s="131">
        <f>'Stasiun Pontianak Kota'!R212</f>
        <v>23</v>
      </c>
      <c r="R158" s="131">
        <f>'Stasiun Pontianak Kota'!S212</f>
        <v>26</v>
      </c>
      <c r="S158" s="131">
        <f>'Stasiun Pontianak Kota'!T212</f>
        <v>0</v>
      </c>
      <c r="T158" s="131">
        <f>'Stasiun Pontianak Kota'!U212</f>
        <v>4</v>
      </c>
      <c r="U158" s="131">
        <f>'Stasiun Pontianak Kota'!V212</f>
        <v>0</v>
      </c>
      <c r="V158" s="131">
        <f>'Stasiun Pontianak Kota'!W212</f>
        <v>0</v>
      </c>
      <c r="W158" s="131">
        <f>'Stasiun Pontianak Kota'!X212</f>
        <v>0</v>
      </c>
      <c r="X158" s="131">
        <f>'Stasiun Pontianak Kota'!Y212</f>
        <v>0</v>
      </c>
      <c r="Y158" s="131">
        <f>'Stasiun Pontianak Kota'!Z212</f>
        <v>0</v>
      </c>
      <c r="Z158" s="131">
        <f>'Stasiun Pontianak Kota'!AA212</f>
        <v>29</v>
      </c>
      <c r="AA158" s="131">
        <f>'Stasiun Pontianak Kota'!AB212</f>
        <v>0</v>
      </c>
      <c r="AC158" s="130">
        <v>29</v>
      </c>
      <c r="AD158" s="131">
        <f>'Sta. Meteorologi pnk'!B171</f>
        <v>1</v>
      </c>
      <c r="AE158" s="131">
        <f>'Sta. Meteorologi pnk'!C171</f>
        <v>15.5</v>
      </c>
      <c r="AF158" s="131">
        <f>'Sta. Meteorologi pnk'!D171</f>
        <v>0</v>
      </c>
      <c r="AG158" s="131">
        <f>'Sta. Meteorologi pnk'!E171</f>
        <v>0</v>
      </c>
      <c r="AH158" s="131">
        <f>'Sta. Meteorologi pnk'!F171</f>
        <v>0.9</v>
      </c>
      <c r="AI158" s="131">
        <f>'Sta. Meteorologi pnk'!G171</f>
        <v>0</v>
      </c>
      <c r="AJ158" s="131">
        <f>'Sta. Meteorologi pnk'!H171</f>
        <v>2.8</v>
      </c>
      <c r="AK158" s="131">
        <f>'Sta. Meteorologi pnk'!I171</f>
        <v>0</v>
      </c>
      <c r="AL158" s="131">
        <f>'Sta. Meteorologi pnk'!J171</f>
        <v>0</v>
      </c>
      <c r="AM158" s="131">
        <f>'Sta. Meteorologi pnk'!K171</f>
        <v>1</v>
      </c>
      <c r="AN158" s="131">
        <f>'Sta. Meteorologi pnk'!L171</f>
        <v>0</v>
      </c>
      <c r="AO158" s="131">
        <f>'Sta. Meteorologi pnk'!M171</f>
        <v>13</v>
      </c>
      <c r="AQ158" s="130">
        <v>29</v>
      </c>
      <c r="AR158" s="131">
        <f t="shared" si="93"/>
        <v>0.67619470079736876</v>
      </c>
      <c r="AS158" s="131">
        <f t="shared" si="93"/>
        <v>17.928539744019734</v>
      </c>
      <c r="AT158" s="131">
        <f t="shared" si="93"/>
        <v>8.4189377792684112</v>
      </c>
      <c r="AU158" s="131">
        <f t="shared" si="95"/>
        <v>0</v>
      </c>
      <c r="AV158" s="131">
        <f t="shared" si="95"/>
        <v>1.9037964275281565</v>
      </c>
      <c r="AW158" s="131">
        <f t="shared" si="95"/>
        <v>0</v>
      </c>
      <c r="AX158" s="131">
        <f t="shared" si="95"/>
        <v>1.8933451622326323</v>
      </c>
      <c r="AY158" s="131">
        <f t="shared" si="95"/>
        <v>0</v>
      </c>
      <c r="AZ158" s="131">
        <f t="shared" si="95"/>
        <v>0</v>
      </c>
      <c r="BA158" s="131">
        <f t="shared" si="95"/>
        <v>0.67619470079736876</v>
      </c>
      <c r="BB158" s="131">
        <f t="shared" si="95"/>
        <v>9.3903536768763036</v>
      </c>
      <c r="BC158" s="131">
        <f t="shared" si="95"/>
        <v>8.7905311103657926</v>
      </c>
      <c r="BE158" s="130">
        <v>29</v>
      </c>
      <c r="BF158" s="131">
        <f t="shared" si="94"/>
        <v>0.63266125186561295</v>
      </c>
      <c r="BG158" s="131">
        <f t="shared" si="94"/>
        <v>18.255040611007903</v>
      </c>
      <c r="BH158" s="131">
        <f t="shared" si="94"/>
        <v>9.5508074514940624</v>
      </c>
      <c r="BI158" s="131">
        <f t="shared" si="96"/>
        <v>0</v>
      </c>
      <c r="BJ158" s="131">
        <f t="shared" si="96"/>
        <v>2.0387501192165995</v>
      </c>
      <c r="BK158" s="131">
        <f t="shared" si="96"/>
        <v>0</v>
      </c>
      <c r="BL158" s="131">
        <f t="shared" si="96"/>
        <v>1.7714515052237163</v>
      </c>
      <c r="BM158" s="131">
        <f t="shared" si="96"/>
        <v>0</v>
      </c>
      <c r="BN158" s="131">
        <f t="shared" si="96"/>
        <v>0</v>
      </c>
      <c r="BO158" s="131">
        <f t="shared" si="96"/>
        <v>0.63266125186561295</v>
      </c>
      <c r="BP158" s="131">
        <f t="shared" si="96"/>
        <v>10.652823695897222</v>
      </c>
      <c r="BQ158" s="131">
        <f t="shared" si="96"/>
        <v>8.2245962742529688</v>
      </c>
    </row>
    <row r="159" spans="1:69">
      <c r="A159" s="130">
        <v>30</v>
      </c>
      <c r="B159" s="131">
        <f>IF('Data 2'!B159&lt;0.1,0,'Data 2'!B159)</f>
        <v>1.0842096687468428</v>
      </c>
      <c r="C159" s="131">
        <f>IF('Data 2'!C159&lt;0.1,0,'Data 2'!C159)</f>
        <v>0</v>
      </c>
      <c r="D159" s="131">
        <f>IF('Data 2'!D159&lt;0.1,0,'Data 2'!D159)</f>
        <v>28.400322617437631</v>
      </c>
      <c r="E159" s="131">
        <f>IF('Data 2'!E159&lt;0.1,0,'Data 2'!E159)</f>
        <v>26.059645120818601</v>
      </c>
      <c r="F159" s="131">
        <f>IF('Data 2'!F159&lt;0.1,0,'Data 2'!F159)</f>
        <v>0.72280644583122866</v>
      </c>
      <c r="G159" s="131">
        <f>IF('Data 2'!G159&lt;0.1,0,'Data 2'!G159)</f>
        <v>0</v>
      </c>
      <c r="H159" s="131">
        <f>IF('Data 2'!H159&lt;0.1,0,'Data 2'!H159)</f>
        <v>8.2956935460218659</v>
      </c>
      <c r="I159" s="131">
        <f>IF('Data 2'!I159&lt;0.1,0,'Data 2'!I159)</f>
        <v>0</v>
      </c>
      <c r="J159" s="131">
        <f>IF('Data 2'!J159&lt;0.1,0,'Data 2'!J159)</f>
        <v>0</v>
      </c>
      <c r="K159" s="131">
        <f>IF('Data 2'!K159&lt;0.1,0,'Data 2'!K159)</f>
        <v>10.49282257670311</v>
      </c>
      <c r="L159" s="131">
        <f>IF('Data 2'!L159&lt;0.1,0,'Data 2'!L159)</f>
        <v>34.25040327179704</v>
      </c>
      <c r="M159" s="131">
        <f>IF('Data 2'!M159&lt;0.1,0,'Data 2'!M159)</f>
        <v>0</v>
      </c>
      <c r="O159" s="130">
        <v>30</v>
      </c>
      <c r="P159" s="131">
        <f>'Stasiun Pontianak Kota'!Q213</f>
        <v>0</v>
      </c>
      <c r="Q159" s="131">
        <f>'Stasiun Pontianak Kota'!R213</f>
        <v>0</v>
      </c>
      <c r="R159" s="131">
        <f>'Stasiun Pontianak Kota'!S213</f>
        <v>33</v>
      </c>
      <c r="S159" s="131">
        <f>'Stasiun Pontianak Kota'!T213</f>
        <v>21</v>
      </c>
      <c r="T159" s="131">
        <f>'Stasiun Pontianak Kota'!U213</f>
        <v>0</v>
      </c>
      <c r="U159" s="131">
        <f>'Stasiun Pontianak Kota'!V213</f>
        <v>0</v>
      </c>
      <c r="V159" s="131">
        <f>'Stasiun Pontianak Kota'!W213</f>
        <v>8</v>
      </c>
      <c r="W159" s="131">
        <f>'Stasiun Pontianak Kota'!X213</f>
        <v>0</v>
      </c>
      <c r="X159" s="131">
        <f>'Stasiun Pontianak Kota'!Y213</f>
        <v>0</v>
      </c>
      <c r="Y159" s="131">
        <f>'Stasiun Pontianak Kota'!Z213</f>
        <v>10</v>
      </c>
      <c r="Z159" s="131">
        <f>'Stasiun Pontianak Kota'!AA213</f>
        <v>40</v>
      </c>
      <c r="AA159" s="131">
        <f>'Stasiun Pontianak Kota'!AB213</f>
        <v>0</v>
      </c>
      <c r="AC159" s="130">
        <v>30</v>
      </c>
      <c r="AD159" s="131">
        <f>'Sta. Meteorologi pnk'!B172</f>
        <v>3.3</v>
      </c>
      <c r="AE159" s="131">
        <f>'Sta. Meteorologi pnk'!C172</f>
        <v>0</v>
      </c>
      <c r="AF159" s="131">
        <f>'Sta. Meteorologi pnk'!D172</f>
        <v>19</v>
      </c>
      <c r="AG159" s="131">
        <f>'Sta. Meteorologi pnk'!E172</f>
        <v>36.4</v>
      </c>
      <c r="AH159" s="131">
        <f>'Sta. Meteorologi pnk'!F172</f>
        <v>2.2000000000000002</v>
      </c>
      <c r="AI159" s="131">
        <f>'Sta. Meteorologi pnk'!G172</f>
        <v>0</v>
      </c>
      <c r="AJ159" s="131">
        <f>'Sta. Meteorologi pnk'!H172</f>
        <v>8.9</v>
      </c>
      <c r="AK159" s="131">
        <f>'Sta. Meteorologi pnk'!I172</f>
        <v>0</v>
      </c>
      <c r="AL159" s="131">
        <f>'Sta. Meteorologi pnk'!J172</f>
        <v>0</v>
      </c>
      <c r="AM159" s="131">
        <f>'Sta. Meteorologi pnk'!K172</f>
        <v>11.5</v>
      </c>
      <c r="AN159" s="131">
        <f>'Sta. Meteorologi pnk'!L172</f>
        <v>22.5</v>
      </c>
      <c r="AO159" s="131">
        <f>'Sta. Meteorologi pnk'!M172</f>
        <v>0</v>
      </c>
      <c r="AQ159" s="130">
        <v>30</v>
      </c>
      <c r="AR159" s="131">
        <f t="shared" si="93"/>
        <v>2.2314425126313169</v>
      </c>
      <c r="AS159" s="131">
        <f t="shared" si="93"/>
        <v>0</v>
      </c>
      <c r="AT159" s="131">
        <f t="shared" si="93"/>
        <v>23.533274188836835</v>
      </c>
      <c r="AU159" s="131">
        <f t="shared" si="95"/>
        <v>31.413398392279476</v>
      </c>
      <c r="AV159" s="131">
        <f t="shared" si="95"/>
        <v>1.4876283417542113</v>
      </c>
      <c r="AW159" s="131">
        <f t="shared" si="95"/>
        <v>0</v>
      </c>
      <c r="AX159" s="131">
        <f t="shared" si="95"/>
        <v>8.6085752307176318</v>
      </c>
      <c r="AY159" s="131">
        <f t="shared" si="95"/>
        <v>0</v>
      </c>
      <c r="AZ159" s="131">
        <f t="shared" si="95"/>
        <v>0</v>
      </c>
      <c r="BA159" s="131">
        <f t="shared" si="95"/>
        <v>11.014292051196051</v>
      </c>
      <c r="BB159" s="131">
        <f t="shared" si="95"/>
        <v>28.166592736046045</v>
      </c>
      <c r="BC159" s="131">
        <f t="shared" si="95"/>
        <v>0</v>
      </c>
      <c r="BE159" s="130">
        <v>30</v>
      </c>
      <c r="BF159" s="131">
        <f t="shared" si="94"/>
        <v>2.0877821311565228</v>
      </c>
      <c r="BG159" s="131">
        <f t="shared" si="94"/>
        <v>0</v>
      </c>
      <c r="BH159" s="131">
        <f t="shared" si="94"/>
        <v>24.142742473881412</v>
      </c>
      <c r="BI159" s="131">
        <f t="shared" si="96"/>
        <v>30.742983278730438</v>
      </c>
      <c r="BJ159" s="131">
        <f t="shared" si="96"/>
        <v>1.3918547541043487</v>
      </c>
      <c r="BK159" s="131">
        <f t="shared" si="96"/>
        <v>0</v>
      </c>
      <c r="BL159" s="131">
        <f t="shared" si="96"/>
        <v>8.5693951266790513</v>
      </c>
      <c r="BM159" s="131">
        <f t="shared" si="96"/>
        <v>0</v>
      </c>
      <c r="BN159" s="131">
        <f t="shared" si="96"/>
        <v>0</v>
      </c>
      <c r="BO159" s="131">
        <f t="shared" si="96"/>
        <v>10.948991877798418</v>
      </c>
      <c r="BP159" s="131">
        <f t="shared" si="96"/>
        <v>28.928428092351773</v>
      </c>
      <c r="BQ159" s="131">
        <f t="shared" si="96"/>
        <v>0</v>
      </c>
    </row>
    <row r="160" spans="1:69" ht="15.75" thickBot="1">
      <c r="A160" s="133">
        <v>31</v>
      </c>
      <c r="B160" s="131">
        <f>IF('Data 2'!B160&lt;0.1,0,'Data 2'!B160)</f>
        <v>1.5770322454499532</v>
      </c>
      <c r="C160" s="131">
        <f>IF('Data 2'!C160&lt;0.1,0,'Data 2'!C160)</f>
        <v>0</v>
      </c>
      <c r="D160" s="131">
        <f>IF('Data 2'!D160&lt;0.1,0,'Data 2'!D160)</f>
        <v>0</v>
      </c>
      <c r="E160" s="131">
        <f>IF('Data 2'!E160&lt;0.1,0,'Data 2'!E160)</f>
        <v>0</v>
      </c>
      <c r="F160" s="131">
        <f>IF('Data 2'!F160&lt;0.1,0,'Data 2'!F160)</f>
        <v>12.50717742329689</v>
      </c>
      <c r="G160" s="131">
        <f>IF('Data 2'!G160&lt;0.1,0,'Data 2'!G160)</f>
        <v>0</v>
      </c>
      <c r="H160" s="131">
        <f>IF('Data 2'!H160&lt;0.1,0,'Data 2'!H160)</f>
        <v>3.7783064213905133</v>
      </c>
      <c r="I160" s="131">
        <f>IF('Data 2'!I160&lt;0.1,0,'Data 2'!I160)</f>
        <v>9.3307741189122222</v>
      </c>
      <c r="J160" s="131">
        <f>IF('Data 2'!J160&lt;0.1,0,'Data 2'!J160)</f>
        <v>0</v>
      </c>
      <c r="K160" s="131">
        <f>IF('Data 2'!K160&lt;0.1,0,'Data 2'!K160)</f>
        <v>0.82137096117185071</v>
      </c>
      <c r="L160" s="131">
        <f>IF('Data 2'!L160&lt;0.1,0,'Data 2'!L160)</f>
        <v>0</v>
      </c>
      <c r="M160" s="131">
        <f>IF('Data 2'!M160&lt;0.1,0,'Data 2'!M160)</f>
        <v>0</v>
      </c>
      <c r="O160" s="133">
        <v>31</v>
      </c>
      <c r="P160" s="131">
        <f>'Stasiun Pontianak Kota'!Q214</f>
        <v>0</v>
      </c>
      <c r="Q160" s="131">
        <f>'Stasiun Pontianak Kota'!R214</f>
        <v>0</v>
      </c>
      <c r="R160" s="131">
        <f>'Stasiun Pontianak Kota'!S214</f>
        <v>0</v>
      </c>
      <c r="S160" s="131">
        <f>'Stasiun Pontianak Kota'!T214</f>
        <v>0</v>
      </c>
      <c r="T160" s="131">
        <f>'Stasiun Pontianak Kota'!U214</f>
        <v>13</v>
      </c>
      <c r="U160" s="131">
        <f>'Stasiun Pontianak Kota'!V214</f>
        <v>0</v>
      </c>
      <c r="V160" s="131">
        <f>'Stasiun Pontianak Kota'!W214</f>
        <v>0</v>
      </c>
      <c r="W160" s="131">
        <f>'Stasiun Pontianak Kota'!X214</f>
        <v>0</v>
      </c>
      <c r="X160" s="131">
        <f>'Stasiun Pontianak Kota'!Y214</f>
        <v>0</v>
      </c>
      <c r="Y160" s="131">
        <f>'Stasiun Pontianak Kota'!Z214</f>
        <v>0</v>
      </c>
      <c r="Z160" s="131">
        <f>'Stasiun Pontianak Kota'!AA214</f>
        <v>0</v>
      </c>
      <c r="AA160" s="131">
        <f>'Stasiun Pontianak Kota'!AB214</f>
        <v>0</v>
      </c>
      <c r="AC160" s="133">
        <v>31</v>
      </c>
      <c r="AD160" s="131">
        <f>'Sta. Meteorologi pnk'!B173</f>
        <v>4.8</v>
      </c>
      <c r="AE160" s="131">
        <f>'Sta. Meteorologi pnk'!C173</f>
        <v>0</v>
      </c>
      <c r="AF160" s="131">
        <f>'Sta. Meteorologi pnk'!D173</f>
        <v>0</v>
      </c>
      <c r="AG160" s="131">
        <f>'Sta. Meteorologi pnk'!E173</f>
        <v>0</v>
      </c>
      <c r="AH160" s="131">
        <f>'Sta. Meteorologi pnk'!F173</f>
        <v>11.5</v>
      </c>
      <c r="AI160" s="131">
        <f>'Sta. Meteorologi pnk'!G173</f>
        <v>0</v>
      </c>
      <c r="AJ160" s="131">
        <f>'Sta. Meteorologi pnk'!H173</f>
        <v>11.5</v>
      </c>
      <c r="AK160" s="131">
        <f>'Sta. Meteorologi pnk'!I173</f>
        <v>28.4</v>
      </c>
      <c r="AL160" s="131">
        <f>'Sta. Meteorologi pnk'!J173</f>
        <v>0</v>
      </c>
      <c r="AM160" s="131">
        <f>'Sta. Meteorologi pnk'!K173</f>
        <v>2.5</v>
      </c>
      <c r="AN160" s="131">
        <f>'Sta. Meteorologi pnk'!L173</f>
        <v>0</v>
      </c>
      <c r="AO160" s="131">
        <f>'Sta. Meteorologi pnk'!M173</f>
        <v>0</v>
      </c>
      <c r="AQ160" s="133">
        <v>31</v>
      </c>
      <c r="AR160" s="131">
        <f t="shared" si="93"/>
        <v>3.2457345638273698</v>
      </c>
      <c r="AS160" s="131">
        <f t="shared" si="93"/>
        <v>0</v>
      </c>
      <c r="AT160" s="131">
        <f t="shared" si="93"/>
        <v>0</v>
      </c>
      <c r="AU160" s="131">
        <f t="shared" si="95"/>
        <v>0</v>
      </c>
      <c r="AV160" s="131">
        <f t="shared" si="95"/>
        <v>11.985707948803945</v>
      </c>
      <c r="AW160" s="131">
        <f t="shared" si="95"/>
        <v>0</v>
      </c>
      <c r="AX160" s="131">
        <f t="shared" si="95"/>
        <v>7.7762390591697397</v>
      </c>
      <c r="AY160" s="131">
        <f t="shared" si="95"/>
        <v>19.203929502645273</v>
      </c>
      <c r="AZ160" s="131">
        <f t="shared" si="95"/>
        <v>0</v>
      </c>
      <c r="BA160" s="131">
        <f t="shared" si="95"/>
        <v>1.6904867519934219</v>
      </c>
      <c r="BB160" s="131">
        <f t="shared" si="95"/>
        <v>0</v>
      </c>
      <c r="BC160" s="131">
        <f t="shared" si="95"/>
        <v>0</v>
      </c>
      <c r="BE160" s="133">
        <v>31</v>
      </c>
      <c r="BF160" s="131">
        <f t="shared" si="94"/>
        <v>3.036774008954942</v>
      </c>
      <c r="BG160" s="131">
        <f t="shared" si="94"/>
        <v>0</v>
      </c>
      <c r="BH160" s="131">
        <f t="shared" si="94"/>
        <v>0</v>
      </c>
      <c r="BI160" s="131">
        <f t="shared" si="96"/>
        <v>0</v>
      </c>
      <c r="BJ160" s="131">
        <f t="shared" si="96"/>
        <v>12.05100812220158</v>
      </c>
      <c r="BK160" s="131">
        <f t="shared" si="96"/>
        <v>0</v>
      </c>
      <c r="BL160" s="131">
        <f t="shared" si="96"/>
        <v>7.2756043964545487</v>
      </c>
      <c r="BM160" s="131">
        <f t="shared" si="96"/>
        <v>17.967579552983409</v>
      </c>
      <c r="BN160" s="131">
        <f t="shared" si="96"/>
        <v>0</v>
      </c>
      <c r="BO160" s="131">
        <f t="shared" si="96"/>
        <v>1.5816531296640326</v>
      </c>
      <c r="BP160" s="131">
        <f t="shared" si="96"/>
        <v>0</v>
      </c>
      <c r="BQ160" s="131">
        <f t="shared" si="96"/>
        <v>0</v>
      </c>
    </row>
    <row r="161" spans="1:82">
      <c r="A161" s="135" t="s">
        <v>28</v>
      </c>
      <c r="B161" s="136">
        <f>SUM(B130:B160)</f>
        <v>560.10148436608927</v>
      </c>
      <c r="C161" s="136">
        <f t="shared" ref="C161:M161" si="97">SUM(C130:C160)</f>
        <v>322.66124191419675</v>
      </c>
      <c r="D161" s="136">
        <f t="shared" si="97"/>
        <v>246.25070959542464</v>
      </c>
      <c r="E161" s="136">
        <f t="shared" si="97"/>
        <v>306.64911280204649</v>
      </c>
      <c r="F161" s="136">
        <f t="shared" si="97"/>
        <v>433.86443550095299</v>
      </c>
      <c r="G161" s="136">
        <f t="shared" si="97"/>
        <v>260.37606439313703</v>
      </c>
      <c r="H161" s="136">
        <f t="shared" si="97"/>
        <v>300.64658074397539</v>
      </c>
      <c r="I161" s="136">
        <f t="shared" si="97"/>
        <v>19.965225750737289</v>
      </c>
      <c r="J161" s="136">
        <f t="shared" si="97"/>
        <v>181.1789353624558</v>
      </c>
      <c r="K161" s="136">
        <f t="shared" si="97"/>
        <v>224.89314519414077</v>
      </c>
      <c r="L161" s="136">
        <f t="shared" si="97"/>
        <v>404.65395206361097</v>
      </c>
      <c r="M161" s="136">
        <f t="shared" si="97"/>
        <v>287.26920958727771</v>
      </c>
      <c r="N161" s="137"/>
      <c r="O161" s="135" t="s">
        <v>28</v>
      </c>
      <c r="P161" s="136">
        <f>SUM(P130:P160)</f>
        <v>622</v>
      </c>
      <c r="Q161" s="136">
        <f t="shared" ref="Q161:AA161" si="98">SUM(Q130:Q160)</f>
        <v>320</v>
      </c>
      <c r="R161" s="136">
        <f t="shared" si="98"/>
        <v>236</v>
      </c>
      <c r="S161" s="136">
        <f t="shared" si="98"/>
        <v>294</v>
      </c>
      <c r="T161" s="136">
        <f t="shared" si="98"/>
        <v>436</v>
      </c>
      <c r="U161" s="136">
        <f t="shared" si="98"/>
        <v>245</v>
      </c>
      <c r="V161" s="136">
        <f t="shared" si="98"/>
        <v>313</v>
      </c>
      <c r="W161" s="136">
        <f t="shared" si="98"/>
        <v>13</v>
      </c>
      <c r="X161" s="136">
        <f t="shared" si="98"/>
        <v>166</v>
      </c>
      <c r="Y161" s="136">
        <f t="shared" si="98"/>
        <v>229</v>
      </c>
      <c r="Z161" s="136">
        <f t="shared" si="98"/>
        <v>461</v>
      </c>
      <c r="AA161" s="136">
        <f t="shared" si="98"/>
        <v>276</v>
      </c>
      <c r="AB161" s="137"/>
      <c r="AC161" s="135" t="s">
        <v>28</v>
      </c>
      <c r="AD161" s="136">
        <f>SUM(AD130:AD160)</f>
        <v>433.79999999999995</v>
      </c>
      <c r="AE161" s="136">
        <f t="shared" ref="AE161:AO161" si="99">SUM(AE130:AE160)</f>
        <v>328.29999999999995</v>
      </c>
      <c r="AF161" s="136">
        <f t="shared" si="99"/>
        <v>267.19999999999993</v>
      </c>
      <c r="AG161" s="136">
        <f t="shared" si="99"/>
        <v>332.5</v>
      </c>
      <c r="AH161" s="136">
        <f t="shared" si="99"/>
        <v>429.5</v>
      </c>
      <c r="AI161" s="136">
        <f t="shared" si="99"/>
        <v>291.79999999999995</v>
      </c>
      <c r="AJ161" s="136">
        <f t="shared" si="99"/>
        <v>275.7</v>
      </c>
      <c r="AK161" s="136">
        <f t="shared" si="99"/>
        <v>34.299999999999997</v>
      </c>
      <c r="AL161" s="136">
        <f t="shared" si="99"/>
        <v>212.2</v>
      </c>
      <c r="AM161" s="136">
        <f t="shared" si="99"/>
        <v>216.7</v>
      </c>
      <c r="AN161" s="136">
        <f t="shared" si="99"/>
        <v>289.7</v>
      </c>
      <c r="AO161" s="136">
        <f t="shared" si="99"/>
        <v>310.29999999999995</v>
      </c>
      <c r="AP161" s="137"/>
      <c r="AQ161" s="135" t="s">
        <v>28</v>
      </c>
      <c r="AR161" s="136">
        <f>SUM(AR130:AR160)</f>
        <v>494.74015730993523</v>
      </c>
      <c r="AS161" s="136">
        <f t="shared" ref="AS161:BC161" si="100">SUM(AS130:AS160)</f>
        <v>325.61241601661817</v>
      </c>
      <c r="AT161" s="136">
        <f t="shared" si="100"/>
        <v>257.09727466487794</v>
      </c>
      <c r="AU161" s="136">
        <f t="shared" si="100"/>
        <v>320.03349598069866</v>
      </c>
      <c r="AV161" s="136">
        <f t="shared" si="100"/>
        <v>431.6047344448171</v>
      </c>
      <c r="AW161" s="136">
        <f t="shared" si="100"/>
        <v>276.64591199731689</v>
      </c>
      <c r="AX161" s="136">
        <f t="shared" si="100"/>
        <v>287.77793766025809</v>
      </c>
      <c r="AY161" s="136">
        <f t="shared" si="100"/>
        <v>27.402947126983953</v>
      </c>
      <c r="AZ161" s="136">
        <f t="shared" si="100"/>
        <v>197.24019517683843</v>
      </c>
      <c r="BA161" s="136">
        <f t="shared" si="100"/>
        <v>220.68280518019236</v>
      </c>
      <c r="BB161" s="136">
        <f t="shared" si="100"/>
        <v>345.16784775341068</v>
      </c>
      <c r="BC161" s="136">
        <f t="shared" si="100"/>
        <v>299.19347823734972</v>
      </c>
      <c r="BD161" s="137"/>
      <c r="BE161" s="135" t="s">
        <v>28</v>
      </c>
      <c r="BF161" s="136">
        <f>SUM(BF130:BF160)</f>
        <v>502.92492401064459</v>
      </c>
      <c r="BG161" s="136">
        <f t="shared" ref="BG161:BQ161" si="101">SUM(BG130:BG160)</f>
        <v>325.24286000223771</v>
      </c>
      <c r="BH161" s="136">
        <f t="shared" si="101"/>
        <v>255.73903105820713</v>
      </c>
      <c r="BI161" s="136">
        <f t="shared" si="101"/>
        <v>318.35745819682603</v>
      </c>
      <c r="BJ161" s="136">
        <f t="shared" si="101"/>
        <v>431.88770186287354</v>
      </c>
      <c r="BK161" s="136">
        <f t="shared" si="101"/>
        <v>274.60854658731068</v>
      </c>
      <c r="BL161" s="136">
        <f t="shared" si="101"/>
        <v>289.38939272304219</v>
      </c>
      <c r="BM161" s="136">
        <f t="shared" si="101"/>
        <v>26.471570470614076</v>
      </c>
      <c r="BN161" s="136">
        <f t="shared" si="101"/>
        <v>195.22894983619133</v>
      </c>
      <c r="BO161" s="136">
        <f t="shared" si="101"/>
        <v>221.210038213806</v>
      </c>
      <c r="BP161" s="136">
        <f t="shared" si="101"/>
        <v>352.61689916717353</v>
      </c>
      <c r="BQ161" s="136">
        <f t="shared" si="101"/>
        <v>297.70028093899049</v>
      </c>
      <c r="BR161" s="137"/>
    </row>
    <row r="162" spans="1:82">
      <c r="A162" s="138" t="s">
        <v>29</v>
      </c>
      <c r="B162" s="139">
        <f>MAX(B130:B160)</f>
        <v>64.677822495234054</v>
      </c>
      <c r="C162" s="139">
        <f t="shared" ref="C162:M162" si="102">MAX(C130:C160)</f>
        <v>57.065709676893746</v>
      </c>
      <c r="D162" s="139">
        <f t="shared" si="102"/>
        <v>34.312274127059126</v>
      </c>
      <c r="E162" s="139">
        <f t="shared" si="102"/>
        <v>47.683580727681552</v>
      </c>
      <c r="F162" s="139">
        <f t="shared" si="102"/>
        <v>45.658709856125654</v>
      </c>
      <c r="G162" s="139">
        <f t="shared" si="102"/>
        <v>56.014354846593776</v>
      </c>
      <c r="H162" s="139">
        <f t="shared" si="102"/>
        <v>59.827129193619342</v>
      </c>
      <c r="I162" s="139">
        <f t="shared" si="102"/>
        <v>9.3307741189122222</v>
      </c>
      <c r="J162" s="139">
        <f t="shared" si="102"/>
        <v>33.572580776562987</v>
      </c>
      <c r="K162" s="139">
        <f t="shared" si="102"/>
        <v>46.106548482231595</v>
      </c>
      <c r="L162" s="139">
        <f t="shared" si="102"/>
        <v>70.081983934303352</v>
      </c>
      <c r="M162" s="139">
        <f t="shared" si="102"/>
        <v>37.305903247356326</v>
      </c>
      <c r="O162" s="138" t="s">
        <v>29</v>
      </c>
      <c r="P162" s="139">
        <f>MAX(P130:P160)</f>
        <v>85</v>
      </c>
      <c r="Q162" s="139">
        <f t="shared" ref="Q162:AA162" si="103">MAX(Q130:Q160)</f>
        <v>57</v>
      </c>
      <c r="R162" s="139">
        <f t="shared" si="103"/>
        <v>33</v>
      </c>
      <c r="S162" s="139">
        <f t="shared" si="103"/>
        <v>58</v>
      </c>
      <c r="T162" s="139">
        <f t="shared" si="103"/>
        <v>68</v>
      </c>
      <c r="U162" s="139">
        <f t="shared" si="103"/>
        <v>57</v>
      </c>
      <c r="V162" s="139">
        <f t="shared" si="103"/>
        <v>80</v>
      </c>
      <c r="W162" s="139">
        <f t="shared" si="103"/>
        <v>6</v>
      </c>
      <c r="X162" s="139">
        <f t="shared" si="103"/>
        <v>50</v>
      </c>
      <c r="Y162" s="139">
        <f t="shared" si="103"/>
        <v>58</v>
      </c>
      <c r="Z162" s="139">
        <f t="shared" si="103"/>
        <v>79</v>
      </c>
      <c r="AA162" s="139">
        <f t="shared" si="103"/>
        <v>40</v>
      </c>
      <c r="AC162" s="138" t="s">
        <v>29</v>
      </c>
      <c r="AD162" s="139">
        <f>MAX(AD130:AD160)</f>
        <v>86.5</v>
      </c>
      <c r="AE162" s="139">
        <f t="shared" ref="AE162:AO162" si="104">MAX(AE130:AE160)</f>
        <v>57.2</v>
      </c>
      <c r="AF162" s="139">
        <f t="shared" si="104"/>
        <v>51.3</v>
      </c>
      <c r="AG162" s="139">
        <f t="shared" si="104"/>
        <v>59.4</v>
      </c>
      <c r="AH162" s="139">
        <f t="shared" si="104"/>
        <v>61.9</v>
      </c>
      <c r="AI162" s="139">
        <f t="shared" si="104"/>
        <v>71.099999999999994</v>
      </c>
      <c r="AJ162" s="139">
        <f t="shared" si="104"/>
        <v>57.2</v>
      </c>
      <c r="AK162" s="139">
        <f t="shared" si="104"/>
        <v>28.4</v>
      </c>
      <c r="AL162" s="139">
        <f t="shared" si="104"/>
        <v>32.299999999999997</v>
      </c>
      <c r="AM162" s="139">
        <f t="shared" si="104"/>
        <v>51.2</v>
      </c>
      <c r="AN162" s="139">
        <f t="shared" si="104"/>
        <v>53.9</v>
      </c>
      <c r="AO162" s="139">
        <f t="shared" si="104"/>
        <v>47.4</v>
      </c>
      <c r="AQ162" s="138" t="s">
        <v>29</v>
      </c>
      <c r="AR162" s="139">
        <f>MAX(AR130:AR160)</f>
        <v>75.976327775914484</v>
      </c>
      <c r="AS162" s="139">
        <f t="shared" ref="AS162:BC162" si="105">MAX(AS130:AS160)</f>
        <v>57.135238940159468</v>
      </c>
      <c r="AT162" s="139">
        <f t="shared" si="105"/>
        <v>43.107725930173423</v>
      </c>
      <c r="AU162" s="139">
        <f t="shared" si="105"/>
        <v>53.118177195468952</v>
      </c>
      <c r="AV162" s="139">
        <f t="shared" si="105"/>
        <v>41.856451979357125</v>
      </c>
      <c r="AW162" s="139">
        <f t="shared" si="105"/>
        <v>54.971415897607891</v>
      </c>
      <c r="AX162" s="139">
        <f t="shared" si="105"/>
        <v>52.278159452120001</v>
      </c>
      <c r="AY162" s="139">
        <f t="shared" si="105"/>
        <v>19.203929502645273</v>
      </c>
      <c r="AZ162" s="139">
        <f t="shared" si="105"/>
        <v>25.587672700126578</v>
      </c>
      <c r="BA162" s="139">
        <f t="shared" si="105"/>
        <v>42.068690562485799</v>
      </c>
      <c r="BB162" s="139">
        <f t="shared" si="105"/>
        <v>61.703707710783405</v>
      </c>
      <c r="BC162" s="139">
        <f t="shared" si="105"/>
        <v>41.76578779387421</v>
      </c>
      <c r="BE162" s="138" t="s">
        <v>29</v>
      </c>
      <c r="BF162" s="139">
        <f>MAX(BF130:BF160)</f>
        <v>74.561490685632421</v>
      </c>
      <c r="BG162" s="139">
        <f t="shared" ref="BG162:BQ162" si="106">MAX(BG130:BG160)</f>
        <v>57.126532250373131</v>
      </c>
      <c r="BH162" s="139">
        <f t="shared" si="106"/>
        <v>42.006329672200003</v>
      </c>
      <c r="BI162" s="139">
        <f t="shared" si="106"/>
        <v>52.273628286192896</v>
      </c>
      <c r="BJ162" s="139">
        <f t="shared" si="106"/>
        <v>40.669435260820556</v>
      </c>
      <c r="BK162" s="139">
        <f t="shared" si="106"/>
        <v>55.102016244403167</v>
      </c>
      <c r="BL162" s="139">
        <f t="shared" si="106"/>
        <v>51.616451028357311</v>
      </c>
      <c r="BM162" s="139">
        <f t="shared" si="106"/>
        <v>17.967579552983409</v>
      </c>
      <c r="BN162" s="139">
        <f t="shared" si="106"/>
        <v>25.034797898693288</v>
      </c>
      <c r="BO162" s="139">
        <f t="shared" si="106"/>
        <v>40.841047302610292</v>
      </c>
      <c r="BP162" s="139">
        <f t="shared" si="106"/>
        <v>62.752863830038727</v>
      </c>
      <c r="BQ162" s="139">
        <f t="shared" si="106"/>
        <v>41.008305782461662</v>
      </c>
    </row>
    <row r="163" spans="1:82">
      <c r="A163" s="130" t="s">
        <v>30</v>
      </c>
      <c r="B163" s="131">
        <f>SUM(B130:B144)</f>
        <v>311.6227103123523</v>
      </c>
      <c r="C163" s="131">
        <f t="shared" ref="C163:M163" si="107">SUM(C130:C144)</f>
        <v>183.36332263373143</v>
      </c>
      <c r="D163" s="131">
        <f t="shared" si="107"/>
        <v>161.00667720333041</v>
      </c>
      <c r="E163" s="131">
        <f t="shared" si="107"/>
        <v>76.712903068124419</v>
      </c>
      <c r="F163" s="131">
        <f t="shared" si="107"/>
        <v>257.84754859628822</v>
      </c>
      <c r="G163" s="131">
        <f t="shared" si="107"/>
        <v>90.893145194140743</v>
      </c>
      <c r="H163" s="131">
        <f t="shared" si="107"/>
        <v>12.882935492806283</v>
      </c>
      <c r="I163" s="131">
        <f t="shared" si="107"/>
        <v>5.4373226011438254</v>
      </c>
      <c r="J163" s="131">
        <f t="shared" si="107"/>
        <v>130.31227412705911</v>
      </c>
      <c r="K163" s="131">
        <f t="shared" si="107"/>
        <v>105.60958076026917</v>
      </c>
      <c r="L163" s="131">
        <f t="shared" si="107"/>
        <v>186.85645153406216</v>
      </c>
      <c r="M163" s="131">
        <f t="shared" si="107"/>
        <v>185.24433871572188</v>
      </c>
      <c r="O163" s="130" t="s">
        <v>30</v>
      </c>
      <c r="P163" s="131">
        <f>SUM(P130:P144)</f>
        <v>391</v>
      </c>
      <c r="Q163" s="131">
        <f t="shared" ref="Q163:AA163" si="108">SUM(Q130:Q144)</f>
        <v>190</v>
      </c>
      <c r="R163" s="131">
        <f t="shared" si="108"/>
        <v>134</v>
      </c>
      <c r="S163" s="131">
        <f t="shared" si="108"/>
        <v>57</v>
      </c>
      <c r="T163" s="131">
        <f t="shared" si="108"/>
        <v>284</v>
      </c>
      <c r="U163" s="131">
        <f t="shared" si="108"/>
        <v>95</v>
      </c>
      <c r="V163" s="131">
        <f t="shared" si="108"/>
        <v>14</v>
      </c>
      <c r="W163" s="131">
        <f t="shared" si="108"/>
        <v>8</v>
      </c>
      <c r="X163" s="131">
        <f t="shared" si="108"/>
        <v>122</v>
      </c>
      <c r="Y163" s="131">
        <f t="shared" si="108"/>
        <v>120</v>
      </c>
      <c r="Z163" s="131">
        <f t="shared" si="108"/>
        <v>177</v>
      </c>
      <c r="AA163" s="131">
        <f t="shared" si="108"/>
        <v>186</v>
      </c>
      <c r="AC163" s="130" t="s">
        <v>30</v>
      </c>
      <c r="AD163" s="131">
        <f>SUM(AD130:AD144)</f>
        <v>149.59999999999997</v>
      </c>
      <c r="AE163" s="131">
        <f t="shared" ref="AE163:AO163" si="109">SUM(AE130:AE144)</f>
        <v>169.8</v>
      </c>
      <c r="AF163" s="131">
        <f t="shared" si="109"/>
        <v>216.19999999999996</v>
      </c>
      <c r="AG163" s="131">
        <f t="shared" si="109"/>
        <v>117</v>
      </c>
      <c r="AH163" s="131">
        <f t="shared" si="109"/>
        <v>204.40000000000003</v>
      </c>
      <c r="AI163" s="131">
        <f t="shared" si="109"/>
        <v>82.5</v>
      </c>
      <c r="AJ163" s="131">
        <f t="shared" si="109"/>
        <v>10.900000000000002</v>
      </c>
      <c r="AK163" s="131">
        <f t="shared" si="109"/>
        <v>0.2</v>
      </c>
      <c r="AL163" s="131">
        <f t="shared" si="109"/>
        <v>147.30000000000001</v>
      </c>
      <c r="AM163" s="131">
        <f t="shared" si="109"/>
        <v>76.199999999999989</v>
      </c>
      <c r="AN163" s="131">
        <f t="shared" si="109"/>
        <v>207</v>
      </c>
      <c r="AO163" s="131">
        <f t="shared" si="109"/>
        <v>183.7</v>
      </c>
      <c r="AQ163" s="130" t="s">
        <v>30</v>
      </c>
      <c r="AR163" s="131">
        <f>SUM(AR130:AR144)</f>
        <v>227.76659922751517</v>
      </c>
      <c r="AS163" s="131">
        <f t="shared" ref="AS163:BC163" si="110">SUM(AS130:AS144)</f>
        <v>176.34086704389316</v>
      </c>
      <c r="AT163" s="131">
        <f t="shared" si="110"/>
        <v>189.58320440554374</v>
      </c>
      <c r="AU163" s="131">
        <f t="shared" si="110"/>
        <v>97.571682047842103</v>
      </c>
      <c r="AV163" s="131">
        <f t="shared" si="110"/>
        <v>230.1749018165294</v>
      </c>
      <c r="AW163" s="131">
        <f t="shared" si="110"/>
        <v>86.547566240032893</v>
      </c>
      <c r="AX163" s="131">
        <f t="shared" si="110"/>
        <v>11.903796427528157</v>
      </c>
      <c r="AY163" s="131">
        <f t="shared" si="110"/>
        <v>2.725681333780523</v>
      </c>
      <c r="AZ163" s="131">
        <f t="shared" si="110"/>
        <v>139.10772593017344</v>
      </c>
      <c r="BA163" s="131">
        <f t="shared" si="110"/>
        <v>90.382672105075244</v>
      </c>
      <c r="BB163" s="131">
        <f t="shared" si="110"/>
        <v>197.28584102392105</v>
      </c>
      <c r="BC163" s="131">
        <f t="shared" si="110"/>
        <v>184.44475218816604</v>
      </c>
      <c r="BE163" s="130" t="s">
        <v>30</v>
      </c>
      <c r="BF163" s="131">
        <f>SUM(BF130:BF144)</f>
        <v>238.26734541139405</v>
      </c>
      <c r="BG163" s="131">
        <f t="shared" ref="BG163:BQ163" si="111">SUM(BG130:BG144)</f>
        <v>177.22024271231464</v>
      </c>
      <c r="BH163" s="131">
        <f t="shared" si="111"/>
        <v>186.00475490335339</v>
      </c>
      <c r="BI163" s="131">
        <f t="shared" si="111"/>
        <v>94.959675111936775</v>
      </c>
      <c r="BJ163" s="131">
        <f t="shared" si="111"/>
        <v>233.64016435149722</v>
      </c>
      <c r="BK163" s="131">
        <f t="shared" si="111"/>
        <v>87.091734351679847</v>
      </c>
      <c r="BL163" s="131">
        <f t="shared" si="111"/>
        <v>12.026407536846165</v>
      </c>
      <c r="BM163" s="131">
        <f t="shared" si="111"/>
        <v>3.0652422354482183</v>
      </c>
      <c r="BN163" s="131">
        <f t="shared" si="111"/>
        <v>138.0063296722</v>
      </c>
      <c r="BO163" s="131">
        <f t="shared" si="111"/>
        <v>92.289437168286142</v>
      </c>
      <c r="BP163" s="131">
        <f t="shared" si="111"/>
        <v>195.97983755596837</v>
      </c>
      <c r="BQ163" s="131">
        <f t="shared" si="111"/>
        <v>184.54487912070908</v>
      </c>
    </row>
    <row r="164" spans="1:82">
      <c r="A164" s="140" t="s">
        <v>31</v>
      </c>
      <c r="B164" s="141">
        <f>SUM(B145:B160)</f>
        <v>248.47877405373691</v>
      </c>
      <c r="C164" s="141">
        <f t="shared" ref="C164:M164" si="112">SUM(C145:C160)</f>
        <v>139.29791928046535</v>
      </c>
      <c r="D164" s="141">
        <f t="shared" si="112"/>
        <v>85.244032392094226</v>
      </c>
      <c r="E164" s="141">
        <f t="shared" si="112"/>
        <v>229.93620973392208</v>
      </c>
      <c r="F164" s="141">
        <f t="shared" si="112"/>
        <v>176.01688690466491</v>
      </c>
      <c r="G164" s="141">
        <f t="shared" si="112"/>
        <v>169.48291919899631</v>
      </c>
      <c r="H164" s="141">
        <f t="shared" si="112"/>
        <v>287.76364525116912</v>
      </c>
      <c r="I164" s="141">
        <f t="shared" si="112"/>
        <v>14.527903149593467</v>
      </c>
      <c r="J164" s="141">
        <f t="shared" si="112"/>
        <v>50.86666123539667</v>
      </c>
      <c r="K164" s="141">
        <f t="shared" si="112"/>
        <v>119.28356443387156</v>
      </c>
      <c r="L164" s="141">
        <f t="shared" si="112"/>
        <v>217.79750052954884</v>
      </c>
      <c r="M164" s="141">
        <f t="shared" si="112"/>
        <v>102.02487087155589</v>
      </c>
      <c r="O164" s="140" t="s">
        <v>31</v>
      </c>
      <c r="P164" s="141">
        <f>SUM(P145:P160)</f>
        <v>231</v>
      </c>
      <c r="Q164" s="141">
        <f t="shared" ref="Q164:AA164" si="113">SUM(Q145:Q160)</f>
        <v>130</v>
      </c>
      <c r="R164" s="141">
        <f t="shared" si="113"/>
        <v>102</v>
      </c>
      <c r="S164" s="141">
        <f t="shared" si="113"/>
        <v>237</v>
      </c>
      <c r="T164" s="141">
        <f t="shared" si="113"/>
        <v>152</v>
      </c>
      <c r="U164" s="141">
        <f t="shared" si="113"/>
        <v>150</v>
      </c>
      <c r="V164" s="141">
        <f t="shared" si="113"/>
        <v>299</v>
      </c>
      <c r="W164" s="141">
        <f t="shared" si="113"/>
        <v>5</v>
      </c>
      <c r="X164" s="141">
        <f t="shared" si="113"/>
        <v>44</v>
      </c>
      <c r="Y164" s="141">
        <f t="shared" si="113"/>
        <v>109</v>
      </c>
      <c r="Z164" s="141">
        <f t="shared" si="113"/>
        <v>284</v>
      </c>
      <c r="AA164" s="141">
        <f t="shared" si="113"/>
        <v>90</v>
      </c>
      <c r="AC164" s="140" t="s">
        <v>31</v>
      </c>
      <c r="AD164" s="141">
        <f>SUM(AD145:AD160)</f>
        <v>284.20000000000005</v>
      </c>
      <c r="AE164" s="141">
        <f t="shared" ref="AE164:AO164" si="114">SUM(AE145:AE160)</f>
        <v>158.49999999999997</v>
      </c>
      <c r="AF164" s="141">
        <f t="shared" si="114"/>
        <v>51</v>
      </c>
      <c r="AG164" s="141">
        <f t="shared" si="114"/>
        <v>215.50000000000003</v>
      </c>
      <c r="AH164" s="141">
        <f t="shared" si="114"/>
        <v>225.1</v>
      </c>
      <c r="AI164" s="141">
        <f t="shared" si="114"/>
        <v>209.3</v>
      </c>
      <c r="AJ164" s="141">
        <f t="shared" si="114"/>
        <v>264.8</v>
      </c>
      <c r="AK164" s="141">
        <f t="shared" si="114"/>
        <v>34.099999999999994</v>
      </c>
      <c r="AL164" s="141">
        <f t="shared" si="114"/>
        <v>64.899999999999991</v>
      </c>
      <c r="AM164" s="141">
        <f t="shared" si="114"/>
        <v>140.5</v>
      </c>
      <c r="AN164" s="141">
        <f t="shared" si="114"/>
        <v>82.7</v>
      </c>
      <c r="AO164" s="141">
        <f t="shared" si="114"/>
        <v>126.6</v>
      </c>
      <c r="AQ164" s="140" t="s">
        <v>31</v>
      </c>
      <c r="AR164" s="141">
        <f>SUM(AR145:AR160)</f>
        <v>266.97355808242003</v>
      </c>
      <c r="AS164" s="141">
        <f t="shared" ref="AS164:BC164" si="115">SUM(AS145:AS160)</f>
        <v>149.27154897272499</v>
      </c>
      <c r="AT164" s="141">
        <f t="shared" si="115"/>
        <v>67.51407025933419</v>
      </c>
      <c r="AU164" s="141">
        <f t="shared" si="115"/>
        <v>222.46181393285653</v>
      </c>
      <c r="AV164" s="141">
        <f t="shared" si="115"/>
        <v>201.42983262828764</v>
      </c>
      <c r="AW164" s="141">
        <f t="shared" si="115"/>
        <v>190.09834575728394</v>
      </c>
      <c r="AX164" s="141">
        <f t="shared" si="115"/>
        <v>275.87414123272993</v>
      </c>
      <c r="AY164" s="141">
        <f t="shared" si="115"/>
        <v>24.677265793203432</v>
      </c>
      <c r="AZ164" s="141">
        <f t="shared" si="115"/>
        <v>58.132469246664996</v>
      </c>
      <c r="BA164" s="141">
        <f t="shared" si="115"/>
        <v>130.30013307511712</v>
      </c>
      <c r="BB164" s="141">
        <f t="shared" si="115"/>
        <v>147.88200672948966</v>
      </c>
      <c r="BC164" s="141">
        <f t="shared" si="115"/>
        <v>114.74872604918369</v>
      </c>
      <c r="BE164" s="140" t="s">
        <v>31</v>
      </c>
      <c r="BF164" s="141">
        <f>SUM(BF145:BF160)</f>
        <v>264.6575785992506</v>
      </c>
      <c r="BG164" s="141">
        <f t="shared" ref="BG164:BQ164" si="116">SUM(BG145:BG160)</f>
        <v>148.02261728992301</v>
      </c>
      <c r="BH164" s="141">
        <f t="shared" si="116"/>
        <v>69.734276154853731</v>
      </c>
      <c r="BI164" s="141">
        <f t="shared" si="116"/>
        <v>223.39778308488934</v>
      </c>
      <c r="BJ164" s="141">
        <f t="shared" si="116"/>
        <v>198.24753751137629</v>
      </c>
      <c r="BK164" s="141">
        <f t="shared" si="116"/>
        <v>187.51681223563085</v>
      </c>
      <c r="BL164" s="141">
        <f t="shared" si="116"/>
        <v>277.362985186196</v>
      </c>
      <c r="BM164" s="141">
        <f t="shared" si="116"/>
        <v>23.406328235165859</v>
      </c>
      <c r="BN164" s="141">
        <f t="shared" si="116"/>
        <v>57.222620163991316</v>
      </c>
      <c r="BO164" s="141">
        <f t="shared" si="116"/>
        <v>128.92060104551985</v>
      </c>
      <c r="BP164" s="141">
        <f t="shared" si="116"/>
        <v>156.63706161120516</v>
      </c>
      <c r="BQ164" s="141">
        <f t="shared" si="116"/>
        <v>113.15540181828143</v>
      </c>
    </row>
    <row r="165" spans="1:82" ht="15.75" thickBot="1">
      <c r="A165" s="133" t="s">
        <v>32</v>
      </c>
      <c r="B165" s="134">
        <f>COUNTIF(B132:B162,"&gt;0")</f>
        <v>24</v>
      </c>
      <c r="C165" s="134">
        <f t="shared" ref="C165:M165" si="117">COUNTIF(C132:C162,"&gt;0")</f>
        <v>26</v>
      </c>
      <c r="D165" s="134">
        <f t="shared" si="117"/>
        <v>23</v>
      </c>
      <c r="E165" s="134">
        <f t="shared" si="117"/>
        <v>20</v>
      </c>
      <c r="F165" s="134">
        <f t="shared" si="117"/>
        <v>28</v>
      </c>
      <c r="G165" s="134">
        <f t="shared" si="117"/>
        <v>17</v>
      </c>
      <c r="H165" s="134">
        <f t="shared" si="117"/>
        <v>20</v>
      </c>
      <c r="I165" s="134">
        <f t="shared" si="117"/>
        <v>7</v>
      </c>
      <c r="J165" s="134">
        <f t="shared" si="117"/>
        <v>17</v>
      </c>
      <c r="K165" s="134">
        <f t="shared" si="117"/>
        <v>21</v>
      </c>
      <c r="L165" s="134">
        <f t="shared" si="117"/>
        <v>25</v>
      </c>
      <c r="M165" s="134">
        <f t="shared" si="117"/>
        <v>21</v>
      </c>
      <c r="O165" s="133" t="s">
        <v>32</v>
      </c>
      <c r="P165" s="134">
        <f>COUNTIF(P130:P160,"&gt;0")</f>
        <v>17</v>
      </c>
      <c r="Q165" s="134">
        <f t="shared" ref="Q165:AA165" si="118">COUNTIF(Q130:Q160,"&gt;0")</f>
        <v>22</v>
      </c>
      <c r="R165" s="134">
        <f t="shared" si="118"/>
        <v>16</v>
      </c>
      <c r="S165" s="134">
        <f t="shared" si="118"/>
        <v>15</v>
      </c>
      <c r="T165" s="134">
        <f t="shared" si="118"/>
        <v>24</v>
      </c>
      <c r="U165" s="134">
        <f t="shared" si="118"/>
        <v>12</v>
      </c>
      <c r="V165" s="134">
        <f t="shared" si="118"/>
        <v>12</v>
      </c>
      <c r="W165" s="134">
        <f t="shared" si="118"/>
        <v>4</v>
      </c>
      <c r="X165" s="134">
        <f t="shared" si="118"/>
        <v>11</v>
      </c>
      <c r="Y165" s="134">
        <f t="shared" si="118"/>
        <v>13</v>
      </c>
      <c r="Z165" s="134">
        <f t="shared" si="118"/>
        <v>21</v>
      </c>
      <c r="AA165" s="134">
        <f t="shared" si="118"/>
        <v>16</v>
      </c>
      <c r="AC165" s="133" t="s">
        <v>32</v>
      </c>
      <c r="AD165" s="134">
        <f>COUNTIF(AD130:AD160,"&gt;0")</f>
        <v>25</v>
      </c>
      <c r="AE165" s="134">
        <f t="shared" ref="AE165:AO165" si="119">COUNTIF(AE130:AE160,"&gt;0")</f>
        <v>25</v>
      </c>
      <c r="AF165" s="134">
        <f t="shared" si="119"/>
        <v>21</v>
      </c>
      <c r="AG165" s="134">
        <f t="shared" si="119"/>
        <v>17</v>
      </c>
      <c r="AH165" s="134">
        <f t="shared" si="119"/>
        <v>25</v>
      </c>
      <c r="AI165" s="134">
        <f t="shared" si="119"/>
        <v>15</v>
      </c>
      <c r="AJ165" s="134">
        <f t="shared" si="119"/>
        <v>17</v>
      </c>
      <c r="AK165" s="134">
        <f t="shared" si="119"/>
        <v>5</v>
      </c>
      <c r="AL165" s="134">
        <f t="shared" si="119"/>
        <v>16</v>
      </c>
      <c r="AM165" s="134">
        <f t="shared" si="119"/>
        <v>21</v>
      </c>
      <c r="AN165" s="134">
        <f t="shared" si="119"/>
        <v>24</v>
      </c>
      <c r="AO165" s="134">
        <f t="shared" si="119"/>
        <v>21</v>
      </c>
      <c r="AQ165" s="133" t="s">
        <v>32</v>
      </c>
      <c r="AR165" s="134">
        <f>COUNTIF(AR130:AR160,"&gt;0")</f>
        <v>26</v>
      </c>
      <c r="AS165" s="134">
        <f t="shared" ref="AS165:BC165" si="120">COUNTIF(AS130:AS160,"&gt;0")</f>
        <v>27</v>
      </c>
      <c r="AT165" s="134">
        <f t="shared" si="120"/>
        <v>23</v>
      </c>
      <c r="AU165" s="134">
        <f t="shared" si="120"/>
        <v>19</v>
      </c>
      <c r="AV165" s="134">
        <f t="shared" si="120"/>
        <v>27</v>
      </c>
      <c r="AW165" s="134">
        <f t="shared" si="120"/>
        <v>17</v>
      </c>
      <c r="AX165" s="134">
        <f t="shared" si="120"/>
        <v>19</v>
      </c>
      <c r="AY165" s="134">
        <f t="shared" si="120"/>
        <v>6</v>
      </c>
      <c r="AZ165" s="134">
        <f t="shared" si="120"/>
        <v>17</v>
      </c>
      <c r="BA165" s="134">
        <f t="shared" si="120"/>
        <v>21</v>
      </c>
      <c r="BB165" s="134">
        <f t="shared" si="120"/>
        <v>26</v>
      </c>
      <c r="BC165" s="134">
        <f t="shared" si="120"/>
        <v>21</v>
      </c>
      <c r="BE165" s="133" t="s">
        <v>32</v>
      </c>
      <c r="BF165" s="134">
        <f>COUNTIF(BF130:BF160,"&gt;0")</f>
        <v>26</v>
      </c>
      <c r="BG165" s="134">
        <f t="shared" ref="BG165:BQ165" si="121">COUNTIF(BG130:BG160,"&gt;0")</f>
        <v>27</v>
      </c>
      <c r="BH165" s="134">
        <f t="shared" si="121"/>
        <v>23</v>
      </c>
      <c r="BI165" s="134">
        <f t="shared" si="121"/>
        <v>19</v>
      </c>
      <c r="BJ165" s="134">
        <f t="shared" si="121"/>
        <v>27</v>
      </c>
      <c r="BK165" s="134">
        <f t="shared" si="121"/>
        <v>17</v>
      </c>
      <c r="BL165" s="134">
        <f t="shared" si="121"/>
        <v>19</v>
      </c>
      <c r="BM165" s="134">
        <f t="shared" si="121"/>
        <v>6</v>
      </c>
      <c r="BN165" s="134">
        <f t="shared" si="121"/>
        <v>17</v>
      </c>
      <c r="BO165" s="134">
        <f t="shared" si="121"/>
        <v>21</v>
      </c>
      <c r="BP165" s="134">
        <f t="shared" si="121"/>
        <v>26</v>
      </c>
      <c r="BQ165" s="134">
        <f t="shared" si="121"/>
        <v>21</v>
      </c>
    </row>
    <row r="166" spans="1:82" ht="15.75" thickBot="1"/>
    <row r="167" spans="1:82" s="142" customFormat="1">
      <c r="A167" s="147" t="s">
        <v>36</v>
      </c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9"/>
      <c r="N167" s="129"/>
      <c r="O167" s="147" t="s">
        <v>36</v>
      </c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  <c r="AA167" s="149"/>
      <c r="AB167" s="129"/>
      <c r="AC167" s="147" t="s">
        <v>36</v>
      </c>
      <c r="AD167" s="148"/>
      <c r="AE167" s="148"/>
      <c r="AF167" s="148"/>
      <c r="AG167" s="148"/>
      <c r="AH167" s="148"/>
      <c r="AI167" s="148"/>
      <c r="AJ167" s="148"/>
      <c r="AK167" s="148"/>
      <c r="AL167" s="148"/>
      <c r="AM167" s="148"/>
      <c r="AN167" s="148"/>
      <c r="AO167" s="149"/>
      <c r="AP167" s="129"/>
      <c r="AQ167" s="147" t="s">
        <v>36</v>
      </c>
      <c r="AR167" s="148"/>
      <c r="AS167" s="148"/>
      <c r="AT167" s="148"/>
      <c r="AU167" s="148"/>
      <c r="AV167" s="148"/>
      <c r="AW167" s="148"/>
      <c r="AX167" s="148"/>
      <c r="AY167" s="148"/>
      <c r="AZ167" s="148"/>
      <c r="BA167" s="148"/>
      <c r="BB167" s="148"/>
      <c r="BC167" s="149"/>
      <c r="BD167" s="129"/>
      <c r="BE167" s="147" t="s">
        <v>36</v>
      </c>
      <c r="BF167" s="148"/>
      <c r="BG167" s="148"/>
      <c r="BH167" s="148"/>
      <c r="BI167" s="148"/>
      <c r="BJ167" s="148"/>
      <c r="BK167" s="148"/>
      <c r="BL167" s="148"/>
      <c r="BM167" s="148"/>
      <c r="BN167" s="148"/>
      <c r="BO167" s="148"/>
      <c r="BP167" s="148"/>
      <c r="BQ167" s="14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</row>
    <row r="168" spans="1:82">
      <c r="A168" s="144"/>
      <c r="B168" s="145" t="s">
        <v>15</v>
      </c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6"/>
      <c r="O168" s="144"/>
      <c r="P168" s="145" t="s">
        <v>15</v>
      </c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  <c r="AA168" s="146"/>
      <c r="AC168" s="144"/>
      <c r="AD168" s="145" t="s">
        <v>15</v>
      </c>
      <c r="AE168" s="145"/>
      <c r="AF168" s="145"/>
      <c r="AG168" s="145"/>
      <c r="AH168" s="145"/>
      <c r="AI168" s="145"/>
      <c r="AJ168" s="145"/>
      <c r="AK168" s="145"/>
      <c r="AL168" s="145"/>
      <c r="AM168" s="145"/>
      <c r="AN168" s="145"/>
      <c r="AO168" s="146"/>
      <c r="AQ168" s="144"/>
      <c r="AR168" s="145" t="s">
        <v>15</v>
      </c>
      <c r="AS168" s="145"/>
      <c r="AT168" s="145"/>
      <c r="AU168" s="145"/>
      <c r="AV168" s="145"/>
      <c r="AW168" s="145"/>
      <c r="AX168" s="145"/>
      <c r="AY168" s="145"/>
      <c r="AZ168" s="145"/>
      <c r="BA168" s="145"/>
      <c r="BB168" s="145"/>
      <c r="BC168" s="146"/>
      <c r="BE168" s="144"/>
      <c r="BF168" s="145" t="s">
        <v>15</v>
      </c>
      <c r="BG168" s="145"/>
      <c r="BH168" s="145"/>
      <c r="BI168" s="145"/>
      <c r="BJ168" s="145"/>
      <c r="BK168" s="145"/>
      <c r="BL168" s="145"/>
      <c r="BM168" s="145"/>
      <c r="BN168" s="145"/>
      <c r="BO168" s="145"/>
      <c r="BP168" s="145"/>
      <c r="BQ168" s="146"/>
    </row>
    <row r="169" spans="1:82">
      <c r="A169" s="144"/>
      <c r="B169" s="131" t="s">
        <v>16</v>
      </c>
      <c r="C169" s="131" t="s">
        <v>17</v>
      </c>
      <c r="D169" s="131" t="s">
        <v>18</v>
      </c>
      <c r="E169" s="131" t="s">
        <v>19</v>
      </c>
      <c r="F169" s="131" t="s">
        <v>20</v>
      </c>
      <c r="G169" s="131" t="s">
        <v>21</v>
      </c>
      <c r="H169" s="131" t="s">
        <v>22</v>
      </c>
      <c r="I169" s="131" t="s">
        <v>23</v>
      </c>
      <c r="J169" s="131" t="s">
        <v>24</v>
      </c>
      <c r="K169" s="131" t="s">
        <v>25</v>
      </c>
      <c r="L169" s="131" t="s">
        <v>26</v>
      </c>
      <c r="M169" s="132" t="s">
        <v>27</v>
      </c>
      <c r="O169" s="144"/>
      <c r="P169" s="131" t="s">
        <v>16</v>
      </c>
      <c r="Q169" s="131" t="s">
        <v>17</v>
      </c>
      <c r="R169" s="131" t="s">
        <v>18</v>
      </c>
      <c r="S169" s="131" t="s">
        <v>19</v>
      </c>
      <c r="T169" s="131" t="s">
        <v>20</v>
      </c>
      <c r="U169" s="131" t="s">
        <v>21</v>
      </c>
      <c r="V169" s="131" t="s">
        <v>22</v>
      </c>
      <c r="W169" s="131" t="s">
        <v>23</v>
      </c>
      <c r="X169" s="131" t="s">
        <v>24</v>
      </c>
      <c r="Y169" s="131" t="s">
        <v>25</v>
      </c>
      <c r="Z169" s="131" t="s">
        <v>26</v>
      </c>
      <c r="AA169" s="132" t="s">
        <v>27</v>
      </c>
      <c r="AC169" s="144"/>
      <c r="AD169" s="131" t="s">
        <v>16</v>
      </c>
      <c r="AE169" s="131" t="s">
        <v>17</v>
      </c>
      <c r="AF169" s="131" t="s">
        <v>18</v>
      </c>
      <c r="AG169" s="131" t="s">
        <v>19</v>
      </c>
      <c r="AH169" s="131" t="s">
        <v>20</v>
      </c>
      <c r="AI169" s="131" t="s">
        <v>21</v>
      </c>
      <c r="AJ169" s="131" t="s">
        <v>22</v>
      </c>
      <c r="AK169" s="131" t="s">
        <v>23</v>
      </c>
      <c r="AL169" s="131" t="s">
        <v>24</v>
      </c>
      <c r="AM169" s="131" t="s">
        <v>25</v>
      </c>
      <c r="AN169" s="131" t="s">
        <v>26</v>
      </c>
      <c r="AO169" s="132" t="s">
        <v>27</v>
      </c>
      <c r="AQ169" s="144"/>
      <c r="AR169" s="131" t="s">
        <v>16</v>
      </c>
      <c r="AS169" s="131" t="s">
        <v>17</v>
      </c>
      <c r="AT169" s="131" t="s">
        <v>18</v>
      </c>
      <c r="AU169" s="131" t="s">
        <v>19</v>
      </c>
      <c r="AV169" s="131" t="s">
        <v>20</v>
      </c>
      <c r="AW169" s="131" t="s">
        <v>21</v>
      </c>
      <c r="AX169" s="131" t="s">
        <v>22</v>
      </c>
      <c r="AY169" s="131" t="s">
        <v>23</v>
      </c>
      <c r="AZ169" s="131" t="s">
        <v>24</v>
      </c>
      <c r="BA169" s="131" t="s">
        <v>25</v>
      </c>
      <c r="BB169" s="131" t="s">
        <v>26</v>
      </c>
      <c r="BC169" s="132" t="s">
        <v>27</v>
      </c>
      <c r="BE169" s="144"/>
      <c r="BF169" s="131" t="s">
        <v>16</v>
      </c>
      <c r="BG169" s="131" t="s">
        <v>17</v>
      </c>
      <c r="BH169" s="131" t="s">
        <v>18</v>
      </c>
      <c r="BI169" s="131" t="s">
        <v>19</v>
      </c>
      <c r="BJ169" s="131" t="s">
        <v>20</v>
      </c>
      <c r="BK169" s="131" t="s">
        <v>21</v>
      </c>
      <c r="BL169" s="131" t="s">
        <v>22</v>
      </c>
      <c r="BM169" s="131" t="s">
        <v>23</v>
      </c>
      <c r="BN169" s="131" t="s">
        <v>24</v>
      </c>
      <c r="BO169" s="131" t="s">
        <v>25</v>
      </c>
      <c r="BP169" s="131" t="s">
        <v>26</v>
      </c>
      <c r="BQ169" s="132" t="s">
        <v>27</v>
      </c>
    </row>
    <row r="170" spans="1:82">
      <c r="A170" s="130">
        <v>1</v>
      </c>
      <c r="B170" s="131">
        <f>IF('Data 2'!B170&lt;0.1,0,'Data 2'!B170)</f>
        <v>0</v>
      </c>
      <c r="C170" s="131">
        <f>IF('Data 2'!C170&lt;0.1,0,'Data 2'!C170)</f>
        <v>1.3429032310625193</v>
      </c>
      <c r="D170" s="131">
        <f>IF('Data 2'!D170&lt;0.1,0,'Data 2'!D170)</f>
        <v>33.948645169700029</v>
      </c>
      <c r="E170" s="131">
        <f>IF('Data 2'!E170&lt;0.1,0,'Data 2'!E170)</f>
        <v>0</v>
      </c>
      <c r="F170" s="131">
        <f>IF('Data 2'!F170&lt;0.1,0,'Data 2'!F170)</f>
        <v>7.0143548465937791</v>
      </c>
      <c r="G170" s="131">
        <f>IF('Data 2'!G170&lt;0.1,0,'Data 2'!G170)</f>
        <v>13.51546771381552</v>
      </c>
      <c r="H170" s="131">
        <f>IF('Data 2'!H170&lt;0.1,0,'Data 2'!H170)</f>
        <v>2.1684193374936855</v>
      </c>
      <c r="I170" s="131">
        <f>IF('Data 2'!I170&lt;0.1,0,'Data 2'!I170)</f>
        <v>0</v>
      </c>
      <c r="J170" s="131">
        <f>IF('Data 2'!J170&lt;0.1,0,'Data 2'!J170)</f>
        <v>0</v>
      </c>
      <c r="K170" s="131">
        <f>IF('Data 2'!K170&lt;0.1,0,'Data 2'!K170)</f>
        <v>44.492822576703105</v>
      </c>
      <c r="L170" s="131">
        <f>IF('Data 2'!L170&lt;0.1,0,'Data 2'!L170)</f>
        <v>9.632532221009237</v>
      </c>
      <c r="M170" s="131">
        <f>IF('Data 2'!M170&lt;0.1,0,'Data 2'!M170)</f>
        <v>4.0513548302999691</v>
      </c>
      <c r="O170" s="130">
        <v>1</v>
      </c>
      <c r="P170" s="131">
        <f>'Stasiun Pontianak Kota'!Q228</f>
        <v>0</v>
      </c>
      <c r="Q170" s="131">
        <f>'Stasiun Pontianak Kota'!R228</f>
        <v>2</v>
      </c>
      <c r="R170" s="131">
        <f>'Stasiun Pontianak Kota'!S228</f>
        <v>35</v>
      </c>
      <c r="S170" s="131">
        <f>'Stasiun Pontianak Kota'!T228</f>
        <v>0</v>
      </c>
      <c r="T170" s="131">
        <f>'Stasiun Pontianak Kota'!U228</f>
        <v>8</v>
      </c>
      <c r="U170" s="131">
        <f>'Stasiun Pontianak Kota'!V228</f>
        <v>10</v>
      </c>
      <c r="V170" s="131">
        <f>'Stasiun Pontianak Kota'!W228</f>
        <v>0</v>
      </c>
      <c r="W170" s="131">
        <f>'Stasiun Pontianak Kota'!X228</f>
        <v>0</v>
      </c>
      <c r="X170" s="131">
        <f>'Stasiun Pontianak Kota'!Y228</f>
        <v>0</v>
      </c>
      <c r="Y170" s="131">
        <f>'Stasiun Pontianak Kota'!Z228</f>
        <v>44</v>
      </c>
      <c r="Z170" s="131">
        <f>'Stasiun Pontianak Kota'!AA228</f>
        <v>5</v>
      </c>
      <c r="AA170" s="131">
        <f>'Stasiun Pontianak Kota'!AB228</f>
        <v>3</v>
      </c>
      <c r="AC170" s="130">
        <v>1</v>
      </c>
      <c r="AD170" s="131">
        <f>'Sta. Meteorologi pnk'!B188</f>
        <v>0</v>
      </c>
      <c r="AE170" s="131">
        <f>'Sta. Meteorologi pnk'!C188</f>
        <v>0</v>
      </c>
      <c r="AF170" s="131">
        <f>'Sta. Meteorologi pnk'!D188</f>
        <v>31.8</v>
      </c>
      <c r="AG170" s="131">
        <f>'Sta. Meteorologi pnk'!E188</f>
        <v>0</v>
      </c>
      <c r="AH170" s="131">
        <f>'Sta. Meteorologi pnk'!F188</f>
        <v>5</v>
      </c>
      <c r="AI170" s="131">
        <f>'Sta. Meteorologi pnk'!G188</f>
        <v>20.7</v>
      </c>
      <c r="AJ170" s="131">
        <f>'Sta. Meteorologi pnk'!H188</f>
        <v>6.6</v>
      </c>
      <c r="AK170" s="131">
        <f>'Sta. Meteorologi pnk'!I188</f>
        <v>0</v>
      </c>
      <c r="AL170" s="131">
        <f>'Sta. Meteorologi pnk'!J188</f>
        <v>0</v>
      </c>
      <c r="AM170" s="131">
        <f>'Sta. Meteorologi pnk'!K188</f>
        <v>45.5</v>
      </c>
      <c r="AN170" s="131">
        <f>'Sta. Meteorologi pnk'!L188</f>
        <v>19.100000000000001</v>
      </c>
      <c r="AO170" s="131">
        <f>'Sta. Meteorologi pnk'!M188</f>
        <v>6.2</v>
      </c>
      <c r="AQ170" s="130">
        <v>1</v>
      </c>
      <c r="AR170" s="131">
        <f>((P170/($AV$1^2))+(AD170/($AV$2^2)))/((1/($AV$1^2))+(1/($AV$2^2)))</f>
        <v>0</v>
      </c>
      <c r="AS170" s="131">
        <f t="shared" ref="AS170:BC193" si="122">((Q170/($AV$1^2))+(AE170/($AV$2^2)))/((1/($AV$1^2))+(1/($AV$2^2)))</f>
        <v>0.64761059840526247</v>
      </c>
      <c r="AT170" s="131">
        <f t="shared" si="122"/>
        <v>32.836176957448423</v>
      </c>
      <c r="AU170" s="131">
        <f t="shared" si="122"/>
        <v>0</v>
      </c>
      <c r="AV170" s="131">
        <f t="shared" si="122"/>
        <v>5.9714158976078933</v>
      </c>
      <c r="AW170" s="131">
        <f t="shared" si="122"/>
        <v>17.235283298531847</v>
      </c>
      <c r="AX170" s="131">
        <f t="shared" si="122"/>
        <v>4.4628850252626338</v>
      </c>
      <c r="AY170" s="131">
        <f t="shared" si="122"/>
        <v>0</v>
      </c>
      <c r="AZ170" s="131">
        <f t="shared" si="122"/>
        <v>0</v>
      </c>
      <c r="BA170" s="131">
        <f t="shared" si="122"/>
        <v>45.014292051196058</v>
      </c>
      <c r="BB170" s="131">
        <f t="shared" si="122"/>
        <v>14.534345281242899</v>
      </c>
      <c r="BC170" s="131">
        <f t="shared" si="122"/>
        <v>5.1638230425515799</v>
      </c>
      <c r="BE170" s="130">
        <v>1</v>
      </c>
      <c r="BF170" s="131">
        <f>((B170/($BI$1^2))+(P170/($AV$1^2))+(AD170/($AV$2^2)))/((1/($BI$1^2))+(1/($AV$1^2))+(1/($AV$2^2)))</f>
        <v>0</v>
      </c>
      <c r="BG170" s="131">
        <f t="shared" ref="BG170:BQ193" si="123">((C170/($BI$1^2))+(Q170/($AV$1^2))+(AE170/($AV$2^2)))/((1/($BI$1^2))+(1/($AV$1^2))+(1/($AV$2^2)))</f>
        <v>0.73467749626877399</v>
      </c>
      <c r="BH170" s="131">
        <f t="shared" si="123"/>
        <v>32.975483994030036</v>
      </c>
      <c r="BI170" s="131">
        <f t="shared" si="123"/>
        <v>0</v>
      </c>
      <c r="BJ170" s="131">
        <f t="shared" si="123"/>
        <v>6.1020162444031616</v>
      </c>
      <c r="BK170" s="131">
        <f t="shared" si="123"/>
        <v>16.769475394962058</v>
      </c>
      <c r="BL170" s="131">
        <f t="shared" si="123"/>
        <v>4.1755642623130456</v>
      </c>
      <c r="BM170" s="131">
        <f t="shared" si="123"/>
        <v>0</v>
      </c>
      <c r="BN170" s="131">
        <f t="shared" si="123"/>
        <v>0</v>
      </c>
      <c r="BO170" s="131">
        <f t="shared" si="123"/>
        <v>44.948991877798427</v>
      </c>
      <c r="BP170" s="131">
        <f t="shared" si="123"/>
        <v>13.920523651305144</v>
      </c>
      <c r="BQ170" s="131">
        <f t="shared" si="123"/>
        <v>5.0245160059699616</v>
      </c>
    </row>
    <row r="171" spans="1:82">
      <c r="A171" s="130">
        <v>2</v>
      </c>
      <c r="B171" s="131">
        <f>IF('Data 2'!B171&lt;0.1,0,'Data 2'!B171)</f>
        <v>0</v>
      </c>
      <c r="C171" s="131">
        <f>IF('Data 2'!C171&lt;0.1,0,'Data 2'!C171)</f>
        <v>25.83572580776563</v>
      </c>
      <c r="D171" s="131">
        <f>IF('Data 2'!D171&lt;0.1,0,'Data 2'!D171)</f>
        <v>15.410838642399751</v>
      </c>
      <c r="E171" s="131">
        <f>IF('Data 2'!E171&lt;0.1,0,'Data 2'!E171)</f>
        <v>0</v>
      </c>
      <c r="F171" s="131">
        <f>IF('Data 2'!F171&lt;0.1,0,'Data 2'!F171)</f>
        <v>36.36524204454728</v>
      </c>
      <c r="G171" s="131">
        <f>IF('Data 2'!G171&lt;0.1,0,'Data 2'!G171)</f>
        <v>13.642741922343699</v>
      </c>
      <c r="H171" s="131">
        <f>IF('Data 2'!H171&lt;0.1,0,'Data 2'!H171)</f>
        <v>0</v>
      </c>
      <c r="I171" s="131">
        <f>IF('Data 2'!I171&lt;0.1,0,'Data 2'!I171)</f>
        <v>0</v>
      </c>
      <c r="J171" s="131">
        <f>IF('Data 2'!J171&lt;0.1,0,'Data 2'!J171)</f>
        <v>1.314193537874961</v>
      </c>
      <c r="K171" s="131">
        <f>IF('Data 2'!K171&lt;0.1,0,'Data 2'!K171)</f>
        <v>13.96300001629381</v>
      </c>
      <c r="L171" s="131">
        <f>IF('Data 2'!L171&lt;0.1,0,'Data 2'!L171)</f>
        <v>8.3901129161031722</v>
      </c>
      <c r="M171" s="131">
        <f>IF('Data 2'!M171&lt;0.1,0,'Data 2'!M171)</f>
        <v>0</v>
      </c>
      <c r="O171" s="130">
        <v>2</v>
      </c>
      <c r="P171" s="131">
        <f>'Stasiun Pontianak Kota'!Q229</f>
        <v>0</v>
      </c>
      <c r="Q171" s="131">
        <f>'Stasiun Pontianak Kota'!R229</f>
        <v>26</v>
      </c>
      <c r="R171" s="131">
        <f>'Stasiun Pontianak Kota'!S229</f>
        <v>7</v>
      </c>
      <c r="S171" s="131">
        <f>'Stasiun Pontianak Kota'!T229</f>
        <v>0</v>
      </c>
      <c r="T171" s="131">
        <f>'Stasiun Pontianak Kota'!U229</f>
        <v>50</v>
      </c>
      <c r="U171" s="131">
        <f>'Stasiun Pontianak Kota'!V229</f>
        <v>12</v>
      </c>
      <c r="V171" s="131">
        <f>'Stasiun Pontianak Kota'!W229</f>
        <v>0</v>
      </c>
      <c r="W171" s="131">
        <f>'Stasiun Pontianak Kota'!X229</f>
        <v>0</v>
      </c>
      <c r="X171" s="131">
        <f>'Stasiun Pontianak Kota'!Y229</f>
        <v>0</v>
      </c>
      <c r="Y171" s="131">
        <f>'Stasiun Pontianak Kota'!Z229</f>
        <v>16</v>
      </c>
      <c r="Z171" s="131">
        <f>'Stasiun Pontianak Kota'!AA229</f>
        <v>10</v>
      </c>
      <c r="AA171" s="131">
        <f>'Stasiun Pontianak Kota'!AB229</f>
        <v>0</v>
      </c>
      <c r="AC171" s="130">
        <v>2</v>
      </c>
      <c r="AD171" s="131">
        <f>'Sta. Meteorologi pnk'!B189</f>
        <v>0</v>
      </c>
      <c r="AE171" s="131">
        <f>'Sta. Meteorologi pnk'!C189</f>
        <v>25.5</v>
      </c>
      <c r="AF171" s="131">
        <f>'Sta. Meteorologi pnk'!D189</f>
        <v>32.6</v>
      </c>
      <c r="AG171" s="131">
        <f>'Sta. Meteorologi pnk'!E189</f>
        <v>0</v>
      </c>
      <c r="AH171" s="131">
        <f>'Sta. Meteorologi pnk'!F189</f>
        <v>8.5</v>
      </c>
      <c r="AI171" s="131">
        <f>'Sta. Meteorologi pnk'!G189</f>
        <v>17</v>
      </c>
      <c r="AJ171" s="131">
        <f>'Sta. Meteorologi pnk'!H189</f>
        <v>0</v>
      </c>
      <c r="AK171" s="131">
        <f>'Sta. Meteorologi pnk'!I189</f>
        <v>0</v>
      </c>
      <c r="AL171" s="131">
        <f>'Sta. Meteorologi pnk'!J189</f>
        <v>4</v>
      </c>
      <c r="AM171" s="131">
        <f>'Sta. Meteorologi pnk'!K189</f>
        <v>9.8000000000000007</v>
      </c>
      <c r="AN171" s="131">
        <f>'Sta. Meteorologi pnk'!L189</f>
        <v>5.0999999999999996</v>
      </c>
      <c r="AO171" s="131">
        <f>'Sta. Meteorologi pnk'!M189</f>
        <v>0</v>
      </c>
      <c r="AQ171" s="130">
        <v>2</v>
      </c>
      <c r="AR171" s="131">
        <f t="shared" ref="AR171:AT200" si="124">((P171/($AV$1^2))+(AD171/($AV$2^2)))/((1/($AV$1^2))+(1/($AV$2^2)))</f>
        <v>0</v>
      </c>
      <c r="AS171" s="131">
        <f t="shared" si="122"/>
        <v>25.661902649601313</v>
      </c>
      <c r="AT171" s="131">
        <f t="shared" si="122"/>
        <v>24.310584340412639</v>
      </c>
      <c r="AU171" s="131">
        <f t="shared" si="122"/>
        <v>0</v>
      </c>
      <c r="AV171" s="131">
        <f t="shared" si="122"/>
        <v>21.937919916909195</v>
      </c>
      <c r="AW171" s="131">
        <f t="shared" si="122"/>
        <v>15.380973503986842</v>
      </c>
      <c r="AX171" s="131">
        <f t="shared" si="122"/>
        <v>0</v>
      </c>
      <c r="AY171" s="131">
        <f t="shared" si="122"/>
        <v>0</v>
      </c>
      <c r="AZ171" s="131">
        <f t="shared" si="122"/>
        <v>2.7047788031894751</v>
      </c>
      <c r="BA171" s="131">
        <f t="shared" si="122"/>
        <v>11.807592855056313</v>
      </c>
      <c r="BB171" s="131">
        <f t="shared" si="122"/>
        <v>6.6866459660928914</v>
      </c>
      <c r="BC171" s="131">
        <f t="shared" si="122"/>
        <v>0</v>
      </c>
      <c r="BE171" s="130">
        <v>2</v>
      </c>
      <c r="BF171" s="131">
        <f t="shared" ref="BF171:BH200" si="125">((B171/($BI$1^2))+(P171/($AV$1^2))+(AD171/($AV$2^2)))/((1/($BI$1^2))+(1/($AV$1^2))+(1/($AV$2^2)))</f>
        <v>0</v>
      </c>
      <c r="BG171" s="131">
        <f t="shared" si="123"/>
        <v>25.683669374067193</v>
      </c>
      <c r="BH171" s="131">
        <f t="shared" si="123"/>
        <v>23.196128047759689</v>
      </c>
      <c r="BI171" s="131">
        <f t="shared" si="123"/>
        <v>0</v>
      </c>
      <c r="BJ171" s="131">
        <f t="shared" si="123"/>
        <v>23.744558047577062</v>
      </c>
      <c r="BK171" s="131">
        <f t="shared" si="123"/>
        <v>15.163306259328065</v>
      </c>
      <c r="BL171" s="131">
        <f t="shared" si="123"/>
        <v>0</v>
      </c>
      <c r="BM171" s="131">
        <f t="shared" si="123"/>
        <v>0</v>
      </c>
      <c r="BN171" s="131">
        <f t="shared" si="123"/>
        <v>2.5306450074624518</v>
      </c>
      <c r="BO171" s="131">
        <f t="shared" si="123"/>
        <v>12.077500238433199</v>
      </c>
      <c r="BP171" s="131">
        <f t="shared" si="123"/>
        <v>6.8999598658584951</v>
      </c>
      <c r="BQ171" s="131">
        <f t="shared" si="123"/>
        <v>0</v>
      </c>
    </row>
    <row r="172" spans="1:82">
      <c r="A172" s="130">
        <v>3</v>
      </c>
      <c r="B172" s="131">
        <f>IF('Data 2'!B172&lt;0.1,0,'Data 2'!B172)</f>
        <v>0</v>
      </c>
      <c r="C172" s="131">
        <f>IF('Data 2'!C172&lt;0.1,0,'Data 2'!C172)</f>
        <v>5.5524676975217107</v>
      </c>
      <c r="D172" s="131">
        <f>IF('Data 2'!D172&lt;0.1,0,'Data 2'!D172)</f>
        <v>0.13141935378749611</v>
      </c>
      <c r="E172" s="131">
        <f>IF('Data 2'!E172&lt;0.1,0,'Data 2'!E172)</f>
        <v>8.2443387157218968</v>
      </c>
      <c r="F172" s="131">
        <f>IF('Data 2'!F172&lt;0.1,0,'Data 2'!F172)</f>
        <v>5.9384354683655678</v>
      </c>
      <c r="G172" s="131">
        <f>IF('Data 2'!G172&lt;0.1,0,'Data 2'!G172)</f>
        <v>0</v>
      </c>
      <c r="H172" s="131">
        <f>IF('Data 2'!H172&lt;0.1,0,'Data 2'!H172)</f>
        <v>0</v>
      </c>
      <c r="I172" s="131">
        <f>IF('Data 2'!I172&lt;0.1,0,'Data 2'!I172)</f>
        <v>0</v>
      </c>
      <c r="J172" s="131">
        <f>IF('Data 2'!J172&lt;0.1,0,'Data 2'!J172)</f>
        <v>0</v>
      </c>
      <c r="K172" s="131">
        <f>IF('Data 2'!K172&lt;0.1,0,'Data 2'!K172)</f>
        <v>17.564596809672008</v>
      </c>
      <c r="L172" s="131">
        <f>IF('Data 2'!L172&lt;0.1,0,'Data 2'!L172)</f>
        <v>0</v>
      </c>
      <c r="M172" s="131">
        <f>IF('Data 2'!M172&lt;0.1,0,'Data 2'!M172)</f>
        <v>0</v>
      </c>
      <c r="O172" s="130">
        <v>3</v>
      </c>
      <c r="P172" s="131">
        <f>'Stasiun Pontianak Kota'!Q230</f>
        <v>0</v>
      </c>
      <c r="Q172" s="131">
        <f>'Stasiun Pontianak Kota'!R230</f>
        <v>0</v>
      </c>
      <c r="R172" s="131">
        <f>'Stasiun Pontianak Kota'!S230</f>
        <v>0</v>
      </c>
      <c r="S172" s="131">
        <f>'Stasiun Pontianak Kota'!T230</f>
        <v>9</v>
      </c>
      <c r="T172" s="131">
        <f>'Stasiun Pontianak Kota'!U230</f>
        <v>4</v>
      </c>
      <c r="U172" s="131">
        <f>'Stasiun Pontianak Kota'!V230</f>
        <v>0</v>
      </c>
      <c r="V172" s="131">
        <f>'Stasiun Pontianak Kota'!W230</f>
        <v>0</v>
      </c>
      <c r="W172" s="131">
        <f>'Stasiun Pontianak Kota'!X230</f>
        <v>0</v>
      </c>
      <c r="X172" s="131">
        <f>'Stasiun Pontianak Kota'!Y230</f>
        <v>0</v>
      </c>
      <c r="Y172" s="131">
        <f>'Stasiun Pontianak Kota'!Z230</f>
        <v>22</v>
      </c>
      <c r="Z172" s="131">
        <f>'Stasiun Pontianak Kota'!AA230</f>
        <v>0</v>
      </c>
      <c r="AA172" s="131">
        <f>'Stasiun Pontianak Kota'!AB230</f>
        <v>0</v>
      </c>
      <c r="AC172" s="130">
        <v>3</v>
      </c>
      <c r="AD172" s="131">
        <f>'Sta. Meteorologi pnk'!B190</f>
        <v>0</v>
      </c>
      <c r="AE172" s="131">
        <f>'Sta. Meteorologi pnk'!C190</f>
        <v>16.899999999999999</v>
      </c>
      <c r="AF172" s="131">
        <f>'Sta. Meteorologi pnk'!D190</f>
        <v>0.4</v>
      </c>
      <c r="AG172" s="131">
        <f>'Sta. Meteorologi pnk'!E190</f>
        <v>6.7</v>
      </c>
      <c r="AH172" s="131">
        <f>'Sta. Meteorologi pnk'!F190</f>
        <v>9.9</v>
      </c>
      <c r="AI172" s="131">
        <f>'Sta. Meteorologi pnk'!G190</f>
        <v>0.3</v>
      </c>
      <c r="AJ172" s="131">
        <f>'Sta. Meteorologi pnk'!H190</f>
        <v>0</v>
      </c>
      <c r="AK172" s="131">
        <f>'Sta. Meteorologi pnk'!I190</f>
        <v>0</v>
      </c>
      <c r="AL172" s="131">
        <f>'Sta. Meteorologi pnk'!J190</f>
        <v>0</v>
      </c>
      <c r="AM172" s="131">
        <f>'Sta. Meteorologi pnk'!K190</f>
        <v>8.5</v>
      </c>
      <c r="AN172" s="131">
        <f>'Sta. Meteorologi pnk'!L190</f>
        <v>0</v>
      </c>
      <c r="AO172" s="131">
        <f>'Sta. Meteorologi pnk'!M190</f>
        <v>0</v>
      </c>
      <c r="AQ172" s="130">
        <v>3</v>
      </c>
      <c r="AR172" s="131">
        <f t="shared" si="124"/>
        <v>0</v>
      </c>
      <c r="AS172" s="131">
        <f t="shared" si="122"/>
        <v>11.42769044347553</v>
      </c>
      <c r="AT172" s="131">
        <f t="shared" si="122"/>
        <v>0.27047788031894748</v>
      </c>
      <c r="AU172" s="131">
        <f t="shared" si="122"/>
        <v>7.444752188166051</v>
      </c>
      <c r="AV172" s="131">
        <f t="shared" si="122"/>
        <v>7.9895487347044769</v>
      </c>
      <c r="AW172" s="131">
        <f t="shared" si="122"/>
        <v>0.20285841023921061</v>
      </c>
      <c r="AX172" s="131">
        <f t="shared" si="122"/>
        <v>0</v>
      </c>
      <c r="AY172" s="131">
        <f t="shared" si="122"/>
        <v>0</v>
      </c>
      <c r="AZ172" s="131">
        <f t="shared" si="122"/>
        <v>0</v>
      </c>
      <c r="BA172" s="131">
        <f t="shared" si="122"/>
        <v>12.871371539235522</v>
      </c>
      <c r="BB172" s="131">
        <f t="shared" si="122"/>
        <v>0</v>
      </c>
      <c r="BC172" s="131">
        <f t="shared" si="122"/>
        <v>0</v>
      </c>
      <c r="BE172" s="130">
        <v>3</v>
      </c>
      <c r="BF172" s="131">
        <f t="shared" si="125"/>
        <v>0</v>
      </c>
      <c r="BG172" s="131">
        <f t="shared" si="123"/>
        <v>10.69197515652886</v>
      </c>
      <c r="BH172" s="131">
        <f t="shared" si="123"/>
        <v>0.2530645007462452</v>
      </c>
      <c r="BI172" s="131">
        <f t="shared" si="123"/>
        <v>7.5448791207090897</v>
      </c>
      <c r="BJ172" s="131">
        <f t="shared" si="123"/>
        <v>7.7327013860071174</v>
      </c>
      <c r="BK172" s="131">
        <f t="shared" si="123"/>
        <v>0.17745579318924937</v>
      </c>
      <c r="BL172" s="131">
        <f t="shared" si="123"/>
        <v>0</v>
      </c>
      <c r="BM172" s="131">
        <f t="shared" si="123"/>
        <v>0</v>
      </c>
      <c r="BN172" s="131">
        <f t="shared" si="123"/>
        <v>0</v>
      </c>
      <c r="BO172" s="131">
        <f t="shared" si="123"/>
        <v>13.459073099814225</v>
      </c>
      <c r="BP172" s="131">
        <f t="shared" si="123"/>
        <v>0</v>
      </c>
      <c r="BQ172" s="131">
        <f t="shared" si="123"/>
        <v>0</v>
      </c>
    </row>
    <row r="173" spans="1:82">
      <c r="A173" s="130">
        <v>4</v>
      </c>
      <c r="B173" s="131">
        <f>IF('Data 2'!B173&lt;0.1,0,'Data 2'!B173)</f>
        <v>0</v>
      </c>
      <c r="C173" s="131">
        <f>IF('Data 2'!C173&lt;0.1,0,'Data 2'!C173)</f>
        <v>0</v>
      </c>
      <c r="D173" s="131">
        <f>IF('Data 2'!D173&lt;0.1,0,'Data 2'!D173)</f>
        <v>15.236354748830918</v>
      </c>
      <c r="E173" s="131">
        <f>IF('Data 2'!E173&lt;0.1,0,'Data 2'!E173)</f>
        <v>0</v>
      </c>
      <c r="F173" s="131">
        <f>IF('Data 2'!F173&lt;0.1,0,'Data 2'!F173)</f>
        <v>0</v>
      </c>
      <c r="G173" s="131">
        <f>IF('Data 2'!G173&lt;0.1,0,'Data 2'!G173)</f>
        <v>0</v>
      </c>
      <c r="H173" s="131">
        <f>IF('Data 2'!H173&lt;0.1,0,'Data 2'!H173)</f>
        <v>36.028709693187558</v>
      </c>
      <c r="I173" s="131">
        <f>IF('Data 2'!I173&lt;0.1,0,'Data 2'!I173)</f>
        <v>0</v>
      </c>
      <c r="J173" s="131">
        <f>IF('Data 2'!J173&lt;0.1,0,'Data 2'!J173)</f>
        <v>4.0287096931875581</v>
      </c>
      <c r="K173" s="131">
        <f>IF('Data 2'!K173&lt;0.1,0,'Data 2'!K173)</f>
        <v>8.0513548302999673</v>
      </c>
      <c r="L173" s="131">
        <f>IF('Data 2'!L173&lt;0.1,0,'Data 2'!L173)</f>
        <v>0</v>
      </c>
      <c r="M173" s="131">
        <f>IF('Data 2'!M173&lt;0.1,0,'Data 2'!M173)</f>
        <v>0</v>
      </c>
      <c r="O173" s="130">
        <v>4</v>
      </c>
      <c r="P173" s="131">
        <f>'Stasiun Pontianak Kota'!Q231</f>
        <v>0</v>
      </c>
      <c r="Q173" s="131">
        <f>'Stasiun Pontianak Kota'!R231</f>
        <v>0</v>
      </c>
      <c r="R173" s="131">
        <f>'Stasiun Pontianak Kota'!S231</f>
        <v>4</v>
      </c>
      <c r="S173" s="131">
        <f>'Stasiun Pontianak Kota'!T231</f>
        <v>0</v>
      </c>
      <c r="T173" s="131">
        <f>'Stasiun Pontianak Kota'!U231</f>
        <v>0</v>
      </c>
      <c r="U173" s="131">
        <f>'Stasiun Pontianak Kota'!V231</f>
        <v>0</v>
      </c>
      <c r="V173" s="131">
        <f>'Stasiun Pontianak Kota'!W231</f>
        <v>38</v>
      </c>
      <c r="W173" s="131">
        <f>'Stasiun Pontianak Kota'!X231</f>
        <v>0</v>
      </c>
      <c r="X173" s="131">
        <f>'Stasiun Pontianak Kota'!Y231</f>
        <v>6</v>
      </c>
      <c r="Y173" s="131">
        <f>'Stasiun Pontianak Kota'!Z231</f>
        <v>7</v>
      </c>
      <c r="Z173" s="131">
        <f>'Stasiun Pontianak Kota'!AA231</f>
        <v>0</v>
      </c>
      <c r="AA173" s="131">
        <f>'Stasiun Pontianak Kota'!AB231</f>
        <v>0</v>
      </c>
      <c r="AC173" s="130">
        <v>4</v>
      </c>
      <c r="AD173" s="131">
        <f>'Sta. Meteorologi pnk'!B191</f>
        <v>0</v>
      </c>
      <c r="AE173" s="131">
        <f>'Sta. Meteorologi pnk'!C191</f>
        <v>0</v>
      </c>
      <c r="AF173" s="131">
        <f>'Sta. Meteorologi pnk'!D191</f>
        <v>38.200000000000003</v>
      </c>
      <c r="AG173" s="131">
        <f>'Sta. Meteorologi pnk'!E191</f>
        <v>0</v>
      </c>
      <c r="AH173" s="131">
        <f>'Sta. Meteorologi pnk'!F191</f>
        <v>0</v>
      </c>
      <c r="AI173" s="131">
        <f>'Sta. Meteorologi pnk'!G191</f>
        <v>0</v>
      </c>
      <c r="AJ173" s="131">
        <f>'Sta. Meteorologi pnk'!H191</f>
        <v>32</v>
      </c>
      <c r="AK173" s="131">
        <f>'Sta. Meteorologi pnk'!I191</f>
        <v>0</v>
      </c>
      <c r="AL173" s="131">
        <f>'Sta. Meteorologi pnk'!J191</f>
        <v>0</v>
      </c>
      <c r="AM173" s="131">
        <f>'Sta. Meteorologi pnk'!K191</f>
        <v>10.199999999999999</v>
      </c>
      <c r="AN173" s="131">
        <f>'Sta. Meteorologi pnk'!L191</f>
        <v>0</v>
      </c>
      <c r="AO173" s="131">
        <f>'Sta. Meteorologi pnk'!M191</f>
        <v>0</v>
      </c>
      <c r="AQ173" s="130">
        <v>4</v>
      </c>
      <c r="AR173" s="131">
        <f t="shared" si="124"/>
        <v>0</v>
      </c>
      <c r="AS173" s="131">
        <f t="shared" si="122"/>
        <v>0</v>
      </c>
      <c r="AT173" s="131">
        <f t="shared" si="122"/>
        <v>27.12585876727001</v>
      </c>
      <c r="AU173" s="131">
        <f t="shared" si="122"/>
        <v>0</v>
      </c>
      <c r="AV173" s="131">
        <f t="shared" si="122"/>
        <v>0</v>
      </c>
      <c r="AW173" s="131">
        <f t="shared" si="122"/>
        <v>0</v>
      </c>
      <c r="AX173" s="131">
        <f t="shared" si="122"/>
        <v>33.942831795215788</v>
      </c>
      <c r="AY173" s="131">
        <f t="shared" si="122"/>
        <v>0</v>
      </c>
      <c r="AZ173" s="131">
        <f t="shared" si="122"/>
        <v>1.942831795215787</v>
      </c>
      <c r="BA173" s="131">
        <f t="shared" si="122"/>
        <v>9.163823042551579</v>
      </c>
      <c r="BB173" s="131">
        <f t="shared" si="122"/>
        <v>0</v>
      </c>
      <c r="BC173" s="131">
        <f t="shared" si="122"/>
        <v>0</v>
      </c>
      <c r="BE173" s="130">
        <v>4</v>
      </c>
      <c r="BF173" s="131">
        <f t="shared" si="125"/>
        <v>0</v>
      </c>
      <c r="BG173" s="131">
        <f t="shared" si="123"/>
        <v>0</v>
      </c>
      <c r="BH173" s="131">
        <f t="shared" si="123"/>
        <v>25.637014813803969</v>
      </c>
      <c r="BI173" s="131">
        <f t="shared" si="123"/>
        <v>0</v>
      </c>
      <c r="BJ173" s="131">
        <f t="shared" si="123"/>
        <v>0</v>
      </c>
      <c r="BK173" s="131">
        <f t="shared" si="123"/>
        <v>0</v>
      </c>
      <c r="BL173" s="131">
        <f t="shared" si="123"/>
        <v>34.204032488806327</v>
      </c>
      <c r="BM173" s="131">
        <f t="shared" si="123"/>
        <v>0</v>
      </c>
      <c r="BN173" s="131">
        <f t="shared" si="123"/>
        <v>2.2040324888063219</v>
      </c>
      <c r="BO173" s="131">
        <f t="shared" si="123"/>
        <v>9.0245160059699607</v>
      </c>
      <c r="BP173" s="131">
        <f t="shared" si="123"/>
        <v>0</v>
      </c>
      <c r="BQ173" s="131">
        <f t="shared" si="123"/>
        <v>0</v>
      </c>
    </row>
    <row r="174" spans="1:82">
      <c r="A174" s="130">
        <v>5</v>
      </c>
      <c r="B174" s="131">
        <f>IF('Data 2'!B174&lt;0.1,0,'Data 2'!B174)</f>
        <v>0</v>
      </c>
      <c r="C174" s="131">
        <f>IF('Data 2'!C174&lt;0.1,0,'Data 2'!C174)</f>
        <v>0</v>
      </c>
      <c r="D174" s="131">
        <f>IF('Data 2'!D174&lt;0.1,0,'Data 2'!D174)</f>
        <v>0.65709676893748048</v>
      </c>
      <c r="E174" s="131">
        <f>IF('Data 2'!E174&lt;0.1,0,'Data 2'!E174)</f>
        <v>0</v>
      </c>
      <c r="F174" s="131">
        <f>IF('Data 2'!F174&lt;0.1,0,'Data 2'!F174)</f>
        <v>57.556306519153374</v>
      </c>
      <c r="G174" s="131">
        <f>IF('Data 2'!G174&lt;0.1,0,'Data 2'!G174)</f>
        <v>0</v>
      </c>
      <c r="H174" s="131">
        <f>IF('Data 2'!H174&lt;0.1,0,'Data 2'!H174)</f>
        <v>0</v>
      </c>
      <c r="I174" s="131">
        <f>IF('Data 2'!I174&lt;0.1,0,'Data 2'!I174)</f>
        <v>0</v>
      </c>
      <c r="J174" s="131">
        <f>IF('Data 2'!J174&lt;0.1,0,'Data 2'!J174)</f>
        <v>3.7454515829436392</v>
      </c>
      <c r="K174" s="131">
        <f>IF('Data 2'!K174&lt;0.1,0,'Data 2'!K174)</f>
        <v>0.39425806136248831</v>
      </c>
      <c r="L174" s="131">
        <f>IF('Data 2'!L174&lt;0.1,0,'Data 2'!L174)</f>
        <v>59.244032392094248</v>
      </c>
      <c r="M174" s="131">
        <f>IF('Data 2'!M174&lt;0.1,0,'Data 2'!M174)</f>
        <v>0.49282257670311042</v>
      </c>
      <c r="O174" s="130">
        <v>5</v>
      </c>
      <c r="P174" s="131">
        <f>'Stasiun Pontianak Kota'!Q232</f>
        <v>0</v>
      </c>
      <c r="Q174" s="131">
        <f>'Stasiun Pontianak Kota'!R232</f>
        <v>0</v>
      </c>
      <c r="R174" s="131">
        <f>'Stasiun Pontianak Kota'!S232</f>
        <v>0</v>
      </c>
      <c r="S174" s="131">
        <f>'Stasiun Pontianak Kota'!T232</f>
        <v>0</v>
      </c>
      <c r="T174" s="131">
        <f>'Stasiun Pontianak Kota'!U232</f>
        <v>66</v>
      </c>
      <c r="U174" s="131">
        <f>'Stasiun Pontianak Kota'!V232</f>
        <v>0</v>
      </c>
      <c r="V174" s="131">
        <f>'Stasiun Pontianak Kota'!W232</f>
        <v>0</v>
      </c>
      <c r="W174" s="131">
        <f>'Stasiun Pontianak Kota'!X232</f>
        <v>0</v>
      </c>
      <c r="X174" s="131">
        <f>'Stasiun Pontianak Kota'!Y232</f>
        <v>0</v>
      </c>
      <c r="Y174" s="131">
        <f>'Stasiun Pontianak Kota'!Z232</f>
        <v>0</v>
      </c>
      <c r="Z174" s="131">
        <f>'Stasiun Pontianak Kota'!AA232</f>
        <v>76</v>
      </c>
      <c r="AA174" s="131">
        <f>'Stasiun Pontianak Kota'!AB232</f>
        <v>0</v>
      </c>
      <c r="AC174" s="130">
        <v>5</v>
      </c>
      <c r="AD174" s="131">
        <f>'Sta. Meteorologi pnk'!B192</f>
        <v>0.2</v>
      </c>
      <c r="AE174" s="131">
        <f>'Sta. Meteorologi pnk'!C192</f>
        <v>0</v>
      </c>
      <c r="AF174" s="131">
        <f>'Sta. Meteorologi pnk'!D192</f>
        <v>2</v>
      </c>
      <c r="AG174" s="131">
        <f>'Sta. Meteorologi pnk'!E192</f>
        <v>0</v>
      </c>
      <c r="AH174" s="131">
        <f>'Sta. Meteorologi pnk'!F192</f>
        <v>40.299999999999997</v>
      </c>
      <c r="AI174" s="131">
        <f>'Sta. Meteorologi pnk'!G192</f>
        <v>0</v>
      </c>
      <c r="AJ174" s="131">
        <f>'Sta. Meteorologi pnk'!H192</f>
        <v>0</v>
      </c>
      <c r="AK174" s="131">
        <f>'Sta. Meteorologi pnk'!I192</f>
        <v>0</v>
      </c>
      <c r="AL174" s="131">
        <f>'Sta. Meteorologi pnk'!J192</f>
        <v>11.4</v>
      </c>
      <c r="AM174" s="131">
        <f>'Sta. Meteorologi pnk'!K192</f>
        <v>1.2</v>
      </c>
      <c r="AN174" s="131">
        <f>'Sta. Meteorologi pnk'!L192</f>
        <v>25</v>
      </c>
      <c r="AO174" s="131">
        <f>'Sta. Meteorologi pnk'!M192</f>
        <v>1.5</v>
      </c>
      <c r="AQ174" s="130">
        <v>5</v>
      </c>
      <c r="AR174" s="131">
        <f t="shared" si="124"/>
        <v>0.13523894015947374</v>
      </c>
      <c r="AS174" s="131">
        <f t="shared" si="122"/>
        <v>0</v>
      </c>
      <c r="AT174" s="131">
        <f t="shared" si="122"/>
        <v>1.3523894015947375</v>
      </c>
      <c r="AU174" s="131">
        <f t="shared" si="122"/>
        <v>0</v>
      </c>
      <c r="AV174" s="131">
        <f t="shared" si="122"/>
        <v>48.62179618950762</v>
      </c>
      <c r="AW174" s="131">
        <f t="shared" si="122"/>
        <v>0</v>
      </c>
      <c r="AX174" s="131">
        <f t="shared" si="122"/>
        <v>0</v>
      </c>
      <c r="AY174" s="131">
        <f t="shared" si="122"/>
        <v>0</v>
      </c>
      <c r="AZ174" s="131">
        <f t="shared" si="122"/>
        <v>7.7086195890900031</v>
      </c>
      <c r="BA174" s="131">
        <f t="shared" si="122"/>
        <v>0.81143364095684245</v>
      </c>
      <c r="BB174" s="131">
        <f t="shared" si="122"/>
        <v>41.51407025933419</v>
      </c>
      <c r="BC174" s="131">
        <f t="shared" si="122"/>
        <v>1.0142920511960531</v>
      </c>
      <c r="BE174" s="130">
        <v>5</v>
      </c>
      <c r="BF174" s="131">
        <f t="shared" si="125"/>
        <v>0.11830386212616625</v>
      </c>
      <c r="BG174" s="131">
        <f t="shared" si="123"/>
        <v>0</v>
      </c>
      <c r="BH174" s="131">
        <f t="shared" si="123"/>
        <v>1.2653225037312259</v>
      </c>
      <c r="BI174" s="131">
        <f t="shared" si="123"/>
        <v>0</v>
      </c>
      <c r="BJ174" s="131">
        <f t="shared" si="123"/>
        <v>49.740605827053749</v>
      </c>
      <c r="BK174" s="131">
        <f t="shared" si="123"/>
        <v>0</v>
      </c>
      <c r="BL174" s="131">
        <f t="shared" si="123"/>
        <v>0</v>
      </c>
      <c r="BM174" s="131">
        <f t="shared" si="123"/>
        <v>0</v>
      </c>
      <c r="BN174" s="131">
        <f t="shared" si="123"/>
        <v>7.2123382712679884</v>
      </c>
      <c r="BO174" s="131">
        <f t="shared" si="123"/>
        <v>0.7591935022387355</v>
      </c>
      <c r="BP174" s="131">
        <f t="shared" si="123"/>
        <v>43.734276154853738</v>
      </c>
      <c r="BQ174" s="131">
        <f t="shared" si="123"/>
        <v>0.94899187779841954</v>
      </c>
    </row>
    <row r="175" spans="1:82">
      <c r="A175" s="130">
        <v>6</v>
      </c>
      <c r="B175" s="131">
        <f>IF('Data 2'!B175&lt;0.1,0,'Data 2'!B175)</f>
        <v>0</v>
      </c>
      <c r="C175" s="131">
        <f>IF('Data 2'!C175&lt;0.1,0,'Data 2'!C175)</f>
        <v>0</v>
      </c>
      <c r="D175" s="131">
        <f>IF('Data 2'!D175&lt;0.1,0,'Data 2'!D175)</f>
        <v>2.2114838772750232</v>
      </c>
      <c r="E175" s="131">
        <f>IF('Data 2'!E175&lt;0.1,0,'Data 2'!E175)</f>
        <v>0</v>
      </c>
      <c r="F175" s="131">
        <f>IF('Data 2'!F175&lt;0.1,0,'Data 2'!F175)</f>
        <v>2.1684193374936855</v>
      </c>
      <c r="G175" s="131">
        <f>IF('Data 2'!G175&lt;0.1,0,'Data 2'!G175)</f>
        <v>0</v>
      </c>
      <c r="H175" s="131">
        <f>IF('Data 2'!H175&lt;0.1,0,'Data 2'!H175)</f>
        <v>27.228064458312282</v>
      </c>
      <c r="I175" s="131">
        <f>IF('Data 2'!I175&lt;0.1,0,'Data 2'!I175)</f>
        <v>22.014354846593779</v>
      </c>
      <c r="J175" s="131">
        <f>IF('Data 2'!J175&lt;0.1,0,'Data 2'!J175)</f>
        <v>10.466032294331384</v>
      </c>
      <c r="K175" s="131">
        <f>IF('Data 2'!K175&lt;0.1,0,'Data 2'!K175)</f>
        <v>1.149919345640591</v>
      </c>
      <c r="L175" s="131">
        <f>IF('Data 2'!L175&lt;0.1,0,'Data 2'!L175)</f>
        <v>6.9486451697000309</v>
      </c>
      <c r="M175" s="131">
        <f>IF('Data 2'!M175&lt;0.1,0,'Data 2'!M175)</f>
        <v>1.4456128916624573</v>
      </c>
      <c r="O175" s="130">
        <v>6</v>
      </c>
      <c r="P175" s="131">
        <f>'Stasiun Pontianak Kota'!Q233</f>
        <v>0</v>
      </c>
      <c r="Q175" s="131">
        <f>'Stasiun Pontianak Kota'!R233</f>
        <v>0</v>
      </c>
      <c r="R175" s="131">
        <f>'Stasiun Pontianak Kota'!S233</f>
        <v>3</v>
      </c>
      <c r="S175" s="131">
        <f>'Stasiun Pontianak Kota'!T233</f>
        <v>0</v>
      </c>
      <c r="T175" s="131">
        <f>'Stasiun Pontianak Kota'!U233</f>
        <v>0</v>
      </c>
      <c r="U175" s="131">
        <f>'Stasiun Pontianak Kota'!V233</f>
        <v>0</v>
      </c>
      <c r="V175" s="131">
        <f>'Stasiun Pontianak Kota'!W233</f>
        <v>20</v>
      </c>
      <c r="W175" s="131">
        <f>'Stasiun Pontianak Kota'!X233</f>
        <v>23</v>
      </c>
      <c r="X175" s="131">
        <f>'Stasiun Pontianak Kota'!Y233</f>
        <v>15</v>
      </c>
      <c r="Y175" s="131">
        <f>'Stasiun Pontianak Kota'!Z233</f>
        <v>0</v>
      </c>
      <c r="Z175" s="131">
        <f>'Stasiun Pontianak Kota'!AA233</f>
        <v>8</v>
      </c>
      <c r="AA175" s="131">
        <f>'Stasiun Pontianak Kota'!AB233</f>
        <v>0</v>
      </c>
      <c r="AC175" s="130">
        <v>6</v>
      </c>
      <c r="AD175" s="131">
        <f>'Sta. Meteorologi pnk'!B193</f>
        <v>0</v>
      </c>
      <c r="AE175" s="131">
        <f>'Sta. Meteorologi pnk'!C193</f>
        <v>0</v>
      </c>
      <c r="AF175" s="131">
        <f>'Sta. Meteorologi pnk'!D193</f>
        <v>0.6</v>
      </c>
      <c r="AG175" s="131">
        <f>'Sta. Meteorologi pnk'!E193</f>
        <v>0</v>
      </c>
      <c r="AH175" s="131">
        <f>'Sta. Meteorologi pnk'!F193</f>
        <v>6.6</v>
      </c>
      <c r="AI175" s="131">
        <f>'Sta. Meteorologi pnk'!G193</f>
        <v>0</v>
      </c>
      <c r="AJ175" s="131">
        <f>'Sta. Meteorologi pnk'!H193</f>
        <v>42</v>
      </c>
      <c r="AK175" s="131">
        <f>'Sta. Meteorologi pnk'!I193</f>
        <v>20</v>
      </c>
      <c r="AL175" s="131">
        <f>'Sta. Meteorologi pnk'!J193</f>
        <v>1.2</v>
      </c>
      <c r="AM175" s="131">
        <f>'Sta. Meteorologi pnk'!K193</f>
        <v>3.5</v>
      </c>
      <c r="AN175" s="131">
        <f>'Sta. Meteorologi pnk'!L193</f>
        <v>4.8</v>
      </c>
      <c r="AO175" s="131">
        <f>'Sta. Meteorologi pnk'!M193</f>
        <v>4.4000000000000004</v>
      </c>
      <c r="AQ175" s="130">
        <v>6</v>
      </c>
      <c r="AR175" s="131">
        <f t="shared" si="124"/>
        <v>0</v>
      </c>
      <c r="AS175" s="131">
        <f t="shared" si="122"/>
        <v>0</v>
      </c>
      <c r="AT175" s="131">
        <f t="shared" si="122"/>
        <v>1.3771327180863149</v>
      </c>
      <c r="AU175" s="131">
        <f t="shared" si="122"/>
        <v>0</v>
      </c>
      <c r="AV175" s="131">
        <f t="shared" si="122"/>
        <v>4.4628850252626338</v>
      </c>
      <c r="AW175" s="131">
        <f t="shared" si="122"/>
        <v>0</v>
      </c>
      <c r="AX175" s="131">
        <f t="shared" si="122"/>
        <v>34.876283417542112</v>
      </c>
      <c r="AY175" s="131">
        <f t="shared" si="122"/>
        <v>20.971415897607894</v>
      </c>
      <c r="AZ175" s="131">
        <f t="shared" si="122"/>
        <v>5.6685131289963104</v>
      </c>
      <c r="BA175" s="131">
        <f t="shared" si="122"/>
        <v>2.3666814527907905</v>
      </c>
      <c r="BB175" s="131">
        <f t="shared" si="122"/>
        <v>5.8361769574484201</v>
      </c>
      <c r="BC175" s="131">
        <f t="shared" si="122"/>
        <v>2.9752566835084227</v>
      </c>
      <c r="BE175" s="130">
        <v>6</v>
      </c>
      <c r="BF175" s="131">
        <f t="shared" si="125"/>
        <v>0</v>
      </c>
      <c r="BG175" s="131">
        <f t="shared" si="123"/>
        <v>0</v>
      </c>
      <c r="BH175" s="131">
        <f t="shared" si="123"/>
        <v>1.4816129955225288</v>
      </c>
      <c r="BI175" s="131">
        <f t="shared" si="123"/>
        <v>0</v>
      </c>
      <c r="BJ175" s="131">
        <f t="shared" si="123"/>
        <v>4.1755642623130456</v>
      </c>
      <c r="BK175" s="131">
        <f t="shared" si="123"/>
        <v>0</v>
      </c>
      <c r="BL175" s="131">
        <f t="shared" si="123"/>
        <v>33.918547541043488</v>
      </c>
      <c r="BM175" s="131">
        <f t="shared" si="123"/>
        <v>21.102016244403163</v>
      </c>
      <c r="BN175" s="131">
        <f t="shared" si="123"/>
        <v>6.269274724254541</v>
      </c>
      <c r="BO175" s="131">
        <f t="shared" si="123"/>
        <v>2.2143143815296455</v>
      </c>
      <c r="BP175" s="131">
        <f t="shared" si="123"/>
        <v>5.9754839940300393</v>
      </c>
      <c r="BQ175" s="131">
        <f t="shared" si="123"/>
        <v>2.7837095082086973</v>
      </c>
    </row>
    <row r="176" spans="1:82">
      <c r="A176" s="130">
        <v>7</v>
      </c>
      <c r="B176" s="131">
        <f>IF('Data 2'!B176&lt;0.1,0,'Data 2'!B176)</f>
        <v>0</v>
      </c>
      <c r="C176" s="131">
        <f>IF('Data 2'!C176&lt;0.1,0,'Data 2'!C176)</f>
        <v>0</v>
      </c>
      <c r="D176" s="131">
        <f>IF('Data 2'!D176&lt;0.1,0,'Data 2'!D176)</f>
        <v>0</v>
      </c>
      <c r="E176" s="131">
        <f>IF('Data 2'!E176&lt;0.1,0,'Data 2'!E176)</f>
        <v>0</v>
      </c>
      <c r="F176" s="131">
        <f>IF('Data 2'!F176&lt;0.1,0,'Data 2'!F176)</f>
        <v>17.839870953024946</v>
      </c>
      <c r="G176" s="131">
        <f>IF('Data 2'!G176&lt;0.1,0,'Data 2'!G176)</f>
        <v>0</v>
      </c>
      <c r="H176" s="131">
        <f>IF('Data 2'!H176&lt;0.1,0,'Data 2'!H176)</f>
        <v>29.599371058934711</v>
      </c>
      <c r="I176" s="131">
        <f>IF('Data 2'!I176&lt;0.1,0,'Data 2'!I176)</f>
        <v>31</v>
      </c>
      <c r="J176" s="131">
        <f>IF('Data 2'!J176&lt;0.1,0,'Data 2'!J176)</f>
        <v>6.3368386749873711</v>
      </c>
      <c r="K176" s="131">
        <f>IF('Data 2'!K176&lt;0.1,0,'Data 2'!K176)</f>
        <v>6.0452902742248202</v>
      </c>
      <c r="L176" s="131">
        <f>IF('Data 2'!L176&lt;0.1,0,'Data 2'!L176)</f>
        <v>0</v>
      </c>
      <c r="M176" s="131">
        <f>IF('Data 2'!M176&lt;0.1,0,'Data 2'!M176)</f>
        <v>8.0822902579310103</v>
      </c>
      <c r="O176" s="130">
        <v>7</v>
      </c>
      <c r="P176" s="131">
        <f>'Stasiun Pontianak Kota'!Q234</f>
        <v>0</v>
      </c>
      <c r="Q176" s="131">
        <f>'Stasiun Pontianak Kota'!R234</f>
        <v>0</v>
      </c>
      <c r="R176" s="131">
        <f>'Stasiun Pontianak Kota'!S234</f>
        <v>0</v>
      </c>
      <c r="S176" s="131">
        <f>'Stasiun Pontianak Kota'!T234</f>
        <v>0</v>
      </c>
      <c r="T176" s="131">
        <f>'Stasiun Pontianak Kota'!U234</f>
        <v>16</v>
      </c>
      <c r="U176" s="131">
        <f>'Stasiun Pontianak Kota'!V234</f>
        <v>0</v>
      </c>
      <c r="V176" s="131">
        <f>'Stasiun Pontianak Kota'!W234</f>
        <v>41</v>
      </c>
      <c r="W176" s="131">
        <f>'Stasiun Pontianak Kota'!X234</f>
        <v>31</v>
      </c>
      <c r="X176" s="131">
        <f>'Stasiun Pontianak Kota'!Y234</f>
        <v>2</v>
      </c>
      <c r="Y176" s="131">
        <f>'Stasiun Pontianak Kota'!Z234</f>
        <v>0</v>
      </c>
      <c r="Z176" s="131">
        <f>'Stasiun Pontianak Kota'!AA234</f>
        <v>0</v>
      </c>
      <c r="AA176" s="131">
        <f>'Stasiun Pontianak Kota'!AB234</f>
        <v>0</v>
      </c>
      <c r="AC176" s="130">
        <v>7</v>
      </c>
      <c r="AD176" s="131">
        <f>'Sta. Meteorologi pnk'!B194</f>
        <v>0</v>
      </c>
      <c r="AE176" s="131">
        <f>'Sta. Meteorologi pnk'!C194</f>
        <v>0</v>
      </c>
      <c r="AF176" s="131">
        <f>'Sta. Meteorologi pnk'!D194</f>
        <v>0</v>
      </c>
      <c r="AG176" s="131">
        <f>'Sta. Meteorologi pnk'!E194</f>
        <v>0</v>
      </c>
      <c r="AH176" s="131">
        <f>'Sta. Meteorologi pnk'!F194</f>
        <v>21.6</v>
      </c>
      <c r="AI176" s="131">
        <f>'Sta. Meteorologi pnk'!G194</f>
        <v>0</v>
      </c>
      <c r="AJ176" s="131">
        <f>'Sta. Meteorologi pnk'!H194</f>
        <v>6.3</v>
      </c>
      <c r="AK176" s="131">
        <f>'Sta. Meteorologi pnk'!I194</f>
        <v>31</v>
      </c>
      <c r="AL176" s="131">
        <f>'Sta. Meteorologi pnk'!J194</f>
        <v>15.2</v>
      </c>
      <c r="AM176" s="131">
        <f>'Sta. Meteorologi pnk'!K194</f>
        <v>18.399999999999999</v>
      </c>
      <c r="AN176" s="131">
        <f>'Sta. Meteorologi pnk'!L194</f>
        <v>0</v>
      </c>
      <c r="AO176" s="131">
        <f>'Sta. Meteorologi pnk'!M194</f>
        <v>24.6</v>
      </c>
      <c r="AQ176" s="130">
        <v>7</v>
      </c>
      <c r="AR176" s="131">
        <f t="shared" si="124"/>
        <v>0</v>
      </c>
      <c r="AS176" s="131">
        <f t="shared" si="122"/>
        <v>0</v>
      </c>
      <c r="AT176" s="131">
        <f t="shared" si="122"/>
        <v>0</v>
      </c>
      <c r="AU176" s="131">
        <f t="shared" si="122"/>
        <v>0</v>
      </c>
      <c r="AV176" s="131">
        <f t="shared" si="122"/>
        <v>19.786690324465262</v>
      </c>
      <c r="AW176" s="131">
        <f t="shared" si="122"/>
        <v>0</v>
      </c>
      <c r="AX176" s="131">
        <f t="shared" si="122"/>
        <v>17.536043882331303</v>
      </c>
      <c r="AY176" s="131">
        <f t="shared" si="122"/>
        <v>30.999999999999996</v>
      </c>
      <c r="AZ176" s="131">
        <f t="shared" si="122"/>
        <v>10.925770050525268</v>
      </c>
      <c r="BA176" s="131">
        <f t="shared" si="122"/>
        <v>12.441982494671585</v>
      </c>
      <c r="BB176" s="131">
        <f t="shared" si="122"/>
        <v>0</v>
      </c>
      <c r="BC176" s="131">
        <f t="shared" si="122"/>
        <v>16.634389639615272</v>
      </c>
      <c r="BE176" s="130">
        <v>7</v>
      </c>
      <c r="BF176" s="131">
        <f t="shared" si="125"/>
        <v>0</v>
      </c>
      <c r="BG176" s="131">
        <f t="shared" si="123"/>
        <v>0</v>
      </c>
      <c r="BH176" s="131">
        <f t="shared" si="123"/>
        <v>0</v>
      </c>
      <c r="BI176" s="131">
        <f t="shared" si="123"/>
        <v>0</v>
      </c>
      <c r="BJ176" s="131">
        <f t="shared" si="123"/>
        <v>19.542903010447432</v>
      </c>
      <c r="BK176" s="131">
        <f t="shared" si="123"/>
        <v>0</v>
      </c>
      <c r="BL176" s="131">
        <f t="shared" si="123"/>
        <v>19.046654560263232</v>
      </c>
      <c r="BM176" s="131">
        <f t="shared" si="123"/>
        <v>31</v>
      </c>
      <c r="BN176" s="131">
        <f t="shared" si="123"/>
        <v>10.351128524626091</v>
      </c>
      <c r="BO176" s="131">
        <f t="shared" si="123"/>
        <v>11.64096703432728</v>
      </c>
      <c r="BP176" s="131">
        <f t="shared" si="123"/>
        <v>0</v>
      </c>
      <c r="BQ176" s="131">
        <f t="shared" si="123"/>
        <v>15.563466795894081</v>
      </c>
    </row>
    <row r="177" spans="1:69">
      <c r="A177" s="130">
        <v>8</v>
      </c>
      <c r="B177" s="131">
        <f>IF('Data 2'!B177&lt;0.1,0,'Data 2'!B177)</f>
        <v>0</v>
      </c>
      <c r="C177" s="131">
        <f>IF('Data 2'!C177&lt;0.1,0,'Data 2'!C177)</f>
        <v>0</v>
      </c>
      <c r="D177" s="131">
        <f>IF('Data 2'!D177&lt;0.1,0,'Data 2'!D177)</f>
        <v>0</v>
      </c>
      <c r="E177" s="131">
        <f>IF('Data 2'!E177&lt;0.1,0,'Data 2'!E177)</f>
        <v>0</v>
      </c>
      <c r="F177" s="131">
        <f>IF('Data 2'!F177&lt;0.1,0,'Data 2'!F177)</f>
        <v>0</v>
      </c>
      <c r="G177" s="131">
        <f>IF('Data 2'!G177&lt;0.1,0,'Data 2'!G177)</f>
        <v>0</v>
      </c>
      <c r="H177" s="131">
        <f>IF('Data 2'!H177&lt;0.1,0,'Data 2'!H177)</f>
        <v>0</v>
      </c>
      <c r="I177" s="131">
        <f>IF('Data 2'!I177&lt;0.1,0,'Data 2'!I177)</f>
        <v>1.7700161308718818</v>
      </c>
      <c r="J177" s="131">
        <f>IF('Data 2'!J177&lt;0.1,0,'Data 2'!J177)</f>
        <v>0.68995160738435457</v>
      </c>
      <c r="K177" s="131">
        <f>IF('Data 2'!K177&lt;0.1,0,'Data 2'!K177)</f>
        <v>23.632225897381581</v>
      </c>
      <c r="L177" s="131">
        <f>IF('Data 2'!L177&lt;0.1,0,'Data 2'!L177)</f>
        <v>38.071774232968892</v>
      </c>
      <c r="M177" s="131">
        <f>IF('Data 2'!M177&lt;0.1,0,'Data 2'!M177)</f>
        <v>0.49282257670311042</v>
      </c>
      <c r="O177" s="130">
        <v>8</v>
      </c>
      <c r="P177" s="131">
        <f>'Stasiun Pontianak Kota'!Q235</f>
        <v>0</v>
      </c>
      <c r="Q177" s="131">
        <f>'Stasiun Pontianak Kota'!R235</f>
        <v>0</v>
      </c>
      <c r="R177" s="131">
        <f>'Stasiun Pontianak Kota'!S235</f>
        <v>0</v>
      </c>
      <c r="S177" s="131">
        <f>'Stasiun Pontianak Kota'!T235</f>
        <v>0</v>
      </c>
      <c r="T177" s="131">
        <f>'Stasiun Pontianak Kota'!U235</f>
        <v>0</v>
      </c>
      <c r="U177" s="131">
        <f>'Stasiun Pontianak Kota'!V235</f>
        <v>0</v>
      </c>
      <c r="V177" s="131">
        <f>'Stasiun Pontianak Kota'!W235</f>
        <v>0</v>
      </c>
      <c r="W177" s="131">
        <f>'Stasiun Pontianak Kota'!X235</f>
        <v>2</v>
      </c>
      <c r="X177" s="131">
        <f>'Stasiun Pontianak Kota'!Y235</f>
        <v>0</v>
      </c>
      <c r="Y177" s="131">
        <f>'Stasiun Pontianak Kota'!Z235</f>
        <v>35</v>
      </c>
      <c r="Z177" s="131">
        <f>'Stasiun Pontianak Kota'!AA235</f>
        <v>43</v>
      </c>
      <c r="AA177" s="131">
        <f>'Stasiun Pontianak Kota'!AB235</f>
        <v>0</v>
      </c>
      <c r="AC177" s="130">
        <v>8</v>
      </c>
      <c r="AD177" s="131">
        <f>'Sta. Meteorologi pnk'!B195</f>
        <v>0</v>
      </c>
      <c r="AE177" s="131">
        <f>'Sta. Meteorologi pnk'!C195</f>
        <v>0</v>
      </c>
      <c r="AF177" s="131">
        <f>'Sta. Meteorologi pnk'!D195</f>
        <v>0</v>
      </c>
      <c r="AG177" s="131">
        <f>'Sta. Meteorologi pnk'!E195</f>
        <v>0</v>
      </c>
      <c r="AH177" s="131">
        <f>'Sta. Meteorologi pnk'!F195</f>
        <v>0</v>
      </c>
      <c r="AI177" s="131">
        <f>'Sta. Meteorologi pnk'!G195</f>
        <v>0</v>
      </c>
      <c r="AJ177" s="131">
        <f>'Sta. Meteorologi pnk'!H195</f>
        <v>0</v>
      </c>
      <c r="AK177" s="131">
        <f>'Sta. Meteorologi pnk'!I195</f>
        <v>1.3</v>
      </c>
      <c r="AL177" s="131">
        <f>'Sta. Meteorologi pnk'!J195</f>
        <v>2.1</v>
      </c>
      <c r="AM177" s="131">
        <f>'Sta. Meteorologi pnk'!K195</f>
        <v>0.4</v>
      </c>
      <c r="AN177" s="131">
        <f>'Sta. Meteorologi pnk'!L195</f>
        <v>28</v>
      </c>
      <c r="AO177" s="131">
        <f>'Sta. Meteorologi pnk'!M195</f>
        <v>1.5</v>
      </c>
      <c r="AQ177" s="130">
        <v>8</v>
      </c>
      <c r="AR177" s="131">
        <f t="shared" si="124"/>
        <v>0</v>
      </c>
      <c r="AS177" s="131">
        <f t="shared" si="122"/>
        <v>0</v>
      </c>
      <c r="AT177" s="131">
        <f t="shared" si="122"/>
        <v>0</v>
      </c>
      <c r="AU177" s="131">
        <f t="shared" si="122"/>
        <v>0</v>
      </c>
      <c r="AV177" s="131">
        <f t="shared" si="122"/>
        <v>0</v>
      </c>
      <c r="AW177" s="131">
        <f t="shared" si="122"/>
        <v>0</v>
      </c>
      <c r="AX177" s="131">
        <f t="shared" si="122"/>
        <v>0</v>
      </c>
      <c r="AY177" s="131">
        <f t="shared" si="122"/>
        <v>1.5266637094418418</v>
      </c>
      <c r="AZ177" s="131">
        <f t="shared" si="122"/>
        <v>1.4200088716744745</v>
      </c>
      <c r="BA177" s="131">
        <f t="shared" si="122"/>
        <v>11.60366335241104</v>
      </c>
      <c r="BB177" s="131">
        <f t="shared" si="122"/>
        <v>32.857079488039467</v>
      </c>
      <c r="BC177" s="131">
        <f t="shared" si="122"/>
        <v>1.0142920511960531</v>
      </c>
      <c r="BE177" s="130">
        <v>8</v>
      </c>
      <c r="BF177" s="131">
        <f t="shared" si="125"/>
        <v>0</v>
      </c>
      <c r="BG177" s="131">
        <f t="shared" si="123"/>
        <v>0</v>
      </c>
      <c r="BH177" s="131">
        <f t="shared" si="123"/>
        <v>0</v>
      </c>
      <c r="BI177" s="131">
        <f t="shared" si="123"/>
        <v>0</v>
      </c>
      <c r="BJ177" s="131">
        <f t="shared" si="123"/>
        <v>0</v>
      </c>
      <c r="BK177" s="131">
        <f t="shared" si="123"/>
        <v>0</v>
      </c>
      <c r="BL177" s="131">
        <f t="shared" si="123"/>
        <v>0</v>
      </c>
      <c r="BM177" s="131">
        <f t="shared" si="123"/>
        <v>1.5571371236940712</v>
      </c>
      <c r="BN177" s="131">
        <f t="shared" si="123"/>
        <v>1.3285886289177873</v>
      </c>
      <c r="BO177" s="131">
        <f t="shared" si="123"/>
        <v>13.10992068544979</v>
      </c>
      <c r="BP177" s="131">
        <f t="shared" si="123"/>
        <v>33.510081222015806</v>
      </c>
      <c r="BQ177" s="131">
        <f t="shared" si="123"/>
        <v>0.94899187779841954</v>
      </c>
    </row>
    <row r="178" spans="1:69">
      <c r="A178" s="130">
        <v>9</v>
      </c>
      <c r="B178" s="131">
        <f>IF('Data 2'!B178&lt;0.1,0,'Data 2'!B178)</f>
        <v>0</v>
      </c>
      <c r="C178" s="131">
        <f>IF('Data 2'!C178&lt;0.1,0,'Data 2'!C178)</f>
        <v>0</v>
      </c>
      <c r="D178" s="131">
        <f>IF('Data 2'!D178&lt;0.1,0,'Data 2'!D178)</f>
        <v>0</v>
      </c>
      <c r="E178" s="131">
        <f>IF('Data 2'!E178&lt;0.1,0,'Data 2'!E178)</f>
        <v>0</v>
      </c>
      <c r="F178" s="131">
        <f>IF('Data 2'!F178&lt;0.1,0,'Data 2'!F178)</f>
        <v>0.32854838446874024</v>
      </c>
      <c r="G178" s="131">
        <f>IF('Data 2'!G178&lt;0.1,0,'Data 2'!G178)</f>
        <v>9.035080572890358</v>
      </c>
      <c r="H178" s="131">
        <f>IF('Data 2'!H178&lt;0.1,0,'Data 2'!H178)</f>
        <v>78.499193456405905</v>
      </c>
      <c r="I178" s="131">
        <f>IF('Data 2'!I178&lt;0.1,0,'Data 2'!I178)</f>
        <v>0</v>
      </c>
      <c r="J178" s="131">
        <f>IF('Data 2'!J178&lt;0.1,0,'Data 2'!J178)</f>
        <v>4.7228064458312291</v>
      </c>
      <c r="K178" s="131">
        <f>IF('Data 2'!K178&lt;0.1,0,'Data 2'!K178)</f>
        <v>1.0513548302999689</v>
      </c>
      <c r="L178" s="131">
        <f>IF('Data 2'!L178&lt;0.1,0,'Data 2'!L178)</f>
        <v>2.3141935378749614</v>
      </c>
      <c r="M178" s="131">
        <f>IF('Data 2'!M178&lt;0.1,0,'Data 2'!M178)</f>
        <v>22.027096605999379</v>
      </c>
      <c r="O178" s="130">
        <v>9</v>
      </c>
      <c r="P178" s="131">
        <f>'Stasiun Pontianak Kota'!Q236</f>
        <v>0</v>
      </c>
      <c r="Q178" s="131">
        <f>'Stasiun Pontianak Kota'!R236</f>
        <v>0</v>
      </c>
      <c r="R178" s="131">
        <f>'Stasiun Pontianak Kota'!S236</f>
        <v>0</v>
      </c>
      <c r="S178" s="131">
        <f>'Stasiun Pontianak Kota'!T236</f>
        <v>0</v>
      </c>
      <c r="T178" s="131">
        <f>'Stasiun Pontianak Kota'!U236</f>
        <v>0</v>
      </c>
      <c r="U178" s="131">
        <f>'Stasiun Pontianak Kota'!V236</f>
        <v>0</v>
      </c>
      <c r="V178" s="131">
        <f>'Stasiun Pontianak Kota'!W236</f>
        <v>67</v>
      </c>
      <c r="W178" s="131">
        <f>'Stasiun Pontianak Kota'!X236</f>
        <v>0</v>
      </c>
      <c r="X178" s="131">
        <f>'Stasiun Pontianak Kota'!Y236</f>
        <v>4</v>
      </c>
      <c r="Y178" s="131">
        <f>'Stasiun Pontianak Kota'!Z236</f>
        <v>0</v>
      </c>
      <c r="Z178" s="131">
        <f>'Stasiun Pontianak Kota'!AA236</f>
        <v>1</v>
      </c>
      <c r="AA178" s="131">
        <f>'Stasiun Pontianak Kota'!AB236</f>
        <v>1</v>
      </c>
      <c r="AC178" s="130">
        <v>9</v>
      </c>
      <c r="AD178" s="131">
        <f>'Sta. Meteorologi pnk'!B196</f>
        <v>0</v>
      </c>
      <c r="AE178" s="131">
        <f>'Sta. Meteorologi pnk'!C196</f>
        <v>0</v>
      </c>
      <c r="AF178" s="131">
        <f>'Sta. Meteorologi pnk'!D196</f>
        <v>0</v>
      </c>
      <c r="AG178" s="131">
        <f>'Sta. Meteorologi pnk'!E196</f>
        <v>0</v>
      </c>
      <c r="AH178" s="131">
        <f>'Sta. Meteorologi pnk'!F196</f>
        <v>1</v>
      </c>
      <c r="AI178" s="131">
        <f>'Sta. Meteorologi pnk'!G196</f>
        <v>27.5</v>
      </c>
      <c r="AJ178" s="131">
        <f>'Sta. Meteorologi pnk'!H196</f>
        <v>102</v>
      </c>
      <c r="AK178" s="131">
        <f>'Sta. Meteorologi pnk'!I196</f>
        <v>0</v>
      </c>
      <c r="AL178" s="131">
        <f>'Sta. Meteorologi pnk'!J196</f>
        <v>6.2</v>
      </c>
      <c r="AM178" s="131">
        <f>'Sta. Meteorologi pnk'!K196</f>
        <v>3.2</v>
      </c>
      <c r="AN178" s="131">
        <f>'Sta. Meteorologi pnk'!L196</f>
        <v>5</v>
      </c>
      <c r="AO178" s="131">
        <f>'Sta. Meteorologi pnk'!M196</f>
        <v>65</v>
      </c>
      <c r="AQ178" s="130">
        <v>9</v>
      </c>
      <c r="AR178" s="131">
        <f t="shared" si="124"/>
        <v>0</v>
      </c>
      <c r="AS178" s="131">
        <f t="shared" si="122"/>
        <v>0</v>
      </c>
      <c r="AT178" s="131">
        <f t="shared" si="122"/>
        <v>0</v>
      </c>
      <c r="AU178" s="131">
        <f t="shared" si="122"/>
        <v>0</v>
      </c>
      <c r="AV178" s="131">
        <f t="shared" si="122"/>
        <v>0.67619470079736876</v>
      </c>
      <c r="AW178" s="131">
        <f t="shared" si="122"/>
        <v>18.59535427192764</v>
      </c>
      <c r="AX178" s="131">
        <f t="shared" si="122"/>
        <v>90.666814527907903</v>
      </c>
      <c r="AY178" s="131">
        <f t="shared" si="122"/>
        <v>0</v>
      </c>
      <c r="AZ178" s="131">
        <f t="shared" si="122"/>
        <v>5.4876283417542107</v>
      </c>
      <c r="BA178" s="131">
        <f t="shared" si="122"/>
        <v>2.1638230425515799</v>
      </c>
      <c r="BB178" s="131">
        <f t="shared" si="122"/>
        <v>3.7047788031894755</v>
      </c>
      <c r="BC178" s="131">
        <f t="shared" si="122"/>
        <v>44.276460851031594</v>
      </c>
      <c r="BE178" s="130">
        <v>9</v>
      </c>
      <c r="BF178" s="131">
        <f t="shared" si="125"/>
        <v>0</v>
      </c>
      <c r="BG178" s="131">
        <f t="shared" si="123"/>
        <v>0</v>
      </c>
      <c r="BH178" s="131">
        <f t="shared" si="123"/>
        <v>0</v>
      </c>
      <c r="BI178" s="131">
        <f t="shared" si="123"/>
        <v>0</v>
      </c>
      <c r="BJ178" s="131">
        <f t="shared" si="123"/>
        <v>0.63266125186561295</v>
      </c>
      <c r="BK178" s="131">
        <f t="shared" si="123"/>
        <v>17.398184426304358</v>
      </c>
      <c r="BL178" s="131">
        <f t="shared" si="123"/>
        <v>89.143143815296455</v>
      </c>
      <c r="BM178" s="131">
        <f t="shared" si="123"/>
        <v>0</v>
      </c>
      <c r="BN178" s="131">
        <f t="shared" si="123"/>
        <v>5.3918547541043491</v>
      </c>
      <c r="BO178" s="131">
        <f t="shared" si="123"/>
        <v>2.0245160059699616</v>
      </c>
      <c r="BP178" s="131">
        <f t="shared" si="123"/>
        <v>3.5306450074624522</v>
      </c>
      <c r="BQ178" s="131">
        <f t="shared" si="123"/>
        <v>41.490320119399229</v>
      </c>
    </row>
    <row r="179" spans="1:69">
      <c r="A179" s="130">
        <v>10</v>
      </c>
      <c r="B179" s="131">
        <f>IF('Data 2'!B179&lt;0.1,0,'Data 2'!B179)</f>
        <v>0</v>
      </c>
      <c r="C179" s="131">
        <f>IF('Data 2'!C179&lt;0.1,0,'Data 2'!C179)</f>
        <v>0</v>
      </c>
      <c r="D179" s="131">
        <f>IF('Data 2'!D179&lt;0.1,0,'Data 2'!D179)</f>
        <v>4.2711289980936229</v>
      </c>
      <c r="E179" s="131">
        <f>IF('Data 2'!E179&lt;0.1,0,'Data 2'!E179)</f>
        <v>0</v>
      </c>
      <c r="F179" s="131">
        <f>IF('Data 2'!F179&lt;0.1,0,'Data 2'!F179)</f>
        <v>0</v>
      </c>
      <c r="G179" s="131">
        <f>IF('Data 2'!G179&lt;0.1,0,'Data 2'!G179)</f>
        <v>24.030935427631039</v>
      </c>
      <c r="H179" s="131">
        <f>IF('Data 2'!H179&lt;0.1,0,'Data 2'!H179)</f>
        <v>4.2771935541687709</v>
      </c>
      <c r="I179" s="131">
        <f>IF('Data 2'!I179&lt;0.1,0,'Data 2'!I179)</f>
        <v>40.496967721962427</v>
      </c>
      <c r="J179" s="131">
        <f>IF('Data 2'!J179&lt;0.1,0,'Data 2'!J179)</f>
        <v>29.383742036400371</v>
      </c>
      <c r="K179" s="131">
        <f>IF('Data 2'!K179&lt;0.1,0,'Data 2'!K179)</f>
        <v>22.420742020106562</v>
      </c>
      <c r="L179" s="131">
        <f>IF('Data 2'!L179&lt;0.1,0,'Data 2'!L179)</f>
        <v>0.49282257670311042</v>
      </c>
      <c r="M179" s="131">
        <f>IF('Data 2'!M179&lt;0.1,0,'Data 2'!M179)</f>
        <v>47.001613087188176</v>
      </c>
      <c r="O179" s="130">
        <v>10</v>
      </c>
      <c r="P179" s="131">
        <f>'Stasiun Pontianak Kota'!Q237</f>
        <v>0</v>
      </c>
      <c r="Q179" s="131">
        <f>'Stasiun Pontianak Kota'!R237</f>
        <v>0</v>
      </c>
      <c r="R179" s="131">
        <f>'Stasiun Pontianak Kota'!S237</f>
        <v>0</v>
      </c>
      <c r="S179" s="131">
        <f>'Stasiun Pontianak Kota'!T237</f>
        <v>0</v>
      </c>
      <c r="T179" s="131">
        <f>'Stasiun Pontianak Kota'!U237</f>
        <v>0</v>
      </c>
      <c r="U179" s="131">
        <f>'Stasiun Pontianak Kota'!V237</f>
        <v>17</v>
      </c>
      <c r="V179" s="131">
        <f>'Stasiun Pontianak Kota'!W237</f>
        <v>5</v>
      </c>
      <c r="W179" s="131">
        <f>'Stasiun Pontianak Kota'!X237</f>
        <v>38</v>
      </c>
      <c r="X179" s="131">
        <f>'Stasiun Pontianak Kota'!Y237</f>
        <v>42</v>
      </c>
      <c r="Y179" s="131">
        <f>'Stasiun Pontianak Kota'!Z237</f>
        <v>33</v>
      </c>
      <c r="Z179" s="131">
        <f>'Stasiun Pontianak Kota'!AA237</f>
        <v>0</v>
      </c>
      <c r="AA179" s="131">
        <f>'Stasiun Pontianak Kota'!AB237</f>
        <v>70</v>
      </c>
      <c r="AC179" s="130">
        <v>10</v>
      </c>
      <c r="AD179" s="131">
        <f>'Sta. Meteorologi pnk'!B197</f>
        <v>0</v>
      </c>
      <c r="AE179" s="131">
        <f>'Sta. Meteorologi pnk'!C197</f>
        <v>0</v>
      </c>
      <c r="AF179" s="131">
        <f>'Sta. Meteorologi pnk'!D197</f>
        <v>13</v>
      </c>
      <c r="AG179" s="131">
        <f>'Sta. Meteorologi pnk'!E197</f>
        <v>0</v>
      </c>
      <c r="AH179" s="131">
        <f>'Sta. Meteorologi pnk'!F197</f>
        <v>0</v>
      </c>
      <c r="AI179" s="131">
        <f>'Sta. Meteorologi pnk'!G197</f>
        <v>38.4</v>
      </c>
      <c r="AJ179" s="131">
        <f>'Sta. Meteorologi pnk'!H197</f>
        <v>2.8</v>
      </c>
      <c r="AK179" s="131">
        <f>'Sta. Meteorologi pnk'!I197</f>
        <v>45.6</v>
      </c>
      <c r="AL179" s="131">
        <f>'Sta. Meteorologi pnk'!J197</f>
        <v>3.6</v>
      </c>
      <c r="AM179" s="131">
        <f>'Sta. Meteorologi pnk'!K197</f>
        <v>0.8</v>
      </c>
      <c r="AN179" s="131">
        <f>'Sta. Meteorologi pnk'!L197</f>
        <v>1.5</v>
      </c>
      <c r="AO179" s="131">
        <f>'Sta. Meteorologi pnk'!M197</f>
        <v>0</v>
      </c>
      <c r="AQ179" s="130">
        <v>10</v>
      </c>
      <c r="AR179" s="131">
        <f t="shared" si="124"/>
        <v>0</v>
      </c>
      <c r="AS179" s="131">
        <f t="shared" si="122"/>
        <v>0</v>
      </c>
      <c r="AT179" s="131">
        <f t="shared" si="122"/>
        <v>8.7905311103657926</v>
      </c>
      <c r="AU179" s="131">
        <f t="shared" si="122"/>
        <v>0</v>
      </c>
      <c r="AV179" s="131">
        <f t="shared" si="122"/>
        <v>0</v>
      </c>
      <c r="AW179" s="131">
        <f t="shared" si="122"/>
        <v>31.470566597063687</v>
      </c>
      <c r="AX179" s="131">
        <f t="shared" si="122"/>
        <v>3.5123716582457885</v>
      </c>
      <c r="AY179" s="131">
        <f t="shared" si="122"/>
        <v>43.139079726059997</v>
      </c>
      <c r="AZ179" s="131">
        <f t="shared" si="122"/>
        <v>16.034123489381038</v>
      </c>
      <c r="BA179" s="131">
        <f t="shared" si="122"/>
        <v>11.226530634324725</v>
      </c>
      <c r="BB179" s="131">
        <f t="shared" si="122"/>
        <v>1.0142920511960531</v>
      </c>
      <c r="BC179" s="131">
        <f t="shared" si="122"/>
        <v>22.666370944184184</v>
      </c>
      <c r="BE179" s="130">
        <v>10</v>
      </c>
      <c r="BF179" s="131">
        <f t="shared" si="125"/>
        <v>0</v>
      </c>
      <c r="BG179" s="131">
        <f t="shared" si="123"/>
        <v>0</v>
      </c>
      <c r="BH179" s="131">
        <f t="shared" si="123"/>
        <v>8.2245962742529688</v>
      </c>
      <c r="BI179" s="131">
        <f t="shared" si="123"/>
        <v>0</v>
      </c>
      <c r="BJ179" s="131">
        <f t="shared" si="123"/>
        <v>0</v>
      </c>
      <c r="BK179" s="131">
        <f t="shared" si="123"/>
        <v>30.538950789924119</v>
      </c>
      <c r="BL179" s="131">
        <f t="shared" si="123"/>
        <v>3.6081452458956509</v>
      </c>
      <c r="BM179" s="131">
        <f t="shared" si="123"/>
        <v>42.808225514178659</v>
      </c>
      <c r="BN179" s="131">
        <f t="shared" si="123"/>
        <v>17.705807928360461</v>
      </c>
      <c r="BO179" s="131">
        <f t="shared" si="123"/>
        <v>12.628307689927261</v>
      </c>
      <c r="BP179" s="131">
        <f t="shared" si="123"/>
        <v>0.94899187779841954</v>
      </c>
      <c r="BQ179" s="131">
        <f t="shared" si="123"/>
        <v>25.713712369407091</v>
      </c>
    </row>
    <row r="180" spans="1:69">
      <c r="A180" s="130">
        <v>11</v>
      </c>
      <c r="B180" s="131">
        <f>IF('Data 2'!B180&lt;0.1,0,'Data 2'!B180)</f>
        <v>0</v>
      </c>
      <c r="C180" s="131">
        <f>IF('Data 2'!C180&lt;0.1,0,'Data 2'!C180)</f>
        <v>0</v>
      </c>
      <c r="D180" s="131">
        <f>IF('Data 2'!D180&lt;0.1,0,'Data 2'!D180)</f>
        <v>95.492209929447796</v>
      </c>
      <c r="E180" s="131">
        <f>IF('Data 2'!E180&lt;0.1,0,'Data 2'!E180)</f>
        <v>0.16427419223437012</v>
      </c>
      <c r="F180" s="131">
        <f>IF('Data 2'!F180&lt;0.1,0,'Data 2'!F180)</f>
        <v>38.913870920437326</v>
      </c>
      <c r="G180" s="131">
        <f>IF('Data 2'!G180&lt;0.1,0,'Data 2'!G180)</f>
        <v>0</v>
      </c>
      <c r="H180" s="131">
        <f>IF('Data 2'!H180&lt;0.1,0,'Data 2'!H180)</f>
        <v>0</v>
      </c>
      <c r="I180" s="131">
        <f>IF('Data 2'!I180&lt;0.1,0,'Data 2'!I180)</f>
        <v>14.347048376321837</v>
      </c>
      <c r="J180" s="131">
        <f>IF('Data 2'!J180&lt;0.1,0,'Data 2'!J180)</f>
        <v>30.326628973652909</v>
      </c>
      <c r="K180" s="131">
        <f>IF('Data 2'!K180&lt;0.1,0,'Data 2'!K180)</f>
        <v>1.314193537874961</v>
      </c>
      <c r="L180" s="131">
        <f>IF('Data 2'!L180&lt;0.1,0,'Data 2'!L180)</f>
        <v>0</v>
      </c>
      <c r="M180" s="131">
        <f>IF('Data 2'!M180&lt;0.1,0,'Data 2'!M180)</f>
        <v>0</v>
      </c>
      <c r="O180" s="130">
        <v>11</v>
      </c>
      <c r="P180" s="131">
        <f>'Stasiun Pontianak Kota'!Q238</f>
        <v>0</v>
      </c>
      <c r="Q180" s="131">
        <f>'Stasiun Pontianak Kota'!R238</f>
        <v>0</v>
      </c>
      <c r="R180" s="131">
        <f>'Stasiun Pontianak Kota'!S238</f>
        <v>127</v>
      </c>
      <c r="S180" s="131">
        <f>'Stasiun Pontianak Kota'!T238</f>
        <v>0</v>
      </c>
      <c r="T180" s="131">
        <f>'Stasiun Pontianak Kota'!U238</f>
        <v>33</v>
      </c>
      <c r="U180" s="131">
        <f>'Stasiun Pontianak Kota'!V238</f>
        <v>0</v>
      </c>
      <c r="V180" s="131">
        <f>'Stasiun Pontianak Kota'!W238</f>
        <v>0</v>
      </c>
      <c r="W180" s="131">
        <f>'Stasiun Pontianak Kota'!X238</f>
        <v>13</v>
      </c>
      <c r="X180" s="131">
        <f>'Stasiun Pontianak Kota'!Y238</f>
        <v>23</v>
      </c>
      <c r="Y180" s="131">
        <f>'Stasiun Pontianak Kota'!Z238</f>
        <v>0</v>
      </c>
      <c r="Z180" s="131">
        <f>'Stasiun Pontianak Kota'!AA238</f>
        <v>0</v>
      </c>
      <c r="AA180" s="131">
        <f>'Stasiun Pontianak Kota'!AB238</f>
        <v>0</v>
      </c>
      <c r="AC180" s="130">
        <v>11</v>
      </c>
      <c r="AD180" s="131">
        <f>'Sta. Meteorologi pnk'!B198</f>
        <v>0</v>
      </c>
      <c r="AE180" s="131">
        <f>'Sta. Meteorologi pnk'!C198</f>
        <v>0</v>
      </c>
      <c r="AF180" s="131">
        <f>'Sta. Meteorologi pnk'!D198</f>
        <v>31.1</v>
      </c>
      <c r="AG180" s="131">
        <f>'Sta. Meteorologi pnk'!E198</f>
        <v>0.5</v>
      </c>
      <c r="AH180" s="131">
        <f>'Sta. Meteorologi pnk'!F198</f>
        <v>51</v>
      </c>
      <c r="AI180" s="131">
        <f>'Sta. Meteorologi pnk'!G198</f>
        <v>0</v>
      </c>
      <c r="AJ180" s="131">
        <f>'Sta. Meteorologi pnk'!H198</f>
        <v>0</v>
      </c>
      <c r="AK180" s="131">
        <f>'Sta. Meteorologi pnk'!I198</f>
        <v>17.100000000000001</v>
      </c>
      <c r="AL180" s="131">
        <f>'Sta. Meteorologi pnk'!J198</f>
        <v>45.3</v>
      </c>
      <c r="AM180" s="131">
        <f>'Sta. Meteorologi pnk'!K198</f>
        <v>4</v>
      </c>
      <c r="AN180" s="131">
        <f>'Sta. Meteorologi pnk'!L198</f>
        <v>0</v>
      </c>
      <c r="AO180" s="131">
        <f>'Sta. Meteorologi pnk'!M198</f>
        <v>0</v>
      </c>
      <c r="AQ180" s="130">
        <v>11</v>
      </c>
      <c r="AR180" s="131">
        <f t="shared" si="124"/>
        <v>0</v>
      </c>
      <c r="AS180" s="131">
        <f t="shared" si="122"/>
        <v>0</v>
      </c>
      <c r="AT180" s="131">
        <f t="shared" si="122"/>
        <v>62.152928193532333</v>
      </c>
      <c r="AU180" s="131">
        <f t="shared" si="122"/>
        <v>0.33809735039868438</v>
      </c>
      <c r="AV180" s="131">
        <f t="shared" si="122"/>
        <v>45.171504614352635</v>
      </c>
      <c r="AW180" s="131">
        <f t="shared" si="122"/>
        <v>0</v>
      </c>
      <c r="AX180" s="131">
        <f t="shared" si="122"/>
        <v>0</v>
      </c>
      <c r="AY180" s="131">
        <f t="shared" si="122"/>
        <v>15.772398273269211</v>
      </c>
      <c r="AZ180" s="131">
        <f t="shared" si="122"/>
        <v>38.079141827781314</v>
      </c>
      <c r="BA180" s="131">
        <f t="shared" si="122"/>
        <v>2.7047788031894751</v>
      </c>
      <c r="BB180" s="131">
        <f t="shared" si="122"/>
        <v>0</v>
      </c>
      <c r="BC180" s="131">
        <f t="shared" si="122"/>
        <v>0</v>
      </c>
      <c r="BE180" s="130">
        <v>11</v>
      </c>
      <c r="BF180" s="131">
        <f t="shared" si="125"/>
        <v>0</v>
      </c>
      <c r="BG180" s="131">
        <f t="shared" si="123"/>
        <v>0</v>
      </c>
      <c r="BH180" s="131">
        <f t="shared" si="123"/>
        <v>66.327785946087715</v>
      </c>
      <c r="BI180" s="131">
        <f t="shared" si="123"/>
        <v>0.31633062593280648</v>
      </c>
      <c r="BJ180" s="131">
        <f t="shared" si="123"/>
        <v>44.387902533581034</v>
      </c>
      <c r="BK180" s="131">
        <f t="shared" si="123"/>
        <v>0</v>
      </c>
      <c r="BL180" s="131">
        <f t="shared" si="123"/>
        <v>0</v>
      </c>
      <c r="BM180" s="131">
        <f t="shared" si="123"/>
        <v>15.593911132649014</v>
      </c>
      <c r="BN180" s="131">
        <f t="shared" si="123"/>
        <v>37.10834591660317</v>
      </c>
      <c r="BO180" s="131">
        <f t="shared" si="123"/>
        <v>2.5306450074624518</v>
      </c>
      <c r="BP180" s="131">
        <f t="shared" si="123"/>
        <v>0</v>
      </c>
      <c r="BQ180" s="131">
        <f t="shared" si="123"/>
        <v>0</v>
      </c>
    </row>
    <row r="181" spans="1:69">
      <c r="A181" s="130">
        <v>12</v>
      </c>
      <c r="B181" s="131">
        <f>IF('Data 2'!B181&lt;0.1,0,'Data 2'!B181)</f>
        <v>0</v>
      </c>
      <c r="C181" s="131">
        <f>IF('Data 2'!C181&lt;0.1,0,'Data 2'!C181)</f>
        <v>0</v>
      </c>
      <c r="D181" s="131">
        <f>IF('Data 2'!D181&lt;0.1,0,'Data 2'!D181)</f>
        <v>0</v>
      </c>
      <c r="E181" s="131">
        <f>IF('Data 2'!E181&lt;0.1,0,'Data 2'!E181)</f>
        <v>0</v>
      </c>
      <c r="F181" s="131">
        <f>IF('Data 2'!F181&lt;0.1,0,'Data 2'!F181)</f>
        <v>24.041145128965503</v>
      </c>
      <c r="G181" s="131">
        <f>IF('Data 2'!G181&lt;0.1,0,'Data 2'!G181)</f>
        <v>0.65709676893748048</v>
      </c>
      <c r="H181" s="131">
        <f>IF('Data 2'!H181&lt;0.1,0,'Data 2'!H181)</f>
        <v>77.70430645397812</v>
      </c>
      <c r="I181" s="131">
        <f>IF('Data 2'!I181&lt;0.1,0,'Data 2'!I181)</f>
        <v>0</v>
      </c>
      <c r="J181" s="131">
        <f>IF('Data 2'!J181&lt;0.1,0,'Data 2'!J181)</f>
        <v>8.4108386423997512</v>
      </c>
      <c r="K181" s="131">
        <f>IF('Data 2'!K181&lt;0.1,0,'Data 2'!K181)</f>
        <v>6.2484838609812137</v>
      </c>
      <c r="L181" s="131">
        <f>IF('Data 2'!L181&lt;0.1,0,'Data 2'!L181)</f>
        <v>7.2609192967591598</v>
      </c>
      <c r="M181" s="131">
        <f>IF('Data 2'!M181&lt;0.1,0,'Data 2'!M181)</f>
        <v>0.98564515340622083</v>
      </c>
      <c r="O181" s="130">
        <v>12</v>
      </c>
      <c r="P181" s="131">
        <f>'Stasiun Pontianak Kota'!Q239</f>
        <v>0</v>
      </c>
      <c r="Q181" s="131">
        <f>'Stasiun Pontianak Kota'!R239</f>
        <v>0</v>
      </c>
      <c r="R181" s="131">
        <f>'Stasiun Pontianak Kota'!S239</f>
        <v>0</v>
      </c>
      <c r="S181" s="131">
        <f>'Stasiun Pontianak Kota'!T239</f>
        <v>0</v>
      </c>
      <c r="T181" s="131">
        <f>'Stasiun Pontianak Kota'!U239</f>
        <v>20</v>
      </c>
      <c r="U181" s="131">
        <f>'Stasiun Pontianak Kota'!V239</f>
        <v>0</v>
      </c>
      <c r="V181" s="131">
        <f>'Stasiun Pontianak Kota'!W239</f>
        <v>78</v>
      </c>
      <c r="W181" s="131">
        <f>'Stasiun Pontianak Kota'!X239</f>
        <v>0</v>
      </c>
      <c r="X181" s="131">
        <f>'Stasiun Pontianak Kota'!Y239</f>
        <v>0</v>
      </c>
      <c r="Y181" s="131">
        <f>'Stasiun Pontianak Kota'!Z239</f>
        <v>5</v>
      </c>
      <c r="Z181" s="131">
        <f>'Stasiun Pontianak Kota'!AA239</f>
        <v>0</v>
      </c>
      <c r="AA181" s="131">
        <f>'Stasiun Pontianak Kota'!AB239</f>
        <v>0</v>
      </c>
      <c r="AC181" s="130">
        <v>12</v>
      </c>
      <c r="AD181" s="131">
        <f>'Sta. Meteorologi pnk'!B199</f>
        <v>0</v>
      </c>
      <c r="AE181" s="131">
        <f>'Sta. Meteorologi pnk'!C199</f>
        <v>0</v>
      </c>
      <c r="AF181" s="131">
        <f>'Sta. Meteorologi pnk'!D199</f>
        <v>0</v>
      </c>
      <c r="AG181" s="131">
        <f>'Sta. Meteorologi pnk'!E199</f>
        <v>0</v>
      </c>
      <c r="AH181" s="131">
        <f>'Sta. Meteorologi pnk'!F199</f>
        <v>32.299999999999997</v>
      </c>
      <c r="AI181" s="131">
        <f>'Sta. Meteorologi pnk'!G199</f>
        <v>2</v>
      </c>
      <c r="AJ181" s="131">
        <f>'Sta. Meteorologi pnk'!H199</f>
        <v>77.099999999999994</v>
      </c>
      <c r="AK181" s="131">
        <f>'Sta. Meteorologi pnk'!I199</f>
        <v>0</v>
      </c>
      <c r="AL181" s="131">
        <f>'Sta. Meteorologi pnk'!J199</f>
        <v>25.6</v>
      </c>
      <c r="AM181" s="131">
        <f>'Sta. Meteorologi pnk'!K199</f>
        <v>8.8000000000000007</v>
      </c>
      <c r="AN181" s="131">
        <f>'Sta. Meteorologi pnk'!L199</f>
        <v>22.1</v>
      </c>
      <c r="AO181" s="131">
        <f>'Sta. Meteorologi pnk'!M199</f>
        <v>3</v>
      </c>
      <c r="AQ181" s="130">
        <v>12</v>
      </c>
      <c r="AR181" s="131">
        <f t="shared" si="124"/>
        <v>0</v>
      </c>
      <c r="AS181" s="131">
        <f t="shared" si="122"/>
        <v>0</v>
      </c>
      <c r="AT181" s="131">
        <f t="shared" si="122"/>
        <v>0</v>
      </c>
      <c r="AU181" s="131">
        <f t="shared" si="122"/>
        <v>0</v>
      </c>
      <c r="AV181" s="131">
        <f t="shared" si="122"/>
        <v>28.317194819807629</v>
      </c>
      <c r="AW181" s="131">
        <f t="shared" si="122"/>
        <v>1.3523894015947375</v>
      </c>
      <c r="AX181" s="131">
        <f t="shared" si="122"/>
        <v>77.391424769282366</v>
      </c>
      <c r="AY181" s="131">
        <f t="shared" si="122"/>
        <v>0</v>
      </c>
      <c r="AZ181" s="131">
        <f t="shared" si="122"/>
        <v>17.310584340412639</v>
      </c>
      <c r="BA181" s="131">
        <f t="shared" si="122"/>
        <v>7.569539863030001</v>
      </c>
      <c r="BB181" s="131">
        <f t="shared" si="122"/>
        <v>14.943902887621849</v>
      </c>
      <c r="BC181" s="131">
        <f t="shared" si="122"/>
        <v>2.0285841023921063</v>
      </c>
      <c r="BE181" s="130">
        <v>12</v>
      </c>
      <c r="BF181" s="131">
        <f t="shared" si="125"/>
        <v>0</v>
      </c>
      <c r="BG181" s="131">
        <f t="shared" si="123"/>
        <v>0</v>
      </c>
      <c r="BH181" s="131">
        <f t="shared" si="123"/>
        <v>0</v>
      </c>
      <c r="BI181" s="131">
        <f t="shared" si="123"/>
        <v>0</v>
      </c>
      <c r="BJ181" s="131">
        <f t="shared" si="123"/>
        <v>27.781733397947036</v>
      </c>
      <c r="BK181" s="131">
        <f t="shared" si="123"/>
        <v>1.2653225037312259</v>
      </c>
      <c r="BL181" s="131">
        <f t="shared" si="123"/>
        <v>77.430604873320945</v>
      </c>
      <c r="BM181" s="131">
        <f t="shared" si="123"/>
        <v>0</v>
      </c>
      <c r="BN181" s="131">
        <f t="shared" si="123"/>
        <v>16.196128047759693</v>
      </c>
      <c r="BO181" s="131">
        <f t="shared" si="123"/>
        <v>7.4041127570893295</v>
      </c>
      <c r="BP181" s="131">
        <f t="shared" si="123"/>
        <v>13.981813666230046</v>
      </c>
      <c r="BQ181" s="131">
        <f t="shared" si="123"/>
        <v>1.8979837555968391</v>
      </c>
    </row>
    <row r="182" spans="1:69">
      <c r="A182" s="130">
        <v>13</v>
      </c>
      <c r="B182" s="131">
        <f>IF('Data 2'!B182&lt;0.1,0,'Data 2'!B182)</f>
        <v>6.2998386912811819</v>
      </c>
      <c r="C182" s="131">
        <f>IF('Data 2'!C182&lt;0.1,0,'Data 2'!C182)</f>
        <v>0</v>
      </c>
      <c r="D182" s="131">
        <f>IF('Data 2'!D182&lt;0.1,0,'Data 2'!D182)</f>
        <v>0.26283870757499223</v>
      </c>
      <c r="E182" s="131">
        <f>IF('Data 2'!E182&lt;0.1,0,'Data 2'!E182)</f>
        <v>0</v>
      </c>
      <c r="F182" s="131">
        <f>IF('Data 2'!F182&lt;0.1,0,'Data 2'!F182)</f>
        <v>1.2813386994280871</v>
      </c>
      <c r="G182" s="131">
        <f>IF('Data 2'!G182&lt;0.1,0,'Data 2'!G182)</f>
        <v>0</v>
      </c>
      <c r="H182" s="131">
        <f>IF('Data 2'!H182&lt;0.1,0,'Data 2'!H182)</f>
        <v>0.68995160738435457</v>
      </c>
      <c r="I182" s="131">
        <f>IF('Data 2'!I182&lt;0.1,0,'Data 2'!I182)</f>
        <v>40.794580678800124</v>
      </c>
      <c r="J182" s="131">
        <f>IF('Data 2'!J182&lt;0.1,0,'Data 2'!J182)</f>
        <v>1.8727257914718196</v>
      </c>
      <c r="K182" s="131">
        <f>IF('Data 2'!K182&lt;0.1,0,'Data 2'!K182)</f>
        <v>0</v>
      </c>
      <c r="L182" s="131">
        <f>IF('Data 2'!L182&lt;0.1,0,'Data 2'!L182)</f>
        <v>13.109080540302736</v>
      </c>
      <c r="M182" s="131">
        <f>IF('Data 2'!M182&lt;0.1,0,'Data 2'!M182)</f>
        <v>1.314193537874961</v>
      </c>
      <c r="O182" s="130">
        <v>13</v>
      </c>
      <c r="P182" s="131">
        <f>'Stasiun Pontianak Kota'!Q240</f>
        <v>4</v>
      </c>
      <c r="Q182" s="131">
        <f>'Stasiun Pontianak Kota'!R240</f>
        <v>0</v>
      </c>
      <c r="R182" s="131">
        <f>'Stasiun Pontianak Kota'!S240</f>
        <v>0</v>
      </c>
      <c r="S182" s="131">
        <f>'Stasiun Pontianak Kota'!T240</f>
        <v>0</v>
      </c>
      <c r="T182" s="131">
        <f>'Stasiun Pontianak Kota'!U240</f>
        <v>0</v>
      </c>
      <c r="U182" s="131">
        <f>'Stasiun Pontianak Kota'!V240</f>
        <v>0</v>
      </c>
      <c r="V182" s="131">
        <f>'Stasiun Pontianak Kota'!W240</f>
        <v>0</v>
      </c>
      <c r="W182" s="131">
        <f>'Stasiun Pontianak Kota'!X240</f>
        <v>45</v>
      </c>
      <c r="X182" s="131">
        <f>'Stasiun Pontianak Kota'!Y240</f>
        <v>0</v>
      </c>
      <c r="Y182" s="131">
        <f>'Stasiun Pontianak Kota'!Z240</f>
        <v>0</v>
      </c>
      <c r="Z182" s="131">
        <f>'Stasiun Pontianak Kota'!AA240</f>
        <v>0</v>
      </c>
      <c r="AA182" s="131">
        <f>'Stasiun Pontianak Kota'!AB240</f>
        <v>0</v>
      </c>
      <c r="AC182" s="130">
        <v>13</v>
      </c>
      <c r="AD182" s="131">
        <f>'Sta. Meteorologi pnk'!B200</f>
        <v>11</v>
      </c>
      <c r="AE182" s="131">
        <f>'Sta. Meteorologi pnk'!C200</f>
        <v>0</v>
      </c>
      <c r="AF182" s="131">
        <f>'Sta. Meteorologi pnk'!D200</f>
        <v>0.8</v>
      </c>
      <c r="AG182" s="131">
        <f>'Sta. Meteorologi pnk'!E200</f>
        <v>0</v>
      </c>
      <c r="AH182" s="131">
        <f>'Sta. Meteorologi pnk'!F200</f>
        <v>3.9</v>
      </c>
      <c r="AI182" s="131">
        <f>'Sta. Meteorologi pnk'!G200</f>
        <v>0</v>
      </c>
      <c r="AJ182" s="131">
        <f>'Sta. Meteorologi pnk'!H200</f>
        <v>2.1</v>
      </c>
      <c r="AK182" s="131">
        <f>'Sta. Meteorologi pnk'!I200</f>
        <v>32.200000000000003</v>
      </c>
      <c r="AL182" s="131">
        <f>'Sta. Meteorologi pnk'!J200</f>
        <v>5.7</v>
      </c>
      <c r="AM182" s="131">
        <f>'Sta. Meteorologi pnk'!K200</f>
        <v>0.2</v>
      </c>
      <c r="AN182" s="131">
        <f>'Sta. Meteorologi pnk'!L200</f>
        <v>39.9</v>
      </c>
      <c r="AO182" s="131">
        <f>'Sta. Meteorologi pnk'!M200</f>
        <v>4</v>
      </c>
      <c r="AQ182" s="130">
        <v>13</v>
      </c>
      <c r="AR182" s="131">
        <f t="shared" si="124"/>
        <v>8.7333629055815809</v>
      </c>
      <c r="AS182" s="131">
        <f t="shared" si="122"/>
        <v>0</v>
      </c>
      <c r="AT182" s="131">
        <f t="shared" si="122"/>
        <v>0.54095576063789497</v>
      </c>
      <c r="AU182" s="131">
        <f t="shared" si="122"/>
        <v>0</v>
      </c>
      <c r="AV182" s="131">
        <f t="shared" si="122"/>
        <v>2.6371593331097376</v>
      </c>
      <c r="AW182" s="131">
        <f t="shared" si="122"/>
        <v>0</v>
      </c>
      <c r="AX182" s="131">
        <f t="shared" si="122"/>
        <v>1.4200088716744745</v>
      </c>
      <c r="AY182" s="131">
        <f t="shared" si="122"/>
        <v>36.344707829793684</v>
      </c>
      <c r="AZ182" s="131">
        <f t="shared" si="122"/>
        <v>3.8543097945450016</v>
      </c>
      <c r="BA182" s="131">
        <f t="shared" si="122"/>
        <v>0.13523894015947374</v>
      </c>
      <c r="BB182" s="131">
        <f t="shared" si="122"/>
        <v>26.980168561815013</v>
      </c>
      <c r="BC182" s="131">
        <f t="shared" si="122"/>
        <v>2.7047788031894751</v>
      </c>
      <c r="BE182" s="130">
        <v>13</v>
      </c>
      <c r="BF182" s="131">
        <f t="shared" si="125"/>
        <v>8.4286287630592902</v>
      </c>
      <c r="BG182" s="131">
        <f t="shared" si="123"/>
        <v>0</v>
      </c>
      <c r="BH182" s="131">
        <f t="shared" si="123"/>
        <v>0.5061290014924904</v>
      </c>
      <c r="BI182" s="131">
        <f t="shared" si="123"/>
        <v>0</v>
      </c>
      <c r="BJ182" s="131">
        <f t="shared" si="123"/>
        <v>2.4673788822758906</v>
      </c>
      <c r="BK182" s="131">
        <f t="shared" si="123"/>
        <v>0</v>
      </c>
      <c r="BL182" s="131">
        <f t="shared" si="123"/>
        <v>1.3285886289177873</v>
      </c>
      <c r="BM182" s="131">
        <f t="shared" si="123"/>
        <v>36.901935976120157</v>
      </c>
      <c r="BN182" s="131">
        <f t="shared" si="123"/>
        <v>3.6061691356339942</v>
      </c>
      <c r="BO182" s="131">
        <f t="shared" si="123"/>
        <v>0.11830386212616625</v>
      </c>
      <c r="BP182" s="131">
        <f t="shared" si="123"/>
        <v>25.24318394943796</v>
      </c>
      <c r="BQ182" s="131">
        <f t="shared" si="123"/>
        <v>2.5306450074624518</v>
      </c>
    </row>
    <row r="183" spans="1:69">
      <c r="A183" s="130">
        <v>14</v>
      </c>
      <c r="B183" s="131">
        <f>IF('Data 2'!B183&lt;0.1,0,'Data 2'!B183)</f>
        <v>0</v>
      </c>
      <c r="C183" s="131">
        <f>IF('Data 2'!C183&lt;0.1,0,'Data 2'!C183)</f>
        <v>9.6858064621250399</v>
      </c>
      <c r="D183" s="131">
        <f>IF('Data 2'!D183&lt;0.1,0,'Data 2'!D183)</f>
        <v>0</v>
      </c>
      <c r="E183" s="131">
        <f>IF('Data 2'!E183&lt;0.1,0,'Data 2'!E183)</f>
        <v>0.68995160738435457</v>
      </c>
      <c r="F183" s="131">
        <f>IF('Data 2'!F183&lt;0.1,0,'Data 2'!F183)</f>
        <v>9.4271128998093623</v>
      </c>
      <c r="G183" s="131">
        <f>IF('Data 2'!G183&lt;0.1,0,'Data 2'!G183)</f>
        <v>1.7084515992374496</v>
      </c>
      <c r="H183" s="131">
        <f>IF('Data 2'!H183&lt;0.1,0,'Data 2'!H183)</f>
        <v>0.39425806136248831</v>
      </c>
      <c r="I183" s="131">
        <f>IF('Data 2'!I183&lt;0.1,0,'Data 2'!I183)</f>
        <v>84.133338764603323</v>
      </c>
      <c r="J183" s="131">
        <f>IF('Data 2'!J183&lt;0.1,0,'Data 2'!J183)</f>
        <v>0</v>
      </c>
      <c r="K183" s="131">
        <f>IF('Data 2'!K183&lt;0.1,0,'Data 2'!K183)</f>
        <v>0.72280644583122866</v>
      </c>
      <c r="L183" s="131">
        <f>IF('Data 2'!L183&lt;0.1,0,'Data 2'!L183)</f>
        <v>0</v>
      </c>
      <c r="M183" s="131">
        <f>IF('Data 2'!M183&lt;0.1,0,'Data 2'!M183)</f>
        <v>16.080064523487525</v>
      </c>
      <c r="O183" s="130">
        <v>14</v>
      </c>
      <c r="P183" s="131">
        <f>'Stasiun Pontianak Kota'!Q241</f>
        <v>0</v>
      </c>
      <c r="Q183" s="131">
        <f>'Stasiun Pontianak Kota'!R241</f>
        <v>11</v>
      </c>
      <c r="R183" s="131">
        <f>'Stasiun Pontianak Kota'!S241</f>
        <v>0</v>
      </c>
      <c r="S183" s="131">
        <f>'Stasiun Pontianak Kota'!T241</f>
        <v>0</v>
      </c>
      <c r="T183" s="131">
        <f>'Stasiun Pontianak Kota'!U241</f>
        <v>9</v>
      </c>
      <c r="U183" s="131">
        <f>'Stasiun Pontianak Kota'!V241</f>
        <v>0</v>
      </c>
      <c r="V183" s="131">
        <f>'Stasiun Pontianak Kota'!W241</f>
        <v>0</v>
      </c>
      <c r="W183" s="131">
        <f>'Stasiun Pontianak Kota'!X241</f>
        <v>91</v>
      </c>
      <c r="X183" s="131">
        <f>'Stasiun Pontianak Kota'!Y241</f>
        <v>0</v>
      </c>
      <c r="Y183" s="131">
        <f>'Stasiun Pontianak Kota'!Z241</f>
        <v>0</v>
      </c>
      <c r="Z183" s="131">
        <f>'Stasiun Pontianak Kota'!AA241</f>
        <v>0</v>
      </c>
      <c r="AA183" s="131">
        <f>'Stasiun Pontianak Kota'!AB241</f>
        <v>17</v>
      </c>
      <c r="AC183" s="130">
        <v>14</v>
      </c>
      <c r="AD183" s="131">
        <f>'Sta. Meteorologi pnk'!B201</f>
        <v>0</v>
      </c>
      <c r="AE183" s="131">
        <f>'Sta. Meteorologi pnk'!C201</f>
        <v>7</v>
      </c>
      <c r="AF183" s="131">
        <f>'Sta. Meteorologi pnk'!D201</f>
        <v>0</v>
      </c>
      <c r="AG183" s="131">
        <f>'Sta. Meteorologi pnk'!E201</f>
        <v>2.1</v>
      </c>
      <c r="AH183" s="131">
        <f>'Sta. Meteorologi pnk'!F201</f>
        <v>10.3</v>
      </c>
      <c r="AI183" s="131">
        <f>'Sta. Meteorologi pnk'!G201</f>
        <v>5.2</v>
      </c>
      <c r="AJ183" s="131">
        <f>'Sta. Meteorologi pnk'!H201</f>
        <v>1.2</v>
      </c>
      <c r="AK183" s="131">
        <f>'Sta. Meteorologi pnk'!I201</f>
        <v>70.099999999999994</v>
      </c>
      <c r="AL183" s="131">
        <f>'Sta. Meteorologi pnk'!J201</f>
        <v>0.1</v>
      </c>
      <c r="AM183" s="131">
        <f>'Sta. Meteorologi pnk'!K201</f>
        <v>2.2000000000000002</v>
      </c>
      <c r="AN183" s="131">
        <f>'Sta. Meteorologi pnk'!L201</f>
        <v>0</v>
      </c>
      <c r="AO183" s="131">
        <f>'Sta. Meteorologi pnk'!M201</f>
        <v>14.2</v>
      </c>
      <c r="AQ183" s="130">
        <v>14</v>
      </c>
      <c r="AR183" s="131">
        <f t="shared" si="124"/>
        <v>0</v>
      </c>
      <c r="AS183" s="131">
        <f t="shared" si="122"/>
        <v>8.2952211968105249</v>
      </c>
      <c r="AT183" s="131">
        <f t="shared" si="122"/>
        <v>0</v>
      </c>
      <c r="AU183" s="131">
        <f t="shared" si="122"/>
        <v>1.4200088716744745</v>
      </c>
      <c r="AV183" s="131">
        <f t="shared" si="122"/>
        <v>9.879053111036578</v>
      </c>
      <c r="AW183" s="131">
        <f t="shared" si="122"/>
        <v>3.5162124441463174</v>
      </c>
      <c r="AX183" s="131">
        <f t="shared" si="122"/>
        <v>0.81143364095684245</v>
      </c>
      <c r="AY183" s="131">
        <f t="shared" si="122"/>
        <v>76.867530753334989</v>
      </c>
      <c r="AZ183" s="131">
        <f t="shared" si="122"/>
        <v>6.7619470079736871E-2</v>
      </c>
      <c r="BA183" s="131">
        <f t="shared" si="122"/>
        <v>1.4876283417542113</v>
      </c>
      <c r="BB183" s="131">
        <f t="shared" si="122"/>
        <v>0</v>
      </c>
      <c r="BC183" s="131">
        <f t="shared" si="122"/>
        <v>15.106654837767367</v>
      </c>
      <c r="BE183" s="130">
        <v>14</v>
      </c>
      <c r="BF183" s="131">
        <f t="shared" si="125"/>
        <v>0</v>
      </c>
      <c r="BG183" s="131">
        <f t="shared" si="123"/>
        <v>8.4693549925375482</v>
      </c>
      <c r="BH183" s="131">
        <f t="shared" si="123"/>
        <v>0</v>
      </c>
      <c r="BI183" s="131">
        <f t="shared" si="123"/>
        <v>1.3285886289177873</v>
      </c>
      <c r="BJ183" s="131">
        <f t="shared" si="123"/>
        <v>9.8224596274252978</v>
      </c>
      <c r="BK183" s="131">
        <f t="shared" si="123"/>
        <v>3.289838509701188</v>
      </c>
      <c r="BL183" s="131">
        <f t="shared" si="123"/>
        <v>0.7591935022387355</v>
      </c>
      <c r="BM183" s="131">
        <f t="shared" si="123"/>
        <v>77.777379836008691</v>
      </c>
      <c r="BN183" s="131">
        <f t="shared" si="123"/>
        <v>5.9151931063083127E-2</v>
      </c>
      <c r="BO183" s="131">
        <f t="shared" si="123"/>
        <v>1.3918547541043487</v>
      </c>
      <c r="BP183" s="131">
        <f t="shared" si="123"/>
        <v>0</v>
      </c>
      <c r="BQ183" s="131">
        <f t="shared" si="123"/>
        <v>15.228548494776282</v>
      </c>
    </row>
    <row r="184" spans="1:69">
      <c r="A184" s="130">
        <v>15</v>
      </c>
      <c r="B184" s="131">
        <f>IF('Data 2'!B184&lt;0.1,0,'Data 2'!B184)</f>
        <v>0.78851612272497662</v>
      </c>
      <c r="C184" s="131">
        <f>IF('Data 2'!C184&lt;0.1,0,'Data 2'!C184)</f>
        <v>0</v>
      </c>
      <c r="D184" s="131">
        <f>IF('Data 2'!D184&lt;0.1,0,'Data 2'!D184)</f>
        <v>0</v>
      </c>
      <c r="E184" s="131">
        <f>IF('Data 2'!E184&lt;0.1,0,'Data 2'!E184)</f>
        <v>32.393951737734838</v>
      </c>
      <c r="F184" s="131">
        <f>IF('Data 2'!F184&lt;0.1,0,'Data 2'!F184)</f>
        <v>0</v>
      </c>
      <c r="G184" s="131">
        <f>IF('Data 2'!G184&lt;0.1,0,'Data 2'!G184)</f>
        <v>36.665387059456116</v>
      </c>
      <c r="H184" s="131">
        <f>IF('Data 2'!H184&lt;0.1,0,'Data 2'!H184)</f>
        <v>0</v>
      </c>
      <c r="I184" s="131">
        <f>IF('Data 2'!I184&lt;0.1,0,'Data 2'!I184)</f>
        <v>0.19712903068124416</v>
      </c>
      <c r="J184" s="131">
        <f>IF('Data 2'!J184&lt;0.1,0,'Data 2'!J184)</f>
        <v>0</v>
      </c>
      <c r="K184" s="131">
        <f>IF('Data 2'!K184&lt;0.1,0,'Data 2'!K184)</f>
        <v>0</v>
      </c>
      <c r="L184" s="131">
        <f>IF('Data 2'!L184&lt;0.1,0,'Data 2'!L184)</f>
        <v>1.2156290225343389</v>
      </c>
      <c r="M184" s="131">
        <f>IF('Data 2'!M184&lt;0.1,0,'Data 2'!M184)</f>
        <v>0</v>
      </c>
      <c r="O184" s="130">
        <v>15</v>
      </c>
      <c r="P184" s="131">
        <f>'Stasiun Pontianak Kota'!Q242</f>
        <v>0</v>
      </c>
      <c r="Q184" s="131">
        <f>'Stasiun Pontianak Kota'!R242</f>
        <v>0</v>
      </c>
      <c r="R184" s="131">
        <f>'Stasiun Pontianak Kota'!S242</f>
        <v>0</v>
      </c>
      <c r="S184" s="131">
        <f>'Stasiun Pontianak Kota'!T242</f>
        <v>48</v>
      </c>
      <c r="T184" s="131">
        <f>'Stasiun Pontianak Kota'!U242</f>
        <v>0</v>
      </c>
      <c r="U184" s="131">
        <f>'Stasiun Pontianak Kota'!V242</f>
        <v>32</v>
      </c>
      <c r="V184" s="131">
        <f>'Stasiun Pontianak Kota'!W242</f>
        <v>0</v>
      </c>
      <c r="W184" s="131">
        <f>'Stasiun Pontianak Kota'!X242</f>
        <v>0</v>
      </c>
      <c r="X184" s="131">
        <f>'Stasiun Pontianak Kota'!Y242</f>
        <v>0</v>
      </c>
      <c r="Y184" s="131">
        <f>'Stasiun Pontianak Kota'!Z242</f>
        <v>0</v>
      </c>
      <c r="Z184" s="131">
        <f>'Stasiun Pontianak Kota'!AA242</f>
        <v>0</v>
      </c>
      <c r="AA184" s="131">
        <f>'Stasiun Pontianak Kota'!AB242</f>
        <v>0</v>
      </c>
      <c r="AC184" s="130">
        <v>15</v>
      </c>
      <c r="AD184" s="131">
        <f>'Sta. Meteorologi pnk'!B202</f>
        <v>2.4</v>
      </c>
      <c r="AE184" s="131">
        <f>'Sta. Meteorologi pnk'!C202</f>
        <v>0</v>
      </c>
      <c r="AF184" s="131">
        <f>'Sta. Meteorologi pnk'!D202</f>
        <v>0</v>
      </c>
      <c r="AG184" s="131">
        <f>'Sta. Meteorologi pnk'!E202</f>
        <v>0.5</v>
      </c>
      <c r="AH184" s="131">
        <f>'Sta. Meteorologi pnk'!F202</f>
        <v>0</v>
      </c>
      <c r="AI184" s="131">
        <f>'Sta. Meteorologi pnk'!G202</f>
        <v>46.2</v>
      </c>
      <c r="AJ184" s="131">
        <f>'Sta. Meteorologi pnk'!H202</f>
        <v>0</v>
      </c>
      <c r="AK184" s="131">
        <f>'Sta. Meteorologi pnk'!I202</f>
        <v>0.6</v>
      </c>
      <c r="AL184" s="131">
        <f>'Sta. Meteorologi pnk'!J202</f>
        <v>0</v>
      </c>
      <c r="AM184" s="131">
        <f>'Sta. Meteorologi pnk'!K202</f>
        <v>0</v>
      </c>
      <c r="AN184" s="131">
        <f>'Sta. Meteorologi pnk'!L202</f>
        <v>3.7</v>
      </c>
      <c r="AO184" s="131">
        <f>'Sta. Meteorologi pnk'!M202</f>
        <v>0</v>
      </c>
      <c r="AQ184" s="130">
        <v>15</v>
      </c>
      <c r="AR184" s="131">
        <f t="shared" si="124"/>
        <v>1.6228672819136849</v>
      </c>
      <c r="AS184" s="131">
        <f t="shared" si="122"/>
        <v>0</v>
      </c>
      <c r="AT184" s="131">
        <f t="shared" si="122"/>
        <v>0</v>
      </c>
      <c r="AU184" s="131">
        <f t="shared" si="122"/>
        <v>15.880751712124979</v>
      </c>
      <c r="AV184" s="131">
        <f t="shared" si="122"/>
        <v>0</v>
      </c>
      <c r="AW184" s="131">
        <f t="shared" si="122"/>
        <v>41.601964751322633</v>
      </c>
      <c r="AX184" s="131">
        <f t="shared" si="122"/>
        <v>0</v>
      </c>
      <c r="AY184" s="131">
        <f t="shared" si="122"/>
        <v>0.40571682047842123</v>
      </c>
      <c r="AZ184" s="131">
        <f t="shared" si="122"/>
        <v>0</v>
      </c>
      <c r="BA184" s="131">
        <f t="shared" si="122"/>
        <v>0</v>
      </c>
      <c r="BB184" s="131">
        <f t="shared" si="122"/>
        <v>2.5019203929502645</v>
      </c>
      <c r="BC184" s="131">
        <f t="shared" si="122"/>
        <v>0</v>
      </c>
      <c r="BE184" s="130">
        <v>15</v>
      </c>
      <c r="BF184" s="131">
        <f t="shared" si="125"/>
        <v>1.518387004477471</v>
      </c>
      <c r="BG184" s="131">
        <f t="shared" si="123"/>
        <v>0</v>
      </c>
      <c r="BH184" s="131">
        <f t="shared" si="123"/>
        <v>0</v>
      </c>
      <c r="BI184" s="131">
        <f t="shared" si="123"/>
        <v>17.948590536383382</v>
      </c>
      <c r="BJ184" s="131">
        <f t="shared" si="123"/>
        <v>0</v>
      </c>
      <c r="BK184" s="131">
        <f t="shared" si="123"/>
        <v>40.983789776491712</v>
      </c>
      <c r="BL184" s="131">
        <f t="shared" si="123"/>
        <v>0</v>
      </c>
      <c r="BM184" s="131">
        <f t="shared" si="123"/>
        <v>0.37959675111936775</v>
      </c>
      <c r="BN184" s="131">
        <f t="shared" si="123"/>
        <v>0</v>
      </c>
      <c r="BO184" s="131">
        <f t="shared" si="123"/>
        <v>0</v>
      </c>
      <c r="BP184" s="131">
        <f t="shared" si="123"/>
        <v>2.3408466319027683</v>
      </c>
      <c r="BQ184" s="131">
        <f t="shared" si="123"/>
        <v>0</v>
      </c>
    </row>
    <row r="185" spans="1:69">
      <c r="A185" s="130">
        <v>16</v>
      </c>
      <c r="B185" s="131">
        <f>IF('Data 2'!B185&lt;0.1,0,'Data 2'!B185)</f>
        <v>0</v>
      </c>
      <c r="C185" s="131">
        <f>IF('Data 2'!C185&lt;0.1,0,'Data 2'!C185)</f>
        <v>110.78951656265785</v>
      </c>
      <c r="D185" s="131">
        <f>IF('Data 2'!D185&lt;0.1,0,'Data 2'!D185)</f>
        <v>0</v>
      </c>
      <c r="E185" s="131">
        <f>IF('Data 2'!E185&lt;0.1,0,'Data 2'!E185)</f>
        <v>35.60351620419403</v>
      </c>
      <c r="F185" s="131">
        <f>IF('Data 2'!F185&lt;0.1,0,'Data 2'!F185)</f>
        <v>0</v>
      </c>
      <c r="G185" s="131">
        <f>IF('Data 2'!G185&lt;0.1,0,'Data 2'!G185)</f>
        <v>5.4312580450686783</v>
      </c>
      <c r="H185" s="131">
        <f>IF('Data 2'!H185&lt;0.1,0,'Data 2'!H185)</f>
        <v>29.135564499046811</v>
      </c>
      <c r="I185" s="131">
        <f>IF('Data 2'!I185&lt;0.1,0,'Data 2'!I185)</f>
        <v>16.439548335587308</v>
      </c>
      <c r="J185" s="131">
        <f>IF('Data 2'!J185&lt;0.1,0,'Data 2'!J185)</f>
        <v>0</v>
      </c>
      <c r="K185" s="131">
        <f>IF('Data 2'!K185&lt;0.1,0,'Data 2'!K185)</f>
        <v>3.1212096524530324</v>
      </c>
      <c r="L185" s="131">
        <f>IF('Data 2'!L185&lt;0.1,0,'Data 2'!L185)</f>
        <v>15.254548417056359</v>
      </c>
      <c r="M185" s="131">
        <f>IF('Data 2'!M185&lt;0.1,0,'Data 2'!M185)</f>
        <v>0</v>
      </c>
      <c r="O185" s="130">
        <v>16</v>
      </c>
      <c r="P185" s="131">
        <f>'Stasiun Pontianak Kota'!Q243</f>
        <v>0</v>
      </c>
      <c r="Q185" s="131">
        <f>'Stasiun Pontianak Kota'!R243</f>
        <v>165</v>
      </c>
      <c r="R185" s="131">
        <f>'Stasiun Pontianak Kota'!S243</f>
        <v>0</v>
      </c>
      <c r="S185" s="131">
        <f>'Stasiun Pontianak Kota'!T243</f>
        <v>45</v>
      </c>
      <c r="T185" s="131">
        <f>'Stasiun Pontianak Kota'!U243</f>
        <v>0</v>
      </c>
      <c r="U185" s="131">
        <f>'Stasiun Pontianak Kota'!V243</f>
        <v>3</v>
      </c>
      <c r="V185" s="131">
        <f>'Stasiun Pontianak Kota'!W243</f>
        <v>27</v>
      </c>
      <c r="W185" s="131">
        <f>'Stasiun Pontianak Kota'!X243</f>
        <v>10</v>
      </c>
      <c r="X185" s="131">
        <f>'Stasiun Pontianak Kota'!Y243</f>
        <v>0</v>
      </c>
      <c r="Y185" s="131">
        <f>'Stasiun Pontianak Kota'!Z243</f>
        <v>0</v>
      </c>
      <c r="Z185" s="131">
        <f>'Stasiun Pontianak Kota'!AA243</f>
        <v>19</v>
      </c>
      <c r="AA185" s="131">
        <f>'Stasiun Pontianak Kota'!AB243</f>
        <v>0</v>
      </c>
      <c r="AC185" s="130">
        <v>16</v>
      </c>
      <c r="AD185" s="131">
        <f>'Sta. Meteorologi pnk'!B203</f>
        <v>0</v>
      </c>
      <c r="AE185" s="131">
        <f>'Sta. Meteorologi pnk'!C203</f>
        <v>0</v>
      </c>
      <c r="AF185" s="131">
        <f>'Sta. Meteorologi pnk'!D203</f>
        <v>0</v>
      </c>
      <c r="AG185" s="131">
        <f>'Sta. Meteorologi pnk'!E203</f>
        <v>16.399999999999999</v>
      </c>
      <c r="AH185" s="131">
        <f>'Sta. Meteorologi pnk'!F203</f>
        <v>0</v>
      </c>
      <c r="AI185" s="131">
        <f>'Sta. Meteorologi pnk'!G203</f>
        <v>10.4</v>
      </c>
      <c r="AJ185" s="131">
        <f>'Sta. Meteorologi pnk'!H203</f>
        <v>33.5</v>
      </c>
      <c r="AK185" s="131">
        <f>'Sta. Meteorologi pnk'!I203</f>
        <v>29.6</v>
      </c>
      <c r="AL185" s="131">
        <f>'Sta. Meteorologi pnk'!J203</f>
        <v>0</v>
      </c>
      <c r="AM185" s="131">
        <f>'Sta. Meteorologi pnk'!K203</f>
        <v>9.5</v>
      </c>
      <c r="AN185" s="131">
        <f>'Sta. Meteorologi pnk'!L203</f>
        <v>7.6</v>
      </c>
      <c r="AO185" s="131">
        <f>'Sta. Meteorologi pnk'!M203</f>
        <v>0</v>
      </c>
      <c r="AQ185" s="130">
        <v>16</v>
      </c>
      <c r="AR185" s="131">
        <f t="shared" si="124"/>
        <v>0</v>
      </c>
      <c r="AS185" s="131">
        <f t="shared" si="122"/>
        <v>53.427874368434153</v>
      </c>
      <c r="AT185" s="131">
        <f t="shared" si="122"/>
        <v>0</v>
      </c>
      <c r="AU185" s="131">
        <f t="shared" si="122"/>
        <v>25.660831557195252</v>
      </c>
      <c r="AV185" s="131">
        <f t="shared" si="122"/>
        <v>0</v>
      </c>
      <c r="AW185" s="131">
        <f t="shared" si="122"/>
        <v>8.0038407859005289</v>
      </c>
      <c r="AX185" s="131">
        <f t="shared" si="122"/>
        <v>31.395265555182899</v>
      </c>
      <c r="AY185" s="131">
        <f t="shared" si="122"/>
        <v>23.253416135628427</v>
      </c>
      <c r="AZ185" s="131">
        <f t="shared" si="122"/>
        <v>0</v>
      </c>
      <c r="BA185" s="131">
        <f t="shared" si="122"/>
        <v>6.4238496575750021</v>
      </c>
      <c r="BB185" s="131">
        <f t="shared" si="122"/>
        <v>11.291380410909994</v>
      </c>
      <c r="BC185" s="131">
        <f t="shared" si="122"/>
        <v>0</v>
      </c>
      <c r="BE185" s="130">
        <v>16</v>
      </c>
      <c r="BF185" s="131">
        <f t="shared" si="125"/>
        <v>0</v>
      </c>
      <c r="BG185" s="131">
        <f t="shared" si="123"/>
        <v>60.610893442173861</v>
      </c>
      <c r="BH185" s="131">
        <f t="shared" si="123"/>
        <v>0</v>
      </c>
      <c r="BI185" s="131">
        <f t="shared" si="123"/>
        <v>26.905888196643463</v>
      </c>
      <c r="BJ185" s="131">
        <f t="shared" si="123"/>
        <v>0</v>
      </c>
      <c r="BK185" s="131">
        <f t="shared" si="123"/>
        <v>7.6816932638055366</v>
      </c>
      <c r="BL185" s="131">
        <f t="shared" si="123"/>
        <v>31.112298137126484</v>
      </c>
      <c r="BM185" s="131">
        <f t="shared" si="123"/>
        <v>22.400160536566016</v>
      </c>
      <c r="BN185" s="131">
        <f t="shared" si="123"/>
        <v>0</v>
      </c>
      <c r="BO185" s="131">
        <f t="shared" si="123"/>
        <v>6.0102818927233237</v>
      </c>
      <c r="BP185" s="131">
        <f t="shared" si="123"/>
        <v>11.787661728732013</v>
      </c>
      <c r="BQ185" s="131">
        <f t="shared" si="123"/>
        <v>0</v>
      </c>
    </row>
    <row r="186" spans="1:69">
      <c r="A186" s="130">
        <v>17</v>
      </c>
      <c r="B186" s="131">
        <f>IF('Data 2'!B186&lt;0.1,0,'Data 2'!B186)</f>
        <v>0</v>
      </c>
      <c r="C186" s="131">
        <f>IF('Data 2'!C186&lt;0.1,0,'Data 2'!C186)</f>
        <v>0</v>
      </c>
      <c r="D186" s="131">
        <f>IF('Data 2'!D186&lt;0.1,0,'Data 2'!D186)</f>
        <v>16.942580613624884</v>
      </c>
      <c r="E186" s="131">
        <f>IF('Data 2'!E186&lt;0.1,0,'Data 2'!E186)</f>
        <v>17</v>
      </c>
      <c r="F186" s="131">
        <f>IF('Data 2'!F186&lt;0.1,0,'Data 2'!F186)</f>
        <v>13.644967656787186</v>
      </c>
      <c r="G186" s="131">
        <f>IF('Data 2'!G186&lt;0.1,0,'Data 2'!G186)</f>
        <v>8.8194515503560176</v>
      </c>
      <c r="H186" s="131">
        <f>IF('Data 2'!H186&lt;0.1,0,'Data 2'!H186)</f>
        <v>0.26283870757499223</v>
      </c>
      <c r="I186" s="131">
        <f>IF('Data 2'!I186&lt;0.1,0,'Data 2'!I186)</f>
        <v>0.22998386912811819</v>
      </c>
      <c r="J186" s="131">
        <f>IF('Data 2'!J186&lt;0.1,0,'Data 2'!J186)</f>
        <v>0</v>
      </c>
      <c r="K186" s="131">
        <f>IF('Data 2'!K186&lt;0.1,0,'Data 2'!K186)</f>
        <v>8.956935460218661</v>
      </c>
      <c r="L186" s="131">
        <f>IF('Data 2'!L186&lt;0.1,0,'Data 2'!L186)</f>
        <v>0.49282257670311042</v>
      </c>
      <c r="M186" s="131">
        <f>IF('Data 2'!M186&lt;0.1,0,'Data 2'!M186)</f>
        <v>4.7843709774656604</v>
      </c>
      <c r="O186" s="130">
        <v>17</v>
      </c>
      <c r="P186" s="131">
        <f>'Stasiun Pontianak Kota'!Q244</f>
        <v>0</v>
      </c>
      <c r="Q186" s="131">
        <f>'Stasiun Pontianak Kota'!R244</f>
        <v>0</v>
      </c>
      <c r="R186" s="131">
        <f>'Stasiun Pontianak Kota'!S244</f>
        <v>13</v>
      </c>
      <c r="S186" s="131">
        <f>'Stasiun Pontianak Kota'!T244</f>
        <v>17</v>
      </c>
      <c r="T186" s="131">
        <f>'Stasiun Pontianak Kota'!U244</f>
        <v>3</v>
      </c>
      <c r="U186" s="131">
        <f>'Stasiun Pontianak Kota'!V244</f>
        <v>1</v>
      </c>
      <c r="V186" s="131">
        <f>'Stasiun Pontianak Kota'!W244</f>
        <v>0</v>
      </c>
      <c r="W186" s="131">
        <f>'Stasiun Pontianak Kota'!X244</f>
        <v>0</v>
      </c>
      <c r="X186" s="131">
        <f>'Stasiun Pontianak Kota'!Y244</f>
        <v>0</v>
      </c>
      <c r="Y186" s="131">
        <f>'Stasiun Pontianak Kota'!Z244</f>
        <v>6</v>
      </c>
      <c r="Z186" s="131">
        <f>'Stasiun Pontianak Kota'!AA244</f>
        <v>0</v>
      </c>
      <c r="AA186" s="131">
        <f>'Stasiun Pontianak Kota'!AB244</f>
        <v>6</v>
      </c>
      <c r="AC186" s="130">
        <v>17</v>
      </c>
      <c r="AD186" s="131">
        <f>'Sta. Meteorologi pnk'!B204</f>
        <v>0</v>
      </c>
      <c r="AE186" s="131">
        <f>'Sta. Meteorologi pnk'!C204</f>
        <v>0.3</v>
      </c>
      <c r="AF186" s="131">
        <f>'Sta. Meteorologi pnk'!D204</f>
        <v>25</v>
      </c>
      <c r="AG186" s="131">
        <f>'Sta. Meteorologi pnk'!E204</f>
        <v>17</v>
      </c>
      <c r="AH186" s="131">
        <f>'Sta. Meteorologi pnk'!F204</f>
        <v>35.4</v>
      </c>
      <c r="AI186" s="131">
        <f>'Sta. Meteorologi pnk'!G204</f>
        <v>24.8</v>
      </c>
      <c r="AJ186" s="131">
        <f>'Sta. Meteorologi pnk'!H204</f>
        <v>0.8</v>
      </c>
      <c r="AK186" s="131">
        <f>'Sta. Meteorologi pnk'!I204</f>
        <v>0.7</v>
      </c>
      <c r="AL186" s="131">
        <f>'Sta. Meteorologi pnk'!J204</f>
        <v>0</v>
      </c>
      <c r="AM186" s="131">
        <f>'Sta. Meteorologi pnk'!K204</f>
        <v>15</v>
      </c>
      <c r="AN186" s="131">
        <f>'Sta. Meteorologi pnk'!L204</f>
        <v>1.5</v>
      </c>
      <c r="AO186" s="131">
        <f>'Sta. Meteorologi pnk'!M204</f>
        <v>2.2999999999999998</v>
      </c>
      <c r="AQ186" s="130">
        <v>17</v>
      </c>
      <c r="AR186" s="131">
        <f t="shared" si="124"/>
        <v>0</v>
      </c>
      <c r="AS186" s="131">
        <f t="shared" si="122"/>
        <v>0.20285841023921061</v>
      </c>
      <c r="AT186" s="131">
        <f t="shared" si="122"/>
        <v>21.114336409568423</v>
      </c>
      <c r="AU186" s="131">
        <f t="shared" si="122"/>
        <v>16.999999999999996</v>
      </c>
      <c r="AV186" s="131">
        <f t="shared" si="122"/>
        <v>24.908708305834743</v>
      </c>
      <c r="AW186" s="131">
        <f t="shared" si="122"/>
        <v>17.093433878977375</v>
      </c>
      <c r="AX186" s="131">
        <f t="shared" si="122"/>
        <v>0.54095576063789497</v>
      </c>
      <c r="AY186" s="131">
        <f t="shared" si="122"/>
        <v>0.47333629055815807</v>
      </c>
      <c r="AZ186" s="131">
        <f t="shared" si="122"/>
        <v>0</v>
      </c>
      <c r="BA186" s="131">
        <f t="shared" si="122"/>
        <v>12.085752307176318</v>
      </c>
      <c r="BB186" s="131">
        <f t="shared" si="122"/>
        <v>1.0142920511960531</v>
      </c>
      <c r="BC186" s="131">
        <f t="shared" si="122"/>
        <v>3.4980796070497351</v>
      </c>
      <c r="BE186" s="130">
        <v>17</v>
      </c>
      <c r="BF186" s="131">
        <f t="shared" si="125"/>
        <v>0</v>
      </c>
      <c r="BG186" s="131">
        <f t="shared" si="123"/>
        <v>0.17745579318924937</v>
      </c>
      <c r="BH186" s="131">
        <f t="shared" si="123"/>
        <v>20.591935022387357</v>
      </c>
      <c r="BI186" s="131">
        <f t="shared" si="123"/>
        <v>17</v>
      </c>
      <c r="BJ186" s="131">
        <f t="shared" si="123"/>
        <v>23.498224560445859</v>
      </c>
      <c r="BK186" s="131">
        <f t="shared" si="123"/>
        <v>16.05733779440159</v>
      </c>
      <c r="BL186" s="131">
        <f t="shared" si="123"/>
        <v>0.5061290014924904</v>
      </c>
      <c r="BM186" s="131">
        <f t="shared" si="123"/>
        <v>0.44286287630592908</v>
      </c>
      <c r="BN186" s="131">
        <f t="shared" si="123"/>
        <v>0</v>
      </c>
      <c r="BO186" s="131">
        <f t="shared" si="123"/>
        <v>11.693951266790517</v>
      </c>
      <c r="BP186" s="131">
        <f t="shared" si="123"/>
        <v>0.94899187779841954</v>
      </c>
      <c r="BQ186" s="131">
        <f t="shared" si="123"/>
        <v>3.6591533680972317</v>
      </c>
    </row>
    <row r="187" spans="1:69">
      <c r="A187" s="130">
        <v>18</v>
      </c>
      <c r="B187" s="131">
        <f>IF('Data 2'!B187&lt;0.1,0,'Data 2'!B187)</f>
        <v>0</v>
      </c>
      <c r="C187" s="131">
        <f>IF('Data 2'!C187&lt;0.1,0,'Data 2'!C187)</f>
        <v>0</v>
      </c>
      <c r="D187" s="131">
        <f>IF('Data 2'!D187&lt;0.1,0,'Data 2'!D187)</f>
        <v>4.6529516236781649</v>
      </c>
      <c r="E187" s="131">
        <f>IF('Data 2'!E187&lt;0.1,0,'Data 2'!E187)</f>
        <v>0</v>
      </c>
      <c r="F187" s="131">
        <f>IF('Data 2'!F187&lt;0.1,0,'Data 2'!F187)</f>
        <v>10.513548302999688</v>
      </c>
      <c r="G187" s="131">
        <f>IF('Data 2'!G187&lt;0.1,0,'Data 2'!G187)</f>
        <v>2.145774200381275</v>
      </c>
      <c r="H187" s="131">
        <f>IF('Data 2'!H187&lt;0.1,0,'Data 2'!H187)</f>
        <v>13.459967738256237</v>
      </c>
      <c r="I187" s="131">
        <f>IF('Data 2'!I187&lt;0.1,0,'Data 2'!I187)</f>
        <v>0</v>
      </c>
      <c r="J187" s="131">
        <f>IF('Data 2'!J187&lt;0.1,0,'Data 2'!J187)</f>
        <v>16.043064539781337</v>
      </c>
      <c r="K187" s="131">
        <f>IF('Data 2'!K187&lt;0.1,0,'Data 2'!K187)</f>
        <v>0</v>
      </c>
      <c r="L187" s="131">
        <f>IF('Data 2'!L187&lt;0.1,0,'Data 2'!L187)</f>
        <v>0</v>
      </c>
      <c r="M187" s="131">
        <f>IF('Data 2'!M187&lt;0.1,0,'Data 2'!M187)</f>
        <v>4.0287096931875581</v>
      </c>
      <c r="O187" s="130">
        <v>18</v>
      </c>
      <c r="P187" s="131">
        <f>'Stasiun Pontianak Kota'!Q245</f>
        <v>0</v>
      </c>
      <c r="Q187" s="131">
        <f>'Stasiun Pontianak Kota'!R245</f>
        <v>0</v>
      </c>
      <c r="R187" s="131">
        <f>'Stasiun Pontianak Kota'!S245</f>
        <v>6</v>
      </c>
      <c r="S187" s="131">
        <f>'Stasiun Pontianak Kota'!T245</f>
        <v>0</v>
      </c>
      <c r="T187" s="131">
        <f>'Stasiun Pontianak Kota'!U245</f>
        <v>0</v>
      </c>
      <c r="U187" s="131">
        <f>'Stasiun Pontianak Kota'!V245</f>
        <v>3</v>
      </c>
      <c r="V187" s="131">
        <f>'Stasiun Pontianak Kota'!W245</f>
        <v>13</v>
      </c>
      <c r="W187" s="131">
        <f>'Stasiun Pontianak Kota'!X245</f>
        <v>0</v>
      </c>
      <c r="X187" s="131">
        <f>'Stasiun Pontianak Kota'!Y245</f>
        <v>19</v>
      </c>
      <c r="Y187" s="131">
        <f>'Stasiun Pontianak Kota'!Z245</f>
        <v>0</v>
      </c>
      <c r="Z187" s="131">
        <f>'Stasiun Pontianak Kota'!AA245</f>
        <v>0</v>
      </c>
      <c r="AA187" s="131">
        <f>'Stasiun Pontianak Kota'!AB245</f>
        <v>6</v>
      </c>
      <c r="AC187" s="130">
        <v>18</v>
      </c>
      <c r="AD187" s="131">
        <f>'Sta. Meteorologi pnk'!B205</f>
        <v>0</v>
      </c>
      <c r="AE187" s="131">
        <f>'Sta. Meteorologi pnk'!C205</f>
        <v>0</v>
      </c>
      <c r="AF187" s="131">
        <f>'Sta. Meteorologi pnk'!D205</f>
        <v>1.9</v>
      </c>
      <c r="AG187" s="131">
        <f>'Sta. Meteorologi pnk'!E205</f>
        <v>0</v>
      </c>
      <c r="AH187" s="131">
        <f>'Sta. Meteorologi pnk'!F205</f>
        <v>32</v>
      </c>
      <c r="AI187" s="131">
        <f>'Sta. Meteorologi pnk'!G205</f>
        <v>0.4</v>
      </c>
      <c r="AJ187" s="131">
        <f>'Sta. Meteorologi pnk'!H205</f>
        <v>14.4</v>
      </c>
      <c r="AK187" s="131">
        <f>'Sta. Meteorologi pnk'!I205</f>
        <v>0</v>
      </c>
      <c r="AL187" s="131">
        <f>'Sta. Meteorologi pnk'!J205</f>
        <v>10</v>
      </c>
      <c r="AM187" s="131">
        <f>'Sta. Meteorologi pnk'!K205</f>
        <v>0</v>
      </c>
      <c r="AN187" s="131">
        <f>'Sta. Meteorologi pnk'!L205</f>
        <v>0</v>
      </c>
      <c r="AO187" s="131">
        <f>'Sta. Meteorologi pnk'!M205</f>
        <v>0</v>
      </c>
      <c r="AQ187" s="130">
        <v>18</v>
      </c>
      <c r="AR187" s="131">
        <f t="shared" si="124"/>
        <v>0</v>
      </c>
      <c r="AS187" s="131">
        <f t="shared" si="122"/>
        <v>0</v>
      </c>
      <c r="AT187" s="131">
        <f t="shared" si="122"/>
        <v>3.227601726730787</v>
      </c>
      <c r="AU187" s="131">
        <f t="shared" si="122"/>
        <v>0</v>
      </c>
      <c r="AV187" s="131">
        <f t="shared" si="122"/>
        <v>21.6382304255158</v>
      </c>
      <c r="AW187" s="131">
        <f t="shared" si="122"/>
        <v>1.2418937779268411</v>
      </c>
      <c r="AX187" s="131">
        <f t="shared" si="122"/>
        <v>13.946672581116315</v>
      </c>
      <c r="AY187" s="131">
        <f t="shared" si="122"/>
        <v>0</v>
      </c>
      <c r="AZ187" s="131">
        <f t="shared" si="122"/>
        <v>12.914247692823681</v>
      </c>
      <c r="BA187" s="131">
        <f t="shared" si="122"/>
        <v>0</v>
      </c>
      <c r="BB187" s="131">
        <f t="shared" si="122"/>
        <v>0</v>
      </c>
      <c r="BC187" s="131">
        <f t="shared" si="122"/>
        <v>1.942831795215787</v>
      </c>
      <c r="BE187" s="130">
        <v>18</v>
      </c>
      <c r="BF187" s="131">
        <f t="shared" si="125"/>
        <v>0</v>
      </c>
      <c r="BG187" s="131">
        <f t="shared" si="123"/>
        <v>0</v>
      </c>
      <c r="BH187" s="131">
        <f t="shared" si="123"/>
        <v>3.4060888673509866</v>
      </c>
      <c r="BI187" s="131">
        <f t="shared" si="123"/>
        <v>0</v>
      </c>
      <c r="BJ187" s="131">
        <f t="shared" si="123"/>
        <v>20.245160059699614</v>
      </c>
      <c r="BK187" s="131">
        <f t="shared" si="123"/>
        <v>1.355080745149406</v>
      </c>
      <c r="BL187" s="131">
        <f t="shared" si="123"/>
        <v>13.885725752611858</v>
      </c>
      <c r="BM187" s="131">
        <f t="shared" si="123"/>
        <v>0</v>
      </c>
      <c r="BN187" s="131">
        <f t="shared" si="123"/>
        <v>13.306048733209483</v>
      </c>
      <c r="BO187" s="131">
        <f t="shared" si="123"/>
        <v>0</v>
      </c>
      <c r="BP187" s="131">
        <f t="shared" si="123"/>
        <v>0</v>
      </c>
      <c r="BQ187" s="131">
        <f t="shared" si="123"/>
        <v>2.2040324888063219</v>
      </c>
    </row>
    <row r="188" spans="1:69">
      <c r="A188" s="130">
        <v>19</v>
      </c>
      <c r="B188" s="131">
        <f>IF('Data 2'!B188&lt;0.1,0,'Data 2'!B188)</f>
        <v>0</v>
      </c>
      <c r="C188" s="131">
        <f>IF('Data 2'!C188&lt;0.1,0,'Data 2'!C188)</f>
        <v>0</v>
      </c>
      <c r="D188" s="131">
        <f>IF('Data 2'!D188&lt;0.1,0,'Data 2'!D188)</f>
        <v>25.223612989425312</v>
      </c>
      <c r="E188" s="131">
        <f>IF('Data 2'!E188&lt;0.1,0,'Data 2'!E188)</f>
        <v>0.59138709204373252</v>
      </c>
      <c r="F188" s="131">
        <f>IF('Data 2'!F188&lt;0.1,0,'Data 2'!F188)</f>
        <v>23.297612956837696</v>
      </c>
      <c r="G188" s="131">
        <f>IF('Data 2'!G188&lt;0.1,0,'Data 2'!G188)</f>
        <v>11.529822560409297</v>
      </c>
      <c r="H188" s="131">
        <f>IF('Data 2'!H188&lt;0.1,0,'Data 2'!H188)</f>
        <v>0.29569354602186626</v>
      </c>
      <c r="I188" s="131">
        <f>IF('Data 2'!I188&lt;0.1,0,'Data 2'!I188)</f>
        <v>0</v>
      </c>
      <c r="J188" s="131">
        <f>IF('Data 2'!J188&lt;0.1,0,'Data 2'!J188)</f>
        <v>3.5626773988561742</v>
      </c>
      <c r="K188" s="131">
        <f>IF('Data 2'!K188&lt;0.1,0,'Data 2'!K188)</f>
        <v>0</v>
      </c>
      <c r="L188" s="131">
        <f>IF('Data 2'!L188&lt;0.1,0,'Data 2'!L188)</f>
        <v>0.13141935378749611</v>
      </c>
      <c r="M188" s="131">
        <f>IF('Data 2'!M188&lt;0.1,0,'Data 2'!M188)</f>
        <v>0</v>
      </c>
      <c r="O188" s="130">
        <v>19</v>
      </c>
      <c r="P188" s="131">
        <f>'Stasiun Pontianak Kota'!Q246</f>
        <v>0</v>
      </c>
      <c r="Q188" s="131">
        <f>'Stasiun Pontianak Kota'!R246</f>
        <v>0</v>
      </c>
      <c r="R188" s="131">
        <f>'Stasiun Pontianak Kota'!S246</f>
        <v>36</v>
      </c>
      <c r="S188" s="131">
        <f>'Stasiun Pontianak Kota'!T246</f>
        <v>0</v>
      </c>
      <c r="T188" s="131">
        <f>'Stasiun Pontianak Kota'!U246</f>
        <v>30</v>
      </c>
      <c r="U188" s="131">
        <f>'Stasiun Pontianak Kota'!V246</f>
        <v>9</v>
      </c>
      <c r="V188" s="131">
        <f>'Stasiun Pontianak Kota'!W246</f>
        <v>0</v>
      </c>
      <c r="W188" s="131">
        <f>'Stasiun Pontianak Kota'!X246</f>
        <v>0</v>
      </c>
      <c r="X188" s="131">
        <f>'Stasiun Pontianak Kota'!Y246</f>
        <v>1</v>
      </c>
      <c r="Y188" s="131">
        <f>'Stasiun Pontianak Kota'!Z246</f>
        <v>0</v>
      </c>
      <c r="Z188" s="131">
        <f>'Stasiun Pontianak Kota'!AA246</f>
        <v>0</v>
      </c>
      <c r="AA188" s="131">
        <f>'Stasiun Pontianak Kota'!AB246</f>
        <v>0</v>
      </c>
      <c r="AC188" s="130">
        <v>19</v>
      </c>
      <c r="AD188" s="131">
        <f>'Sta. Meteorologi pnk'!B206</f>
        <v>0</v>
      </c>
      <c r="AE188" s="131">
        <f>'Sta. Meteorologi pnk'!C206</f>
        <v>0</v>
      </c>
      <c r="AF188" s="131">
        <f>'Sta. Meteorologi pnk'!D206</f>
        <v>3.2</v>
      </c>
      <c r="AG188" s="131">
        <f>'Sta. Meteorologi pnk'!E206</f>
        <v>1.8</v>
      </c>
      <c r="AH188" s="131">
        <f>'Sta. Meteorologi pnk'!F206</f>
        <v>9.6</v>
      </c>
      <c r="AI188" s="131">
        <f>'Sta. Meteorologi pnk'!G206</f>
        <v>16.7</v>
      </c>
      <c r="AJ188" s="131">
        <f>'Sta. Meteorologi pnk'!H206</f>
        <v>0.9</v>
      </c>
      <c r="AK188" s="131">
        <f>'Sta. Meteorologi pnk'!I206</f>
        <v>0</v>
      </c>
      <c r="AL188" s="131">
        <f>'Sta. Meteorologi pnk'!J206</f>
        <v>8.8000000000000007</v>
      </c>
      <c r="AM188" s="131">
        <f>'Sta. Meteorologi pnk'!K206</f>
        <v>0</v>
      </c>
      <c r="AN188" s="131">
        <f>'Sta. Meteorologi pnk'!L206</f>
        <v>0.4</v>
      </c>
      <c r="AO188" s="131">
        <f>'Sta. Meteorologi pnk'!M206</f>
        <v>0</v>
      </c>
      <c r="AQ188" s="130">
        <v>19</v>
      </c>
      <c r="AR188" s="131">
        <f t="shared" si="124"/>
        <v>0</v>
      </c>
      <c r="AS188" s="131">
        <f t="shared" si="122"/>
        <v>0</v>
      </c>
      <c r="AT188" s="131">
        <f t="shared" si="122"/>
        <v>13.820813813846303</v>
      </c>
      <c r="AU188" s="131">
        <f t="shared" si="122"/>
        <v>1.2171504614352637</v>
      </c>
      <c r="AV188" s="131">
        <f t="shared" si="122"/>
        <v>16.205628103733677</v>
      </c>
      <c r="AW188" s="131">
        <f t="shared" si="122"/>
        <v>14.20669919613974</v>
      </c>
      <c r="AX188" s="131">
        <f t="shared" si="122"/>
        <v>0.60857523071763187</v>
      </c>
      <c r="AY188" s="131">
        <f t="shared" si="122"/>
        <v>0</v>
      </c>
      <c r="AZ188" s="131">
        <f t="shared" si="122"/>
        <v>6.2743186662194761</v>
      </c>
      <c r="BA188" s="131">
        <f t="shared" si="122"/>
        <v>0</v>
      </c>
      <c r="BB188" s="131">
        <f t="shared" si="122"/>
        <v>0.27047788031894748</v>
      </c>
      <c r="BC188" s="131">
        <f t="shared" si="122"/>
        <v>0</v>
      </c>
      <c r="BE188" s="130">
        <v>19</v>
      </c>
      <c r="BF188" s="131">
        <f t="shared" si="125"/>
        <v>0</v>
      </c>
      <c r="BG188" s="131">
        <f t="shared" si="123"/>
        <v>0</v>
      </c>
      <c r="BH188" s="131">
        <f t="shared" si="123"/>
        <v>15.248710938807893</v>
      </c>
      <c r="BI188" s="131">
        <f t="shared" si="123"/>
        <v>1.1387902533581036</v>
      </c>
      <c r="BJ188" s="131">
        <f t="shared" si="123"/>
        <v>17.093710461941495</v>
      </c>
      <c r="BK188" s="131">
        <f t="shared" si="123"/>
        <v>13.871491639365219</v>
      </c>
      <c r="BL188" s="131">
        <f t="shared" si="123"/>
        <v>0.56939512667905179</v>
      </c>
      <c r="BM188" s="131">
        <f t="shared" si="123"/>
        <v>0</v>
      </c>
      <c r="BN188" s="131">
        <f t="shared" si="123"/>
        <v>5.9347577645517813</v>
      </c>
      <c r="BO188" s="131">
        <f t="shared" si="123"/>
        <v>0</v>
      </c>
      <c r="BP188" s="131">
        <f t="shared" si="123"/>
        <v>0.2530645007462452</v>
      </c>
      <c r="BQ188" s="131">
        <f t="shared" si="123"/>
        <v>0</v>
      </c>
    </row>
    <row r="189" spans="1:69">
      <c r="A189" s="130">
        <v>20</v>
      </c>
      <c r="B189" s="131">
        <f>IF('Data 2'!B189&lt;0.1,0,'Data 2'!B189)</f>
        <v>2.8213709611718509</v>
      </c>
      <c r="C189" s="131">
        <f>IF('Data 2'!C189&lt;0.1,0,'Data 2'!C189)</f>
        <v>0</v>
      </c>
      <c r="D189" s="131">
        <f>IF('Data 2'!D189&lt;0.1,0,'Data 2'!D189)</f>
        <v>0</v>
      </c>
      <c r="E189" s="131">
        <f>IF('Data 2'!E189&lt;0.1,0,'Data 2'!E189)</f>
        <v>0.26283870757499223</v>
      </c>
      <c r="F189" s="131">
        <f>IF('Data 2'!F189&lt;0.1,0,'Data 2'!F189)</f>
        <v>5.646887067603017</v>
      </c>
      <c r="G189" s="131">
        <f>IF('Data 2'!G189&lt;0.1,0,'Data 2'!G189)</f>
        <v>0</v>
      </c>
      <c r="H189" s="131">
        <f>IF('Data 2'!H189&lt;0.1,0,'Data 2'!H189)</f>
        <v>0</v>
      </c>
      <c r="I189" s="131">
        <f>IF('Data 2'!I189&lt;0.1,0,'Data 2'!I189)</f>
        <v>0</v>
      </c>
      <c r="J189" s="131">
        <f>IF('Data 2'!J189&lt;0.1,0,'Data 2'!J189)</f>
        <v>0.32854838446874024</v>
      </c>
      <c r="K189" s="131">
        <f>IF('Data 2'!K189&lt;0.1,0,'Data 2'!K189)</f>
        <v>0</v>
      </c>
      <c r="L189" s="131">
        <f>IF('Data 2'!L189&lt;0.1,0,'Data 2'!L189)</f>
        <v>0</v>
      </c>
      <c r="M189" s="131">
        <f>IF('Data 2'!M189&lt;0.1,0,'Data 2'!M189)</f>
        <v>1.1170645071937169</v>
      </c>
      <c r="O189" s="130">
        <v>20</v>
      </c>
      <c r="P189" s="131">
        <f>'Stasiun Pontianak Kota'!Q247</f>
        <v>2</v>
      </c>
      <c r="Q189" s="131">
        <f>'Stasiun Pontianak Kota'!R247</f>
        <v>0</v>
      </c>
      <c r="R189" s="131">
        <f>'Stasiun Pontianak Kota'!S247</f>
        <v>0</v>
      </c>
      <c r="S189" s="131">
        <f>'Stasiun Pontianak Kota'!T247</f>
        <v>0</v>
      </c>
      <c r="T189" s="131">
        <f>'Stasiun Pontianak Kota'!U247</f>
        <v>2</v>
      </c>
      <c r="U189" s="131">
        <f>'Stasiun Pontianak Kota'!V247</f>
        <v>0</v>
      </c>
      <c r="V189" s="131">
        <f>'Stasiun Pontianak Kota'!W247</f>
        <v>0</v>
      </c>
      <c r="W189" s="131">
        <f>'Stasiun Pontianak Kota'!X247</f>
        <v>0</v>
      </c>
      <c r="X189" s="131">
        <f>'Stasiun Pontianak Kota'!Y247</f>
        <v>0</v>
      </c>
      <c r="Y189" s="131">
        <f>'Stasiun Pontianak Kota'!Z247</f>
        <v>0</v>
      </c>
      <c r="Z189" s="131">
        <f>'Stasiun Pontianak Kota'!AA247</f>
        <v>0</v>
      </c>
      <c r="AA189" s="131">
        <f>'Stasiun Pontianak Kota'!AB247</f>
        <v>0</v>
      </c>
      <c r="AC189" s="130">
        <v>20</v>
      </c>
      <c r="AD189" s="131">
        <f>'Sta. Meteorologi pnk'!B207</f>
        <v>4.5</v>
      </c>
      <c r="AE189" s="131">
        <f>'Sta. Meteorologi pnk'!C207</f>
        <v>0</v>
      </c>
      <c r="AF189" s="131">
        <f>'Sta. Meteorologi pnk'!D207</f>
        <v>0</v>
      </c>
      <c r="AG189" s="131">
        <f>'Sta. Meteorologi pnk'!E207</f>
        <v>0.8</v>
      </c>
      <c r="AH189" s="131">
        <f>'Sta. Meteorologi pnk'!F207</f>
        <v>13.1</v>
      </c>
      <c r="AI189" s="131">
        <f>'Sta. Meteorologi pnk'!G207</f>
        <v>0</v>
      </c>
      <c r="AJ189" s="131">
        <f>'Sta. Meteorologi pnk'!H207</f>
        <v>0</v>
      </c>
      <c r="AK189" s="131">
        <f>'Sta. Meteorologi pnk'!I207</f>
        <v>0.2</v>
      </c>
      <c r="AL189" s="131">
        <f>'Sta. Meteorologi pnk'!J207</f>
        <v>1</v>
      </c>
      <c r="AM189" s="131">
        <f>'Sta. Meteorologi pnk'!K207</f>
        <v>0</v>
      </c>
      <c r="AN189" s="131">
        <f>'Sta. Meteorologi pnk'!L207</f>
        <v>0</v>
      </c>
      <c r="AO189" s="131">
        <f>'Sta. Meteorologi pnk'!M207</f>
        <v>3.4</v>
      </c>
      <c r="AQ189" s="130">
        <v>20</v>
      </c>
      <c r="AR189" s="131">
        <f t="shared" si="124"/>
        <v>3.6904867519934221</v>
      </c>
      <c r="AS189" s="131">
        <f t="shared" si="122"/>
        <v>0</v>
      </c>
      <c r="AT189" s="131">
        <f t="shared" si="122"/>
        <v>0</v>
      </c>
      <c r="AU189" s="131">
        <f t="shared" si="122"/>
        <v>0.54095576063789497</v>
      </c>
      <c r="AV189" s="131">
        <f t="shared" si="122"/>
        <v>9.5057611788507934</v>
      </c>
      <c r="AW189" s="131">
        <f t="shared" si="122"/>
        <v>0</v>
      </c>
      <c r="AX189" s="131">
        <f t="shared" si="122"/>
        <v>0</v>
      </c>
      <c r="AY189" s="131">
        <f t="shared" si="122"/>
        <v>0.13523894015947374</v>
      </c>
      <c r="AZ189" s="131">
        <f t="shared" si="122"/>
        <v>0.67619470079736876</v>
      </c>
      <c r="BA189" s="131">
        <f t="shared" si="122"/>
        <v>0</v>
      </c>
      <c r="BB189" s="131">
        <f t="shared" si="122"/>
        <v>0</v>
      </c>
      <c r="BC189" s="131">
        <f t="shared" si="122"/>
        <v>2.2990619827110534</v>
      </c>
      <c r="BE189" s="130">
        <v>20</v>
      </c>
      <c r="BF189" s="131">
        <f t="shared" si="125"/>
        <v>3.5816531296640326</v>
      </c>
      <c r="BG189" s="131">
        <f t="shared" si="123"/>
        <v>0</v>
      </c>
      <c r="BH189" s="131">
        <f t="shared" si="123"/>
        <v>0</v>
      </c>
      <c r="BI189" s="131">
        <f t="shared" si="123"/>
        <v>0.5061290014924904</v>
      </c>
      <c r="BJ189" s="131">
        <f t="shared" si="123"/>
        <v>9.0225398957083041</v>
      </c>
      <c r="BK189" s="131">
        <f t="shared" si="123"/>
        <v>0</v>
      </c>
      <c r="BL189" s="131">
        <f t="shared" si="123"/>
        <v>0</v>
      </c>
      <c r="BM189" s="131">
        <f t="shared" si="123"/>
        <v>0.11830386212616625</v>
      </c>
      <c r="BN189" s="131">
        <f t="shared" si="123"/>
        <v>0.63266125186561295</v>
      </c>
      <c r="BO189" s="131">
        <f t="shared" si="123"/>
        <v>0</v>
      </c>
      <c r="BP189" s="131">
        <f t="shared" si="123"/>
        <v>0</v>
      </c>
      <c r="BQ189" s="131">
        <f t="shared" si="123"/>
        <v>2.1510482563430839</v>
      </c>
    </row>
    <row r="190" spans="1:69">
      <c r="A190" s="130">
        <v>21</v>
      </c>
      <c r="B190" s="131">
        <f>IF('Data 2'!B190&lt;0.1,0,'Data 2'!B190)</f>
        <v>0</v>
      </c>
      <c r="C190" s="131">
        <f>IF('Data 2'!C190&lt;0.1,0,'Data 2'!C190)</f>
        <v>0</v>
      </c>
      <c r="D190" s="131">
        <f>IF('Data 2'!D190&lt;0.1,0,'Data 2'!D190)</f>
        <v>15.285483844687404</v>
      </c>
      <c r="E190" s="131">
        <f>IF('Data 2'!E190&lt;0.1,0,'Data 2'!E190)</f>
        <v>0</v>
      </c>
      <c r="F190" s="131">
        <f>IF('Data 2'!F190&lt;0.1,0,'Data 2'!F190)</f>
        <v>3.3572580776562981</v>
      </c>
      <c r="G190" s="131">
        <f>IF('Data 2'!G190&lt;0.1,0,'Data 2'!G190)</f>
        <v>0</v>
      </c>
      <c r="H190" s="131">
        <f>IF('Data 2'!H190&lt;0.1,0,'Data 2'!H190)</f>
        <v>0</v>
      </c>
      <c r="I190" s="131">
        <f>IF('Data 2'!I190&lt;0.1,0,'Data 2'!I190)</f>
        <v>30.084515992374495</v>
      </c>
      <c r="J190" s="131">
        <f>IF('Data 2'!J190&lt;0.1,0,'Data 2'!J190)</f>
        <v>0</v>
      </c>
      <c r="K190" s="131">
        <f>IF('Data 2'!K190&lt;0.1,0,'Data 2'!K190)</f>
        <v>0</v>
      </c>
      <c r="L190" s="131">
        <f>IF('Data 2'!L190&lt;0.1,0,'Data 2'!L190)</f>
        <v>27.811161259837384</v>
      </c>
      <c r="M190" s="131">
        <f>IF('Data 2'!M190&lt;0.1,0,'Data 2'!M190)</f>
        <v>0</v>
      </c>
      <c r="O190" s="130">
        <v>21</v>
      </c>
      <c r="P190" s="131">
        <f>'Stasiun Pontianak Kota'!Q248</f>
        <v>0</v>
      </c>
      <c r="Q190" s="131">
        <f>'Stasiun Pontianak Kota'!R248</f>
        <v>0</v>
      </c>
      <c r="R190" s="131">
        <f>'Stasiun Pontianak Kota'!S248</f>
        <v>12</v>
      </c>
      <c r="S190" s="131">
        <f>'Stasiun Pontianak Kota'!T248</f>
        <v>0</v>
      </c>
      <c r="T190" s="131">
        <f>'Stasiun Pontianak Kota'!U248</f>
        <v>5</v>
      </c>
      <c r="U190" s="131">
        <f>'Stasiun Pontianak Kota'!V248</f>
        <v>0</v>
      </c>
      <c r="V190" s="131">
        <f>'Stasiun Pontianak Kota'!W248</f>
        <v>0</v>
      </c>
      <c r="W190" s="131">
        <f>'Stasiun Pontianak Kota'!X248</f>
        <v>13</v>
      </c>
      <c r="X190" s="131">
        <f>'Stasiun Pontianak Kota'!Y248</f>
        <v>0</v>
      </c>
      <c r="Y190" s="131">
        <f>'Stasiun Pontianak Kota'!Z248</f>
        <v>0</v>
      </c>
      <c r="Z190" s="131">
        <f>'Stasiun Pontianak Kota'!AA248</f>
        <v>24</v>
      </c>
      <c r="AA190" s="131">
        <f>'Stasiun Pontianak Kota'!AB248</f>
        <v>0</v>
      </c>
      <c r="AC190" s="130">
        <v>21</v>
      </c>
      <c r="AD190" s="131">
        <f>'Sta. Meteorologi pnk'!B208</f>
        <v>0</v>
      </c>
      <c r="AE190" s="131">
        <f>'Sta. Meteorologi pnk'!C208</f>
        <v>0</v>
      </c>
      <c r="AF190" s="131">
        <f>'Sta. Meteorologi pnk'!D208</f>
        <v>22</v>
      </c>
      <c r="AG190" s="131">
        <f>'Sta. Meteorologi pnk'!E208</f>
        <v>0</v>
      </c>
      <c r="AH190" s="131">
        <f>'Sta. Meteorologi pnk'!F208</f>
        <v>0</v>
      </c>
      <c r="AI190" s="131">
        <f>'Sta. Meteorologi pnk'!G208</f>
        <v>0</v>
      </c>
      <c r="AJ190" s="131">
        <f>'Sta. Meteorologi pnk'!H208</f>
        <v>0</v>
      </c>
      <c r="AK190" s="131">
        <f>'Sta. Meteorologi pnk'!I208</f>
        <v>65</v>
      </c>
      <c r="AL190" s="131">
        <f>'Sta. Meteorologi pnk'!J208</f>
        <v>0.3</v>
      </c>
      <c r="AM190" s="131">
        <f>'Sta. Meteorologi pnk'!K208</f>
        <v>0</v>
      </c>
      <c r="AN190" s="131">
        <f>'Sta. Meteorologi pnk'!L208</f>
        <v>35.6</v>
      </c>
      <c r="AO190" s="131">
        <f>'Sta. Meteorologi pnk'!M208</f>
        <v>0</v>
      </c>
      <c r="AQ190" s="130">
        <v>21</v>
      </c>
      <c r="AR190" s="131">
        <f t="shared" si="124"/>
        <v>0</v>
      </c>
      <c r="AS190" s="131">
        <f t="shared" si="122"/>
        <v>0</v>
      </c>
      <c r="AT190" s="131">
        <f t="shared" si="122"/>
        <v>18.761947007973685</v>
      </c>
      <c r="AU190" s="131">
        <f t="shared" si="122"/>
        <v>0</v>
      </c>
      <c r="AV190" s="131">
        <f t="shared" si="122"/>
        <v>1.619026496013156</v>
      </c>
      <c r="AW190" s="131">
        <f t="shared" si="122"/>
        <v>0</v>
      </c>
      <c r="AX190" s="131">
        <f t="shared" si="122"/>
        <v>0</v>
      </c>
      <c r="AY190" s="131">
        <f t="shared" si="122"/>
        <v>48.16212444146317</v>
      </c>
      <c r="AZ190" s="131">
        <f t="shared" si="122"/>
        <v>0.20285841023921061</v>
      </c>
      <c r="BA190" s="131">
        <f t="shared" si="122"/>
        <v>0</v>
      </c>
      <c r="BB190" s="131">
        <f t="shared" si="122"/>
        <v>31.843858529249474</v>
      </c>
      <c r="BC190" s="131">
        <f t="shared" si="122"/>
        <v>0</v>
      </c>
      <c r="BE190" s="130">
        <v>21</v>
      </c>
      <c r="BF190" s="131">
        <f t="shared" si="125"/>
        <v>0</v>
      </c>
      <c r="BG190" s="131">
        <f t="shared" si="123"/>
        <v>0</v>
      </c>
      <c r="BH190" s="131">
        <f t="shared" si="123"/>
        <v>18.32661251865613</v>
      </c>
      <c r="BI190" s="131">
        <f t="shared" si="123"/>
        <v>0</v>
      </c>
      <c r="BJ190" s="131">
        <f t="shared" si="123"/>
        <v>1.8366937406719348</v>
      </c>
      <c r="BK190" s="131">
        <f t="shared" si="123"/>
        <v>0</v>
      </c>
      <c r="BL190" s="131">
        <f t="shared" si="123"/>
        <v>0</v>
      </c>
      <c r="BM190" s="131">
        <f t="shared" si="123"/>
        <v>45.898385097011875</v>
      </c>
      <c r="BN190" s="131">
        <f t="shared" si="123"/>
        <v>0.17745579318924937</v>
      </c>
      <c r="BO190" s="131">
        <f t="shared" si="123"/>
        <v>0</v>
      </c>
      <c r="BP190" s="131">
        <f t="shared" si="123"/>
        <v>31.338870521641113</v>
      </c>
      <c r="BQ190" s="131">
        <f t="shared" si="123"/>
        <v>0</v>
      </c>
    </row>
    <row r="191" spans="1:69">
      <c r="A191" s="130">
        <v>22</v>
      </c>
      <c r="B191" s="131">
        <f>IF('Data 2'!B191&lt;0.1,0,'Data 2'!B191)</f>
        <v>0.93429032310625193</v>
      </c>
      <c r="C191" s="131">
        <f>IF('Data 2'!C191&lt;0.1,0,'Data 2'!C191)</f>
        <v>5.3572580776562981</v>
      </c>
      <c r="D191" s="131">
        <f>IF('Data 2'!D191&lt;0.1,0,'Data 2'!D191)</f>
        <v>1.8398709530249455</v>
      </c>
      <c r="E191" s="131">
        <f>IF('Data 2'!E191&lt;0.1,0,'Data 2'!E191)</f>
        <v>14.484532286184477</v>
      </c>
      <c r="F191" s="131">
        <f>IF('Data 2'!F191&lt;0.1,0,'Data 2'!F191)</f>
        <v>10.973516041255925</v>
      </c>
      <c r="G191" s="131">
        <f>IF('Data 2'!G191&lt;0.1,0,'Data 2'!G191)</f>
        <v>0</v>
      </c>
      <c r="H191" s="131">
        <f>IF('Data 2'!H191&lt;0.1,0,'Data 2'!H191)</f>
        <v>0</v>
      </c>
      <c r="I191" s="131">
        <f>IF('Data 2'!I191&lt;0.1,0,'Data 2'!I191)</f>
        <v>7.6880321965685221</v>
      </c>
      <c r="J191" s="131">
        <f>IF('Data 2'!J191&lt;0.1,0,'Data 2'!J191)</f>
        <v>0</v>
      </c>
      <c r="K191" s="131">
        <f>IF('Data 2'!K191&lt;0.1,0,'Data 2'!K191)</f>
        <v>0</v>
      </c>
      <c r="L191" s="131">
        <f>IF('Data 2'!L191&lt;0.1,0,'Data 2'!L191)</f>
        <v>0</v>
      </c>
      <c r="M191" s="131">
        <f>IF('Data 2'!M191&lt;0.1,0,'Data 2'!M191)</f>
        <v>0</v>
      </c>
      <c r="O191" s="130">
        <v>22</v>
      </c>
      <c r="P191" s="131">
        <f>'Stasiun Pontianak Kota'!Q249</f>
        <v>1</v>
      </c>
      <c r="Q191" s="131">
        <f>'Stasiun Pontianak Kota'!R249</f>
        <v>7</v>
      </c>
      <c r="R191" s="131">
        <f>'Stasiun Pontianak Kota'!S249</f>
        <v>0</v>
      </c>
      <c r="S191" s="131">
        <f>'Stasiun Pontianak Kota'!T249</f>
        <v>18</v>
      </c>
      <c r="T191" s="131">
        <f>'Stasiun Pontianak Kota'!U249</f>
        <v>0</v>
      </c>
      <c r="U191" s="131">
        <f>'Stasiun Pontianak Kota'!V249</f>
        <v>0</v>
      </c>
      <c r="V191" s="131">
        <f>'Stasiun Pontianak Kota'!W249</f>
        <v>0</v>
      </c>
      <c r="W191" s="131">
        <f>'Stasiun Pontianak Kota'!X249</f>
        <v>0</v>
      </c>
      <c r="X191" s="131">
        <f>'Stasiun Pontianak Kota'!Y249</f>
        <v>0</v>
      </c>
      <c r="Y191" s="131">
        <f>'Stasiun Pontianak Kota'!Z249</f>
        <v>0</v>
      </c>
      <c r="Z191" s="131">
        <f>'Stasiun Pontianak Kota'!AA249</f>
        <v>0</v>
      </c>
      <c r="AA191" s="131">
        <f>'Stasiun Pontianak Kota'!AB249</f>
        <v>0</v>
      </c>
      <c r="AC191" s="130">
        <v>22</v>
      </c>
      <c r="AD191" s="131">
        <f>'Sta. Meteorologi pnk'!B209</f>
        <v>0.8</v>
      </c>
      <c r="AE191" s="131">
        <f>'Sta. Meteorologi pnk'!C209</f>
        <v>2</v>
      </c>
      <c r="AF191" s="131">
        <f>'Sta. Meteorologi pnk'!D209</f>
        <v>5.6</v>
      </c>
      <c r="AG191" s="131">
        <f>'Sta. Meteorologi pnk'!E209</f>
        <v>7.3</v>
      </c>
      <c r="AH191" s="131">
        <f>'Sta. Meteorologi pnk'!F209</f>
        <v>33.4</v>
      </c>
      <c r="AI191" s="131">
        <f>'Sta. Meteorologi pnk'!G209</f>
        <v>0</v>
      </c>
      <c r="AJ191" s="131">
        <f>'Sta. Meteorologi pnk'!H209</f>
        <v>0</v>
      </c>
      <c r="AK191" s="131">
        <f>'Sta. Meteorologi pnk'!I209</f>
        <v>23.4</v>
      </c>
      <c r="AL191" s="131">
        <f>'Sta. Meteorologi pnk'!J209</f>
        <v>0</v>
      </c>
      <c r="AM191" s="131">
        <f>'Sta. Meteorologi pnk'!K209</f>
        <v>0</v>
      </c>
      <c r="AN191" s="131">
        <f>'Sta. Meteorologi pnk'!L209</f>
        <v>0</v>
      </c>
      <c r="AO191" s="131">
        <f>'Sta. Meteorologi pnk'!M209</f>
        <v>0</v>
      </c>
      <c r="AQ191" s="130">
        <v>22</v>
      </c>
      <c r="AR191" s="131">
        <f t="shared" si="124"/>
        <v>0.8647610598405262</v>
      </c>
      <c r="AS191" s="131">
        <f t="shared" si="122"/>
        <v>3.6190264960131562</v>
      </c>
      <c r="AT191" s="131">
        <f t="shared" si="122"/>
        <v>3.7866903244652645</v>
      </c>
      <c r="AU191" s="131">
        <f t="shared" si="122"/>
        <v>10.764716701468153</v>
      </c>
      <c r="AV191" s="131">
        <f t="shared" si="122"/>
        <v>22.584903006632114</v>
      </c>
      <c r="AW191" s="131">
        <f t="shared" si="122"/>
        <v>0</v>
      </c>
      <c r="AX191" s="131">
        <f t="shared" si="122"/>
        <v>0</v>
      </c>
      <c r="AY191" s="131">
        <f t="shared" si="122"/>
        <v>15.822955998658427</v>
      </c>
      <c r="AZ191" s="131">
        <f t="shared" si="122"/>
        <v>0</v>
      </c>
      <c r="BA191" s="131">
        <f t="shared" si="122"/>
        <v>0</v>
      </c>
      <c r="BB191" s="131">
        <f t="shared" si="122"/>
        <v>0</v>
      </c>
      <c r="BC191" s="131">
        <f t="shared" si="122"/>
        <v>0</v>
      </c>
      <c r="BE191" s="130">
        <v>22</v>
      </c>
      <c r="BF191" s="131">
        <f t="shared" si="125"/>
        <v>0.87346774962687734</v>
      </c>
      <c r="BG191" s="131">
        <f t="shared" si="123"/>
        <v>3.8366937406719352</v>
      </c>
      <c r="BH191" s="131">
        <f t="shared" si="123"/>
        <v>3.5429030104474326</v>
      </c>
      <c r="BI191" s="131">
        <f t="shared" si="123"/>
        <v>11.230524605037942</v>
      </c>
      <c r="BJ191" s="131">
        <f t="shared" si="123"/>
        <v>21.130885812311472</v>
      </c>
      <c r="BK191" s="131">
        <f t="shared" si="123"/>
        <v>0</v>
      </c>
      <c r="BL191" s="131">
        <f t="shared" si="123"/>
        <v>0</v>
      </c>
      <c r="BM191" s="131">
        <f t="shared" si="123"/>
        <v>14.804273293655344</v>
      </c>
      <c r="BN191" s="131">
        <f t="shared" si="123"/>
        <v>0</v>
      </c>
      <c r="BO191" s="131">
        <f t="shared" si="123"/>
        <v>0</v>
      </c>
      <c r="BP191" s="131">
        <f t="shared" si="123"/>
        <v>0</v>
      </c>
      <c r="BQ191" s="131">
        <f t="shared" si="123"/>
        <v>0</v>
      </c>
    </row>
    <row r="192" spans="1:69">
      <c r="A192" s="130">
        <v>23</v>
      </c>
      <c r="B192" s="131">
        <f>IF('Data 2'!B192&lt;0.1,0,'Data 2'!B192)</f>
        <v>0</v>
      </c>
      <c r="C192" s="131">
        <f>IF('Data 2'!C192&lt;0.1,0,'Data 2'!C192)</f>
        <v>4.7228064458312291</v>
      </c>
      <c r="D192" s="131">
        <f>IF('Data 2'!D192&lt;0.1,0,'Data 2'!D192)</f>
        <v>6.4743225848500154</v>
      </c>
      <c r="E192" s="131">
        <f>IF('Data 2'!E192&lt;0.1,0,'Data 2'!E192)</f>
        <v>11.324403239209424</v>
      </c>
      <c r="F192" s="131">
        <f>IF('Data 2'!F192&lt;0.1,0,'Data 2'!F192)</f>
        <v>0</v>
      </c>
      <c r="G192" s="131">
        <f>IF('Data 2'!G192&lt;0.1,0,'Data 2'!G192)</f>
        <v>0</v>
      </c>
      <c r="H192" s="131">
        <f>IF('Data 2'!H192&lt;0.1,0,'Data 2'!H192)</f>
        <v>0</v>
      </c>
      <c r="I192" s="131">
        <f>IF('Data 2'!I192&lt;0.1,0,'Data 2'!I192)</f>
        <v>31.305903247356326</v>
      </c>
      <c r="J192" s="131">
        <f>IF('Data 2'!J192&lt;0.1,0,'Data 2'!J192)</f>
        <v>0</v>
      </c>
      <c r="K192" s="131">
        <f>IF('Data 2'!K192&lt;0.1,0,'Data 2'!K192)</f>
        <v>0</v>
      </c>
      <c r="L192" s="131">
        <f>IF('Data 2'!L192&lt;0.1,0,'Data 2'!L192)</f>
        <v>0</v>
      </c>
      <c r="M192" s="131">
        <f>IF('Data 2'!M192&lt;0.1,0,'Data 2'!M192)</f>
        <v>0</v>
      </c>
      <c r="O192" s="130">
        <v>23</v>
      </c>
      <c r="P192" s="131">
        <f>'Stasiun Pontianak Kota'!Q250</f>
        <v>0</v>
      </c>
      <c r="Q192" s="131">
        <f>'Stasiun Pontianak Kota'!R250</f>
        <v>4</v>
      </c>
      <c r="R192" s="131">
        <f>'Stasiun Pontianak Kota'!S250</f>
        <v>7</v>
      </c>
      <c r="S192" s="131">
        <f>'Stasiun Pontianak Kota'!T250</f>
        <v>13</v>
      </c>
      <c r="T192" s="131">
        <f>'Stasiun Pontianak Kota'!U250</f>
        <v>0</v>
      </c>
      <c r="U192" s="131">
        <f>'Stasiun Pontianak Kota'!V250</f>
        <v>0</v>
      </c>
      <c r="V192" s="131">
        <f>'Stasiun Pontianak Kota'!W250</f>
        <v>0</v>
      </c>
      <c r="W192" s="131">
        <f>'Stasiun Pontianak Kota'!X250</f>
        <v>34</v>
      </c>
      <c r="X192" s="131">
        <f>'Stasiun Pontianak Kota'!Y250</f>
        <v>0</v>
      </c>
      <c r="Y192" s="131">
        <f>'Stasiun Pontianak Kota'!Z250</f>
        <v>0</v>
      </c>
      <c r="Z192" s="131">
        <f>'Stasiun Pontianak Kota'!AA250</f>
        <v>0</v>
      </c>
      <c r="AA192" s="131">
        <f>'Stasiun Pontianak Kota'!AB250</f>
        <v>0</v>
      </c>
      <c r="AC192" s="130">
        <v>23</v>
      </c>
      <c r="AD192" s="131">
        <f>'Sta. Meteorologi pnk'!B210</f>
        <v>0.2</v>
      </c>
      <c r="AE192" s="131">
        <f>'Sta. Meteorologi pnk'!C210</f>
        <v>6.2</v>
      </c>
      <c r="AF192" s="131">
        <f>'Sta. Meteorologi pnk'!D210</f>
        <v>5.4</v>
      </c>
      <c r="AG192" s="131">
        <f>'Sta. Meteorologi pnk'!E210</f>
        <v>7.9</v>
      </c>
      <c r="AH192" s="131">
        <f>'Sta. Meteorologi pnk'!F210</f>
        <v>0.1</v>
      </c>
      <c r="AI192" s="131">
        <f>'Sta. Meteorologi pnk'!G210</f>
        <v>0</v>
      </c>
      <c r="AJ192" s="131">
        <f>'Sta. Meteorologi pnk'!H210</f>
        <v>0</v>
      </c>
      <c r="AK192" s="131">
        <f>'Sta. Meteorologi pnk'!I210</f>
        <v>25.8</v>
      </c>
      <c r="AL192" s="131">
        <f>'Sta. Meteorologi pnk'!J210</f>
        <v>0</v>
      </c>
      <c r="AM192" s="131">
        <f>'Sta. Meteorologi pnk'!K210</f>
        <v>0</v>
      </c>
      <c r="AN192" s="131">
        <f>'Sta. Meteorologi pnk'!L210</f>
        <v>0</v>
      </c>
      <c r="AO192" s="131">
        <f>'Sta. Meteorologi pnk'!M210</f>
        <v>0</v>
      </c>
      <c r="AQ192" s="130">
        <v>23</v>
      </c>
      <c r="AR192" s="131">
        <f t="shared" si="124"/>
        <v>0.13523894015947374</v>
      </c>
      <c r="AS192" s="131">
        <f t="shared" si="122"/>
        <v>5.4876283417542107</v>
      </c>
      <c r="AT192" s="131">
        <f t="shared" si="122"/>
        <v>5.9180884787242096</v>
      </c>
      <c r="AU192" s="131">
        <f t="shared" si="122"/>
        <v>9.5514070259334183</v>
      </c>
      <c r="AV192" s="131">
        <f t="shared" si="122"/>
        <v>6.7619470079736871E-2</v>
      </c>
      <c r="AW192" s="131">
        <f t="shared" si="122"/>
        <v>0</v>
      </c>
      <c r="AX192" s="131">
        <f t="shared" si="122"/>
        <v>0</v>
      </c>
      <c r="AY192" s="131">
        <f t="shared" si="122"/>
        <v>28.455203453461571</v>
      </c>
      <c r="AZ192" s="131">
        <f t="shared" si="122"/>
        <v>0</v>
      </c>
      <c r="BA192" s="131">
        <f t="shared" si="122"/>
        <v>0</v>
      </c>
      <c r="BB192" s="131">
        <f t="shared" si="122"/>
        <v>0</v>
      </c>
      <c r="BC192" s="131">
        <f t="shared" si="122"/>
        <v>0</v>
      </c>
      <c r="BE192" s="130">
        <v>23</v>
      </c>
      <c r="BF192" s="131">
        <f t="shared" si="125"/>
        <v>0.11830386212616625</v>
      </c>
      <c r="BG192" s="131">
        <f t="shared" si="123"/>
        <v>5.3918547541043491</v>
      </c>
      <c r="BH192" s="131">
        <f t="shared" si="123"/>
        <v>5.9877419970150187</v>
      </c>
      <c r="BI192" s="131">
        <f t="shared" si="123"/>
        <v>9.7734276154853745</v>
      </c>
      <c r="BJ192" s="131">
        <f t="shared" si="123"/>
        <v>5.9151931063083127E-2</v>
      </c>
      <c r="BK192" s="131">
        <f t="shared" si="123"/>
        <v>0</v>
      </c>
      <c r="BL192" s="131">
        <f t="shared" si="123"/>
        <v>0</v>
      </c>
      <c r="BM192" s="131">
        <f t="shared" si="123"/>
        <v>28.812177734701972</v>
      </c>
      <c r="BN192" s="131">
        <f t="shared" si="123"/>
        <v>0</v>
      </c>
      <c r="BO192" s="131">
        <f t="shared" si="123"/>
        <v>0</v>
      </c>
      <c r="BP192" s="131">
        <f t="shared" si="123"/>
        <v>0</v>
      </c>
      <c r="BQ192" s="131">
        <f t="shared" si="123"/>
        <v>0</v>
      </c>
    </row>
    <row r="193" spans="1:82">
      <c r="A193" s="130">
        <v>24</v>
      </c>
      <c r="B193" s="131">
        <f>IF('Data 2'!B193&lt;0.1,0,'Data 2'!B193)</f>
        <v>4.5113225685562055</v>
      </c>
      <c r="C193" s="131">
        <f>IF('Data 2'!C193&lt;0.1,0,'Data 2'!C193)</f>
        <v>11.414677464031413</v>
      </c>
      <c r="D193" s="131">
        <f>IF('Data 2'!D193&lt;0.1,0,'Data 2'!D193)</f>
        <v>0</v>
      </c>
      <c r="E193" s="131">
        <f>IF('Data 2'!E193&lt;0.1,0,'Data 2'!E193)</f>
        <v>0</v>
      </c>
      <c r="F193" s="131">
        <f>IF('Data 2'!F193&lt;0.1,0,'Data 2'!F193)</f>
        <v>0</v>
      </c>
      <c r="G193" s="131">
        <f>IF('Data 2'!G193&lt;0.1,0,'Data 2'!G193)</f>
        <v>7.8194515503560194</v>
      </c>
      <c r="H193" s="131">
        <f>IF('Data 2'!H193&lt;0.1,0,'Data 2'!H193)</f>
        <v>0</v>
      </c>
      <c r="I193" s="131">
        <f>IF('Data 2'!I193&lt;0.1,0,'Data 2'!I193)</f>
        <v>0</v>
      </c>
      <c r="J193" s="131">
        <f>IF('Data 2'!J193&lt;0.1,0,'Data 2'!J193)</f>
        <v>0</v>
      </c>
      <c r="K193" s="131">
        <f>IF('Data 2'!K193&lt;0.1,0,'Data 2'!K193)</f>
        <v>0</v>
      </c>
      <c r="L193" s="131">
        <f>IF('Data 2'!L193&lt;0.1,0,'Data 2'!L193)</f>
        <v>8.3511935215811501</v>
      </c>
      <c r="M193" s="131">
        <f>IF('Data 2'!M193&lt;0.1,0,'Data 2'!M193)</f>
        <v>0</v>
      </c>
      <c r="O193" s="130">
        <v>24</v>
      </c>
      <c r="P193" s="131">
        <f>'Stasiun Pontianak Kota'!Q251</f>
        <v>3</v>
      </c>
      <c r="Q193" s="131">
        <f>'Stasiun Pontianak Kota'!R251</f>
        <v>17</v>
      </c>
      <c r="R193" s="131">
        <f>'Stasiun Pontianak Kota'!S251</f>
        <v>0</v>
      </c>
      <c r="S193" s="131">
        <f>'Stasiun Pontianak Kota'!T251</f>
        <v>0</v>
      </c>
      <c r="T193" s="131">
        <f>'Stasiun Pontianak Kota'!U251</f>
        <v>0</v>
      </c>
      <c r="U193" s="131">
        <f>'Stasiun Pontianak Kota'!V251</f>
        <v>0</v>
      </c>
      <c r="V193" s="131">
        <f>'Stasiun Pontianak Kota'!W251</f>
        <v>0</v>
      </c>
      <c r="W193" s="131">
        <f>'Stasiun Pontianak Kota'!X251</f>
        <v>0</v>
      </c>
      <c r="X193" s="131">
        <f>'Stasiun Pontianak Kota'!Y251</f>
        <v>0</v>
      </c>
      <c r="Y193" s="131">
        <f>'Stasiun Pontianak Kota'!Z251</f>
        <v>0</v>
      </c>
      <c r="Z193" s="131">
        <f>'Stasiun Pontianak Kota'!AA251</f>
        <v>5</v>
      </c>
      <c r="AA193" s="131">
        <f>'Stasiun Pontianak Kota'!AB251</f>
        <v>0</v>
      </c>
      <c r="AC193" s="130">
        <v>24</v>
      </c>
      <c r="AD193" s="131">
        <f>'Sta. Meteorologi pnk'!B211</f>
        <v>7.6</v>
      </c>
      <c r="AE193" s="131">
        <f>'Sta. Meteorologi pnk'!C211</f>
        <v>0</v>
      </c>
      <c r="AF193" s="131">
        <f>'Sta. Meteorologi pnk'!D211</f>
        <v>0</v>
      </c>
      <c r="AG193" s="131">
        <f>'Sta. Meteorologi pnk'!E211</f>
        <v>0</v>
      </c>
      <c r="AH193" s="131">
        <f>'Sta. Meteorologi pnk'!F211</f>
        <v>0</v>
      </c>
      <c r="AI193" s="131">
        <f>'Sta. Meteorologi pnk'!G211</f>
        <v>23.8</v>
      </c>
      <c r="AJ193" s="131">
        <f>'Sta. Meteorologi pnk'!H211</f>
        <v>0</v>
      </c>
      <c r="AK193" s="131">
        <f>'Sta. Meteorologi pnk'!I211</f>
        <v>0</v>
      </c>
      <c r="AL193" s="131">
        <f>'Sta. Meteorologi pnk'!J211</f>
        <v>0</v>
      </c>
      <c r="AM193" s="131">
        <f>'Sta. Meteorologi pnk'!K211</f>
        <v>0</v>
      </c>
      <c r="AN193" s="131">
        <f>'Sta. Meteorologi pnk'!L211</f>
        <v>15.2</v>
      </c>
      <c r="AO193" s="131">
        <f>'Sta. Meteorologi pnk'!M211</f>
        <v>0</v>
      </c>
      <c r="AQ193" s="130">
        <v>24</v>
      </c>
      <c r="AR193" s="131">
        <f t="shared" si="124"/>
        <v>6.1104956236678953</v>
      </c>
      <c r="AS193" s="131">
        <f t="shared" si="122"/>
        <v>5.5046900864447297</v>
      </c>
      <c r="AT193" s="131">
        <f t="shared" si="122"/>
        <v>0</v>
      </c>
      <c r="AU193" s="131">
        <f t="shared" ref="AU193:BC200" si="126">((S193/($AV$1^2))+(AG193/($AV$2^2)))/((1/($AV$1^2))+(1/($AV$2^2)))</f>
        <v>0</v>
      </c>
      <c r="AV193" s="131">
        <f t="shared" si="126"/>
        <v>0</v>
      </c>
      <c r="AW193" s="131">
        <f t="shared" si="126"/>
        <v>16.093433878977375</v>
      </c>
      <c r="AX193" s="131">
        <f t="shared" si="126"/>
        <v>0</v>
      </c>
      <c r="AY193" s="131">
        <f t="shared" si="126"/>
        <v>0</v>
      </c>
      <c r="AZ193" s="131">
        <f t="shared" si="126"/>
        <v>0</v>
      </c>
      <c r="BA193" s="131">
        <f t="shared" si="126"/>
        <v>0</v>
      </c>
      <c r="BB193" s="131">
        <f t="shared" si="126"/>
        <v>11.89718594813316</v>
      </c>
      <c r="BC193" s="131">
        <f t="shared" si="126"/>
        <v>0</v>
      </c>
      <c r="BE193" s="130">
        <v>24</v>
      </c>
      <c r="BF193" s="131">
        <f t="shared" si="125"/>
        <v>5.9102417585818188</v>
      </c>
      <c r="BG193" s="131">
        <f t="shared" si="123"/>
        <v>6.2447587182845785</v>
      </c>
      <c r="BH193" s="131">
        <f t="shared" si="123"/>
        <v>0</v>
      </c>
      <c r="BI193" s="131">
        <f t="shared" ref="BI193:BQ200" si="127">((E193/($BI$1^2))+(S193/($AV$1^2))+(AG193/($AV$2^2)))/((1/($BI$1^2))+(1/($AV$1^2))+(1/($AV$2^2)))</f>
        <v>0</v>
      </c>
      <c r="BJ193" s="131">
        <f t="shared" si="127"/>
        <v>0</v>
      </c>
      <c r="BK193" s="131">
        <f t="shared" si="127"/>
        <v>15.057337794401588</v>
      </c>
      <c r="BL193" s="131">
        <f t="shared" si="127"/>
        <v>0</v>
      </c>
      <c r="BM193" s="131">
        <f t="shared" si="127"/>
        <v>0</v>
      </c>
      <c r="BN193" s="131">
        <f t="shared" si="127"/>
        <v>0</v>
      </c>
      <c r="BO193" s="131">
        <f t="shared" si="127"/>
        <v>0</v>
      </c>
      <c r="BP193" s="131">
        <f t="shared" si="127"/>
        <v>11.453144769029253</v>
      </c>
      <c r="BQ193" s="131">
        <f t="shared" si="127"/>
        <v>0</v>
      </c>
    </row>
    <row r="194" spans="1:82">
      <c r="A194" s="130">
        <v>25</v>
      </c>
      <c r="B194" s="131">
        <f>IF('Data 2'!B194&lt;0.1,0,'Data 2'!B194)</f>
        <v>7.4969677219624264</v>
      </c>
      <c r="C194" s="131">
        <f>IF('Data 2'!C194&lt;0.1,0,'Data 2'!C194)</f>
        <v>9.4003226174376344</v>
      </c>
      <c r="D194" s="131">
        <f>IF('Data 2'!D194&lt;0.1,0,'Data 2'!D194)</f>
        <v>0</v>
      </c>
      <c r="E194" s="131">
        <f>IF('Data 2'!E194&lt;0.1,0,'Data 2'!E194)</f>
        <v>5.9856451534062209</v>
      </c>
      <c r="F194" s="131">
        <f>IF('Data 2'!F194&lt;0.1,0,'Data 2'!F194)</f>
        <v>0</v>
      </c>
      <c r="G194" s="131">
        <f>IF('Data 2'!G194&lt;0.1,0,'Data 2'!G194)</f>
        <v>0</v>
      </c>
      <c r="H194" s="131">
        <f>IF('Data 2'!H194&lt;0.1,0,'Data 2'!H194)</f>
        <v>0</v>
      </c>
      <c r="I194" s="131">
        <f>IF('Data 2'!I194&lt;0.1,0,'Data 2'!I194)</f>
        <v>34.928225767031108</v>
      </c>
      <c r="J194" s="131">
        <f>IF('Data 2'!J194&lt;0.1,0,'Data 2'!J194)</f>
        <v>0</v>
      </c>
      <c r="K194" s="131">
        <f>IF('Data 2'!K194&lt;0.1,0,'Data 2'!K194)</f>
        <v>0</v>
      </c>
      <c r="L194" s="131">
        <f>IF('Data 2'!L194&lt;0.1,0,'Data 2'!L194)</f>
        <v>4.0369999837061901</v>
      </c>
      <c r="M194" s="131">
        <f>IF('Data 2'!M194&lt;0.1,0,'Data 2'!M194)</f>
        <v>24.839870953024946</v>
      </c>
      <c r="O194" s="130">
        <v>25</v>
      </c>
      <c r="P194" s="131">
        <f>'Stasiun Pontianak Kota'!Q252</f>
        <v>5</v>
      </c>
      <c r="Q194" s="131">
        <f>'Stasiun Pontianak Kota'!R252</f>
        <v>14</v>
      </c>
      <c r="R194" s="131">
        <f>'Stasiun Pontianak Kota'!S252</f>
        <v>0</v>
      </c>
      <c r="S194" s="131">
        <f>'Stasiun Pontianak Kota'!T252</f>
        <v>5</v>
      </c>
      <c r="T194" s="131">
        <f>'Stasiun Pontianak Kota'!U252</f>
        <v>0</v>
      </c>
      <c r="U194" s="131">
        <f>'Stasiun Pontianak Kota'!V252</f>
        <v>0</v>
      </c>
      <c r="V194" s="131">
        <f>'Stasiun Pontianak Kota'!W252</f>
        <v>0</v>
      </c>
      <c r="W194" s="131">
        <f>'Stasiun Pontianak Kota'!X252</f>
        <v>30</v>
      </c>
      <c r="X194" s="131">
        <f>'Stasiun Pontianak Kota'!Y252</f>
        <v>0</v>
      </c>
      <c r="Y194" s="131">
        <f>'Stasiun Pontianak Kota'!Z252</f>
        <v>0</v>
      </c>
      <c r="Z194" s="131">
        <f>'Stasiun Pontianak Kota'!AA252</f>
        <v>2</v>
      </c>
      <c r="AA194" s="131">
        <f>'Stasiun Pontianak Kota'!AB252</f>
        <v>23</v>
      </c>
      <c r="AC194" s="130">
        <v>25</v>
      </c>
      <c r="AD194" s="131">
        <f>'Sta. Meteorologi pnk'!B212</f>
        <v>12.6</v>
      </c>
      <c r="AE194" s="131">
        <f>'Sta. Meteorologi pnk'!C212</f>
        <v>0</v>
      </c>
      <c r="AF194" s="131">
        <f>'Sta. Meteorologi pnk'!D212</f>
        <v>0</v>
      </c>
      <c r="AG194" s="131">
        <f>'Sta. Meteorologi pnk'!E212</f>
        <v>8</v>
      </c>
      <c r="AH194" s="131">
        <f>'Sta. Meteorologi pnk'!F212</f>
        <v>0</v>
      </c>
      <c r="AI194" s="131">
        <f>'Sta. Meteorologi pnk'!G212</f>
        <v>0</v>
      </c>
      <c r="AJ194" s="131">
        <f>'Sta. Meteorologi pnk'!H212</f>
        <v>0</v>
      </c>
      <c r="AK194" s="131">
        <f>'Sta. Meteorologi pnk'!I212</f>
        <v>45</v>
      </c>
      <c r="AL194" s="131">
        <f>'Sta. Meteorologi pnk'!J212</f>
        <v>0</v>
      </c>
      <c r="AM194" s="131">
        <f>'Sta. Meteorologi pnk'!K212</f>
        <v>0</v>
      </c>
      <c r="AN194" s="131">
        <f>'Sta. Meteorologi pnk'!L212</f>
        <v>8.1999999999999993</v>
      </c>
      <c r="AO194" s="131">
        <f>'Sta. Meteorologi pnk'!M212</f>
        <v>28.6</v>
      </c>
      <c r="AQ194" s="130">
        <v>25</v>
      </c>
      <c r="AR194" s="131">
        <f t="shared" si="124"/>
        <v>10.139079726060002</v>
      </c>
      <c r="AS194" s="131">
        <f t="shared" si="124"/>
        <v>4.5332741888368364</v>
      </c>
      <c r="AT194" s="131">
        <f t="shared" si="124"/>
        <v>0</v>
      </c>
      <c r="AU194" s="131">
        <f t="shared" si="126"/>
        <v>7.0285841023921067</v>
      </c>
      <c r="AV194" s="131">
        <f t="shared" si="126"/>
        <v>0</v>
      </c>
      <c r="AW194" s="131">
        <f t="shared" si="126"/>
        <v>0</v>
      </c>
      <c r="AX194" s="131">
        <f t="shared" si="126"/>
        <v>0</v>
      </c>
      <c r="AY194" s="131">
        <f t="shared" si="126"/>
        <v>40.142920511960533</v>
      </c>
      <c r="AZ194" s="131">
        <f t="shared" si="126"/>
        <v>0</v>
      </c>
      <c r="BA194" s="131">
        <f t="shared" si="126"/>
        <v>0</v>
      </c>
      <c r="BB194" s="131">
        <f t="shared" si="126"/>
        <v>6.1924071449436857</v>
      </c>
      <c r="BC194" s="131">
        <f t="shared" si="126"/>
        <v>26.786690324465262</v>
      </c>
      <c r="BE194" s="130">
        <v>25</v>
      </c>
      <c r="BF194" s="131">
        <f t="shared" si="125"/>
        <v>9.808225514178659</v>
      </c>
      <c r="BG194" s="131">
        <f t="shared" si="125"/>
        <v>5.1427424738814178</v>
      </c>
      <c r="BH194" s="131">
        <f t="shared" si="125"/>
        <v>0</v>
      </c>
      <c r="BI194" s="131">
        <f t="shared" si="127"/>
        <v>6.8979837555968384</v>
      </c>
      <c r="BJ194" s="131">
        <f t="shared" si="127"/>
        <v>0</v>
      </c>
      <c r="BK194" s="131">
        <f t="shared" si="127"/>
        <v>0</v>
      </c>
      <c r="BL194" s="131">
        <f t="shared" si="127"/>
        <v>0</v>
      </c>
      <c r="BM194" s="131">
        <f t="shared" si="127"/>
        <v>39.489918777984194</v>
      </c>
      <c r="BN194" s="131">
        <f t="shared" si="127"/>
        <v>0</v>
      </c>
      <c r="BO194" s="131">
        <f t="shared" si="127"/>
        <v>0</v>
      </c>
      <c r="BP194" s="131">
        <f t="shared" si="127"/>
        <v>5.9224997615668</v>
      </c>
      <c r="BQ194" s="131">
        <f t="shared" si="127"/>
        <v>26.542903010447432</v>
      </c>
    </row>
    <row r="195" spans="1:82">
      <c r="A195" s="130">
        <v>26</v>
      </c>
      <c r="B195" s="131">
        <f>IF('Data 2'!B195&lt;0.1,0,'Data 2'!B195)</f>
        <v>17.870500057028337</v>
      </c>
      <c r="C195" s="131">
        <f>IF('Data 2'!C195&lt;0.1,0,'Data 2'!C195)</f>
        <v>0.39425806136248831</v>
      </c>
      <c r="D195" s="131">
        <f>IF('Data 2'!D195&lt;0.1,0,'Data 2'!D195)</f>
        <v>0</v>
      </c>
      <c r="E195" s="131">
        <f>IF('Data 2'!E195&lt;0.1,0,'Data 2'!E195)</f>
        <v>0</v>
      </c>
      <c r="F195" s="131">
        <f>IF('Data 2'!F195&lt;0.1,0,'Data 2'!F195)</f>
        <v>8.1151450963778853</v>
      </c>
      <c r="G195" s="131">
        <f>IF('Data 2'!G195&lt;0.1,0,'Data 2'!G195)</f>
        <v>12.316112948690792</v>
      </c>
      <c r="H195" s="131">
        <f>IF('Data 2'!H195&lt;0.1,0,'Data 2'!H195)</f>
        <v>0</v>
      </c>
      <c r="I195" s="131">
        <f>IF('Data 2'!I195&lt;0.1,0,'Data 2'!I195)</f>
        <v>35.406693497140431</v>
      </c>
      <c r="J195" s="131">
        <f>IF('Data 2'!J195&lt;0.1,0,'Data 2'!J195)</f>
        <v>0</v>
      </c>
      <c r="K195" s="131">
        <f>IF('Data 2'!K195&lt;0.1,0,'Data 2'!K195)</f>
        <v>0</v>
      </c>
      <c r="L195" s="131">
        <f>IF('Data 2'!L195&lt;0.1,0,'Data 2'!L195)</f>
        <v>0</v>
      </c>
      <c r="M195" s="131">
        <f>IF('Data 2'!M195&lt;0.1,0,'Data 2'!M195)</f>
        <v>4.8953709285842306</v>
      </c>
      <c r="O195" s="130">
        <v>26</v>
      </c>
      <c r="P195" s="131">
        <f>'Stasiun Pontianak Kota'!Q253</f>
        <v>25</v>
      </c>
      <c r="Q195" s="131">
        <f>'Stasiun Pontianak Kota'!R253</f>
        <v>0</v>
      </c>
      <c r="R195" s="131">
        <f>'Stasiun Pontianak Kota'!S253</f>
        <v>0</v>
      </c>
      <c r="S195" s="131">
        <f>'Stasiun Pontianak Kota'!T253</f>
        <v>0</v>
      </c>
      <c r="T195" s="131">
        <f>'Stasiun Pontianak Kota'!U253</f>
        <v>0</v>
      </c>
      <c r="U195" s="131">
        <f>'Stasiun Pontianak Kota'!V253</f>
        <v>18</v>
      </c>
      <c r="V195" s="131">
        <f>'Stasiun Pontianak Kota'!W253</f>
        <v>0</v>
      </c>
      <c r="W195" s="131">
        <f>'Stasiun Pontianak Kota'!X253</f>
        <v>29</v>
      </c>
      <c r="X195" s="131">
        <f>'Stasiun Pontianak Kota'!Y253</f>
        <v>0</v>
      </c>
      <c r="Y195" s="131">
        <f>'Stasiun Pontianak Kota'!Z253</f>
        <v>0</v>
      </c>
      <c r="Z195" s="131">
        <f>'Stasiun Pontianak Kota'!AA253</f>
        <v>0</v>
      </c>
      <c r="AA195" s="131">
        <f>'Stasiun Pontianak Kota'!AB253</f>
        <v>0</v>
      </c>
      <c r="AC195" s="130">
        <v>26</v>
      </c>
      <c r="AD195" s="131">
        <f>'Sta. Meteorologi pnk'!B213</f>
        <v>3.3</v>
      </c>
      <c r="AE195" s="131">
        <f>'Sta. Meteorologi pnk'!C213</f>
        <v>1.2</v>
      </c>
      <c r="AF195" s="131">
        <f>'Sta. Meteorologi pnk'!D213</f>
        <v>0</v>
      </c>
      <c r="AG195" s="131">
        <f>'Sta. Meteorologi pnk'!E213</f>
        <v>0</v>
      </c>
      <c r="AH195" s="131">
        <f>'Sta. Meteorologi pnk'!F213</f>
        <v>24.7</v>
      </c>
      <c r="AI195" s="131">
        <f>'Sta. Meteorologi pnk'!G213</f>
        <v>0.7</v>
      </c>
      <c r="AJ195" s="131">
        <f>'Sta. Meteorologi pnk'!H213</f>
        <v>0</v>
      </c>
      <c r="AK195" s="131">
        <f>'Sta. Meteorologi pnk'!I213</f>
        <v>48.5</v>
      </c>
      <c r="AL195" s="131">
        <f>'Sta. Meteorologi pnk'!J213</f>
        <v>0</v>
      </c>
      <c r="AM195" s="131">
        <f>'Sta. Meteorologi pnk'!K213</f>
        <v>0</v>
      </c>
      <c r="AN195" s="131">
        <f>'Sta. Meteorologi pnk'!L213</f>
        <v>0.3</v>
      </c>
      <c r="AO195" s="131">
        <f>'Sta. Meteorologi pnk'!M213</f>
        <v>14.9</v>
      </c>
      <c r="AQ195" s="130">
        <v>26</v>
      </c>
      <c r="AR195" s="131">
        <f t="shared" si="124"/>
        <v>10.326574992697097</v>
      </c>
      <c r="AS195" s="131">
        <f t="shared" si="124"/>
        <v>0.81143364095684245</v>
      </c>
      <c r="AT195" s="131">
        <f t="shared" si="124"/>
        <v>0</v>
      </c>
      <c r="AU195" s="131">
        <f t="shared" si="126"/>
        <v>0</v>
      </c>
      <c r="AV195" s="131">
        <f t="shared" si="126"/>
        <v>16.702009109695009</v>
      </c>
      <c r="AW195" s="131">
        <f t="shared" si="126"/>
        <v>6.30183167620552</v>
      </c>
      <c r="AX195" s="131">
        <f t="shared" si="126"/>
        <v>0</v>
      </c>
      <c r="AY195" s="131">
        <f t="shared" si="126"/>
        <v>42.185796665548686</v>
      </c>
      <c r="AZ195" s="131">
        <f t="shared" si="126"/>
        <v>0</v>
      </c>
      <c r="BA195" s="131">
        <f t="shared" si="126"/>
        <v>0</v>
      </c>
      <c r="BB195" s="131">
        <f t="shared" si="126"/>
        <v>0.20285841023921061</v>
      </c>
      <c r="BC195" s="131">
        <f t="shared" si="126"/>
        <v>10.075301041880794</v>
      </c>
      <c r="BE195" s="130">
        <v>26</v>
      </c>
      <c r="BF195" s="131">
        <f t="shared" si="125"/>
        <v>11.271250834516197</v>
      </c>
      <c r="BG195" s="131">
        <f t="shared" si="125"/>
        <v>0.7591935022387355</v>
      </c>
      <c r="BH195" s="131">
        <f t="shared" si="125"/>
        <v>0</v>
      </c>
      <c r="BI195" s="131">
        <f t="shared" si="127"/>
        <v>0</v>
      </c>
      <c r="BJ195" s="131">
        <f t="shared" si="127"/>
        <v>15.626732921080642</v>
      </c>
      <c r="BK195" s="131">
        <f t="shared" si="127"/>
        <v>7.0549603427248941</v>
      </c>
      <c r="BL195" s="131">
        <f t="shared" si="127"/>
        <v>0</v>
      </c>
      <c r="BM195" s="131">
        <f t="shared" si="127"/>
        <v>41.336894411379454</v>
      </c>
      <c r="BN195" s="131">
        <f t="shared" si="127"/>
        <v>0</v>
      </c>
      <c r="BO195" s="131">
        <f t="shared" si="127"/>
        <v>0</v>
      </c>
      <c r="BP195" s="131">
        <f t="shared" si="127"/>
        <v>0.17745579318924937</v>
      </c>
      <c r="BQ195" s="131">
        <f t="shared" si="127"/>
        <v>9.4266526527976335</v>
      </c>
    </row>
    <row r="196" spans="1:82">
      <c r="A196" s="130">
        <v>27</v>
      </c>
      <c r="B196" s="131">
        <f>IF('Data 2'!B196&lt;0.1,0,'Data 2'!B196)</f>
        <v>2.310048392615645</v>
      </c>
      <c r="C196" s="131">
        <f>IF('Data 2'!C196&lt;0.1,0,'Data 2'!C196)</f>
        <v>0</v>
      </c>
      <c r="D196" s="131">
        <f>IF('Data 2'!D196&lt;0.1,0,'Data 2'!D196)</f>
        <v>25.265370765646129</v>
      </c>
      <c r="E196" s="131">
        <f>IF('Data 2'!E196&lt;0.1,0,'Data 2'!E196)</f>
        <v>0.88708063806559878</v>
      </c>
      <c r="F196" s="131">
        <f>IF('Data 2'!F196&lt;0.1,0,'Data 2'!F196)</f>
        <v>0.26283870757499223</v>
      </c>
      <c r="G196" s="131">
        <f>IF('Data 2'!G196&lt;0.1,0,'Data 2'!G196)</f>
        <v>0.95279031495934674</v>
      </c>
      <c r="H196" s="131">
        <f>IF('Data 2'!H196&lt;0.1,0,'Data 2'!H196)</f>
        <v>0</v>
      </c>
      <c r="I196" s="131">
        <f>IF('Data 2'!I196&lt;0.1,0,'Data 2'!I196)</f>
        <v>0</v>
      </c>
      <c r="J196" s="131">
        <f>IF('Data 2'!J196&lt;0.1,0,'Data 2'!J196)</f>
        <v>0</v>
      </c>
      <c r="K196" s="131">
        <f>IF('Data 2'!K196&lt;0.1,0,'Data 2'!K196)</f>
        <v>0</v>
      </c>
      <c r="L196" s="131">
        <f>IF('Data 2'!L196&lt;0.1,0,'Data 2'!L196)</f>
        <v>0.8542257996187248</v>
      </c>
      <c r="M196" s="131">
        <f>IF('Data 2'!M196&lt;0.1,0,'Data 2'!M196)</f>
        <v>0</v>
      </c>
      <c r="O196" s="130">
        <v>27</v>
      </c>
      <c r="P196" s="131">
        <f>'Stasiun Pontianak Kota'!Q254</f>
        <v>3</v>
      </c>
      <c r="Q196" s="131">
        <f>'Stasiun Pontianak Kota'!R254</f>
        <v>0</v>
      </c>
      <c r="R196" s="131">
        <f>'Stasiun Pontianak Kota'!S254</f>
        <v>0</v>
      </c>
      <c r="S196" s="131">
        <f>'Stasiun Pontianak Kota'!T254</f>
        <v>0</v>
      </c>
      <c r="T196" s="131">
        <f>'Stasiun Pontianak Kota'!U254</f>
        <v>0</v>
      </c>
      <c r="U196" s="131">
        <f>'Stasiun Pontianak Kota'!V254</f>
        <v>0</v>
      </c>
      <c r="V196" s="131">
        <f>'Stasiun Pontianak Kota'!W254</f>
        <v>0</v>
      </c>
      <c r="W196" s="131">
        <f>'Stasiun Pontianak Kota'!X254</f>
        <v>0</v>
      </c>
      <c r="X196" s="131">
        <f>'Stasiun Pontianak Kota'!Y254</f>
        <v>0</v>
      </c>
      <c r="Y196" s="131">
        <f>'Stasiun Pontianak Kota'!Z254</f>
        <v>0</v>
      </c>
      <c r="Z196" s="131">
        <f>'Stasiun Pontianak Kota'!AA254</f>
        <v>0</v>
      </c>
      <c r="AA196" s="131">
        <f>'Stasiun Pontianak Kota'!AB254</f>
        <v>0</v>
      </c>
      <c r="AC196" s="130">
        <v>27</v>
      </c>
      <c r="AD196" s="131">
        <f>'Sta. Meteorologi pnk'!B214</f>
        <v>0.9</v>
      </c>
      <c r="AE196" s="131">
        <f>'Sta. Meteorologi pnk'!C214</f>
        <v>0</v>
      </c>
      <c r="AF196" s="131">
        <f>'Sta. Meteorologi pnk'!D214</f>
        <v>76.900000000000006</v>
      </c>
      <c r="AG196" s="131">
        <f>'Sta. Meteorologi pnk'!E214</f>
        <v>2.7</v>
      </c>
      <c r="AH196" s="131">
        <f>'Sta. Meteorologi pnk'!F214</f>
        <v>0.8</v>
      </c>
      <c r="AI196" s="131">
        <f>'Sta. Meteorologi pnk'!G214</f>
        <v>2.9</v>
      </c>
      <c r="AJ196" s="131">
        <f>'Sta. Meteorologi pnk'!H214</f>
        <v>0</v>
      </c>
      <c r="AK196" s="131">
        <f>'Sta. Meteorologi pnk'!I214</f>
        <v>0</v>
      </c>
      <c r="AL196" s="131">
        <f>'Sta. Meteorologi pnk'!J214</f>
        <v>0</v>
      </c>
      <c r="AM196" s="131">
        <f>'Sta. Meteorologi pnk'!K214</f>
        <v>0</v>
      </c>
      <c r="AN196" s="131">
        <f>'Sta. Meteorologi pnk'!L214</f>
        <v>2.6</v>
      </c>
      <c r="AO196" s="131">
        <f>'Sta. Meteorologi pnk'!M214</f>
        <v>0</v>
      </c>
      <c r="AQ196" s="130">
        <v>27</v>
      </c>
      <c r="AR196" s="131">
        <f t="shared" si="124"/>
        <v>1.5799911283255255</v>
      </c>
      <c r="AS196" s="131">
        <f t="shared" si="124"/>
        <v>0</v>
      </c>
      <c r="AT196" s="131">
        <f t="shared" si="124"/>
        <v>51.999372491317658</v>
      </c>
      <c r="AU196" s="131">
        <f t="shared" si="126"/>
        <v>1.8257256921528955</v>
      </c>
      <c r="AV196" s="131">
        <f t="shared" si="126"/>
        <v>0.54095576063789497</v>
      </c>
      <c r="AW196" s="131">
        <f t="shared" si="126"/>
        <v>1.9609646323123691</v>
      </c>
      <c r="AX196" s="131">
        <f t="shared" si="126"/>
        <v>0</v>
      </c>
      <c r="AY196" s="131">
        <f t="shared" si="126"/>
        <v>0</v>
      </c>
      <c r="AZ196" s="131">
        <f t="shared" si="126"/>
        <v>0</v>
      </c>
      <c r="BA196" s="131">
        <f t="shared" si="126"/>
        <v>0</v>
      </c>
      <c r="BB196" s="131">
        <f t="shared" si="126"/>
        <v>1.7581062220731587</v>
      </c>
      <c r="BC196" s="131">
        <f t="shared" si="126"/>
        <v>0</v>
      </c>
      <c r="BE196" s="130">
        <v>27</v>
      </c>
      <c r="BF196" s="131">
        <f t="shared" si="125"/>
        <v>1.6714113710822127</v>
      </c>
      <c r="BG196" s="131">
        <f t="shared" si="125"/>
        <v>0</v>
      </c>
      <c r="BH196" s="131">
        <f t="shared" si="125"/>
        <v>48.651650268465637</v>
      </c>
      <c r="BI196" s="131">
        <f t="shared" si="127"/>
        <v>1.7081853800371549</v>
      </c>
      <c r="BJ196" s="131">
        <f t="shared" si="127"/>
        <v>0.5061290014924904</v>
      </c>
      <c r="BK196" s="131">
        <f t="shared" si="127"/>
        <v>1.8347176304102775</v>
      </c>
      <c r="BL196" s="131">
        <f t="shared" si="127"/>
        <v>0</v>
      </c>
      <c r="BM196" s="131">
        <f t="shared" si="127"/>
        <v>0</v>
      </c>
      <c r="BN196" s="131">
        <f t="shared" si="127"/>
        <v>0</v>
      </c>
      <c r="BO196" s="131">
        <f t="shared" si="127"/>
        <v>0</v>
      </c>
      <c r="BP196" s="131">
        <f t="shared" si="127"/>
        <v>1.644919254850594</v>
      </c>
      <c r="BQ196" s="131">
        <f t="shared" si="127"/>
        <v>0</v>
      </c>
    </row>
    <row r="197" spans="1:82">
      <c r="A197" s="130">
        <v>28</v>
      </c>
      <c r="B197" s="131">
        <f>IF('Data 2'!B197&lt;0.1,0,'Data 2'!B197)</f>
        <v>14.743225848500154</v>
      </c>
      <c r="C197" s="131">
        <f>IF('Data 2'!C197&lt;0.1,0,'Data 2'!C197)</f>
        <v>0</v>
      </c>
      <c r="D197" s="131">
        <f>IF('Data 2'!D197&lt;0.1,0,'Data 2'!D197)</f>
        <v>77.860290355693863</v>
      </c>
      <c r="E197" s="131">
        <f>IF('Data 2'!E197&lt;0.1,0,'Data 2'!E197)</f>
        <v>3.679741906049891</v>
      </c>
      <c r="F197" s="131">
        <f>IF('Data 2'!F197&lt;0.1,0,'Data 2'!F197)</f>
        <v>20.337144998615024</v>
      </c>
      <c r="G197" s="131">
        <f>IF('Data 2'!G197&lt;0.1,0,'Data 2'!G197)</f>
        <v>0.8542257996187248</v>
      </c>
      <c r="H197" s="131">
        <f>IF('Data 2'!H197&lt;0.1,0,'Data 2'!H197)</f>
        <v>0</v>
      </c>
      <c r="I197" s="131">
        <f>IF('Data 2'!I197&lt;0.1,0,'Data 2'!I197)</f>
        <v>10.827435517246998</v>
      </c>
      <c r="J197" s="131">
        <f>IF('Data 2'!J197&lt;0.1,0,'Data 2'!J197)</f>
        <v>0.13141935378749611</v>
      </c>
      <c r="K197" s="131">
        <f>IF('Data 2'!K197&lt;0.1,0,'Data 2'!K197)</f>
        <v>4.9157903312531568</v>
      </c>
      <c r="L197" s="131">
        <f>IF('Data 2'!L197&lt;0.1,0,'Data 2'!L197)</f>
        <v>0</v>
      </c>
      <c r="M197" s="131">
        <f>IF('Data 2'!M197&lt;0.1,0,'Data 2'!M197)</f>
        <v>0</v>
      </c>
      <c r="O197" s="130">
        <v>28</v>
      </c>
      <c r="P197" s="131">
        <f>'Stasiun Pontianak Kota'!Q255</f>
        <v>20</v>
      </c>
      <c r="Q197" s="131">
        <f>'Stasiun Pontianak Kota'!R255</f>
        <v>0</v>
      </c>
      <c r="R197" s="131">
        <f>'Stasiun Pontianak Kota'!S255</f>
        <v>82</v>
      </c>
      <c r="S197" s="131">
        <f>'Stasiun Pontianak Kota'!T255</f>
        <v>0</v>
      </c>
      <c r="T197" s="131">
        <f>'Stasiun Pontianak Kota'!U255</f>
        <v>0</v>
      </c>
      <c r="U197" s="131">
        <f>'Stasiun Pontianak Kota'!V255</f>
        <v>0</v>
      </c>
      <c r="V197" s="131">
        <f>'Stasiun Pontianak Kota'!W255</f>
        <v>0</v>
      </c>
      <c r="W197" s="131">
        <f>'Stasiun Pontianak Kota'!X255</f>
        <v>15</v>
      </c>
      <c r="X197" s="131">
        <f>'Stasiun Pontianak Kota'!Y255</f>
        <v>0</v>
      </c>
      <c r="Y197" s="131">
        <f>'Stasiun Pontianak Kota'!Z255</f>
        <v>6</v>
      </c>
      <c r="Z197" s="131">
        <f>'Stasiun Pontianak Kota'!AA255</f>
        <v>0</v>
      </c>
      <c r="AA197" s="131">
        <f>'Stasiun Pontianak Kota'!AB255</f>
        <v>0</v>
      </c>
      <c r="AC197" s="130">
        <v>28</v>
      </c>
      <c r="AD197" s="131">
        <f>'Sta. Meteorologi pnk'!B215</f>
        <v>4</v>
      </c>
      <c r="AE197" s="131">
        <f>'Sta. Meteorologi pnk'!C215</f>
        <v>0</v>
      </c>
      <c r="AF197" s="131">
        <f>'Sta. Meteorologi pnk'!D215</f>
        <v>69.400000000000006</v>
      </c>
      <c r="AG197" s="131">
        <f>'Sta. Meteorologi pnk'!E215</f>
        <v>11.2</v>
      </c>
      <c r="AH197" s="131">
        <f>'Sta. Meteorologi pnk'!F215</f>
        <v>61.9</v>
      </c>
      <c r="AI197" s="131">
        <f>'Sta. Meteorologi pnk'!G215</f>
        <v>2.6</v>
      </c>
      <c r="AJ197" s="131">
        <f>'Sta. Meteorologi pnk'!H215</f>
        <v>0</v>
      </c>
      <c r="AK197" s="131">
        <f>'Sta. Meteorologi pnk'!I215</f>
        <v>2.2999999999999998</v>
      </c>
      <c r="AL197" s="131">
        <f>'Sta. Meteorologi pnk'!J215</f>
        <v>0.4</v>
      </c>
      <c r="AM197" s="131">
        <f>'Sta. Meteorologi pnk'!K215</f>
        <v>2.7</v>
      </c>
      <c r="AN197" s="131">
        <f>'Sta. Meteorologi pnk'!L215</f>
        <v>0.2</v>
      </c>
      <c r="AO197" s="131">
        <f>'Sta. Meteorologi pnk'!M215</f>
        <v>0</v>
      </c>
      <c r="AQ197" s="130">
        <v>28</v>
      </c>
      <c r="AR197" s="131">
        <f t="shared" si="124"/>
        <v>9.180884787242098</v>
      </c>
      <c r="AS197" s="131">
        <f t="shared" si="124"/>
        <v>0</v>
      </c>
      <c r="AT197" s="131">
        <f t="shared" si="124"/>
        <v>73.479946769953159</v>
      </c>
      <c r="AU197" s="131">
        <f t="shared" si="126"/>
        <v>7.5733806489305291</v>
      </c>
      <c r="AV197" s="131">
        <f t="shared" si="126"/>
        <v>41.856451979357125</v>
      </c>
      <c r="AW197" s="131">
        <f t="shared" si="126"/>
        <v>1.7581062220731587</v>
      </c>
      <c r="AX197" s="131">
        <f t="shared" si="126"/>
        <v>0</v>
      </c>
      <c r="AY197" s="131">
        <f t="shared" si="126"/>
        <v>6.4123272998734162</v>
      </c>
      <c r="AZ197" s="131">
        <f t="shared" si="126"/>
        <v>0.27047788031894748</v>
      </c>
      <c r="BA197" s="131">
        <f t="shared" si="126"/>
        <v>3.7685574873686831</v>
      </c>
      <c r="BB197" s="131">
        <f t="shared" si="126"/>
        <v>0.13523894015947374</v>
      </c>
      <c r="BC197" s="131">
        <f t="shared" si="126"/>
        <v>0</v>
      </c>
      <c r="BE197" s="130">
        <v>28</v>
      </c>
      <c r="BF197" s="131">
        <f t="shared" si="125"/>
        <v>9.877419970150191</v>
      </c>
      <c r="BG197" s="131">
        <f t="shared" si="125"/>
        <v>0</v>
      </c>
      <c r="BH197" s="131">
        <f t="shared" si="125"/>
        <v>74.028468226493274</v>
      </c>
      <c r="BI197" s="131">
        <f t="shared" si="127"/>
        <v>7.0858060208948652</v>
      </c>
      <c r="BJ197" s="131">
        <f t="shared" si="127"/>
        <v>39.161731490481444</v>
      </c>
      <c r="BK197" s="131">
        <f t="shared" si="127"/>
        <v>1.644919254850594</v>
      </c>
      <c r="BL197" s="131">
        <f t="shared" si="127"/>
        <v>0</v>
      </c>
      <c r="BM197" s="131">
        <f t="shared" si="127"/>
        <v>6.9652021013067147</v>
      </c>
      <c r="BN197" s="131">
        <f t="shared" si="127"/>
        <v>0.2530645007462452</v>
      </c>
      <c r="BO197" s="131">
        <f t="shared" si="127"/>
        <v>3.9122178688434772</v>
      </c>
      <c r="BP197" s="131">
        <f t="shared" si="127"/>
        <v>0.11830386212616625</v>
      </c>
      <c r="BQ197" s="131">
        <f t="shared" si="127"/>
        <v>0</v>
      </c>
    </row>
    <row r="198" spans="1:82">
      <c r="A198" s="130">
        <v>29</v>
      </c>
      <c r="B198" s="131">
        <f>IF('Data 2'!B198&lt;0.1,0,'Data 2'!B198)</f>
        <v>40.427112899809359</v>
      </c>
      <c r="C198" s="131">
        <f>IF('Data 2'!C198&lt;0.1,0,'Data 2'!C198)</f>
        <v>0</v>
      </c>
      <c r="D198" s="131">
        <f>IF('Data 2'!D198&lt;0.1,0,'Data 2'!D198)</f>
        <v>2.16427419223437</v>
      </c>
      <c r="E198" s="131">
        <f>IF('Data 2'!E198&lt;0.1,0,'Data 2'!E198)</f>
        <v>9.4682580287748674</v>
      </c>
      <c r="F198" s="131">
        <f>IF('Data 2'!F198&lt;0.1,0,'Data 2'!F198)</f>
        <v>45.95440340214752</v>
      </c>
      <c r="G198" s="131">
        <f>IF('Data 2'!G198&lt;0.1,0,'Data 2'!G198)</f>
        <v>21.486451697000309</v>
      </c>
      <c r="H198" s="131">
        <f>IF('Data 2'!H198&lt;0.1,0,'Data 2'!H198)</f>
        <v>0</v>
      </c>
      <c r="I198" s="131">
        <f>IF('Data 2'!I198&lt;0.1,0,'Data 2'!I198)</f>
        <v>44.700161308718819</v>
      </c>
      <c r="J198" s="131">
        <f>IF('Data 2'!J198&lt;0.1,0,'Data 2'!J198)</f>
        <v>0</v>
      </c>
      <c r="K198" s="131">
        <f>IF('Data 2'!K198&lt;0.1,0,'Data 2'!K198)</f>
        <v>0</v>
      </c>
      <c r="L198" s="131">
        <f>IF('Data 2'!L198&lt;0.1,0,'Data 2'!L198)</f>
        <v>1.182774184087465</v>
      </c>
      <c r="M198" s="131">
        <f>IF('Data 2'!M198&lt;0.1,0,'Data 2'!M198)</f>
        <v>0</v>
      </c>
      <c r="O198" s="130">
        <v>29</v>
      </c>
      <c r="P198" s="131">
        <f>'Stasiun Pontianak Kota'!Q256</f>
        <v>40</v>
      </c>
      <c r="Q198" s="131">
        <f>'Stasiun Pontianak Kota'!R256</f>
        <v>0</v>
      </c>
      <c r="R198" s="131">
        <f>'Stasiun Pontianak Kota'!S256</f>
        <v>2</v>
      </c>
      <c r="S198" s="131">
        <f>'Stasiun Pontianak Kota'!T256</f>
        <v>5</v>
      </c>
      <c r="T198" s="131">
        <f>'Stasiun Pontianak Kota'!U256</f>
        <v>68</v>
      </c>
      <c r="U198" s="131">
        <f>'Stasiun Pontianak Kota'!V256</f>
        <v>32</v>
      </c>
      <c r="V198" s="131">
        <f>'Stasiun Pontianak Kota'!W256</f>
        <v>0</v>
      </c>
      <c r="W198" s="131">
        <f>'Stasiun Pontianak Kota'!X256</f>
        <v>47</v>
      </c>
      <c r="X198" s="131">
        <f>'Stasiun Pontianak Kota'!Y256</f>
        <v>0</v>
      </c>
      <c r="Y198" s="131">
        <f>'Stasiun Pontianak Kota'!Z256</f>
        <v>0</v>
      </c>
      <c r="Z198" s="131">
        <f>'Stasiun Pontianak Kota'!AA256</f>
        <v>0</v>
      </c>
      <c r="AA198" s="131">
        <f>'Stasiun Pontianak Kota'!AB256</f>
        <v>0</v>
      </c>
      <c r="AC198" s="130">
        <v>29</v>
      </c>
      <c r="AD198" s="131">
        <f>'Sta. Meteorologi pnk'!B216</f>
        <v>41.3</v>
      </c>
      <c r="AE198" s="131">
        <f>'Sta. Meteorologi pnk'!C216</f>
        <v>0</v>
      </c>
      <c r="AF198" s="131">
        <f>'Sta. Meteorologi pnk'!D216</f>
        <v>2.5</v>
      </c>
      <c r="AG198" s="131">
        <f>'Sta. Meteorologi pnk'!E216</f>
        <v>18.600000000000001</v>
      </c>
      <c r="AH198" s="131">
        <f>'Sta. Meteorologi pnk'!F216</f>
        <v>0.9</v>
      </c>
      <c r="AI198" s="131">
        <f>'Sta. Meteorologi pnk'!G216</f>
        <v>0</v>
      </c>
      <c r="AJ198" s="131">
        <f>'Sta. Meteorologi pnk'!H216</f>
        <v>0</v>
      </c>
      <c r="AK198" s="131">
        <f>'Sta. Meteorologi pnk'!I216</f>
        <v>40</v>
      </c>
      <c r="AL198" s="131">
        <f>'Sta. Meteorologi pnk'!J216</f>
        <v>0</v>
      </c>
      <c r="AM198" s="131">
        <f>'Sta. Meteorologi pnk'!K216</f>
        <v>0</v>
      </c>
      <c r="AN198" s="131">
        <f>'Sta. Meteorologi pnk'!L216</f>
        <v>3.6</v>
      </c>
      <c r="AO198" s="131">
        <f>'Sta. Meteorologi pnk'!M216</f>
        <v>0</v>
      </c>
      <c r="AQ198" s="130">
        <v>29</v>
      </c>
      <c r="AR198" s="131">
        <f t="shared" si="124"/>
        <v>40.879053111036576</v>
      </c>
      <c r="AS198" s="131">
        <f t="shared" si="124"/>
        <v>0</v>
      </c>
      <c r="AT198" s="131">
        <f t="shared" si="124"/>
        <v>2.3380973503986842</v>
      </c>
      <c r="AU198" s="131">
        <f t="shared" si="126"/>
        <v>14.196247930844216</v>
      </c>
      <c r="AV198" s="131">
        <f t="shared" si="126"/>
        <v>22.627335576496552</v>
      </c>
      <c r="AW198" s="131">
        <f t="shared" si="126"/>
        <v>10.3617695744842</v>
      </c>
      <c r="AX198" s="131">
        <f t="shared" si="126"/>
        <v>0</v>
      </c>
      <c r="AY198" s="131">
        <f t="shared" si="126"/>
        <v>42.266637094418414</v>
      </c>
      <c r="AZ198" s="131">
        <f t="shared" si="126"/>
        <v>0</v>
      </c>
      <c r="BA198" s="131">
        <f t="shared" si="126"/>
        <v>0</v>
      </c>
      <c r="BB198" s="131">
        <f t="shared" si="126"/>
        <v>2.4343009228705275</v>
      </c>
      <c r="BC198" s="131">
        <f t="shared" si="126"/>
        <v>0</v>
      </c>
      <c r="BE198" s="130">
        <v>29</v>
      </c>
      <c r="BF198" s="131">
        <f t="shared" si="125"/>
        <v>40.822459627425296</v>
      </c>
      <c r="BG198" s="131">
        <f t="shared" si="125"/>
        <v>0</v>
      </c>
      <c r="BH198" s="131">
        <f t="shared" si="125"/>
        <v>2.3163306259328067</v>
      </c>
      <c r="BI198" s="131">
        <f t="shared" si="127"/>
        <v>13.604193025372338</v>
      </c>
      <c r="BJ198" s="131">
        <f t="shared" si="127"/>
        <v>25.548429999817365</v>
      </c>
      <c r="BK198" s="131">
        <f t="shared" si="127"/>
        <v>11.754839940300384</v>
      </c>
      <c r="BL198" s="131">
        <f t="shared" si="127"/>
        <v>0</v>
      </c>
      <c r="BM198" s="131">
        <f t="shared" si="127"/>
        <v>42.571371236940713</v>
      </c>
      <c r="BN198" s="131">
        <f t="shared" si="127"/>
        <v>0</v>
      </c>
      <c r="BO198" s="131">
        <f t="shared" si="127"/>
        <v>0</v>
      </c>
      <c r="BP198" s="131">
        <f t="shared" si="127"/>
        <v>2.2775805067162072</v>
      </c>
      <c r="BQ198" s="131">
        <f t="shared" si="127"/>
        <v>0</v>
      </c>
    </row>
    <row r="199" spans="1:82">
      <c r="A199" s="130">
        <v>30</v>
      </c>
      <c r="B199" s="131">
        <f>IF('Data 2'!B199&lt;0.1,0,'Data 2'!B199)</f>
        <v>65.203193586756385</v>
      </c>
      <c r="C199" s="131">
        <f>IF('Data 2'!C199&lt;0.1,0,'Data 2'!C199)</f>
        <v>0</v>
      </c>
      <c r="D199" s="131">
        <f>IF('Data 2'!D199&lt;0.1,0,'Data 2'!D199)</f>
        <v>0</v>
      </c>
      <c r="E199" s="131">
        <f>IF('Data 2'!E199&lt;0.1,0,'Data 2'!E199)</f>
        <v>0</v>
      </c>
      <c r="F199" s="131">
        <f>IF('Data 2'!F199&lt;0.1,0,'Data 2'!F199)</f>
        <v>4.7515161390187863</v>
      </c>
      <c r="G199" s="131">
        <f>IF('Data 2'!G199&lt;0.1,0,'Data 2'!G199)</f>
        <v>0.26283870757499223</v>
      </c>
      <c r="H199" s="131">
        <f>IF('Data 2'!H199&lt;0.1,0,'Data 2'!H199)</f>
        <v>0</v>
      </c>
      <c r="I199" s="131">
        <f>IF('Data 2'!I199&lt;0.1,0,'Data 2'!I199)</f>
        <v>20.76172584035325</v>
      </c>
      <c r="J199" s="131">
        <f>IF('Data 2'!J199&lt;0.1,0,'Data 2'!J199)</f>
        <v>40.730790412722207</v>
      </c>
      <c r="K199" s="131">
        <f>IF('Data 2'!K199&lt;0.1,0,'Data 2'!K199)</f>
        <v>6.1068548058592533</v>
      </c>
      <c r="L199" s="131">
        <f>IF('Data 2'!L199&lt;0.1,0,'Data 2'!L199)</f>
        <v>21.291548400762551</v>
      </c>
      <c r="M199" s="131">
        <f>IF('Data 2'!M199&lt;0.1,0,'Data 2'!M199)</f>
        <v>3.9425806136248833</v>
      </c>
      <c r="O199" s="130">
        <v>30</v>
      </c>
      <c r="P199" s="131">
        <f>'Stasiun Pontianak Kota'!Q257</f>
        <v>70</v>
      </c>
      <c r="Q199" s="131">
        <f>'Stasiun Pontianak Kota'!R257</f>
        <v>0</v>
      </c>
      <c r="R199" s="131">
        <f>'Stasiun Pontianak Kota'!S257</f>
        <v>0</v>
      </c>
      <c r="S199" s="131">
        <f>'Stasiun Pontianak Kota'!T257</f>
        <v>0</v>
      </c>
      <c r="T199" s="131">
        <f>'Stasiun Pontianak Kota'!U257</f>
        <v>6</v>
      </c>
      <c r="U199" s="131">
        <f>'Stasiun Pontianak Kota'!V257</f>
        <v>0</v>
      </c>
      <c r="V199" s="131">
        <f>'Stasiun Pontianak Kota'!W257</f>
        <v>0</v>
      </c>
      <c r="W199" s="131">
        <f>'Stasiun Pontianak Kota'!X257</f>
        <v>25</v>
      </c>
      <c r="X199" s="131">
        <f>'Stasiun Pontianak Kota'!Y257</f>
        <v>52</v>
      </c>
      <c r="Y199" s="131">
        <f>'Stasiun Pontianak Kota'!Z257</f>
        <v>2</v>
      </c>
      <c r="Z199" s="131">
        <f>'Stasiun Pontianak Kota'!AA257</f>
        <v>23</v>
      </c>
      <c r="AA199" s="131">
        <f>'Stasiun Pontianak Kota'!AB257</f>
        <v>0</v>
      </c>
      <c r="AC199" s="130">
        <v>30</v>
      </c>
      <c r="AD199" s="131">
        <f>'Sta. Meteorologi pnk'!B217</f>
        <v>55.4</v>
      </c>
      <c r="AE199" s="131">
        <f>'Sta. Meteorologi pnk'!C217</f>
        <v>0</v>
      </c>
      <c r="AF199" s="131">
        <f>'Sta. Meteorologi pnk'!D217</f>
        <v>0</v>
      </c>
      <c r="AG199" s="131">
        <f>'Sta. Meteorologi pnk'!E217</f>
        <v>0</v>
      </c>
      <c r="AH199" s="131">
        <f>'Sta. Meteorologi pnk'!F217</f>
        <v>2.2000000000000002</v>
      </c>
      <c r="AI199" s="131">
        <f>'Sta. Meteorologi pnk'!G217</f>
        <v>0.8</v>
      </c>
      <c r="AJ199" s="131">
        <f>'Sta. Meteorologi pnk'!H217</f>
        <v>0</v>
      </c>
      <c r="AK199" s="131">
        <f>'Sta. Meteorologi pnk'!I217</f>
        <v>12.1</v>
      </c>
      <c r="AL199" s="131">
        <f>'Sta. Meteorologi pnk'!J217</f>
        <v>17.7</v>
      </c>
      <c r="AM199" s="131">
        <f>'Sta. Meteorologi pnk'!K217</f>
        <v>14.5</v>
      </c>
      <c r="AN199" s="131">
        <f>'Sta. Meteorologi pnk'!L217</f>
        <v>17.8</v>
      </c>
      <c r="AO199" s="131">
        <f>'Sta. Meteorologi pnk'!M217</f>
        <v>12</v>
      </c>
      <c r="AQ199" s="130">
        <v>30</v>
      </c>
      <c r="AR199" s="131">
        <f t="shared" si="124"/>
        <v>60.127557368358417</v>
      </c>
      <c r="AS199" s="131">
        <f t="shared" si="124"/>
        <v>0</v>
      </c>
      <c r="AT199" s="131">
        <f t="shared" si="124"/>
        <v>0</v>
      </c>
      <c r="AU199" s="131">
        <f t="shared" si="126"/>
        <v>0</v>
      </c>
      <c r="AV199" s="131">
        <f t="shared" si="126"/>
        <v>3.4304601369699981</v>
      </c>
      <c r="AW199" s="131">
        <f t="shared" si="126"/>
        <v>0.54095576063789497</v>
      </c>
      <c r="AX199" s="131">
        <f t="shared" si="126"/>
        <v>0</v>
      </c>
      <c r="AY199" s="131">
        <f t="shared" si="126"/>
        <v>16.277088359713943</v>
      </c>
      <c r="AZ199" s="131">
        <f t="shared" si="126"/>
        <v>28.806521762650249</v>
      </c>
      <c r="BA199" s="131">
        <f t="shared" si="126"/>
        <v>10.452433759967109</v>
      </c>
      <c r="BB199" s="131">
        <f t="shared" si="126"/>
        <v>19.483787555853681</v>
      </c>
      <c r="BC199" s="131">
        <f t="shared" si="126"/>
        <v>8.1143364095684252</v>
      </c>
      <c r="BE199" s="130">
        <v>30</v>
      </c>
      <c r="BF199" s="131">
        <f t="shared" si="125"/>
        <v>60.76314572276204</v>
      </c>
      <c r="BG199" s="131">
        <f t="shared" si="125"/>
        <v>0</v>
      </c>
      <c r="BH199" s="131">
        <f t="shared" si="125"/>
        <v>0</v>
      </c>
      <c r="BI199" s="131">
        <f t="shared" si="127"/>
        <v>0</v>
      </c>
      <c r="BJ199" s="131">
        <f t="shared" si="127"/>
        <v>3.595887242910671</v>
      </c>
      <c r="BK199" s="131">
        <f t="shared" si="127"/>
        <v>0.5061290014924904</v>
      </c>
      <c r="BL199" s="131">
        <f t="shared" si="127"/>
        <v>0</v>
      </c>
      <c r="BM199" s="131">
        <f t="shared" si="127"/>
        <v>16.838669850933591</v>
      </c>
      <c r="BN199" s="131">
        <f t="shared" si="127"/>
        <v>30.299719061009473</v>
      </c>
      <c r="BO199" s="131">
        <f t="shared" si="127"/>
        <v>9.9082656483201621</v>
      </c>
      <c r="BP199" s="131">
        <f t="shared" si="127"/>
        <v>19.710161490298812</v>
      </c>
      <c r="BQ199" s="131">
        <f t="shared" si="127"/>
        <v>7.5919350223873563</v>
      </c>
    </row>
    <row r="200" spans="1:82" ht="15.75" thickBot="1">
      <c r="A200" s="133">
        <v>31</v>
      </c>
      <c r="B200" s="131">
        <f>IF('Data 2'!B200&lt;0.1,0,'Data 2'!B200)</f>
        <v>0.67145161553125965</v>
      </c>
      <c r="C200" s="131">
        <f>IF('Data 2'!C200&lt;0.1,0,'Data 2'!C200)</f>
        <v>0</v>
      </c>
      <c r="D200" s="131">
        <f>IF('Data 2'!D200&lt;0.1,0,'Data 2'!D200)</f>
        <v>3.2197741677936551</v>
      </c>
      <c r="E200" s="131">
        <f>IF('Data 2'!E200&lt;0.1,0,'Data 2'!E200)</f>
        <v>0</v>
      </c>
      <c r="F200" s="131">
        <f>IF('Data 2'!F200&lt;0.1,0,'Data 2'!F200)</f>
        <v>3.7783064213905133</v>
      </c>
      <c r="G200" s="131">
        <f>IF('Data 2'!G200&lt;0.1,0,'Data 2'!G200)</f>
        <v>0</v>
      </c>
      <c r="H200" s="131">
        <f>IF('Data 2'!H200&lt;0.1,0,'Data 2'!H200)</f>
        <v>10.10462907141577</v>
      </c>
      <c r="I200" s="131">
        <f>IF('Data 2'!I200&lt;0.1,0,'Data 2'!I200)</f>
        <v>9.3307741189122222</v>
      </c>
      <c r="J200" s="131">
        <f>IF('Data 2'!J200&lt;0.1,0,'Data 2'!J200)</f>
        <v>0</v>
      </c>
      <c r="K200" s="131">
        <f>IF('Data 2'!K200&lt;0.1,0,'Data 2'!K200)</f>
        <v>13.521532269890669</v>
      </c>
      <c r="L200" s="131">
        <f>IF('Data 2'!L200&lt;0.1,0,'Data 2'!L200)</f>
        <v>0</v>
      </c>
      <c r="M200" s="131">
        <f>IF('Data 2'!M200&lt;0.1,0,'Data 2'!M200)</f>
        <v>3.679741906049891</v>
      </c>
      <c r="O200" s="133">
        <v>31</v>
      </c>
      <c r="P200" s="131">
        <f>'Stasiun Pontianak Kota'!Q258</f>
        <v>1</v>
      </c>
      <c r="Q200" s="131">
        <f>'Stasiun Pontianak Kota'!R258</f>
        <v>0</v>
      </c>
      <c r="R200" s="131">
        <f>'Stasiun Pontianak Kota'!S258</f>
        <v>0</v>
      </c>
      <c r="S200" s="131">
        <f>'Stasiun Pontianak Kota'!T258</f>
        <v>0</v>
      </c>
      <c r="T200" s="131">
        <f>'Stasiun Pontianak Kota'!U258</f>
        <v>0</v>
      </c>
      <c r="U200" s="131">
        <f>'Stasiun Pontianak Kota'!V258</f>
        <v>0</v>
      </c>
      <c r="V200" s="131">
        <f>'Stasiun Pontianak Kota'!W258</f>
        <v>15</v>
      </c>
      <c r="W200" s="131">
        <f>'Stasiun Pontianak Kota'!X258</f>
        <v>0</v>
      </c>
      <c r="X200" s="131">
        <f>'Stasiun Pontianak Kota'!Y258</f>
        <v>0</v>
      </c>
      <c r="Y200" s="131">
        <f>'Stasiun Pontianak Kota'!Z258</f>
        <v>15</v>
      </c>
      <c r="Z200" s="131">
        <f>'Stasiun Pontianak Kota'!AA258</f>
        <v>0</v>
      </c>
      <c r="AA200" s="131">
        <f>'Stasiun Pontianak Kota'!AB258</f>
        <v>0</v>
      </c>
      <c r="AC200" s="133">
        <v>31</v>
      </c>
      <c r="AD200" s="131">
        <f>'Sta. Meteorologi pnk'!B218</f>
        <v>0</v>
      </c>
      <c r="AE200" s="131">
        <f>'Sta. Meteorologi pnk'!C218</f>
        <v>0</v>
      </c>
      <c r="AF200" s="131">
        <f>'Sta. Meteorologi pnk'!D218</f>
        <v>9.8000000000000007</v>
      </c>
      <c r="AG200" s="131">
        <f>'Sta. Meteorologi pnk'!E218</f>
        <v>0</v>
      </c>
      <c r="AH200" s="131">
        <f>'Sta. Meteorologi pnk'!F218</f>
        <v>11.5</v>
      </c>
      <c r="AI200" s="131">
        <f>'Sta. Meteorologi pnk'!G218</f>
        <v>0</v>
      </c>
      <c r="AJ200" s="131">
        <f>'Sta. Meteorologi pnk'!H218</f>
        <v>0.1</v>
      </c>
      <c r="AK200" s="131">
        <f>'Sta. Meteorologi pnk'!I218</f>
        <v>28.4</v>
      </c>
      <c r="AL200" s="131">
        <f>'Sta. Meteorologi pnk'!J218</f>
        <v>0</v>
      </c>
      <c r="AM200" s="131">
        <f>'Sta. Meteorologi pnk'!K218</f>
        <v>10.5</v>
      </c>
      <c r="AN200" s="131">
        <f>'Sta. Meteorologi pnk'!L218</f>
        <v>0</v>
      </c>
      <c r="AO200" s="131">
        <f>'Sta. Meteorologi pnk'!M218</f>
        <v>11.2</v>
      </c>
      <c r="AQ200" s="133">
        <v>31</v>
      </c>
      <c r="AR200" s="131">
        <f t="shared" si="124"/>
        <v>0.32380529920263124</v>
      </c>
      <c r="AS200" s="131">
        <f t="shared" si="124"/>
        <v>0</v>
      </c>
      <c r="AT200" s="131">
        <f t="shared" si="124"/>
        <v>6.6267080678142145</v>
      </c>
      <c r="AU200" s="131">
        <f t="shared" si="126"/>
        <v>0</v>
      </c>
      <c r="AV200" s="131">
        <f t="shared" si="126"/>
        <v>7.7762390591697397</v>
      </c>
      <c r="AW200" s="131">
        <f t="shared" si="126"/>
        <v>0</v>
      </c>
      <c r="AX200" s="131">
        <f t="shared" si="126"/>
        <v>4.9246989581192047</v>
      </c>
      <c r="AY200" s="131">
        <f t="shared" si="126"/>
        <v>19.203929502645273</v>
      </c>
      <c r="AZ200" s="131">
        <f t="shared" si="126"/>
        <v>0</v>
      </c>
      <c r="BA200" s="131">
        <f t="shared" si="126"/>
        <v>11.957123846411839</v>
      </c>
      <c r="BB200" s="131">
        <f t="shared" si="126"/>
        <v>0</v>
      </c>
      <c r="BC200" s="131">
        <f t="shared" si="126"/>
        <v>7.5733806489305291</v>
      </c>
      <c r="BE200" s="133">
        <v>31</v>
      </c>
      <c r="BF200" s="131">
        <f t="shared" si="125"/>
        <v>0.36733874813438699</v>
      </c>
      <c r="BG200" s="131">
        <f t="shared" si="125"/>
        <v>0</v>
      </c>
      <c r="BH200" s="131">
        <f t="shared" si="125"/>
        <v>6.2000802682830081</v>
      </c>
      <c r="BI200" s="131">
        <f t="shared" si="127"/>
        <v>0</v>
      </c>
      <c r="BJ200" s="131">
        <f t="shared" si="127"/>
        <v>7.2756043964545487</v>
      </c>
      <c r="BK200" s="131">
        <f t="shared" si="127"/>
        <v>0</v>
      </c>
      <c r="BL200" s="131">
        <f t="shared" si="127"/>
        <v>5.5733473472023656</v>
      </c>
      <c r="BM200" s="131">
        <f t="shared" si="127"/>
        <v>17.967579552983409</v>
      </c>
      <c r="BN200" s="131">
        <f t="shared" si="127"/>
        <v>0</v>
      </c>
      <c r="BO200" s="131">
        <f t="shared" si="127"/>
        <v>12.153024366604742</v>
      </c>
      <c r="BP200" s="131">
        <f t="shared" si="127"/>
        <v>0</v>
      </c>
      <c r="BQ200" s="131">
        <f t="shared" si="127"/>
        <v>7.0858060208948652</v>
      </c>
    </row>
    <row r="201" spans="1:82">
      <c r="A201" s="135" t="s">
        <v>28</v>
      </c>
      <c r="B201" s="136">
        <f>SUM(B170:B200)</f>
        <v>164.07783878904402</v>
      </c>
      <c r="C201" s="136">
        <f t="shared" ref="C201:M201" si="128">SUM(C170:C200)</f>
        <v>184.49574242745177</v>
      </c>
      <c r="D201" s="136">
        <f t="shared" si="128"/>
        <v>346.55054828670586</v>
      </c>
      <c r="E201" s="136">
        <f t="shared" si="128"/>
        <v>140.77991950857867</v>
      </c>
      <c r="F201" s="136">
        <f t="shared" si="128"/>
        <v>351.50779007055229</v>
      </c>
      <c r="G201" s="136">
        <f t="shared" si="128"/>
        <v>170.8733384387271</v>
      </c>
      <c r="H201" s="136">
        <f t="shared" si="128"/>
        <v>309.84816124354359</v>
      </c>
      <c r="I201" s="136">
        <f t="shared" si="128"/>
        <v>476.45643524025229</v>
      </c>
      <c r="J201" s="136">
        <f t="shared" si="128"/>
        <v>162.09441937008131</v>
      </c>
      <c r="K201" s="136">
        <f t="shared" si="128"/>
        <v>183.6733710263471</v>
      </c>
      <c r="L201" s="136">
        <f t="shared" si="128"/>
        <v>226.08643540319025</v>
      </c>
      <c r="M201" s="136">
        <f t="shared" si="128"/>
        <v>149.26122562038677</v>
      </c>
      <c r="N201" s="137"/>
      <c r="O201" s="135" t="s">
        <v>28</v>
      </c>
      <c r="P201" s="136">
        <f>SUM(P170:P200)</f>
        <v>174</v>
      </c>
      <c r="Q201" s="136">
        <f t="shared" ref="Q201:AA201" si="129">SUM(Q170:Q200)</f>
        <v>246</v>
      </c>
      <c r="R201" s="136">
        <f t="shared" si="129"/>
        <v>334</v>
      </c>
      <c r="S201" s="136">
        <f t="shared" si="129"/>
        <v>160</v>
      </c>
      <c r="T201" s="136">
        <f t="shared" si="129"/>
        <v>320</v>
      </c>
      <c r="U201" s="136">
        <f t="shared" si="129"/>
        <v>137</v>
      </c>
      <c r="V201" s="136">
        <f t="shared" si="129"/>
        <v>304</v>
      </c>
      <c r="W201" s="136">
        <f t="shared" si="129"/>
        <v>446</v>
      </c>
      <c r="X201" s="136">
        <f t="shared" si="129"/>
        <v>164</v>
      </c>
      <c r="Y201" s="136">
        <f t="shared" si="129"/>
        <v>191</v>
      </c>
      <c r="Z201" s="136">
        <f t="shared" si="129"/>
        <v>216</v>
      </c>
      <c r="AA201" s="136">
        <f t="shared" si="129"/>
        <v>126</v>
      </c>
      <c r="AB201" s="137"/>
      <c r="AC201" s="135" t="s">
        <v>28</v>
      </c>
      <c r="AD201" s="136">
        <f>SUM(AD170:AD200)</f>
        <v>144.19999999999999</v>
      </c>
      <c r="AE201" s="136">
        <f t="shared" ref="AE201:AO201" si="130">SUM(AE170:AE200)</f>
        <v>59.1</v>
      </c>
      <c r="AF201" s="136">
        <f t="shared" si="130"/>
        <v>372.2</v>
      </c>
      <c r="AG201" s="136">
        <f t="shared" si="130"/>
        <v>101.5</v>
      </c>
      <c r="AH201" s="136">
        <f t="shared" si="130"/>
        <v>416</v>
      </c>
      <c r="AI201" s="136">
        <f t="shared" si="130"/>
        <v>240.40000000000003</v>
      </c>
      <c r="AJ201" s="136">
        <f t="shared" si="130"/>
        <v>321.79999999999995</v>
      </c>
      <c r="AK201" s="136">
        <f t="shared" si="130"/>
        <v>538.9</v>
      </c>
      <c r="AL201" s="136">
        <f t="shared" si="130"/>
        <v>158.6</v>
      </c>
      <c r="AM201" s="136">
        <f t="shared" si="130"/>
        <v>168.89999999999998</v>
      </c>
      <c r="AN201" s="136">
        <f t="shared" si="130"/>
        <v>247.19999999999996</v>
      </c>
      <c r="AO201" s="136">
        <f t="shared" si="130"/>
        <v>196.79999999999998</v>
      </c>
      <c r="AP201" s="137"/>
      <c r="AQ201" s="135" t="s">
        <v>28</v>
      </c>
      <c r="AR201" s="136">
        <f>SUM(AR170:AR200)</f>
        <v>153.84939791623842</v>
      </c>
      <c r="AS201" s="136">
        <f t="shared" ref="AS201:BC201" si="131">SUM(AS170:AS200)</f>
        <v>119.6192104209718</v>
      </c>
      <c r="AT201" s="136">
        <f t="shared" si="131"/>
        <v>359.83063757045954</v>
      </c>
      <c r="AU201" s="136">
        <f t="shared" si="131"/>
        <v>120.44261000335391</v>
      </c>
      <c r="AV201" s="136">
        <f t="shared" si="131"/>
        <v>384.91469127654727</v>
      </c>
      <c r="AW201" s="136">
        <f t="shared" si="131"/>
        <v>206.91853206244795</v>
      </c>
      <c r="AX201" s="136">
        <f t="shared" si="131"/>
        <v>316.03626567419326</v>
      </c>
      <c r="AY201" s="136">
        <f t="shared" si="131"/>
        <v>508.81848770407561</v>
      </c>
      <c r="AZ201" s="136">
        <f t="shared" si="131"/>
        <v>160.34854861569417</v>
      </c>
      <c r="BA201" s="136">
        <f t="shared" si="131"/>
        <v>176.05609711237815</v>
      </c>
      <c r="BB201" s="136">
        <f t="shared" si="131"/>
        <v>237.09727466487789</v>
      </c>
      <c r="BC201" s="136">
        <f t="shared" si="131"/>
        <v>173.87458481645371</v>
      </c>
      <c r="BD201" s="137"/>
      <c r="BE201" s="135" t="s">
        <v>28</v>
      </c>
      <c r="BF201" s="136">
        <f>SUM(BF170:BF200)</f>
        <v>155.13023791791082</v>
      </c>
      <c r="BG201" s="136">
        <f t="shared" ref="BG201:BQ201" si="132">SUM(BG170:BG200)</f>
        <v>127.74326944394649</v>
      </c>
      <c r="BH201" s="136">
        <f t="shared" si="132"/>
        <v>358.16765982126645</v>
      </c>
      <c r="BI201" s="136">
        <f t="shared" si="132"/>
        <v>122.98931676586164</v>
      </c>
      <c r="BJ201" s="136">
        <f t="shared" si="132"/>
        <v>380.7313659849753</v>
      </c>
      <c r="BK201" s="136">
        <f t="shared" si="132"/>
        <v>202.40483086053388</v>
      </c>
      <c r="BL201" s="136">
        <f t="shared" si="132"/>
        <v>315.2613702832079</v>
      </c>
      <c r="BM201" s="136">
        <f t="shared" si="132"/>
        <v>504.76600191006844</v>
      </c>
      <c r="BN201" s="136">
        <f t="shared" si="132"/>
        <v>160.56717246343175</v>
      </c>
      <c r="BO201" s="136">
        <f t="shared" si="132"/>
        <v>177.00995794552298</v>
      </c>
      <c r="BP201" s="136">
        <f t="shared" si="132"/>
        <v>235.71846008758976</v>
      </c>
      <c r="BQ201" s="136">
        <f t="shared" si="132"/>
        <v>170.79241663208541</v>
      </c>
      <c r="BR201" s="137"/>
    </row>
    <row r="202" spans="1:82">
      <c r="A202" s="138" t="s">
        <v>29</v>
      </c>
      <c r="B202" s="139">
        <f>MAX(B170:B200)</f>
        <v>65.203193586756385</v>
      </c>
      <c r="C202" s="139">
        <f t="shared" ref="C202:M202" si="133">MAX(C170:C200)</f>
        <v>110.78951656265785</v>
      </c>
      <c r="D202" s="139">
        <f t="shared" si="133"/>
        <v>95.492209929447796</v>
      </c>
      <c r="E202" s="139">
        <f t="shared" si="133"/>
        <v>35.60351620419403</v>
      </c>
      <c r="F202" s="139">
        <f t="shared" si="133"/>
        <v>57.556306519153374</v>
      </c>
      <c r="G202" s="139">
        <f t="shared" si="133"/>
        <v>36.665387059456116</v>
      </c>
      <c r="H202" s="139">
        <f t="shared" si="133"/>
        <v>78.499193456405905</v>
      </c>
      <c r="I202" s="139">
        <f t="shared" si="133"/>
        <v>84.133338764603323</v>
      </c>
      <c r="J202" s="139">
        <f t="shared" si="133"/>
        <v>40.730790412722207</v>
      </c>
      <c r="K202" s="139">
        <f t="shared" si="133"/>
        <v>44.492822576703105</v>
      </c>
      <c r="L202" s="139">
        <f t="shared" si="133"/>
        <v>59.244032392094248</v>
      </c>
      <c r="M202" s="139">
        <f t="shared" si="133"/>
        <v>47.001613087188176</v>
      </c>
      <c r="O202" s="138" t="s">
        <v>29</v>
      </c>
      <c r="P202" s="139">
        <f>MAX(P170:P200)</f>
        <v>70</v>
      </c>
      <c r="Q202" s="139">
        <f t="shared" ref="Q202:AA202" si="134">MAX(Q170:Q200)</f>
        <v>165</v>
      </c>
      <c r="R202" s="139">
        <f t="shared" si="134"/>
        <v>127</v>
      </c>
      <c r="S202" s="139">
        <f t="shared" si="134"/>
        <v>48</v>
      </c>
      <c r="T202" s="139">
        <f t="shared" si="134"/>
        <v>68</v>
      </c>
      <c r="U202" s="139">
        <f t="shared" si="134"/>
        <v>32</v>
      </c>
      <c r="V202" s="139">
        <f t="shared" si="134"/>
        <v>78</v>
      </c>
      <c r="W202" s="139">
        <f t="shared" si="134"/>
        <v>91</v>
      </c>
      <c r="X202" s="139">
        <f t="shared" si="134"/>
        <v>52</v>
      </c>
      <c r="Y202" s="139">
        <f t="shared" si="134"/>
        <v>44</v>
      </c>
      <c r="Z202" s="139">
        <f t="shared" si="134"/>
        <v>76</v>
      </c>
      <c r="AA202" s="139">
        <f t="shared" si="134"/>
        <v>70</v>
      </c>
      <c r="AC202" s="138" t="s">
        <v>29</v>
      </c>
      <c r="AD202" s="139">
        <f>MAX(AD170:AD200)</f>
        <v>55.4</v>
      </c>
      <c r="AE202" s="139">
        <f t="shared" ref="AE202:AO202" si="135">MAX(AE170:AE200)</f>
        <v>25.5</v>
      </c>
      <c r="AF202" s="139">
        <f t="shared" si="135"/>
        <v>76.900000000000006</v>
      </c>
      <c r="AG202" s="139">
        <f t="shared" si="135"/>
        <v>18.600000000000001</v>
      </c>
      <c r="AH202" s="139">
        <f t="shared" si="135"/>
        <v>61.9</v>
      </c>
      <c r="AI202" s="139">
        <f t="shared" si="135"/>
        <v>46.2</v>
      </c>
      <c r="AJ202" s="139">
        <f t="shared" si="135"/>
        <v>102</v>
      </c>
      <c r="AK202" s="139">
        <f t="shared" si="135"/>
        <v>70.099999999999994</v>
      </c>
      <c r="AL202" s="139">
        <f t="shared" si="135"/>
        <v>45.3</v>
      </c>
      <c r="AM202" s="139">
        <f t="shared" si="135"/>
        <v>45.5</v>
      </c>
      <c r="AN202" s="139">
        <f t="shared" si="135"/>
        <v>39.9</v>
      </c>
      <c r="AO202" s="139">
        <f t="shared" si="135"/>
        <v>65</v>
      </c>
      <c r="AQ202" s="138" t="s">
        <v>29</v>
      </c>
      <c r="AR202" s="139">
        <f>MAX(AR170:AR200)</f>
        <v>60.127557368358417</v>
      </c>
      <c r="AS202" s="139">
        <f t="shared" ref="AS202:BC202" si="136">MAX(AS170:AS200)</f>
        <v>53.427874368434153</v>
      </c>
      <c r="AT202" s="139">
        <f t="shared" si="136"/>
        <v>73.479946769953159</v>
      </c>
      <c r="AU202" s="139">
        <f t="shared" si="136"/>
        <v>25.660831557195252</v>
      </c>
      <c r="AV202" s="139">
        <f t="shared" si="136"/>
        <v>48.62179618950762</v>
      </c>
      <c r="AW202" s="139">
        <f t="shared" si="136"/>
        <v>41.601964751322633</v>
      </c>
      <c r="AX202" s="139">
        <f t="shared" si="136"/>
        <v>90.666814527907903</v>
      </c>
      <c r="AY202" s="139">
        <f t="shared" si="136"/>
        <v>76.867530753334989</v>
      </c>
      <c r="AZ202" s="139">
        <f t="shared" si="136"/>
        <v>38.079141827781314</v>
      </c>
      <c r="BA202" s="139">
        <f t="shared" si="136"/>
        <v>45.014292051196058</v>
      </c>
      <c r="BB202" s="139">
        <f t="shared" si="136"/>
        <v>41.51407025933419</v>
      </c>
      <c r="BC202" s="139">
        <f t="shared" si="136"/>
        <v>44.276460851031594</v>
      </c>
      <c r="BE202" s="138" t="s">
        <v>29</v>
      </c>
      <c r="BF202" s="139">
        <f>MAX(BF170:BF200)</f>
        <v>60.76314572276204</v>
      </c>
      <c r="BG202" s="139">
        <f t="shared" ref="BG202:BQ202" si="137">MAX(BG170:BG200)</f>
        <v>60.610893442173861</v>
      </c>
      <c r="BH202" s="139">
        <f t="shared" si="137"/>
        <v>74.028468226493274</v>
      </c>
      <c r="BI202" s="139">
        <f t="shared" si="137"/>
        <v>26.905888196643463</v>
      </c>
      <c r="BJ202" s="139">
        <f t="shared" si="137"/>
        <v>49.740605827053749</v>
      </c>
      <c r="BK202" s="139">
        <f t="shared" si="137"/>
        <v>40.983789776491712</v>
      </c>
      <c r="BL202" s="139">
        <f t="shared" si="137"/>
        <v>89.143143815296455</v>
      </c>
      <c r="BM202" s="139">
        <f t="shared" si="137"/>
        <v>77.777379836008691</v>
      </c>
      <c r="BN202" s="139">
        <f t="shared" si="137"/>
        <v>37.10834591660317</v>
      </c>
      <c r="BO202" s="139">
        <f t="shared" si="137"/>
        <v>44.948991877798427</v>
      </c>
      <c r="BP202" s="139">
        <f t="shared" si="137"/>
        <v>43.734276154853738</v>
      </c>
      <c r="BQ202" s="139">
        <f t="shared" si="137"/>
        <v>41.490320119399229</v>
      </c>
    </row>
    <row r="203" spans="1:82">
      <c r="A203" s="130" t="s">
        <v>30</v>
      </c>
      <c r="B203" s="131">
        <f>SUM(B170:B184)</f>
        <v>7.0883548140061583</v>
      </c>
      <c r="C203" s="131">
        <f t="shared" ref="C203:M203" si="138">SUM(C170:C184)</f>
        <v>42.416903198474898</v>
      </c>
      <c r="D203" s="131">
        <f t="shared" si="138"/>
        <v>167.6220161960471</v>
      </c>
      <c r="E203" s="131">
        <f t="shared" si="138"/>
        <v>41.492516253075458</v>
      </c>
      <c r="F203" s="131">
        <f t="shared" si="138"/>
        <v>200.87464520228767</v>
      </c>
      <c r="G203" s="131">
        <f t="shared" si="138"/>
        <v>99.255161064311665</v>
      </c>
      <c r="H203" s="131">
        <f t="shared" si="138"/>
        <v>256.58946768122786</v>
      </c>
      <c r="I203" s="131">
        <f t="shared" si="138"/>
        <v>234.75343554983465</v>
      </c>
      <c r="J203" s="131">
        <f t="shared" si="138"/>
        <v>101.29791928046535</v>
      </c>
      <c r="K203" s="131">
        <f t="shared" si="138"/>
        <v>147.05104850667232</v>
      </c>
      <c r="L203" s="131">
        <f t="shared" si="138"/>
        <v>146.67974190604986</v>
      </c>
      <c r="M203" s="131">
        <f t="shared" si="138"/>
        <v>101.97351604125591</v>
      </c>
      <c r="O203" s="130" t="s">
        <v>30</v>
      </c>
      <c r="P203" s="131">
        <f>SUM(P170:P184)</f>
        <v>4</v>
      </c>
      <c r="Q203" s="131">
        <f t="shared" ref="Q203:AA203" si="139">SUM(Q170:Q184)</f>
        <v>39</v>
      </c>
      <c r="R203" s="131">
        <f t="shared" si="139"/>
        <v>176</v>
      </c>
      <c r="S203" s="131">
        <f t="shared" si="139"/>
        <v>57</v>
      </c>
      <c r="T203" s="131">
        <f t="shared" si="139"/>
        <v>206</v>
      </c>
      <c r="U203" s="131">
        <f t="shared" si="139"/>
        <v>71</v>
      </c>
      <c r="V203" s="131">
        <f t="shared" si="139"/>
        <v>249</v>
      </c>
      <c r="W203" s="131">
        <f t="shared" si="139"/>
        <v>243</v>
      </c>
      <c r="X203" s="131">
        <f t="shared" si="139"/>
        <v>92</v>
      </c>
      <c r="Y203" s="131">
        <f t="shared" si="139"/>
        <v>162</v>
      </c>
      <c r="Z203" s="131">
        <f t="shared" si="139"/>
        <v>143</v>
      </c>
      <c r="AA203" s="131">
        <f t="shared" si="139"/>
        <v>91</v>
      </c>
      <c r="AC203" s="130" t="s">
        <v>30</v>
      </c>
      <c r="AD203" s="131">
        <f>SUM(AD170:AD184)</f>
        <v>13.6</v>
      </c>
      <c r="AE203" s="131">
        <f t="shared" ref="AE203:AO203" si="140">SUM(AE170:AE184)</f>
        <v>49.4</v>
      </c>
      <c r="AF203" s="131">
        <f t="shared" si="140"/>
        <v>150.50000000000003</v>
      </c>
      <c r="AG203" s="131">
        <f t="shared" si="140"/>
        <v>9.8000000000000007</v>
      </c>
      <c r="AH203" s="131">
        <f t="shared" si="140"/>
        <v>190.4</v>
      </c>
      <c r="AI203" s="131">
        <f t="shared" si="140"/>
        <v>157.30000000000001</v>
      </c>
      <c r="AJ203" s="131">
        <f t="shared" si="140"/>
        <v>272.09999999999997</v>
      </c>
      <c r="AK203" s="131">
        <f t="shared" si="140"/>
        <v>217.89999999999998</v>
      </c>
      <c r="AL203" s="131">
        <f t="shared" si="140"/>
        <v>120.39999999999999</v>
      </c>
      <c r="AM203" s="131">
        <f t="shared" si="140"/>
        <v>116.7</v>
      </c>
      <c r="AN203" s="131">
        <f t="shared" si="140"/>
        <v>154.19999999999999</v>
      </c>
      <c r="AO203" s="131">
        <f t="shared" si="140"/>
        <v>124.4</v>
      </c>
      <c r="AQ203" s="130" t="s">
        <v>30</v>
      </c>
      <c r="AR203" s="131">
        <f>SUM(AR170:AR184)</f>
        <v>10.491469127654739</v>
      </c>
      <c r="AS203" s="131">
        <f t="shared" ref="AS203:BC203" si="141">SUM(AS170:AS184)</f>
        <v>46.032424888292631</v>
      </c>
      <c r="AT203" s="131">
        <f t="shared" si="141"/>
        <v>158.75703512966712</v>
      </c>
      <c r="AU203" s="131">
        <f t="shared" si="141"/>
        <v>25.083610122364192</v>
      </c>
      <c r="AV203" s="131">
        <f t="shared" si="141"/>
        <v>195.45136266756103</v>
      </c>
      <c r="AW203" s="131">
        <f t="shared" si="141"/>
        <v>129.35560267881291</v>
      </c>
      <c r="AX203" s="131">
        <f t="shared" si="141"/>
        <v>264.6200975884193</v>
      </c>
      <c r="AY203" s="131">
        <f t="shared" si="141"/>
        <v>226.02751300998605</v>
      </c>
      <c r="AZ203" s="131">
        <f t="shared" si="141"/>
        <v>111.20392950264525</v>
      </c>
      <c r="BA203" s="131">
        <f t="shared" si="141"/>
        <v>131.36838005387921</v>
      </c>
      <c r="BB203" s="131">
        <f t="shared" si="141"/>
        <v>150.57338064893051</v>
      </c>
      <c r="BC203" s="131">
        <f t="shared" si="141"/>
        <v>113.58490300663209</v>
      </c>
      <c r="BE203" s="130" t="s">
        <v>30</v>
      </c>
      <c r="BF203" s="131">
        <f>SUM(BF170:BF184)</f>
        <v>10.065319629662929</v>
      </c>
      <c r="BG203" s="131">
        <f t="shared" ref="BG203:BQ203" si="142">SUM(BG170:BG184)</f>
        <v>45.579677019402375</v>
      </c>
      <c r="BH203" s="131">
        <f t="shared" si="142"/>
        <v>159.86713807742689</v>
      </c>
      <c r="BI203" s="131">
        <f t="shared" si="142"/>
        <v>27.138388911943068</v>
      </c>
      <c r="BJ203" s="131">
        <f t="shared" si="142"/>
        <v>196.13048447089645</v>
      </c>
      <c r="BK203" s="131">
        <f t="shared" si="142"/>
        <v>125.58632345363196</v>
      </c>
      <c r="BL203" s="131">
        <f t="shared" si="142"/>
        <v>263.61447491809571</v>
      </c>
      <c r="BM203" s="131">
        <f t="shared" si="142"/>
        <v>227.12020257817312</v>
      </c>
      <c r="BN203" s="131">
        <f t="shared" si="142"/>
        <v>109.96346535885992</v>
      </c>
      <c r="BO203" s="131">
        <f t="shared" si="142"/>
        <v>133.33221690224076</v>
      </c>
      <c r="BP203" s="131">
        <f t="shared" si="142"/>
        <v>150.08580602089486</v>
      </c>
      <c r="BQ203" s="131">
        <f t="shared" si="142"/>
        <v>112.13088581231148</v>
      </c>
    </row>
    <row r="204" spans="1:82">
      <c r="A204" s="140" t="s">
        <v>31</v>
      </c>
      <c r="B204" s="141">
        <f>SUM(B185:B200)</f>
        <v>156.98948397503787</v>
      </c>
      <c r="C204" s="141">
        <f t="shared" ref="C204:M204" si="143">SUM(C185:C200)</f>
        <v>142.0788392289769</v>
      </c>
      <c r="D204" s="141">
        <f t="shared" si="143"/>
        <v>178.92853209065871</v>
      </c>
      <c r="E204" s="141">
        <f t="shared" si="143"/>
        <v>99.287403255503222</v>
      </c>
      <c r="F204" s="141">
        <f t="shared" si="143"/>
        <v>150.63314486826454</v>
      </c>
      <c r="G204" s="141">
        <f t="shared" si="143"/>
        <v>71.618177374415438</v>
      </c>
      <c r="H204" s="141">
        <f t="shared" si="143"/>
        <v>53.258693562315678</v>
      </c>
      <c r="I204" s="141">
        <f t="shared" si="143"/>
        <v>241.70299969041758</v>
      </c>
      <c r="J204" s="141">
        <f t="shared" si="143"/>
        <v>60.796500089615954</v>
      </c>
      <c r="K204" s="141">
        <f t="shared" si="143"/>
        <v>36.622322519674775</v>
      </c>
      <c r="L204" s="141">
        <f t="shared" si="143"/>
        <v>79.406693497140424</v>
      </c>
      <c r="M204" s="141">
        <f t="shared" si="143"/>
        <v>47.287709579130883</v>
      </c>
      <c r="O204" s="140" t="s">
        <v>31</v>
      </c>
      <c r="P204" s="141">
        <f>SUM(P185:P200)</f>
        <v>170</v>
      </c>
      <c r="Q204" s="141">
        <f t="shared" ref="Q204:AA204" si="144">SUM(Q185:Q200)</f>
        <v>207</v>
      </c>
      <c r="R204" s="141">
        <f t="shared" si="144"/>
        <v>158</v>
      </c>
      <c r="S204" s="141">
        <f t="shared" si="144"/>
        <v>103</v>
      </c>
      <c r="T204" s="141">
        <f t="shared" si="144"/>
        <v>114</v>
      </c>
      <c r="U204" s="141">
        <f t="shared" si="144"/>
        <v>66</v>
      </c>
      <c r="V204" s="141">
        <f t="shared" si="144"/>
        <v>55</v>
      </c>
      <c r="W204" s="141">
        <f t="shared" si="144"/>
        <v>203</v>
      </c>
      <c r="X204" s="141">
        <f t="shared" si="144"/>
        <v>72</v>
      </c>
      <c r="Y204" s="141">
        <f t="shared" si="144"/>
        <v>29</v>
      </c>
      <c r="Z204" s="141">
        <f t="shared" si="144"/>
        <v>73</v>
      </c>
      <c r="AA204" s="141">
        <f t="shared" si="144"/>
        <v>35</v>
      </c>
      <c r="AC204" s="140" t="s">
        <v>31</v>
      </c>
      <c r="AD204" s="141">
        <f>SUM(AD185:AD200)</f>
        <v>130.6</v>
      </c>
      <c r="AE204" s="141">
        <f t="shared" ref="AE204:AO204" si="145">SUM(AE185:AE200)</f>
        <v>9.6999999999999993</v>
      </c>
      <c r="AF204" s="141">
        <f t="shared" si="145"/>
        <v>221.70000000000002</v>
      </c>
      <c r="AG204" s="141">
        <f t="shared" si="145"/>
        <v>91.699999999999989</v>
      </c>
      <c r="AH204" s="141">
        <f t="shared" si="145"/>
        <v>225.6</v>
      </c>
      <c r="AI204" s="141">
        <f t="shared" si="145"/>
        <v>83.1</v>
      </c>
      <c r="AJ204" s="141">
        <f t="shared" si="145"/>
        <v>49.699999999999996</v>
      </c>
      <c r="AK204" s="141">
        <f t="shared" si="145"/>
        <v>321</v>
      </c>
      <c r="AL204" s="141">
        <f t="shared" si="145"/>
        <v>38.200000000000003</v>
      </c>
      <c r="AM204" s="141">
        <f t="shared" si="145"/>
        <v>52.2</v>
      </c>
      <c r="AN204" s="141">
        <f t="shared" si="145"/>
        <v>92.999999999999986</v>
      </c>
      <c r="AO204" s="141">
        <f t="shared" si="145"/>
        <v>72.399999999999991</v>
      </c>
      <c r="AQ204" s="140" t="s">
        <v>31</v>
      </c>
      <c r="AR204" s="141">
        <f>SUM(AR185:AR200)</f>
        <v>143.35792878858368</v>
      </c>
      <c r="AS204" s="141">
        <f t="shared" ref="AS204:BC204" si="146">SUM(AS185:AS200)</f>
        <v>73.586785532679144</v>
      </c>
      <c r="AT204" s="141">
        <f t="shared" si="146"/>
        <v>201.0736024407924</v>
      </c>
      <c r="AU204" s="141">
        <f t="shared" si="146"/>
        <v>95.358999880989728</v>
      </c>
      <c r="AV204" s="141">
        <f t="shared" si="146"/>
        <v>189.46332860898636</v>
      </c>
      <c r="AW204" s="141">
        <f t="shared" si="146"/>
        <v>77.562929383635009</v>
      </c>
      <c r="AX204" s="141">
        <f t="shared" si="146"/>
        <v>51.416168085773947</v>
      </c>
      <c r="AY204" s="141">
        <f t="shared" si="146"/>
        <v>282.79097469408953</v>
      </c>
      <c r="AZ204" s="141">
        <f t="shared" si="146"/>
        <v>49.144619113048932</v>
      </c>
      <c r="BA204" s="141">
        <f t="shared" si="146"/>
        <v>44.687717058498947</v>
      </c>
      <c r="BB204" s="141">
        <f t="shared" si="146"/>
        <v>86.523894015947363</v>
      </c>
      <c r="BC204" s="141">
        <f t="shared" si="146"/>
        <v>60.28968180982158</v>
      </c>
      <c r="BE204" s="140" t="s">
        <v>31</v>
      </c>
      <c r="BF204" s="141">
        <f>SUM(BF185:BF200)</f>
        <v>145.06491828824787</v>
      </c>
      <c r="BG204" s="141">
        <f t="shared" ref="BG204:BQ204" si="147">SUM(BG185:BG200)</f>
        <v>82.163592424544106</v>
      </c>
      <c r="BH204" s="141">
        <f t="shared" si="147"/>
        <v>198.30052174383957</v>
      </c>
      <c r="BI204" s="141">
        <f t="shared" si="147"/>
        <v>95.850927853918563</v>
      </c>
      <c r="BJ204" s="141">
        <f t="shared" si="147"/>
        <v>184.60088151407894</v>
      </c>
      <c r="BK204" s="141">
        <f t="shared" si="147"/>
        <v>76.818507406901986</v>
      </c>
      <c r="BL204" s="141">
        <f t="shared" si="147"/>
        <v>51.64689536511225</v>
      </c>
      <c r="BM204" s="141">
        <f t="shared" si="147"/>
        <v>277.64579933189538</v>
      </c>
      <c r="BN204" s="141">
        <f t="shared" si="147"/>
        <v>50.603707104571839</v>
      </c>
      <c r="BO204" s="141">
        <f t="shared" si="147"/>
        <v>43.677741043282218</v>
      </c>
      <c r="BP204" s="141">
        <f t="shared" si="147"/>
        <v>85.632654066694869</v>
      </c>
      <c r="BQ204" s="141">
        <f t="shared" si="147"/>
        <v>58.661530819773922</v>
      </c>
    </row>
    <row r="205" spans="1:82" ht="15.75" thickBot="1">
      <c r="A205" s="133" t="s">
        <v>32</v>
      </c>
      <c r="B205" s="134">
        <f>COUNTIF(B172:B202,"&gt;0")</f>
        <v>14</v>
      </c>
      <c r="C205" s="134">
        <f t="shared" ref="C205:M205" si="148">COUNTIF(C172:C202,"&gt;0")</f>
        <v>10</v>
      </c>
      <c r="D205" s="134">
        <f t="shared" si="148"/>
        <v>19</v>
      </c>
      <c r="E205" s="134">
        <f t="shared" si="148"/>
        <v>16</v>
      </c>
      <c r="F205" s="134">
        <f t="shared" si="148"/>
        <v>23</v>
      </c>
      <c r="G205" s="134">
        <f t="shared" si="148"/>
        <v>17</v>
      </c>
      <c r="H205" s="134">
        <f t="shared" si="148"/>
        <v>15</v>
      </c>
      <c r="I205" s="134">
        <f t="shared" si="148"/>
        <v>21</v>
      </c>
      <c r="J205" s="134">
        <f t="shared" si="148"/>
        <v>17</v>
      </c>
      <c r="K205" s="134">
        <f t="shared" si="148"/>
        <v>18</v>
      </c>
      <c r="L205" s="134">
        <f t="shared" si="148"/>
        <v>19</v>
      </c>
      <c r="M205" s="134">
        <f t="shared" si="148"/>
        <v>18</v>
      </c>
      <c r="O205" s="133" t="s">
        <v>32</v>
      </c>
      <c r="P205" s="134">
        <f>COUNTIF(P170:P200,"&gt;0")</f>
        <v>11</v>
      </c>
      <c r="Q205" s="134">
        <f t="shared" ref="Q205:AA205" si="149">COUNTIF(Q170:Q200,"&gt;0")</f>
        <v>8</v>
      </c>
      <c r="R205" s="134">
        <f t="shared" si="149"/>
        <v>12</v>
      </c>
      <c r="S205" s="134">
        <f t="shared" si="149"/>
        <v>8</v>
      </c>
      <c r="T205" s="134">
        <f t="shared" si="149"/>
        <v>14</v>
      </c>
      <c r="U205" s="134">
        <f t="shared" si="149"/>
        <v>10</v>
      </c>
      <c r="V205" s="134">
        <f t="shared" si="149"/>
        <v>9</v>
      </c>
      <c r="W205" s="134">
        <f t="shared" si="149"/>
        <v>15</v>
      </c>
      <c r="X205" s="134">
        <f t="shared" si="149"/>
        <v>9</v>
      </c>
      <c r="Y205" s="134">
        <f t="shared" si="149"/>
        <v>11</v>
      </c>
      <c r="Z205" s="134">
        <f t="shared" si="149"/>
        <v>11</v>
      </c>
      <c r="AA205" s="134">
        <f t="shared" si="149"/>
        <v>7</v>
      </c>
      <c r="AC205" s="133" t="s">
        <v>32</v>
      </c>
      <c r="AD205" s="134">
        <f>COUNTIF(AD170:AD200,"&gt;0")</f>
        <v>13</v>
      </c>
      <c r="AE205" s="134">
        <f t="shared" ref="AE205:AO205" si="150">COUNTIF(AE170:AE200,"&gt;0")</f>
        <v>7</v>
      </c>
      <c r="AF205" s="134">
        <f t="shared" si="150"/>
        <v>19</v>
      </c>
      <c r="AG205" s="134">
        <f t="shared" si="150"/>
        <v>14</v>
      </c>
      <c r="AH205" s="134">
        <f t="shared" si="150"/>
        <v>23</v>
      </c>
      <c r="AI205" s="134">
        <f t="shared" si="150"/>
        <v>17</v>
      </c>
      <c r="AJ205" s="134">
        <f t="shared" si="150"/>
        <v>14</v>
      </c>
      <c r="AK205" s="134">
        <f t="shared" si="150"/>
        <v>20</v>
      </c>
      <c r="AL205" s="134">
        <f t="shared" si="150"/>
        <v>17</v>
      </c>
      <c r="AM205" s="134">
        <f t="shared" si="150"/>
        <v>19</v>
      </c>
      <c r="AN205" s="134">
        <f t="shared" si="150"/>
        <v>21</v>
      </c>
      <c r="AO205" s="134">
        <f t="shared" si="150"/>
        <v>15</v>
      </c>
      <c r="AQ205" s="133" t="s">
        <v>32</v>
      </c>
      <c r="AR205" s="134">
        <f>COUNTIF(AR170:AR200,"&gt;0")</f>
        <v>14</v>
      </c>
      <c r="AS205" s="134">
        <f t="shared" ref="AS205:BC205" si="151">COUNTIF(AS170:AS200,"&gt;0")</f>
        <v>11</v>
      </c>
      <c r="AT205" s="134">
        <f t="shared" si="151"/>
        <v>19</v>
      </c>
      <c r="AU205" s="134">
        <f t="shared" si="151"/>
        <v>14</v>
      </c>
      <c r="AV205" s="134">
        <f t="shared" si="151"/>
        <v>24</v>
      </c>
      <c r="AW205" s="134">
        <f t="shared" si="151"/>
        <v>18</v>
      </c>
      <c r="AX205" s="134">
        <f t="shared" si="151"/>
        <v>14</v>
      </c>
      <c r="AY205" s="134">
        <f t="shared" si="151"/>
        <v>20</v>
      </c>
      <c r="AZ205" s="134">
        <f t="shared" si="151"/>
        <v>18</v>
      </c>
      <c r="BA205" s="134">
        <f t="shared" si="151"/>
        <v>19</v>
      </c>
      <c r="BB205" s="134">
        <f t="shared" si="151"/>
        <v>21</v>
      </c>
      <c r="BC205" s="134">
        <f t="shared" si="151"/>
        <v>17</v>
      </c>
      <c r="BE205" s="133" t="s">
        <v>32</v>
      </c>
      <c r="BF205" s="134">
        <f>COUNTIF(BF170:BF200,"&gt;0")</f>
        <v>14</v>
      </c>
      <c r="BG205" s="134">
        <f t="shared" ref="BG205:BQ205" si="152">COUNTIF(BG170:BG200,"&gt;0")</f>
        <v>11</v>
      </c>
      <c r="BH205" s="134">
        <f t="shared" si="152"/>
        <v>19</v>
      </c>
      <c r="BI205" s="134">
        <f t="shared" si="152"/>
        <v>14</v>
      </c>
      <c r="BJ205" s="134">
        <f t="shared" si="152"/>
        <v>24</v>
      </c>
      <c r="BK205" s="134">
        <f t="shared" si="152"/>
        <v>18</v>
      </c>
      <c r="BL205" s="134">
        <f t="shared" si="152"/>
        <v>14</v>
      </c>
      <c r="BM205" s="134">
        <f t="shared" si="152"/>
        <v>20</v>
      </c>
      <c r="BN205" s="134">
        <f t="shared" si="152"/>
        <v>18</v>
      </c>
      <c r="BO205" s="134">
        <f t="shared" si="152"/>
        <v>19</v>
      </c>
      <c r="BP205" s="134">
        <f t="shared" si="152"/>
        <v>21</v>
      </c>
      <c r="BQ205" s="134">
        <f t="shared" si="152"/>
        <v>17</v>
      </c>
    </row>
    <row r="206" spans="1:82" ht="15.75" thickBot="1"/>
    <row r="207" spans="1:82" s="142" customFormat="1">
      <c r="A207" s="147" t="s">
        <v>37</v>
      </c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9"/>
      <c r="N207" s="129"/>
      <c r="O207" s="147" t="s">
        <v>37</v>
      </c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  <c r="AA207" s="149"/>
      <c r="AB207" s="129"/>
      <c r="AC207" s="147" t="s">
        <v>37</v>
      </c>
      <c r="AD207" s="148"/>
      <c r="AE207" s="148"/>
      <c r="AF207" s="148"/>
      <c r="AG207" s="148"/>
      <c r="AH207" s="148"/>
      <c r="AI207" s="148"/>
      <c r="AJ207" s="148"/>
      <c r="AK207" s="148"/>
      <c r="AL207" s="148"/>
      <c r="AM207" s="148"/>
      <c r="AN207" s="148"/>
      <c r="AO207" s="149"/>
      <c r="AP207" s="129"/>
      <c r="AQ207" s="147" t="s">
        <v>37</v>
      </c>
      <c r="AR207" s="148"/>
      <c r="AS207" s="148"/>
      <c r="AT207" s="148"/>
      <c r="AU207" s="148"/>
      <c r="AV207" s="148"/>
      <c r="AW207" s="148"/>
      <c r="AX207" s="148"/>
      <c r="AY207" s="148"/>
      <c r="AZ207" s="148"/>
      <c r="BA207" s="148"/>
      <c r="BB207" s="148"/>
      <c r="BC207" s="149"/>
      <c r="BD207" s="129"/>
      <c r="BE207" s="147" t="s">
        <v>33</v>
      </c>
      <c r="BF207" s="148"/>
      <c r="BG207" s="148"/>
      <c r="BH207" s="148"/>
      <c r="BI207" s="148"/>
      <c r="BJ207" s="148"/>
      <c r="BK207" s="148"/>
      <c r="BL207" s="148"/>
      <c r="BM207" s="148"/>
      <c r="BN207" s="148"/>
      <c r="BO207" s="148"/>
      <c r="BP207" s="148"/>
      <c r="BQ207" s="14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</row>
    <row r="208" spans="1:82">
      <c r="A208" s="144"/>
      <c r="B208" s="145" t="s">
        <v>15</v>
      </c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6"/>
      <c r="O208" s="144"/>
      <c r="P208" s="145" t="s">
        <v>15</v>
      </c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  <c r="AA208" s="146"/>
      <c r="AC208" s="144"/>
      <c r="AD208" s="145" t="s">
        <v>15</v>
      </c>
      <c r="AE208" s="145"/>
      <c r="AF208" s="145"/>
      <c r="AG208" s="145"/>
      <c r="AH208" s="145"/>
      <c r="AI208" s="145"/>
      <c r="AJ208" s="145"/>
      <c r="AK208" s="145"/>
      <c r="AL208" s="145"/>
      <c r="AM208" s="145"/>
      <c r="AN208" s="145"/>
      <c r="AO208" s="146"/>
      <c r="AQ208" s="144"/>
      <c r="AR208" s="145" t="s">
        <v>15</v>
      </c>
      <c r="AS208" s="145"/>
      <c r="AT208" s="145"/>
      <c r="AU208" s="145"/>
      <c r="AV208" s="145"/>
      <c r="AW208" s="145"/>
      <c r="AX208" s="145"/>
      <c r="AY208" s="145"/>
      <c r="AZ208" s="145"/>
      <c r="BA208" s="145"/>
      <c r="BB208" s="145"/>
      <c r="BC208" s="146"/>
      <c r="BE208" s="144"/>
      <c r="BF208" s="145" t="s">
        <v>15</v>
      </c>
      <c r="BG208" s="145"/>
      <c r="BH208" s="145"/>
      <c r="BI208" s="145"/>
      <c r="BJ208" s="145"/>
      <c r="BK208" s="145"/>
      <c r="BL208" s="145"/>
      <c r="BM208" s="145"/>
      <c r="BN208" s="145"/>
      <c r="BO208" s="145"/>
      <c r="BP208" s="145"/>
      <c r="BQ208" s="146"/>
    </row>
    <row r="209" spans="1:69">
      <c r="A209" s="144"/>
      <c r="B209" s="131" t="s">
        <v>16</v>
      </c>
      <c r="C209" s="131" t="s">
        <v>17</v>
      </c>
      <c r="D209" s="131" t="s">
        <v>18</v>
      </c>
      <c r="E209" s="131" t="s">
        <v>19</v>
      </c>
      <c r="F209" s="131" t="s">
        <v>20</v>
      </c>
      <c r="G209" s="131" t="s">
        <v>21</v>
      </c>
      <c r="H209" s="131" t="s">
        <v>22</v>
      </c>
      <c r="I209" s="131" t="s">
        <v>23</v>
      </c>
      <c r="J209" s="131" t="s">
        <v>24</v>
      </c>
      <c r="K209" s="131" t="s">
        <v>25</v>
      </c>
      <c r="L209" s="131" t="s">
        <v>26</v>
      </c>
      <c r="M209" s="132" t="s">
        <v>27</v>
      </c>
      <c r="O209" s="144"/>
      <c r="P209" s="131" t="s">
        <v>16</v>
      </c>
      <c r="Q209" s="131" t="s">
        <v>17</v>
      </c>
      <c r="R209" s="131" t="s">
        <v>18</v>
      </c>
      <c r="S209" s="131" t="s">
        <v>19</v>
      </c>
      <c r="T209" s="131" t="s">
        <v>20</v>
      </c>
      <c r="U209" s="131" t="s">
        <v>21</v>
      </c>
      <c r="V209" s="131" t="s">
        <v>22</v>
      </c>
      <c r="W209" s="131" t="s">
        <v>23</v>
      </c>
      <c r="X209" s="131" t="s">
        <v>24</v>
      </c>
      <c r="Y209" s="131" t="s">
        <v>25</v>
      </c>
      <c r="Z209" s="131" t="s">
        <v>26</v>
      </c>
      <c r="AA209" s="132" t="s">
        <v>27</v>
      </c>
      <c r="AC209" s="144"/>
      <c r="AD209" s="131" t="s">
        <v>16</v>
      </c>
      <c r="AE209" s="131" t="s">
        <v>17</v>
      </c>
      <c r="AF209" s="131" t="s">
        <v>18</v>
      </c>
      <c r="AG209" s="131" t="s">
        <v>19</v>
      </c>
      <c r="AH209" s="131" t="s">
        <v>20</v>
      </c>
      <c r="AI209" s="131" t="s">
        <v>21</v>
      </c>
      <c r="AJ209" s="131" t="s">
        <v>22</v>
      </c>
      <c r="AK209" s="131" t="s">
        <v>23</v>
      </c>
      <c r="AL209" s="131" t="s">
        <v>24</v>
      </c>
      <c r="AM209" s="131" t="s">
        <v>25</v>
      </c>
      <c r="AN209" s="131" t="s">
        <v>26</v>
      </c>
      <c r="AO209" s="132" t="s">
        <v>27</v>
      </c>
      <c r="AQ209" s="144"/>
      <c r="AR209" s="131" t="s">
        <v>16</v>
      </c>
      <c r="AS209" s="131" t="s">
        <v>17</v>
      </c>
      <c r="AT209" s="131" t="s">
        <v>18</v>
      </c>
      <c r="AU209" s="131" t="s">
        <v>19</v>
      </c>
      <c r="AV209" s="131" t="s">
        <v>20</v>
      </c>
      <c r="AW209" s="131" t="s">
        <v>21</v>
      </c>
      <c r="AX209" s="131" t="s">
        <v>22</v>
      </c>
      <c r="AY209" s="131" t="s">
        <v>23</v>
      </c>
      <c r="AZ209" s="131" t="s">
        <v>24</v>
      </c>
      <c r="BA209" s="131" t="s">
        <v>25</v>
      </c>
      <c r="BB209" s="131" t="s">
        <v>26</v>
      </c>
      <c r="BC209" s="132" t="s">
        <v>27</v>
      </c>
      <c r="BE209" s="144"/>
      <c r="BF209" s="131" t="s">
        <v>16</v>
      </c>
      <c r="BG209" s="131" t="s">
        <v>17</v>
      </c>
      <c r="BH209" s="131" t="s">
        <v>18</v>
      </c>
      <c r="BI209" s="131" t="s">
        <v>19</v>
      </c>
      <c r="BJ209" s="131" t="s">
        <v>20</v>
      </c>
      <c r="BK209" s="131" t="s">
        <v>21</v>
      </c>
      <c r="BL209" s="131" t="s">
        <v>22</v>
      </c>
      <c r="BM209" s="131" t="s">
        <v>23</v>
      </c>
      <c r="BN209" s="131" t="s">
        <v>24</v>
      </c>
      <c r="BO209" s="131" t="s">
        <v>25</v>
      </c>
      <c r="BP209" s="131" t="s">
        <v>26</v>
      </c>
      <c r="BQ209" s="132" t="s">
        <v>27</v>
      </c>
    </row>
    <row r="210" spans="1:69">
      <c r="A210" s="130">
        <v>1</v>
      </c>
      <c r="B210" s="131">
        <f>IF('Data 2'!B210&lt;0.1,0,'Data 2'!B210)</f>
        <v>17.413064376843238</v>
      </c>
      <c r="C210" s="131">
        <f>IF('Data 2'!C210&lt;0.1,0,'Data 2'!C210)</f>
        <v>0</v>
      </c>
      <c r="D210" s="131">
        <f>IF('Data 2'!D210&lt;0.1,0,'Data 2'!D210)</f>
        <v>0</v>
      </c>
      <c r="E210" s="131">
        <f>IF('Data 2'!E210&lt;0.1,0,'Data 2'!E210)</f>
        <v>0</v>
      </c>
      <c r="F210" s="131">
        <f>IF('Data 2'!F210&lt;0.1,0,'Data 2'!F210)</f>
        <v>35.363322633731443</v>
      </c>
      <c r="G210" s="131">
        <f>IF('Data 2'!G210&lt;0.1,0,'Data 2'!G210)</f>
        <v>0</v>
      </c>
      <c r="H210" s="131" t="str">
        <f>IF('Data 2'!H210&lt;0.1,0,'Data 2'!H210)</f>
        <v>-</v>
      </c>
      <c r="I210" s="131">
        <f>IF('Data 2'!I210&lt;0.1,0,'Data 2'!I210)</f>
        <v>1.7741612761311976</v>
      </c>
      <c r="J210" s="131">
        <f>IF('Data 2'!J210&lt;0.1,0,'Data 2'!J210)</f>
        <v>20.534274029296267</v>
      </c>
      <c r="K210" s="131">
        <f>IF('Data 2'!K210&lt;0.1,0,'Data 2'!K210)</f>
        <v>54.847548596288277</v>
      </c>
      <c r="L210" s="131">
        <f>IF('Data 2'!L210&lt;0.1,0,'Data 2'!L210)</f>
        <v>8.4765483192934994</v>
      </c>
      <c r="M210" s="131">
        <f>IF('Data 2'!M210&lt;0.1,0,'Data 2'!M210)</f>
        <v>0</v>
      </c>
      <c r="O210" s="130">
        <v>1</v>
      </c>
      <c r="P210" s="131">
        <f>'Stasiun Pontianak Kota'!Q272</f>
        <v>0</v>
      </c>
      <c r="Q210" s="131">
        <f>'Stasiun Pontianak Kota'!R272</f>
        <v>0</v>
      </c>
      <c r="R210" s="131">
        <f>'Stasiun Pontianak Kota'!S272</f>
        <v>0</v>
      </c>
      <c r="S210" s="131">
        <f>'Stasiun Pontianak Kota'!T272</f>
        <v>0</v>
      </c>
      <c r="T210" s="131">
        <f>'Stasiun Pontianak Kota'!U272</f>
        <v>42</v>
      </c>
      <c r="U210" s="131">
        <f>'Stasiun Pontianak Kota'!V272</f>
        <v>0</v>
      </c>
      <c r="V210" s="131" t="str">
        <f>'Stasiun Pontianak Kota'!W272</f>
        <v>-</v>
      </c>
      <c r="W210" s="131">
        <f>'Stasiun Pontianak Kota'!X272</f>
        <v>0</v>
      </c>
      <c r="X210" s="131">
        <f>'Stasiun Pontianak Kota'!Y272</f>
        <v>0</v>
      </c>
      <c r="Y210" s="131">
        <f>'Stasiun Pontianak Kota'!Z272</f>
        <v>81</v>
      </c>
      <c r="Z210" s="131">
        <f>'Stasiun Pontianak Kota'!AA272</f>
        <v>0</v>
      </c>
      <c r="AA210" s="131">
        <f>'Stasiun Pontianak Kota'!AB272</f>
        <v>0</v>
      </c>
      <c r="AC210" s="130">
        <v>1</v>
      </c>
      <c r="AD210" s="131">
        <f>'Sta. Meteorologi pnk'!B233</f>
        <v>53</v>
      </c>
      <c r="AE210" s="131">
        <f>'Sta. Meteorologi pnk'!C233</f>
        <v>0</v>
      </c>
      <c r="AF210" s="131">
        <f>'Sta. Meteorologi pnk'!D233</f>
        <v>0</v>
      </c>
      <c r="AG210" s="131">
        <f>'Sta. Meteorologi pnk'!E233</f>
        <v>0</v>
      </c>
      <c r="AH210" s="131">
        <f>'Sta. Meteorologi pnk'!F233</f>
        <v>21.8</v>
      </c>
      <c r="AI210" s="131">
        <f>'Sta. Meteorologi pnk'!G233</f>
        <v>0</v>
      </c>
      <c r="AJ210" s="131">
        <f>'Sta. Meteorologi pnk'!H233</f>
        <v>6.7</v>
      </c>
      <c r="AK210" s="131">
        <f>'Sta. Meteorologi pnk'!I233</f>
        <v>5.4</v>
      </c>
      <c r="AL210" s="131">
        <f>'Sta. Meteorologi pnk'!J233</f>
        <v>62.5</v>
      </c>
      <c r="AM210" s="131">
        <f>'Sta. Meteorologi pnk'!K233</f>
        <v>1.4</v>
      </c>
      <c r="AN210" s="131">
        <f>'Sta. Meteorologi pnk'!L233</f>
        <v>25.8</v>
      </c>
      <c r="AO210" s="131">
        <f>'Sta. Meteorologi pnk'!M233</f>
        <v>0</v>
      </c>
      <c r="AQ210" s="130">
        <v>1</v>
      </c>
      <c r="AR210" s="131">
        <f>((P210/($AV$1^2))+(AD210/($AV$2^2)))/((1/($AV$1^2))+(1/($AV$2^2)))</f>
        <v>35.838319142260538</v>
      </c>
      <c r="AS210" s="131">
        <f t="shared" ref="AS210:BC233" si="153">((Q210/($AV$1^2))+(AE210/($AV$2^2)))/((1/($AV$1^2))+(1/($AV$2^2)))</f>
        <v>0</v>
      </c>
      <c r="AT210" s="131">
        <f t="shared" si="153"/>
        <v>0</v>
      </c>
      <c r="AU210" s="131">
        <f t="shared" si="153"/>
        <v>0</v>
      </c>
      <c r="AV210" s="131">
        <f t="shared" si="153"/>
        <v>28.340867043893144</v>
      </c>
      <c r="AW210" s="131">
        <f t="shared" si="153"/>
        <v>0</v>
      </c>
      <c r="AX210" s="131" t="e">
        <f t="shared" si="153"/>
        <v>#VALUE!</v>
      </c>
      <c r="AY210" s="131">
        <f t="shared" si="153"/>
        <v>3.651451384305791</v>
      </c>
      <c r="AZ210" s="131">
        <f t="shared" si="153"/>
        <v>42.262168799835543</v>
      </c>
      <c r="BA210" s="131">
        <f t="shared" si="153"/>
        <v>27.174901816529442</v>
      </c>
      <c r="BB210" s="131">
        <f t="shared" si="153"/>
        <v>17.445823280572114</v>
      </c>
      <c r="BC210" s="131">
        <f t="shared" si="153"/>
        <v>0</v>
      </c>
      <c r="BE210" s="130">
        <v>1</v>
      </c>
      <c r="BF210" s="131">
        <f>((B210/($BI$1^2))+(P210/($AV$1^2))+(AD210/($AV$2^2)))/((1/($BI$1^2))+(1/($AV$1^2))+(1/($AV$2^2)))</f>
        <v>33.531046348877489</v>
      </c>
      <c r="BG210" s="131">
        <f t="shared" ref="BG210:BQ233" si="154">((C210/($BI$1^2))+(Q210/($AV$1^2))+(AE210/($AV$2^2)))/((1/($BI$1^2))+(1/($AV$1^2))+(1/($AV$2^2)))</f>
        <v>0</v>
      </c>
      <c r="BH210" s="131">
        <f t="shared" si="154"/>
        <v>0</v>
      </c>
      <c r="BI210" s="131">
        <f t="shared" si="154"/>
        <v>0</v>
      </c>
      <c r="BJ210" s="131">
        <f t="shared" si="154"/>
        <v>29.220242712314619</v>
      </c>
      <c r="BK210" s="131">
        <f t="shared" si="154"/>
        <v>0</v>
      </c>
      <c r="BL210" s="131" t="e">
        <f t="shared" si="154"/>
        <v>#VALUE!</v>
      </c>
      <c r="BM210" s="131">
        <f t="shared" si="154"/>
        <v>3.4163707600743098</v>
      </c>
      <c r="BN210" s="131">
        <f t="shared" si="154"/>
        <v>39.541328241600816</v>
      </c>
      <c r="BO210" s="131">
        <f t="shared" si="154"/>
        <v>30.640164351497202</v>
      </c>
      <c r="BP210" s="131">
        <f t="shared" si="154"/>
        <v>16.322660298132813</v>
      </c>
      <c r="BQ210" s="131">
        <f t="shared" si="154"/>
        <v>0</v>
      </c>
    </row>
    <row r="211" spans="1:69">
      <c r="A211" s="130">
        <v>2</v>
      </c>
      <c r="B211" s="131">
        <f>IF('Data 2'!B211&lt;0.1,0,'Data 2'!B211)</f>
        <v>2.5626773988561742</v>
      </c>
      <c r="C211" s="131">
        <f>IF('Data 2'!C211&lt;0.1,0,'Data 2'!C211)</f>
        <v>0</v>
      </c>
      <c r="D211" s="131">
        <f>IF('Data 2'!D211&lt;0.1,0,'Data 2'!D211)</f>
        <v>6.5709676893748057</v>
      </c>
      <c r="E211" s="131">
        <f>IF('Data 2'!E211&lt;0.1,0,'Data 2'!E211)</f>
        <v>0</v>
      </c>
      <c r="F211" s="131">
        <f>IF('Data 2'!F211&lt;0.1,0,'Data 2'!F211)</f>
        <v>15.803177292946408</v>
      </c>
      <c r="G211" s="131">
        <f>IF('Data 2'!G211&lt;0.1,0,'Data 2'!G211)</f>
        <v>12.597451648118879</v>
      </c>
      <c r="H211" s="131" t="str">
        <f>IF('Data 2'!H211&lt;0.1,0,'Data 2'!H211)</f>
        <v>-</v>
      </c>
      <c r="I211" s="131">
        <f>IF('Data 2'!I211&lt;0.1,0,'Data 2'!I211)</f>
        <v>0.32854838446874024</v>
      </c>
      <c r="J211" s="131">
        <f>IF('Data 2'!J211&lt;0.1,0,'Data 2'!J211)</f>
        <v>21.716435566128428</v>
      </c>
      <c r="K211" s="131">
        <f>IF('Data 2'!K211&lt;0.1,0,'Data 2'!K211)</f>
        <v>0</v>
      </c>
      <c r="L211" s="131">
        <f>IF('Data 2'!L211&lt;0.1,0,'Data 2'!L211)</f>
        <v>1.7741612761311976</v>
      </c>
      <c r="M211" s="131">
        <f>IF('Data 2'!M211&lt;0.1,0,'Data 2'!M211)</f>
        <v>15.934596646733903</v>
      </c>
      <c r="O211" s="130">
        <v>2</v>
      </c>
      <c r="P211" s="131">
        <f>'Stasiun Pontianak Kota'!Q273</f>
        <v>0</v>
      </c>
      <c r="Q211" s="131">
        <f>'Stasiun Pontianak Kota'!R273</f>
        <v>0</v>
      </c>
      <c r="R211" s="131">
        <f>'Stasiun Pontianak Kota'!S273</f>
        <v>0</v>
      </c>
      <c r="S211" s="131">
        <f>'Stasiun Pontianak Kota'!T273</f>
        <v>0</v>
      </c>
      <c r="T211" s="131">
        <f>'Stasiun Pontianak Kota'!U273</f>
        <v>0</v>
      </c>
      <c r="U211" s="131">
        <f>'Stasiun Pontianak Kota'!V273</f>
        <v>17</v>
      </c>
      <c r="V211" s="131" t="str">
        <f>'Stasiun Pontianak Kota'!W273</f>
        <v>-</v>
      </c>
      <c r="W211" s="131">
        <f>'Stasiun Pontianak Kota'!X273</f>
        <v>0</v>
      </c>
      <c r="X211" s="131">
        <f>'Stasiun Pontianak Kota'!Y273</f>
        <v>32</v>
      </c>
      <c r="Y211" s="131">
        <f>'Stasiun Pontianak Kota'!Z273</f>
        <v>0</v>
      </c>
      <c r="Z211" s="131">
        <f>'Stasiun Pontianak Kota'!AA273</f>
        <v>0</v>
      </c>
      <c r="AA211" s="131">
        <f>'Stasiun Pontianak Kota'!AB273</f>
        <v>0</v>
      </c>
      <c r="AC211" s="130">
        <v>2</v>
      </c>
      <c r="AD211" s="131">
        <f>'Sta. Meteorologi pnk'!B234</f>
        <v>7.8</v>
      </c>
      <c r="AE211" s="131">
        <f>'Sta. Meteorologi pnk'!C234</f>
        <v>0</v>
      </c>
      <c r="AF211" s="131">
        <f>'Sta. Meteorologi pnk'!D234</f>
        <v>20</v>
      </c>
      <c r="AG211" s="131">
        <f>'Sta. Meteorologi pnk'!E234</f>
        <v>0</v>
      </c>
      <c r="AH211" s="131">
        <f>'Sta. Meteorologi pnk'!F234</f>
        <v>48.1</v>
      </c>
      <c r="AI211" s="131">
        <f>'Sta. Meteorologi pnk'!G234</f>
        <v>3.6</v>
      </c>
      <c r="AJ211" s="131">
        <f>'Sta. Meteorologi pnk'!H234</f>
        <v>0</v>
      </c>
      <c r="AK211" s="131">
        <f>'Sta. Meteorologi pnk'!I234</f>
        <v>1</v>
      </c>
      <c r="AL211" s="131">
        <f>'Sta. Meteorologi pnk'!J234</f>
        <v>0.7</v>
      </c>
      <c r="AM211" s="131">
        <f>'Sta. Meteorologi pnk'!K234</f>
        <v>0.2</v>
      </c>
      <c r="AN211" s="131">
        <f>'Sta. Meteorologi pnk'!L234</f>
        <v>5.4</v>
      </c>
      <c r="AO211" s="131">
        <f>'Sta. Meteorologi pnk'!M234</f>
        <v>48.5</v>
      </c>
      <c r="AQ211" s="130">
        <v>2</v>
      </c>
      <c r="AR211" s="131">
        <f t="shared" ref="AR211:AT240" si="155">((P211/($AV$1^2))+(AD211/($AV$2^2)))/((1/($AV$1^2))+(1/($AV$2^2)))</f>
        <v>5.2743186662194752</v>
      </c>
      <c r="AS211" s="131">
        <f t="shared" si="153"/>
        <v>0</v>
      </c>
      <c r="AT211" s="131">
        <f t="shared" si="153"/>
        <v>13.523894015947375</v>
      </c>
      <c r="AU211" s="131">
        <f t="shared" si="153"/>
        <v>0</v>
      </c>
      <c r="AV211" s="131">
        <f t="shared" si="153"/>
        <v>32.524965108353435</v>
      </c>
      <c r="AW211" s="131">
        <f t="shared" si="153"/>
        <v>7.9389910093152585</v>
      </c>
      <c r="AX211" s="131" t="e">
        <f t="shared" si="153"/>
        <v>#VALUE!</v>
      </c>
      <c r="AY211" s="131">
        <f t="shared" si="153"/>
        <v>0.67619470079736876</v>
      </c>
      <c r="AZ211" s="131">
        <f t="shared" si="153"/>
        <v>10.835105865042356</v>
      </c>
      <c r="BA211" s="131">
        <f t="shared" si="153"/>
        <v>0.13523894015947374</v>
      </c>
      <c r="BB211" s="131">
        <f t="shared" si="153"/>
        <v>3.651451384305791</v>
      </c>
      <c r="BC211" s="131">
        <f t="shared" si="153"/>
        <v>32.795442988672384</v>
      </c>
      <c r="BE211" s="130">
        <v>2</v>
      </c>
      <c r="BF211" s="131">
        <f t="shared" ref="BF211:BH240" si="156">((B211/($BI$1^2))+(P211/($AV$1^2))+(AD211/($AV$2^2)))/((1/($BI$1^2))+(1/($AV$1^2))+(1/($AV$2^2)))</f>
        <v>4.9347577645517813</v>
      </c>
      <c r="BG211" s="131">
        <f t="shared" si="154"/>
        <v>0</v>
      </c>
      <c r="BH211" s="131">
        <f t="shared" si="154"/>
        <v>12.653225037312261</v>
      </c>
      <c r="BI211" s="131">
        <f t="shared" si="154"/>
        <v>0</v>
      </c>
      <c r="BJ211" s="131">
        <f t="shared" si="154"/>
        <v>30.431006214735984</v>
      </c>
      <c r="BK211" s="131">
        <f t="shared" si="154"/>
        <v>8.5223392250007848</v>
      </c>
      <c r="BL211" s="131" t="e">
        <f t="shared" si="154"/>
        <v>#VALUE!</v>
      </c>
      <c r="BM211" s="131">
        <f t="shared" si="154"/>
        <v>0.63266125186561295</v>
      </c>
      <c r="BN211" s="131">
        <f t="shared" si="154"/>
        <v>12.197702816606313</v>
      </c>
      <c r="BO211" s="131">
        <f t="shared" si="154"/>
        <v>0.11830386212616625</v>
      </c>
      <c r="BP211" s="131">
        <f t="shared" si="154"/>
        <v>3.4163707600743098</v>
      </c>
      <c r="BQ211" s="131">
        <f t="shared" si="154"/>
        <v>30.684070715482232</v>
      </c>
    </row>
    <row r="212" spans="1:69">
      <c r="A212" s="130">
        <v>3</v>
      </c>
      <c r="B212" s="131">
        <f>IF('Data 2'!B212&lt;0.1,0,'Data 2'!B212)</f>
        <v>12.747677317387122</v>
      </c>
      <c r="C212" s="131">
        <f>IF('Data 2'!C212&lt;0.1,0,'Data 2'!C212)</f>
        <v>4.1397096443061274</v>
      </c>
      <c r="D212" s="131">
        <f>IF('Data 2'!D212&lt;0.1,0,'Data 2'!D212)</f>
        <v>0</v>
      </c>
      <c r="E212" s="131">
        <f>IF('Data 2'!E212&lt;0.1,0,'Data 2'!E212)</f>
        <v>0</v>
      </c>
      <c r="F212" s="131">
        <f>IF('Data 2'!F212&lt;0.1,0,'Data 2'!F212)</f>
        <v>0.65709676893748048</v>
      </c>
      <c r="G212" s="131">
        <f>IF('Data 2'!G212&lt;0.1,0,'Data 2'!G212)</f>
        <v>2.9569354602186624</v>
      </c>
      <c r="H212" s="131" t="str">
        <f>IF('Data 2'!H212&lt;0.1,0,'Data 2'!H212)</f>
        <v>-</v>
      </c>
      <c r="I212" s="131">
        <f>IF('Data 2'!I212&lt;0.1,0,'Data 2'!I212)</f>
        <v>0</v>
      </c>
      <c r="J212" s="131">
        <f>IF('Data 2'!J212&lt;0.1,0,'Data 2'!J212)</f>
        <v>0</v>
      </c>
      <c r="K212" s="131">
        <f>IF('Data 2'!K212&lt;0.1,0,'Data 2'!K212)</f>
        <v>31.295693546021862</v>
      </c>
      <c r="L212" s="131">
        <f>IF('Data 2'!L212&lt;0.1,0,'Data 2'!L212)</f>
        <v>4.2711289980936229</v>
      </c>
      <c r="M212" s="131">
        <f>IF('Data 2'!M212&lt;0.1,0,'Data 2'!M212)</f>
        <v>53.576725921822295</v>
      </c>
      <c r="O212" s="130">
        <v>3</v>
      </c>
      <c r="P212" s="131">
        <f>'Stasiun Pontianak Kota'!Q274</f>
        <v>0</v>
      </c>
      <c r="Q212" s="131">
        <f>'Stasiun Pontianak Kota'!R274</f>
        <v>0</v>
      </c>
      <c r="R212" s="131">
        <f>'Stasiun Pontianak Kota'!S274</f>
        <v>0</v>
      </c>
      <c r="S212" s="131">
        <f>'Stasiun Pontianak Kota'!T274</f>
        <v>0</v>
      </c>
      <c r="T212" s="131">
        <f>'Stasiun Pontianak Kota'!U274</f>
        <v>0</v>
      </c>
      <c r="U212" s="131">
        <f>'Stasiun Pontianak Kota'!V274</f>
        <v>0</v>
      </c>
      <c r="V212" s="131" t="str">
        <f>'Stasiun Pontianak Kota'!W274</f>
        <v>-</v>
      </c>
      <c r="W212" s="131">
        <f>'Stasiun Pontianak Kota'!X274</f>
        <v>0</v>
      </c>
      <c r="X212" s="131">
        <f>'Stasiun Pontianak Kota'!Y274</f>
        <v>0</v>
      </c>
      <c r="Y212" s="131">
        <f>'Stasiun Pontianak Kota'!Z274</f>
        <v>31</v>
      </c>
      <c r="Z212" s="131">
        <f>'Stasiun Pontianak Kota'!AA274</f>
        <v>0</v>
      </c>
      <c r="AA212" s="131">
        <f>'Stasiun Pontianak Kota'!AB274</f>
        <v>68</v>
      </c>
      <c r="AC212" s="130">
        <v>3</v>
      </c>
      <c r="AD212" s="131">
        <f>'Sta. Meteorologi pnk'!B235</f>
        <v>38.799999999999997</v>
      </c>
      <c r="AE212" s="131">
        <f>'Sta. Meteorologi pnk'!C235</f>
        <v>12.6</v>
      </c>
      <c r="AF212" s="131">
        <f>'Sta. Meteorologi pnk'!D235</f>
        <v>0</v>
      </c>
      <c r="AG212" s="131">
        <f>'Sta. Meteorologi pnk'!E235</f>
        <v>0</v>
      </c>
      <c r="AH212" s="131">
        <f>'Sta. Meteorologi pnk'!F235</f>
        <v>2</v>
      </c>
      <c r="AI212" s="131">
        <f>'Sta. Meteorologi pnk'!G235</f>
        <v>9</v>
      </c>
      <c r="AJ212" s="131">
        <f>'Sta. Meteorologi pnk'!H235</f>
        <v>24.8</v>
      </c>
      <c r="AK212" s="131">
        <f>'Sta. Meteorologi pnk'!I235</f>
        <v>0</v>
      </c>
      <c r="AL212" s="131">
        <f>'Sta. Meteorologi pnk'!J235</f>
        <v>0</v>
      </c>
      <c r="AM212" s="131">
        <f>'Sta. Meteorologi pnk'!K235</f>
        <v>31.9</v>
      </c>
      <c r="AN212" s="131">
        <f>'Sta. Meteorologi pnk'!L235</f>
        <v>13</v>
      </c>
      <c r="AO212" s="131">
        <f>'Sta. Meteorologi pnk'!M235</f>
        <v>24.1</v>
      </c>
      <c r="AQ212" s="130">
        <v>3</v>
      </c>
      <c r="AR212" s="131">
        <f t="shared" si="155"/>
        <v>26.236354390937905</v>
      </c>
      <c r="AS212" s="131">
        <f t="shared" si="153"/>
        <v>8.5200532300468463</v>
      </c>
      <c r="AT212" s="131">
        <f t="shared" si="153"/>
        <v>0</v>
      </c>
      <c r="AU212" s="131">
        <f t="shared" si="153"/>
        <v>0</v>
      </c>
      <c r="AV212" s="131">
        <f t="shared" si="153"/>
        <v>1.3523894015947375</v>
      </c>
      <c r="AW212" s="131">
        <f t="shared" si="153"/>
        <v>6.0857523071763184</v>
      </c>
      <c r="AX212" s="131" t="e">
        <f t="shared" si="153"/>
        <v>#VALUE!</v>
      </c>
      <c r="AY212" s="131">
        <f t="shared" si="153"/>
        <v>0</v>
      </c>
      <c r="AZ212" s="131">
        <f t="shared" si="153"/>
        <v>0</v>
      </c>
      <c r="BA212" s="131">
        <f t="shared" si="153"/>
        <v>31.60857523071763</v>
      </c>
      <c r="BB212" s="131">
        <f t="shared" si="153"/>
        <v>8.7905311103657926</v>
      </c>
      <c r="BC212" s="131">
        <f t="shared" si="153"/>
        <v>38.31505263499551</v>
      </c>
      <c r="BE212" s="130">
        <v>3</v>
      </c>
      <c r="BF212" s="131">
        <f t="shared" si="156"/>
        <v>24.547256572385781</v>
      </c>
      <c r="BG212" s="131">
        <f t="shared" si="154"/>
        <v>7.9715317735067242</v>
      </c>
      <c r="BH212" s="131">
        <f t="shared" si="154"/>
        <v>0</v>
      </c>
      <c r="BI212" s="131">
        <f t="shared" si="154"/>
        <v>0</v>
      </c>
      <c r="BJ212" s="131">
        <f t="shared" si="154"/>
        <v>1.2653225037312259</v>
      </c>
      <c r="BK212" s="131">
        <f t="shared" si="154"/>
        <v>5.693951266790517</v>
      </c>
      <c r="BL212" s="131" t="e">
        <f t="shared" si="154"/>
        <v>#VALUE!</v>
      </c>
      <c r="BM212" s="131">
        <f t="shared" si="154"/>
        <v>0</v>
      </c>
      <c r="BN212" s="131">
        <f t="shared" si="154"/>
        <v>0</v>
      </c>
      <c r="BO212" s="131">
        <f t="shared" si="154"/>
        <v>31.569395126679051</v>
      </c>
      <c r="BP212" s="131">
        <f t="shared" si="154"/>
        <v>8.2245962742529688</v>
      </c>
      <c r="BQ212" s="131">
        <f t="shared" si="154"/>
        <v>40.22617104309959</v>
      </c>
    </row>
    <row r="213" spans="1:69">
      <c r="A213" s="130">
        <v>4</v>
      </c>
      <c r="B213" s="131">
        <f>IF('Data 2'!B213&lt;0.1,0,'Data 2'!B213)</f>
        <v>0</v>
      </c>
      <c r="C213" s="131">
        <f>IF('Data 2'!C213&lt;0.1,0,'Data 2'!C213)</f>
        <v>4.6057419386375118</v>
      </c>
      <c r="D213" s="131">
        <f>IF('Data 2'!D213&lt;0.1,0,'Data 2'!D213)</f>
        <v>0</v>
      </c>
      <c r="E213" s="131">
        <f>IF('Data 2'!E213&lt;0.1,0,'Data 2'!E213)</f>
        <v>0</v>
      </c>
      <c r="F213" s="131">
        <f>IF('Data 2'!F213&lt;0.1,0,'Data 2'!F213)</f>
        <v>7.7208870350153962</v>
      </c>
      <c r="G213" s="131">
        <f>IF('Data 2'!G213&lt;0.1,0,'Data 2'!G213)</f>
        <v>0</v>
      </c>
      <c r="H213" s="131" t="str">
        <f>IF('Data 2'!H213&lt;0.1,0,'Data 2'!H213)</f>
        <v>-</v>
      </c>
      <c r="I213" s="131">
        <f>IF('Data 2'!I213&lt;0.1,0,'Data 2'!I213)</f>
        <v>0</v>
      </c>
      <c r="J213" s="131">
        <f>IF('Data 2'!J213&lt;0.1,0,'Data 2'!J213)</f>
        <v>0</v>
      </c>
      <c r="K213" s="131">
        <f>IF('Data 2'!K213&lt;0.1,0,'Data 2'!K213)</f>
        <v>4.7371612924250073</v>
      </c>
      <c r="L213" s="131">
        <f>IF('Data 2'!L213&lt;0.1,0,'Data 2'!L213)</f>
        <v>13.722806445831228</v>
      </c>
      <c r="M213" s="131">
        <f>IF('Data 2'!M213&lt;0.1,0,'Data 2'!M213)</f>
        <v>0.78851612272497662</v>
      </c>
      <c r="O213" s="130">
        <v>4</v>
      </c>
      <c r="P213" s="131">
        <f>'Stasiun Pontianak Kota'!Q275</f>
        <v>0</v>
      </c>
      <c r="Q213" s="131">
        <f>'Stasiun Pontianak Kota'!R275</f>
        <v>5</v>
      </c>
      <c r="R213" s="131">
        <f>'Stasiun Pontianak Kota'!S275</f>
        <v>0</v>
      </c>
      <c r="S213" s="131">
        <f>'Stasiun Pontianak Kota'!T275</f>
        <v>0</v>
      </c>
      <c r="T213" s="131">
        <f>'Stasiun Pontianak Kota'!U275</f>
        <v>0</v>
      </c>
      <c r="U213" s="131">
        <f>'Stasiun Pontianak Kota'!V275</f>
        <v>0</v>
      </c>
      <c r="V213" s="131" t="str">
        <f>'Stasiun Pontianak Kota'!W275</f>
        <v>-</v>
      </c>
      <c r="W213" s="131">
        <f>'Stasiun Pontianak Kota'!X275</f>
        <v>0</v>
      </c>
      <c r="X213" s="131">
        <f>'Stasiun Pontianak Kota'!Y275</f>
        <v>0</v>
      </c>
      <c r="Y213" s="131">
        <f>'Stasiun Pontianak Kota'!Z275</f>
        <v>5</v>
      </c>
      <c r="Z213" s="131">
        <f>'Stasiun Pontianak Kota'!AA275</f>
        <v>13</v>
      </c>
      <c r="AA213" s="131">
        <f>'Stasiun Pontianak Kota'!AB275</f>
        <v>0</v>
      </c>
      <c r="AC213" s="130">
        <v>4</v>
      </c>
      <c r="AD213" s="131">
        <f>'Sta. Meteorologi pnk'!B236</f>
        <v>0</v>
      </c>
      <c r="AE213" s="131">
        <f>'Sta. Meteorologi pnk'!C236</f>
        <v>3.8</v>
      </c>
      <c r="AF213" s="131">
        <f>'Sta. Meteorologi pnk'!D236</f>
        <v>0</v>
      </c>
      <c r="AG213" s="131">
        <f>'Sta. Meteorologi pnk'!E236</f>
        <v>0</v>
      </c>
      <c r="AH213" s="131">
        <f>'Sta. Meteorologi pnk'!F236</f>
        <v>23.5</v>
      </c>
      <c r="AI213" s="131">
        <f>'Sta. Meteorologi pnk'!G236</f>
        <v>0.2</v>
      </c>
      <c r="AJ213" s="131">
        <f>'Sta. Meteorologi pnk'!H236</f>
        <v>1.5</v>
      </c>
      <c r="AK213" s="131">
        <f>'Sta. Meteorologi pnk'!I236</f>
        <v>0</v>
      </c>
      <c r="AL213" s="131">
        <f>'Sta. Meteorologi pnk'!J236</f>
        <v>0</v>
      </c>
      <c r="AM213" s="131">
        <f>'Sta. Meteorologi pnk'!K236</f>
        <v>4.2</v>
      </c>
      <c r="AN213" s="131">
        <f>'Sta. Meteorologi pnk'!L236</f>
        <v>15.2</v>
      </c>
      <c r="AO213" s="131">
        <f>'Sta. Meteorologi pnk'!M236</f>
        <v>2.4</v>
      </c>
      <c r="AQ213" s="130">
        <v>4</v>
      </c>
      <c r="AR213" s="131">
        <f t="shared" si="155"/>
        <v>0</v>
      </c>
      <c r="AS213" s="131">
        <f t="shared" si="153"/>
        <v>4.1885663590431568</v>
      </c>
      <c r="AT213" s="131">
        <f t="shared" si="153"/>
        <v>0</v>
      </c>
      <c r="AU213" s="131">
        <f t="shared" si="153"/>
        <v>0</v>
      </c>
      <c r="AV213" s="131">
        <f t="shared" si="153"/>
        <v>15.890575468738167</v>
      </c>
      <c r="AW213" s="131">
        <f t="shared" si="153"/>
        <v>0.13523894015947374</v>
      </c>
      <c r="AX213" s="131" t="e">
        <f t="shared" si="153"/>
        <v>#VALUE!</v>
      </c>
      <c r="AY213" s="131">
        <f t="shared" si="153"/>
        <v>0</v>
      </c>
      <c r="AZ213" s="131">
        <f t="shared" si="153"/>
        <v>0</v>
      </c>
      <c r="BA213" s="131">
        <f t="shared" si="153"/>
        <v>4.4590442393621048</v>
      </c>
      <c r="BB213" s="131">
        <f t="shared" si="153"/>
        <v>14.48762834175421</v>
      </c>
      <c r="BC213" s="131">
        <f t="shared" si="153"/>
        <v>1.6228672819136849</v>
      </c>
      <c r="BE213" s="130">
        <v>4</v>
      </c>
      <c r="BF213" s="131">
        <f t="shared" si="156"/>
        <v>0</v>
      </c>
      <c r="BG213" s="131">
        <f t="shared" si="154"/>
        <v>4.2408064977612643</v>
      </c>
      <c r="BH213" s="131">
        <f t="shared" si="154"/>
        <v>0</v>
      </c>
      <c r="BI213" s="131">
        <f t="shared" si="154"/>
        <v>0</v>
      </c>
      <c r="BJ213" s="131">
        <f t="shared" si="154"/>
        <v>14.867539418841908</v>
      </c>
      <c r="BK213" s="131">
        <f t="shared" si="154"/>
        <v>0.11830386212616625</v>
      </c>
      <c r="BL213" s="131" t="e">
        <f t="shared" si="154"/>
        <v>#VALUE!</v>
      </c>
      <c r="BM213" s="131">
        <f t="shared" si="154"/>
        <v>0</v>
      </c>
      <c r="BN213" s="131">
        <f t="shared" si="154"/>
        <v>0</v>
      </c>
      <c r="BO213" s="131">
        <f t="shared" si="154"/>
        <v>4.4938709985075098</v>
      </c>
      <c r="BP213" s="131">
        <f t="shared" si="154"/>
        <v>14.391854754104346</v>
      </c>
      <c r="BQ213" s="131">
        <f t="shared" si="154"/>
        <v>1.518387004477471</v>
      </c>
    </row>
    <row r="214" spans="1:69">
      <c r="A214" s="130">
        <v>5</v>
      </c>
      <c r="B214" s="131">
        <f>IF('Data 2'!B214&lt;0.1,0,'Data 2'!B214)</f>
        <v>6.8028709693187555</v>
      </c>
      <c r="C214" s="131">
        <f>IF('Data 2'!C214&lt;0.1,0,'Data 2'!C214)</f>
        <v>3.8768709367311356</v>
      </c>
      <c r="D214" s="131">
        <f>IF('Data 2'!D214&lt;0.1,0,'Data 2'!D214)</f>
        <v>0</v>
      </c>
      <c r="E214" s="131">
        <f>IF('Data 2'!E214&lt;0.1,0,'Data 2'!E214)</f>
        <v>25.928225767031101</v>
      </c>
      <c r="F214" s="131">
        <f>IF('Data 2'!F214&lt;0.1,0,'Data 2'!F214)</f>
        <v>0</v>
      </c>
      <c r="G214" s="131">
        <f>IF('Data 2'!G214&lt;0.1,0,'Data 2'!G214)</f>
        <v>0</v>
      </c>
      <c r="H214" s="131" t="str">
        <f>IF('Data 2'!H214&lt;0.1,0,'Data 2'!H214)</f>
        <v>-</v>
      </c>
      <c r="I214" s="131">
        <f>IF('Data 2'!I214&lt;0.1,0,'Data 2'!I214)</f>
        <v>0</v>
      </c>
      <c r="J214" s="131">
        <f>IF('Data 2'!J214&lt;0.1,0,'Data 2'!J214)</f>
        <v>0</v>
      </c>
      <c r="K214" s="131">
        <f>IF('Data 2'!K214&lt;0.1,0,'Data 2'!K214)</f>
        <v>0</v>
      </c>
      <c r="L214" s="131">
        <f>IF('Data 2'!L214&lt;0.1,0,'Data 2'!L214)</f>
        <v>17.443387157218972</v>
      </c>
      <c r="M214" s="131">
        <f>IF('Data 2'!M214&lt;0.1,0,'Data 2'!M214)</f>
        <v>85.381822625584533</v>
      </c>
      <c r="O214" s="130">
        <v>5</v>
      </c>
      <c r="P214" s="131">
        <f>'Stasiun Pontianak Kota'!Q276</f>
        <v>7</v>
      </c>
      <c r="Q214" s="131">
        <f>'Stasiun Pontianak Kota'!R276</f>
        <v>0</v>
      </c>
      <c r="R214" s="131">
        <f>'Stasiun Pontianak Kota'!S276</f>
        <v>0</v>
      </c>
      <c r="S214" s="131">
        <f>'Stasiun Pontianak Kota'!T276</f>
        <v>21</v>
      </c>
      <c r="T214" s="131">
        <f>'Stasiun Pontianak Kota'!U276</f>
        <v>0</v>
      </c>
      <c r="U214" s="131">
        <f>'Stasiun Pontianak Kota'!V276</f>
        <v>0</v>
      </c>
      <c r="V214" s="131" t="str">
        <f>'Stasiun Pontianak Kota'!W276</f>
        <v>-</v>
      </c>
      <c r="W214" s="131">
        <f>'Stasiun Pontianak Kota'!X276</f>
        <v>0</v>
      </c>
      <c r="X214" s="131">
        <f>'Stasiun Pontianak Kota'!Y276</f>
        <v>0</v>
      </c>
      <c r="Y214" s="131">
        <f>'Stasiun Pontianak Kota'!Z276</f>
        <v>0</v>
      </c>
      <c r="Z214" s="131">
        <f>'Stasiun Pontianak Kota'!AA276</f>
        <v>25</v>
      </c>
      <c r="AA214" s="131">
        <f>'Stasiun Pontianak Kota'!AB276</f>
        <v>91</v>
      </c>
      <c r="AC214" s="130">
        <v>5</v>
      </c>
      <c r="AD214" s="131">
        <f>'Sta. Meteorologi pnk'!B237</f>
        <v>6.4</v>
      </c>
      <c r="AE214" s="131">
        <f>'Sta. Meteorologi pnk'!C237</f>
        <v>11.8</v>
      </c>
      <c r="AF214" s="131">
        <f>'Sta. Meteorologi pnk'!D237</f>
        <v>0</v>
      </c>
      <c r="AG214" s="131">
        <f>'Sta. Meteorologi pnk'!E237</f>
        <v>36</v>
      </c>
      <c r="AH214" s="131">
        <f>'Sta. Meteorologi pnk'!F237</f>
        <v>0</v>
      </c>
      <c r="AI214" s="131">
        <f>'Sta. Meteorologi pnk'!G237</f>
        <v>0</v>
      </c>
      <c r="AJ214" s="131">
        <f>'Sta. Meteorologi pnk'!H237</f>
        <v>0</v>
      </c>
      <c r="AK214" s="131">
        <f>'Sta. Meteorologi pnk'!I237</f>
        <v>0</v>
      </c>
      <c r="AL214" s="131">
        <f>'Sta. Meteorologi pnk'!J237</f>
        <v>0</v>
      </c>
      <c r="AM214" s="131">
        <f>'Sta. Meteorologi pnk'!K237</f>
        <v>0</v>
      </c>
      <c r="AN214" s="131">
        <f>'Sta. Meteorologi pnk'!L237</f>
        <v>2</v>
      </c>
      <c r="AO214" s="131">
        <f>'Sta. Meteorologi pnk'!M237</f>
        <v>73.900000000000006</v>
      </c>
      <c r="AQ214" s="130">
        <v>5</v>
      </c>
      <c r="AR214" s="131">
        <f t="shared" si="155"/>
        <v>6.5942831795215779</v>
      </c>
      <c r="AS214" s="131">
        <f t="shared" si="153"/>
        <v>7.979097469408952</v>
      </c>
      <c r="AT214" s="131">
        <f t="shared" si="153"/>
        <v>0</v>
      </c>
      <c r="AU214" s="131">
        <f t="shared" si="153"/>
        <v>31.142920511960529</v>
      </c>
      <c r="AV214" s="131">
        <f t="shared" si="153"/>
        <v>0</v>
      </c>
      <c r="AW214" s="131">
        <f t="shared" si="153"/>
        <v>0</v>
      </c>
      <c r="AX214" s="131" t="e">
        <f t="shared" si="153"/>
        <v>#VALUE!</v>
      </c>
      <c r="AY214" s="131">
        <f t="shared" si="153"/>
        <v>0</v>
      </c>
      <c r="AZ214" s="131">
        <f t="shared" si="153"/>
        <v>0</v>
      </c>
      <c r="BA214" s="131">
        <f t="shared" si="153"/>
        <v>0</v>
      </c>
      <c r="BB214" s="131">
        <f t="shared" si="153"/>
        <v>9.4475218816605171</v>
      </c>
      <c r="BC214" s="131">
        <f t="shared" si="153"/>
        <v>79.437070616364991</v>
      </c>
      <c r="BE214" s="130">
        <v>5</v>
      </c>
      <c r="BF214" s="131">
        <f t="shared" si="156"/>
        <v>6.620403248880633</v>
      </c>
      <c r="BG214" s="131">
        <f t="shared" si="154"/>
        <v>7.465402772014234</v>
      </c>
      <c r="BH214" s="131">
        <f t="shared" si="154"/>
        <v>0</v>
      </c>
      <c r="BI214" s="131">
        <f t="shared" si="154"/>
        <v>30.489918777984194</v>
      </c>
      <c r="BJ214" s="131">
        <f t="shared" si="154"/>
        <v>0</v>
      </c>
      <c r="BK214" s="131">
        <f t="shared" si="154"/>
        <v>0</v>
      </c>
      <c r="BL214" s="131" t="e">
        <f t="shared" si="154"/>
        <v>#VALUE!</v>
      </c>
      <c r="BM214" s="131">
        <f t="shared" si="154"/>
        <v>0</v>
      </c>
      <c r="BN214" s="131">
        <f t="shared" si="154"/>
        <v>0</v>
      </c>
      <c r="BO214" s="131">
        <f t="shared" si="154"/>
        <v>0</v>
      </c>
      <c r="BP214" s="131">
        <f t="shared" si="154"/>
        <v>10.448791207090901</v>
      </c>
      <c r="BQ214" s="131">
        <f t="shared" si="154"/>
        <v>80.181492593098014</v>
      </c>
    </row>
    <row r="215" spans="1:69">
      <c r="A215" s="130">
        <v>6</v>
      </c>
      <c r="B215" s="131">
        <f>IF('Data 2'!B215&lt;0.1,0,'Data 2'!B215)</f>
        <v>1.9342903231062518</v>
      </c>
      <c r="C215" s="131">
        <f>IF('Data 2'!C215&lt;0.1,0,'Data 2'!C215)</f>
        <v>23.375758069509395</v>
      </c>
      <c r="D215" s="131">
        <f>IF('Data 2'!D215&lt;0.1,0,'Data 2'!D215)</f>
        <v>0.13141935378749611</v>
      </c>
      <c r="E215" s="131">
        <f>IF('Data 2'!E215&lt;0.1,0,'Data 2'!E215)</f>
        <v>29.543871083375429</v>
      </c>
      <c r="F215" s="131">
        <f>IF('Data 2'!F215&lt;0.1,0,'Data 2'!F215)</f>
        <v>0</v>
      </c>
      <c r="G215" s="131">
        <f>IF('Data 2'!G215&lt;0.1,0,'Data 2'!G215)</f>
        <v>0</v>
      </c>
      <c r="H215" s="131" t="str">
        <f>IF('Data 2'!H215&lt;0.1,0,'Data 2'!H215)</f>
        <v>-</v>
      </c>
      <c r="I215" s="131">
        <f>IF('Data 2'!I215&lt;0.1,0,'Data 2'!I215)</f>
        <v>0</v>
      </c>
      <c r="J215" s="131">
        <f>IF('Data 2'!J215&lt;0.1,0,'Data 2'!J215)</f>
        <v>4.1068548058592533</v>
      </c>
      <c r="K215" s="131">
        <f>IF('Data 2'!K215&lt;0.1,0,'Data 2'!K215)</f>
        <v>0</v>
      </c>
      <c r="L215" s="131">
        <f>IF('Data 2'!L215&lt;0.1,0,'Data 2'!L215)</f>
        <v>32.225838723868797</v>
      </c>
      <c r="M215" s="131">
        <f>IF('Data 2'!M215&lt;0.1,0,'Data 2'!M215)</f>
        <v>0</v>
      </c>
      <c r="O215" s="130">
        <v>6</v>
      </c>
      <c r="P215" s="131">
        <f>'Stasiun Pontianak Kota'!Q277</f>
        <v>2</v>
      </c>
      <c r="Q215" s="131">
        <f>'Stasiun Pontianak Kota'!R277</f>
        <v>24</v>
      </c>
      <c r="R215" s="131">
        <f>'Stasiun Pontianak Kota'!S277</f>
        <v>0</v>
      </c>
      <c r="S215" s="131">
        <f>'Stasiun Pontianak Kota'!T277</f>
        <v>44</v>
      </c>
      <c r="T215" s="131">
        <f>'Stasiun Pontianak Kota'!U277</f>
        <v>0</v>
      </c>
      <c r="U215" s="131">
        <f>'Stasiun Pontianak Kota'!V277</f>
        <v>0</v>
      </c>
      <c r="V215" s="131" t="str">
        <f>'Stasiun Pontianak Kota'!W277</f>
        <v>-</v>
      </c>
      <c r="W215" s="131">
        <f>'Stasiun Pontianak Kota'!X277</f>
        <v>0</v>
      </c>
      <c r="X215" s="131">
        <f>'Stasiun Pontianak Kota'!Y277</f>
        <v>0</v>
      </c>
      <c r="Y215" s="131">
        <f>'Stasiun Pontianak Kota'!Z277</f>
        <v>0</v>
      </c>
      <c r="Z215" s="131">
        <f>'Stasiun Pontianak Kota'!AA277</f>
        <v>34</v>
      </c>
      <c r="AA215" s="131">
        <f>'Stasiun Pontianak Kota'!AB277</f>
        <v>0</v>
      </c>
      <c r="AC215" s="130">
        <v>6</v>
      </c>
      <c r="AD215" s="131">
        <f>'Sta. Meteorologi pnk'!B238</f>
        <v>1.8</v>
      </c>
      <c r="AE215" s="131">
        <f>'Sta. Meteorologi pnk'!C238</f>
        <v>22.1</v>
      </c>
      <c r="AF215" s="131">
        <f>'Sta. Meteorologi pnk'!D238</f>
        <v>0.4</v>
      </c>
      <c r="AG215" s="131">
        <f>'Sta. Meteorologi pnk'!E238</f>
        <v>0</v>
      </c>
      <c r="AH215" s="131">
        <f>'Sta. Meteorologi pnk'!F238</f>
        <v>0</v>
      </c>
      <c r="AI215" s="131">
        <f>'Sta. Meteorologi pnk'!G238</f>
        <v>0</v>
      </c>
      <c r="AJ215" s="131">
        <f>'Sta. Meteorologi pnk'!H238</f>
        <v>9.1</v>
      </c>
      <c r="AK215" s="131">
        <f>'Sta. Meteorologi pnk'!I238</f>
        <v>0</v>
      </c>
      <c r="AL215" s="131">
        <f>'Sta. Meteorologi pnk'!J238</f>
        <v>12.5</v>
      </c>
      <c r="AM215" s="131">
        <f>'Sta. Meteorologi pnk'!K238</f>
        <v>0</v>
      </c>
      <c r="AN215" s="131">
        <f>'Sta. Meteorologi pnk'!L238</f>
        <v>28.6</v>
      </c>
      <c r="AO215" s="131">
        <f>'Sta. Meteorologi pnk'!M238</f>
        <v>0</v>
      </c>
      <c r="AQ215" s="130">
        <v>6</v>
      </c>
      <c r="AR215" s="131">
        <f t="shared" si="155"/>
        <v>1.864761059840526</v>
      </c>
      <c r="AS215" s="131">
        <f t="shared" si="153"/>
        <v>22.715230068484999</v>
      </c>
      <c r="AT215" s="131">
        <f t="shared" si="153"/>
        <v>0.27047788031894748</v>
      </c>
      <c r="AU215" s="131">
        <f t="shared" si="153"/>
        <v>14.247433164915774</v>
      </c>
      <c r="AV215" s="131">
        <f t="shared" si="153"/>
        <v>0</v>
      </c>
      <c r="AW215" s="131">
        <f t="shared" si="153"/>
        <v>0</v>
      </c>
      <c r="AX215" s="131" t="e">
        <f t="shared" si="153"/>
        <v>#VALUE!</v>
      </c>
      <c r="AY215" s="131">
        <f t="shared" si="153"/>
        <v>0</v>
      </c>
      <c r="AZ215" s="131">
        <f t="shared" si="153"/>
        <v>8.4524337599671089</v>
      </c>
      <c r="BA215" s="131">
        <f t="shared" si="153"/>
        <v>0</v>
      </c>
      <c r="BB215" s="131">
        <f t="shared" si="153"/>
        <v>30.348548615694206</v>
      </c>
      <c r="BC215" s="131">
        <f t="shared" si="153"/>
        <v>0</v>
      </c>
      <c r="BE215" s="130">
        <v>6</v>
      </c>
      <c r="BF215" s="131">
        <f t="shared" si="156"/>
        <v>1.8734677496268775</v>
      </c>
      <c r="BG215" s="131">
        <f t="shared" si="154"/>
        <v>22.797943621455335</v>
      </c>
      <c r="BH215" s="131">
        <f t="shared" si="154"/>
        <v>0.2530645007462452</v>
      </c>
      <c r="BI215" s="131">
        <f t="shared" si="154"/>
        <v>16.162904917913028</v>
      </c>
      <c r="BJ215" s="131">
        <f t="shared" si="154"/>
        <v>0</v>
      </c>
      <c r="BK215" s="131">
        <f t="shared" si="154"/>
        <v>0</v>
      </c>
      <c r="BL215" s="131" t="e">
        <f t="shared" si="154"/>
        <v>#VALUE!</v>
      </c>
      <c r="BM215" s="131">
        <f t="shared" si="154"/>
        <v>0</v>
      </c>
      <c r="BN215" s="131">
        <f t="shared" si="154"/>
        <v>7.908265648320163</v>
      </c>
      <c r="BO215" s="131">
        <f t="shared" si="154"/>
        <v>0</v>
      </c>
      <c r="BP215" s="131">
        <f t="shared" si="154"/>
        <v>30.583629239925692</v>
      </c>
      <c r="BQ215" s="131">
        <f t="shared" si="154"/>
        <v>0</v>
      </c>
    </row>
    <row r="216" spans="1:69">
      <c r="A216" s="130">
        <v>7</v>
      </c>
      <c r="B216" s="131">
        <f>IF('Data 2'!B216&lt;0.1,0,'Data 2'!B216)</f>
        <v>34.872725791471815</v>
      </c>
      <c r="C216" s="131">
        <f>IF('Data 2'!C216&lt;0.1,0,'Data 2'!C216)</f>
        <v>0</v>
      </c>
      <c r="D216" s="131">
        <f>IF('Data 2'!D216&lt;0.1,0,'Data 2'!D216)</f>
        <v>18.318338683134279</v>
      </c>
      <c r="E216" s="131">
        <f>IF('Data 2'!E216&lt;0.1,0,'Data 2'!E216)</f>
        <v>0</v>
      </c>
      <c r="F216" s="131">
        <f>IF('Data 2'!F216&lt;0.1,0,'Data 2'!F216)</f>
        <v>0</v>
      </c>
      <c r="G216" s="131">
        <f>IF('Data 2'!G216&lt;0.1,0,'Data 2'!G216)</f>
        <v>4.5996773825623638</v>
      </c>
      <c r="H216" s="131" t="str">
        <f>IF('Data 2'!H216&lt;0.1,0,'Data 2'!H216)</f>
        <v>-</v>
      </c>
      <c r="I216" s="131">
        <f>IF('Data 2'!I216&lt;0.1,0,'Data 2'!I216)</f>
        <v>0</v>
      </c>
      <c r="J216" s="131">
        <f>IF('Data 2'!J216&lt;0.1,0,'Data 2'!J216)</f>
        <v>0</v>
      </c>
      <c r="K216" s="131">
        <f>IF('Data 2'!K216&lt;0.1,0,'Data 2'!K216)</f>
        <v>1.0842096687468428</v>
      </c>
      <c r="L216" s="131">
        <f>IF('Data 2'!L216&lt;0.1,0,'Data 2'!L216)</f>
        <v>67.285483844687406</v>
      </c>
      <c r="M216" s="131">
        <f>IF('Data 2'!M216&lt;0.1,0,'Data 2'!M216)</f>
        <v>5.322483828393592</v>
      </c>
      <c r="O216" s="130">
        <v>7</v>
      </c>
      <c r="P216" s="131">
        <f>'Stasiun Pontianak Kota'!Q278</f>
        <v>33</v>
      </c>
      <c r="Q216" s="131">
        <f>'Stasiun Pontianak Kota'!R278</f>
        <v>0</v>
      </c>
      <c r="R216" s="131">
        <f>'Stasiun Pontianak Kota'!S278</f>
        <v>15</v>
      </c>
      <c r="S216" s="131">
        <f>'Stasiun Pontianak Kota'!T278</f>
        <v>0</v>
      </c>
      <c r="T216" s="131">
        <f>'Stasiun Pontianak Kota'!U278</f>
        <v>0</v>
      </c>
      <c r="U216" s="131">
        <f>'Stasiun Pontianak Kota'!V278</f>
        <v>0</v>
      </c>
      <c r="V216" s="131" t="str">
        <f>'Stasiun Pontianak Kota'!W278</f>
        <v>-</v>
      </c>
      <c r="W216" s="131">
        <f>'Stasiun Pontianak Kota'!X278</f>
        <v>0</v>
      </c>
      <c r="X216" s="131">
        <f>'Stasiun Pontianak Kota'!Y278</f>
        <v>0</v>
      </c>
      <c r="Y216" s="131">
        <f>'Stasiun Pontianak Kota'!Z278</f>
        <v>0</v>
      </c>
      <c r="Z216" s="131">
        <f>'Stasiun Pontianak Kota'!AA278</f>
        <v>64</v>
      </c>
      <c r="AA216" s="131">
        <f>'Stasiun Pontianak Kota'!AB278</f>
        <v>0</v>
      </c>
      <c r="AC216" s="130">
        <v>7</v>
      </c>
      <c r="AD216" s="131">
        <f>'Sta. Meteorologi pnk'!B239</f>
        <v>38.700000000000003</v>
      </c>
      <c r="AE216" s="131">
        <f>'Sta. Meteorologi pnk'!C239</f>
        <v>0</v>
      </c>
      <c r="AF216" s="131">
        <f>'Sta. Meteorologi pnk'!D239</f>
        <v>25.1</v>
      </c>
      <c r="AG216" s="131">
        <f>'Sta. Meteorologi pnk'!E239</f>
        <v>0</v>
      </c>
      <c r="AH216" s="131">
        <f>'Sta. Meteorologi pnk'!F239</f>
        <v>0.1</v>
      </c>
      <c r="AI216" s="131">
        <f>'Sta. Meteorologi pnk'!G239</f>
        <v>14</v>
      </c>
      <c r="AJ216" s="131">
        <f>'Sta. Meteorologi pnk'!H239</f>
        <v>0</v>
      </c>
      <c r="AK216" s="131">
        <f>'Sta. Meteorologi pnk'!I239</f>
        <v>0</v>
      </c>
      <c r="AL216" s="131">
        <f>'Sta. Meteorologi pnk'!J239</f>
        <v>0</v>
      </c>
      <c r="AM216" s="131">
        <f>'Sta. Meteorologi pnk'!K239</f>
        <v>3.3</v>
      </c>
      <c r="AN216" s="131">
        <f>'Sta. Meteorologi pnk'!L239</f>
        <v>74</v>
      </c>
      <c r="AO216" s="131">
        <f>'Sta. Meteorologi pnk'!M239</f>
        <v>16.2</v>
      </c>
      <c r="AQ216" s="130">
        <v>7</v>
      </c>
      <c r="AR216" s="131">
        <f t="shared" si="155"/>
        <v>36.854309794544996</v>
      </c>
      <c r="AS216" s="131">
        <f t="shared" si="153"/>
        <v>0</v>
      </c>
      <c r="AT216" s="131">
        <f t="shared" si="153"/>
        <v>21.829566478053422</v>
      </c>
      <c r="AU216" s="131">
        <f t="shared" si="153"/>
        <v>0</v>
      </c>
      <c r="AV216" s="131">
        <f t="shared" si="153"/>
        <v>6.7619470079736871E-2</v>
      </c>
      <c r="AW216" s="131">
        <f t="shared" si="153"/>
        <v>9.4667258111631618</v>
      </c>
      <c r="AX216" s="131" t="e">
        <f t="shared" si="153"/>
        <v>#VALUE!</v>
      </c>
      <c r="AY216" s="131">
        <f t="shared" si="153"/>
        <v>0</v>
      </c>
      <c r="AZ216" s="131">
        <f t="shared" si="153"/>
        <v>0</v>
      </c>
      <c r="BA216" s="131">
        <f t="shared" si="153"/>
        <v>2.2314425126313169</v>
      </c>
      <c r="BB216" s="131">
        <f t="shared" si="153"/>
        <v>70.761947007973674</v>
      </c>
      <c r="BC216" s="131">
        <f t="shared" si="153"/>
        <v>10.954354152917373</v>
      </c>
      <c r="BE216" s="130">
        <v>7</v>
      </c>
      <c r="BF216" s="131">
        <f t="shared" si="156"/>
        <v>36.606169135633998</v>
      </c>
      <c r="BG216" s="131">
        <f t="shared" si="154"/>
        <v>0</v>
      </c>
      <c r="BH216" s="131">
        <f t="shared" si="154"/>
        <v>21.389878643842692</v>
      </c>
      <c r="BI216" s="131">
        <f t="shared" si="154"/>
        <v>0</v>
      </c>
      <c r="BJ216" s="131">
        <f t="shared" si="154"/>
        <v>5.9151931063083127E-2</v>
      </c>
      <c r="BK216" s="131">
        <f t="shared" si="154"/>
        <v>8.8572575261185822</v>
      </c>
      <c r="BL216" s="131" t="e">
        <f t="shared" si="154"/>
        <v>#VALUE!</v>
      </c>
      <c r="BM216" s="131">
        <f t="shared" si="154"/>
        <v>0</v>
      </c>
      <c r="BN216" s="131">
        <f t="shared" si="154"/>
        <v>0</v>
      </c>
      <c r="BO216" s="131">
        <f t="shared" si="154"/>
        <v>2.0877821311565228</v>
      </c>
      <c r="BP216" s="131">
        <f t="shared" si="154"/>
        <v>70.326612518656134</v>
      </c>
      <c r="BQ216" s="131">
        <f t="shared" si="154"/>
        <v>10.249112280222931</v>
      </c>
    </row>
    <row r="217" spans="1:69">
      <c r="A217" s="130">
        <v>8</v>
      </c>
      <c r="B217" s="131">
        <f>IF('Data 2'!B217&lt;0.1,0,'Data 2'!B217)</f>
        <v>0</v>
      </c>
      <c r="C217" s="131">
        <f>IF('Data 2'!C217&lt;0.1,0,'Data 2'!C217)</f>
        <v>0</v>
      </c>
      <c r="D217" s="131">
        <f>IF('Data 2'!D217&lt;0.1,0,'Data 2'!D217)</f>
        <v>15.907500040734524</v>
      </c>
      <c r="E217" s="131">
        <f>IF('Data 2'!E217&lt;0.1,0,'Data 2'!E217)</f>
        <v>4.8357258077656287</v>
      </c>
      <c r="F217" s="131">
        <f>IF('Data 2'!F217&lt;0.1,0,'Data 2'!F217)</f>
        <v>22.232209603571604</v>
      </c>
      <c r="G217" s="131">
        <f>IF('Data 2'!G217&lt;0.1,0,'Data 2'!G217)</f>
        <v>26.455822592996917</v>
      </c>
      <c r="H217" s="131" t="str">
        <f>IF('Data 2'!H217&lt;0.1,0,'Data 2'!H217)</f>
        <v>-</v>
      </c>
      <c r="I217" s="131">
        <f>IF('Data 2'!I217&lt;0.1,0,'Data 2'!I217)</f>
        <v>0</v>
      </c>
      <c r="J217" s="131">
        <f>IF('Data 2'!J217&lt;0.1,0,'Data 2'!J217)</f>
        <v>1.0513548302999689</v>
      </c>
      <c r="K217" s="131">
        <f>IF('Data 2'!K217&lt;0.1,0,'Data 2'!K217)</f>
        <v>8.0657096768937464</v>
      </c>
      <c r="L217" s="131">
        <f>IF('Data 2'!L217&lt;0.1,0,'Data 2'!L217)</f>
        <v>0.49282257670311042</v>
      </c>
      <c r="M217" s="131">
        <f>IF('Data 2'!M217&lt;0.1,0,'Data 2'!M217)</f>
        <v>0</v>
      </c>
      <c r="O217" s="130">
        <v>8</v>
      </c>
      <c r="P217" s="131">
        <f>'Stasiun Pontianak Kota'!Q279</f>
        <v>0</v>
      </c>
      <c r="Q217" s="131">
        <f>'Stasiun Pontianak Kota'!R279</f>
        <v>0</v>
      </c>
      <c r="R217" s="131">
        <f>'Stasiun Pontianak Kota'!S279</f>
        <v>21</v>
      </c>
      <c r="S217" s="131">
        <f>'Stasiun Pontianak Kota'!T279</f>
        <v>5</v>
      </c>
      <c r="T217" s="131">
        <f>'Stasiun Pontianak Kota'!U279</f>
        <v>13</v>
      </c>
      <c r="U217" s="131">
        <f>'Stasiun Pontianak Kota'!V279</f>
        <v>28</v>
      </c>
      <c r="V217" s="131" t="str">
        <f>'Stasiun Pontianak Kota'!W279</f>
        <v>-</v>
      </c>
      <c r="W217" s="131">
        <f>'Stasiun Pontianak Kota'!X279</f>
        <v>0</v>
      </c>
      <c r="X217" s="131">
        <f>'Stasiun Pontianak Kota'!Y279</f>
        <v>0</v>
      </c>
      <c r="Y217" s="131">
        <f>'Stasiun Pontianak Kota'!Z279</f>
        <v>8</v>
      </c>
      <c r="Z217" s="131">
        <f>'Stasiun Pontianak Kota'!AA279</f>
        <v>0</v>
      </c>
      <c r="AA217" s="131">
        <f>'Stasiun Pontianak Kota'!AB279</f>
        <v>0</v>
      </c>
      <c r="AC217" s="130">
        <v>8</v>
      </c>
      <c r="AD217" s="131">
        <f>'Sta. Meteorologi pnk'!B240</f>
        <v>0</v>
      </c>
      <c r="AE217" s="131">
        <f>'Sta. Meteorologi pnk'!C240</f>
        <v>0</v>
      </c>
      <c r="AF217" s="131">
        <f>'Sta. Meteorologi pnk'!D240</f>
        <v>5.5</v>
      </c>
      <c r="AG217" s="131">
        <f>'Sta. Meteorologi pnk'!E240</f>
        <v>4.5</v>
      </c>
      <c r="AH217" s="131">
        <f>'Sta. Meteorologi pnk'!F240</f>
        <v>41.1</v>
      </c>
      <c r="AI217" s="131">
        <f>'Sta. Meteorologi pnk'!G240</f>
        <v>23.3</v>
      </c>
      <c r="AJ217" s="131">
        <f>'Sta. Meteorologi pnk'!H240</f>
        <v>0</v>
      </c>
      <c r="AK217" s="131">
        <f>'Sta. Meteorologi pnk'!I240</f>
        <v>0</v>
      </c>
      <c r="AL217" s="131">
        <f>'Sta. Meteorologi pnk'!J240</f>
        <v>3.2</v>
      </c>
      <c r="AM217" s="131">
        <f>'Sta. Meteorologi pnk'!K240</f>
        <v>8.1999999999999993</v>
      </c>
      <c r="AN217" s="131">
        <f>'Sta. Meteorologi pnk'!L240</f>
        <v>1.5</v>
      </c>
      <c r="AO217" s="131">
        <f>'Sta. Meteorologi pnk'!M240</f>
        <v>0.2</v>
      </c>
      <c r="AQ217" s="130">
        <v>8</v>
      </c>
      <c r="AR217" s="131">
        <f t="shared" si="155"/>
        <v>0</v>
      </c>
      <c r="AS217" s="131">
        <f t="shared" si="153"/>
        <v>0</v>
      </c>
      <c r="AT217" s="131">
        <f t="shared" si="153"/>
        <v>10.518982137640783</v>
      </c>
      <c r="AU217" s="131">
        <f t="shared" si="153"/>
        <v>4.6619026496013154</v>
      </c>
      <c r="AV217" s="131">
        <f t="shared" si="153"/>
        <v>32.001071092406065</v>
      </c>
      <c r="AW217" s="131">
        <f t="shared" si="153"/>
        <v>24.821884906252368</v>
      </c>
      <c r="AX217" s="131" t="e">
        <f t="shared" si="153"/>
        <v>#VALUE!</v>
      </c>
      <c r="AY217" s="131">
        <f t="shared" si="153"/>
        <v>0</v>
      </c>
      <c r="AZ217" s="131">
        <f t="shared" si="153"/>
        <v>2.1638230425515799</v>
      </c>
      <c r="BA217" s="131">
        <f t="shared" si="153"/>
        <v>8.1352389401594714</v>
      </c>
      <c r="BB217" s="131">
        <f t="shared" si="153"/>
        <v>1.0142920511960531</v>
      </c>
      <c r="BC217" s="131">
        <f t="shared" si="153"/>
        <v>0.13523894015947374</v>
      </c>
      <c r="BE217" s="130">
        <v>8</v>
      </c>
      <c r="BF217" s="131">
        <f t="shared" si="156"/>
        <v>0</v>
      </c>
      <c r="BG217" s="131">
        <f t="shared" si="154"/>
        <v>0</v>
      </c>
      <c r="BH217" s="131">
        <f t="shared" si="154"/>
        <v>11.193750596082998</v>
      </c>
      <c r="BI217" s="131">
        <f t="shared" si="154"/>
        <v>4.6836693740671933</v>
      </c>
      <c r="BJ217" s="131">
        <f t="shared" si="154"/>
        <v>30.777781177423723</v>
      </c>
      <c r="BK217" s="131">
        <f t="shared" si="154"/>
        <v>25.026492116231619</v>
      </c>
      <c r="BL217" s="131" t="e">
        <f t="shared" si="154"/>
        <v>#VALUE!</v>
      </c>
      <c r="BM217" s="131">
        <f t="shared" si="154"/>
        <v>0</v>
      </c>
      <c r="BN217" s="131">
        <f t="shared" si="154"/>
        <v>2.0245160059699616</v>
      </c>
      <c r="BO217" s="131">
        <f t="shared" si="154"/>
        <v>8.1265322503731223</v>
      </c>
      <c r="BP217" s="131">
        <f t="shared" si="154"/>
        <v>0.94899187779841954</v>
      </c>
      <c r="BQ217" s="131">
        <f t="shared" si="154"/>
        <v>0.11830386212616625</v>
      </c>
    </row>
    <row r="218" spans="1:69">
      <c r="A218" s="130">
        <v>9</v>
      </c>
      <c r="B218" s="131">
        <f>IF('Data 2'!B218&lt;0.1,0,'Data 2'!B218)</f>
        <v>0</v>
      </c>
      <c r="C218" s="131">
        <f>IF('Data 2'!C218&lt;0.1,0,'Data 2'!C218)</f>
        <v>0</v>
      </c>
      <c r="D218" s="131">
        <f>IF('Data 2'!D218&lt;0.1,0,'Data 2'!D218)</f>
        <v>0.32854838446874024</v>
      </c>
      <c r="E218" s="131">
        <f>IF('Data 2'!E218&lt;0.1,0,'Data 2'!E218)</f>
        <v>68.030629104003381</v>
      </c>
      <c r="F218" s="131">
        <f>IF('Data 2'!F218&lt;0.1,0,'Data 2'!F218)</f>
        <v>1.9712903068124417</v>
      </c>
      <c r="G218" s="131">
        <f>IF('Data 2'!G218&lt;0.1,0,'Data 2'!G218)</f>
        <v>15.606048262265164</v>
      </c>
      <c r="H218" s="131" t="str">
        <f>IF('Data 2'!H218&lt;0.1,0,'Data 2'!H218)</f>
        <v>-</v>
      </c>
      <c r="I218" s="131">
        <f>IF('Data 2'!I218&lt;0.1,0,'Data 2'!I218)</f>
        <v>1.9384354683655678</v>
      </c>
      <c r="J218" s="131">
        <f>IF('Data 2'!J218&lt;0.1,0,'Data 2'!J218)</f>
        <v>24.219774167793656</v>
      </c>
      <c r="K218" s="131">
        <f>IF('Data 2'!K218&lt;0.1,0,'Data 2'!K218)</f>
        <v>0</v>
      </c>
      <c r="L218" s="131">
        <f>IF('Data 2'!L218&lt;0.1,0,'Data 2'!L218)</f>
        <v>0</v>
      </c>
      <c r="M218" s="131">
        <f>IF('Data 2'!M218&lt;0.1,0,'Data 2'!M218)</f>
        <v>84.051354830299971</v>
      </c>
      <c r="O218" s="130">
        <v>9</v>
      </c>
      <c r="P218" s="131">
        <f>'Stasiun Pontianak Kota'!Q280</f>
        <v>0</v>
      </c>
      <c r="Q218" s="131">
        <f>'Stasiun Pontianak Kota'!R280</f>
        <v>0</v>
      </c>
      <c r="R218" s="131">
        <f>'Stasiun Pontianak Kota'!S280</f>
        <v>0</v>
      </c>
      <c r="S218" s="131">
        <f>'Stasiun Pontianak Kota'!T280</f>
        <v>77</v>
      </c>
      <c r="T218" s="131">
        <f>'Stasiun Pontianak Kota'!U280</f>
        <v>0</v>
      </c>
      <c r="U218" s="131">
        <f>'Stasiun Pontianak Kota'!V280</f>
        <v>0</v>
      </c>
      <c r="V218" s="131" t="str">
        <f>'Stasiun Pontianak Kota'!W280</f>
        <v>-</v>
      </c>
      <c r="W218" s="131">
        <f>'Stasiun Pontianak Kota'!X280</f>
        <v>0</v>
      </c>
      <c r="X218" s="131">
        <f>'Stasiun Pontianak Kota'!Y280</f>
        <v>21</v>
      </c>
      <c r="Y218" s="131">
        <f>'Stasiun Pontianak Kota'!Z280</f>
        <v>0</v>
      </c>
      <c r="Z218" s="131">
        <f>'Stasiun Pontianak Kota'!AA280</f>
        <v>0</v>
      </c>
      <c r="AA218" s="131">
        <f>'Stasiun Pontianak Kota'!AB280</f>
        <v>83</v>
      </c>
      <c r="AC218" s="130">
        <v>9</v>
      </c>
      <c r="AD218" s="131">
        <f>'Sta. Meteorologi pnk'!B241</f>
        <v>0</v>
      </c>
      <c r="AE218" s="131">
        <f>'Sta. Meteorologi pnk'!C241</f>
        <v>0</v>
      </c>
      <c r="AF218" s="131">
        <f>'Sta. Meteorologi pnk'!D241</f>
        <v>1</v>
      </c>
      <c r="AG218" s="131">
        <f>'Sta. Meteorologi pnk'!E241</f>
        <v>49.7</v>
      </c>
      <c r="AH218" s="131">
        <f>'Sta. Meteorologi pnk'!F241</f>
        <v>6</v>
      </c>
      <c r="AI218" s="131">
        <f>'Sta. Meteorologi pnk'!G241</f>
        <v>47.5</v>
      </c>
      <c r="AJ218" s="131">
        <f>'Sta. Meteorologi pnk'!H241</f>
        <v>0</v>
      </c>
      <c r="AK218" s="131">
        <f>'Sta. Meteorologi pnk'!I241</f>
        <v>5.9</v>
      </c>
      <c r="AL218" s="131">
        <f>'Sta. Meteorologi pnk'!J241</f>
        <v>30.8</v>
      </c>
      <c r="AM218" s="131">
        <f>'Sta. Meteorologi pnk'!K241</f>
        <v>0</v>
      </c>
      <c r="AN218" s="131">
        <f>'Sta. Meteorologi pnk'!L241</f>
        <v>0</v>
      </c>
      <c r="AO218" s="131">
        <f>'Sta. Meteorologi pnk'!M241</f>
        <v>86.2</v>
      </c>
      <c r="AQ218" s="130">
        <v>9</v>
      </c>
      <c r="AR218" s="131">
        <f t="shared" si="155"/>
        <v>0</v>
      </c>
      <c r="AS218" s="131">
        <f t="shared" si="153"/>
        <v>0</v>
      </c>
      <c r="AT218" s="131">
        <f t="shared" si="153"/>
        <v>0.67619470079736876</v>
      </c>
      <c r="AU218" s="131">
        <f t="shared" si="153"/>
        <v>58.539884668231828</v>
      </c>
      <c r="AV218" s="131">
        <f t="shared" si="153"/>
        <v>4.0571682047842126</v>
      </c>
      <c r="AW218" s="131">
        <f t="shared" si="153"/>
        <v>32.119248287875017</v>
      </c>
      <c r="AX218" s="131" t="e">
        <f t="shared" si="153"/>
        <v>#VALUE!</v>
      </c>
      <c r="AY218" s="131">
        <f t="shared" si="153"/>
        <v>3.989548734704476</v>
      </c>
      <c r="AZ218" s="131">
        <f t="shared" si="153"/>
        <v>27.626708067814214</v>
      </c>
      <c r="BA218" s="131">
        <f t="shared" si="153"/>
        <v>0</v>
      </c>
      <c r="BB218" s="131">
        <f t="shared" si="153"/>
        <v>0</v>
      </c>
      <c r="BC218" s="131">
        <f t="shared" si="153"/>
        <v>85.163823042551584</v>
      </c>
      <c r="BE218" s="130">
        <v>9</v>
      </c>
      <c r="BF218" s="131">
        <f t="shared" si="156"/>
        <v>0</v>
      </c>
      <c r="BG218" s="131">
        <f t="shared" si="154"/>
        <v>0</v>
      </c>
      <c r="BH218" s="131">
        <f t="shared" si="154"/>
        <v>0.63266125186561295</v>
      </c>
      <c r="BI218" s="131">
        <f t="shared" si="154"/>
        <v>59.72834782406877</v>
      </c>
      <c r="BJ218" s="131">
        <f t="shared" si="154"/>
        <v>3.7959675111936781</v>
      </c>
      <c r="BK218" s="131">
        <f t="shared" si="154"/>
        <v>30.051409463616618</v>
      </c>
      <c r="BL218" s="131" t="e">
        <f t="shared" si="154"/>
        <v>#VALUE!</v>
      </c>
      <c r="BM218" s="131">
        <f t="shared" si="154"/>
        <v>3.732701386007117</v>
      </c>
      <c r="BN218" s="131">
        <f t="shared" si="154"/>
        <v>27.20008026828301</v>
      </c>
      <c r="BO218" s="131">
        <f t="shared" si="154"/>
        <v>0</v>
      </c>
      <c r="BP218" s="131">
        <f t="shared" si="154"/>
        <v>0</v>
      </c>
      <c r="BQ218" s="131">
        <f t="shared" si="154"/>
        <v>85.024516005969971</v>
      </c>
    </row>
    <row r="219" spans="1:69">
      <c r="A219" s="130">
        <v>10</v>
      </c>
      <c r="B219" s="131">
        <f>IF('Data 2'!B219&lt;0.1,0,'Data 2'!B219)</f>
        <v>0</v>
      </c>
      <c r="C219" s="131">
        <f>IF('Data 2'!C219&lt;0.1,0,'Data 2'!C219)</f>
        <v>0</v>
      </c>
      <c r="D219" s="131">
        <f>IF('Data 2'!D219&lt;0.1,0,'Data 2'!D219)</f>
        <v>0</v>
      </c>
      <c r="E219" s="131">
        <f>IF('Data 2'!E219&lt;0.1,0,'Data 2'!E219)</f>
        <v>33.24211298127841</v>
      </c>
      <c r="F219" s="131">
        <f>IF('Data 2'!F219&lt;0.1,0,'Data 2'!F219)</f>
        <v>19.08866113763381</v>
      </c>
      <c r="G219" s="131">
        <f>IF('Data 2'!G219&lt;0.1,0,'Data 2'!G219)</f>
        <v>1.3470483763218351</v>
      </c>
      <c r="H219" s="131" t="str">
        <f>IF('Data 2'!H219&lt;0.1,0,'Data 2'!H219)</f>
        <v>-</v>
      </c>
      <c r="I219" s="131">
        <f>IF('Data 2'!I219&lt;0.1,0,'Data 2'!I219)</f>
        <v>0</v>
      </c>
      <c r="J219" s="131">
        <f>IF('Data 2'!J219&lt;0.1,0,'Data 2'!J219)</f>
        <v>3.6858064621250386</v>
      </c>
      <c r="K219" s="131">
        <f>IF('Data 2'!K219&lt;0.1,0,'Data 2'!K219)</f>
        <v>4.8625160901373556</v>
      </c>
      <c r="L219" s="131">
        <f>IF('Data 2'!L219&lt;0.1,0,'Data 2'!L219)</f>
        <v>10.154064490899906</v>
      </c>
      <c r="M219" s="131">
        <f>IF('Data 2'!M219&lt;0.1,0,'Data 2'!M219)</f>
        <v>0</v>
      </c>
      <c r="O219" s="130">
        <v>10</v>
      </c>
      <c r="P219" s="131">
        <f>'Stasiun Pontianak Kota'!Q281</f>
        <v>0</v>
      </c>
      <c r="Q219" s="131">
        <f>'Stasiun Pontianak Kota'!R281</f>
        <v>0</v>
      </c>
      <c r="R219" s="131">
        <f>'Stasiun Pontianak Kota'!S281</f>
        <v>0</v>
      </c>
      <c r="S219" s="131">
        <f>'Stasiun Pontianak Kota'!T281</f>
        <v>43</v>
      </c>
      <c r="T219" s="131">
        <f>'Stasiun Pontianak Kota'!U281</f>
        <v>0</v>
      </c>
      <c r="U219" s="131">
        <f>'Stasiun Pontianak Kota'!V281</f>
        <v>0</v>
      </c>
      <c r="V219" s="131" t="str">
        <f>'Stasiun Pontianak Kota'!W281</f>
        <v>-</v>
      </c>
      <c r="W219" s="131">
        <f>'Stasiun Pontianak Kota'!X281</f>
        <v>0</v>
      </c>
      <c r="X219" s="131">
        <f>'Stasiun Pontianak Kota'!Y281</f>
        <v>5</v>
      </c>
      <c r="Y219" s="131">
        <f>'Stasiun Pontianak Kota'!Z281</f>
        <v>0</v>
      </c>
      <c r="Z219" s="131">
        <f>'Stasiun Pontianak Kota'!AA281</f>
        <v>7</v>
      </c>
      <c r="AA219" s="131">
        <f>'Stasiun Pontianak Kota'!AB281</f>
        <v>0</v>
      </c>
      <c r="AC219" s="130">
        <v>10</v>
      </c>
      <c r="AD219" s="131">
        <f>'Sta. Meteorologi pnk'!B242</f>
        <v>0</v>
      </c>
      <c r="AE219" s="131">
        <f>'Sta. Meteorologi pnk'!C242</f>
        <v>0</v>
      </c>
      <c r="AF219" s="131">
        <f>'Sta. Meteorologi pnk'!D242</f>
        <v>0</v>
      </c>
      <c r="AG219" s="131">
        <f>'Sta. Meteorologi pnk'!E242</f>
        <v>13.3</v>
      </c>
      <c r="AH219" s="131">
        <f>'Sta. Meteorologi pnk'!F242</f>
        <v>58.1</v>
      </c>
      <c r="AI219" s="131">
        <f>'Sta. Meteorologi pnk'!G242</f>
        <v>4.0999999999999996</v>
      </c>
      <c r="AJ219" s="131">
        <f>'Sta. Meteorologi pnk'!H242</f>
        <v>0</v>
      </c>
      <c r="AK219" s="131">
        <f>'Sta. Meteorologi pnk'!I242</f>
        <v>0</v>
      </c>
      <c r="AL219" s="131">
        <f>'Sta. Meteorologi pnk'!J242</f>
        <v>1</v>
      </c>
      <c r="AM219" s="131">
        <f>'Sta. Meteorologi pnk'!K242</f>
        <v>14.8</v>
      </c>
      <c r="AN219" s="131">
        <f>'Sta. Meteorologi pnk'!L242</f>
        <v>16.600000000000001</v>
      </c>
      <c r="AO219" s="131">
        <f>'Sta. Meteorologi pnk'!M242</f>
        <v>0</v>
      </c>
      <c r="AQ219" s="130">
        <v>10</v>
      </c>
      <c r="AR219" s="131">
        <f t="shared" si="155"/>
        <v>0</v>
      </c>
      <c r="AS219" s="131">
        <f t="shared" si="153"/>
        <v>0</v>
      </c>
      <c r="AT219" s="131">
        <f t="shared" si="153"/>
        <v>0</v>
      </c>
      <c r="AU219" s="131">
        <f t="shared" si="153"/>
        <v>22.917017386318147</v>
      </c>
      <c r="AV219" s="131">
        <f t="shared" si="153"/>
        <v>39.286912116327123</v>
      </c>
      <c r="AW219" s="131">
        <f t="shared" si="153"/>
        <v>2.7723982732692116</v>
      </c>
      <c r="AX219" s="131" t="e">
        <f t="shared" si="153"/>
        <v>#VALUE!</v>
      </c>
      <c r="AY219" s="131">
        <f t="shared" si="153"/>
        <v>0</v>
      </c>
      <c r="AZ219" s="131">
        <f t="shared" si="153"/>
        <v>2.2952211968105245</v>
      </c>
      <c r="BA219" s="131">
        <f t="shared" si="153"/>
        <v>10.007681571801058</v>
      </c>
      <c r="BB219" s="131">
        <f t="shared" si="153"/>
        <v>13.49146912765474</v>
      </c>
      <c r="BC219" s="131">
        <f t="shared" si="153"/>
        <v>0</v>
      </c>
      <c r="BE219" s="130">
        <v>10</v>
      </c>
      <c r="BF219" s="131">
        <f t="shared" si="156"/>
        <v>0</v>
      </c>
      <c r="BG219" s="131">
        <f t="shared" si="154"/>
        <v>0</v>
      </c>
      <c r="BH219" s="131">
        <f t="shared" si="154"/>
        <v>0</v>
      </c>
      <c r="BI219" s="131">
        <f t="shared" si="154"/>
        <v>24.209960819591299</v>
      </c>
      <c r="BJ219" s="131">
        <f t="shared" si="154"/>
        <v>36.757618733392121</v>
      </c>
      <c r="BK219" s="131">
        <f t="shared" si="154"/>
        <v>2.593911132649013</v>
      </c>
      <c r="BL219" s="131" t="e">
        <f t="shared" si="154"/>
        <v>#VALUE!</v>
      </c>
      <c r="BM219" s="131">
        <f t="shared" si="154"/>
        <v>0</v>
      </c>
      <c r="BN219" s="131">
        <f t="shared" si="154"/>
        <v>2.4693549925375478</v>
      </c>
      <c r="BO219" s="131">
        <f t="shared" si="154"/>
        <v>9.3633865276110733</v>
      </c>
      <c r="BP219" s="131">
        <f t="shared" si="154"/>
        <v>13.073548017909888</v>
      </c>
      <c r="BQ219" s="131">
        <f t="shared" si="154"/>
        <v>0</v>
      </c>
    </row>
    <row r="220" spans="1:69">
      <c r="A220" s="130">
        <v>11</v>
      </c>
      <c r="B220" s="131">
        <f>IF('Data 2'!B220&lt;0.1,0,'Data 2'!B220)</f>
        <v>3.6242419304906064</v>
      </c>
      <c r="C220" s="131">
        <f>IF('Data 2'!C220&lt;0.1,0,'Data 2'!C220)</f>
        <v>0</v>
      </c>
      <c r="D220" s="131">
        <f>IF('Data 2'!D220&lt;0.1,0,'Data 2'!D220)</f>
        <v>3.3840483600280251</v>
      </c>
      <c r="E220" s="131">
        <f>IF('Data 2'!E220&lt;0.1,0,'Data 2'!E220)</f>
        <v>2.4414677464031413</v>
      </c>
      <c r="F220" s="131">
        <f>IF('Data 2'!F220&lt;0.1,0,'Data 2'!F220)</f>
        <v>36.258387238688023</v>
      </c>
      <c r="G220" s="131">
        <f>IF('Data 2'!G220&lt;0.1,0,'Data 2'!G220)</f>
        <v>0</v>
      </c>
      <c r="H220" s="131" t="str">
        <f>IF('Data 2'!H220&lt;0.1,0,'Data 2'!H220)</f>
        <v>-</v>
      </c>
      <c r="I220" s="131">
        <f>IF('Data 2'!I220&lt;0.1,0,'Data 2'!I220)</f>
        <v>0</v>
      </c>
      <c r="J220" s="131">
        <f>IF('Data 2'!J220&lt;0.1,0,'Data 2'!J220)</f>
        <v>27.729483649161679</v>
      </c>
      <c r="K220" s="131">
        <f>IF('Data 2'!K220&lt;0.1,0,'Data 2'!K220)</f>
        <v>1.1170645071937169</v>
      </c>
      <c r="L220" s="131">
        <f>IF('Data 2'!L220&lt;0.1,0,'Data 2'!L220)</f>
        <v>5.1027096605999382</v>
      </c>
      <c r="M220" s="131">
        <f>IF('Data 2'!M220&lt;0.1,0,'Data 2'!M220)</f>
        <v>0</v>
      </c>
      <c r="O220" s="130">
        <v>11</v>
      </c>
      <c r="P220" s="131">
        <f>'Stasiun Pontianak Kota'!Q282</f>
        <v>3</v>
      </c>
      <c r="Q220" s="131">
        <f>'Stasiun Pontianak Kota'!R282</f>
        <v>0</v>
      </c>
      <c r="R220" s="131">
        <f>'Stasiun Pontianak Kota'!S282</f>
        <v>0</v>
      </c>
      <c r="S220" s="131">
        <f>'Stasiun Pontianak Kota'!T282</f>
        <v>3</v>
      </c>
      <c r="T220" s="131">
        <f>'Stasiun Pontianak Kota'!U282</f>
        <v>54</v>
      </c>
      <c r="U220" s="131">
        <f>'Stasiun Pontianak Kota'!V282</f>
        <v>0</v>
      </c>
      <c r="V220" s="131" t="str">
        <f>'Stasiun Pontianak Kota'!W282</f>
        <v>-</v>
      </c>
      <c r="W220" s="131">
        <f>'Stasiun Pontianak Kota'!X282</f>
        <v>0</v>
      </c>
      <c r="X220" s="131">
        <f>'Stasiun Pontianak Kota'!Y282</f>
        <v>0</v>
      </c>
      <c r="Y220" s="131">
        <f>'Stasiun Pontianak Kota'!Z282</f>
        <v>0</v>
      </c>
      <c r="Z220" s="131">
        <f>'Stasiun Pontianak Kota'!AA282</f>
        <v>3</v>
      </c>
      <c r="AA220" s="131">
        <f>'Stasiun Pontianak Kota'!AB282</f>
        <v>0</v>
      </c>
      <c r="AC220" s="130">
        <v>11</v>
      </c>
      <c r="AD220" s="131">
        <f>'Sta. Meteorologi pnk'!B243</f>
        <v>4.9000000000000004</v>
      </c>
      <c r="AE220" s="131">
        <f>'Sta. Meteorologi pnk'!C243</f>
        <v>0</v>
      </c>
      <c r="AF220" s="131">
        <f>'Sta. Meteorologi pnk'!D243</f>
        <v>10.3</v>
      </c>
      <c r="AG220" s="131">
        <f>'Sta. Meteorologi pnk'!E243</f>
        <v>1.3</v>
      </c>
      <c r="AH220" s="131">
        <f>'Sta. Meteorologi pnk'!F243</f>
        <v>0</v>
      </c>
      <c r="AI220" s="131">
        <f>'Sta. Meteorologi pnk'!G243</f>
        <v>0</v>
      </c>
      <c r="AJ220" s="131">
        <f>'Sta. Meteorologi pnk'!H243</f>
        <v>0</v>
      </c>
      <c r="AK220" s="131">
        <f>'Sta. Meteorologi pnk'!I243</f>
        <v>0</v>
      </c>
      <c r="AL220" s="131">
        <f>'Sta. Meteorologi pnk'!J243</f>
        <v>84.4</v>
      </c>
      <c r="AM220" s="131">
        <f>'Sta. Meteorologi pnk'!K243</f>
        <v>3.4</v>
      </c>
      <c r="AN220" s="131">
        <f>'Sta. Meteorologi pnk'!L243</f>
        <v>9.4</v>
      </c>
      <c r="AO220" s="131">
        <f>'Sta. Meteorologi pnk'!M243</f>
        <v>0</v>
      </c>
      <c r="AQ220" s="130">
        <v>11</v>
      </c>
      <c r="AR220" s="131">
        <f t="shared" si="155"/>
        <v>4.2847699315150001</v>
      </c>
      <c r="AS220" s="131">
        <f t="shared" si="153"/>
        <v>0</v>
      </c>
      <c r="AT220" s="131">
        <f t="shared" si="153"/>
        <v>6.9648054182128982</v>
      </c>
      <c r="AU220" s="131">
        <f t="shared" si="153"/>
        <v>1.8504690086444731</v>
      </c>
      <c r="AV220" s="131">
        <f t="shared" si="153"/>
        <v>17.485486156942084</v>
      </c>
      <c r="AW220" s="131">
        <f t="shared" si="153"/>
        <v>0</v>
      </c>
      <c r="AX220" s="131" t="e">
        <f t="shared" si="153"/>
        <v>#VALUE!</v>
      </c>
      <c r="AY220" s="131">
        <f t="shared" si="153"/>
        <v>0</v>
      </c>
      <c r="AZ220" s="131">
        <f t="shared" si="153"/>
        <v>57.070832747297921</v>
      </c>
      <c r="BA220" s="131">
        <f t="shared" si="153"/>
        <v>2.2990619827110534</v>
      </c>
      <c r="BB220" s="131">
        <f t="shared" si="153"/>
        <v>7.3276460851031588</v>
      </c>
      <c r="BC220" s="131">
        <f t="shared" si="153"/>
        <v>0</v>
      </c>
      <c r="BE220" s="130">
        <v>11</v>
      </c>
      <c r="BF220" s="131">
        <f t="shared" si="156"/>
        <v>4.2020563785446647</v>
      </c>
      <c r="BG220" s="131">
        <f t="shared" si="154"/>
        <v>0</v>
      </c>
      <c r="BH220" s="131">
        <f t="shared" si="154"/>
        <v>6.5164108942158148</v>
      </c>
      <c r="BI220" s="131">
        <f t="shared" si="154"/>
        <v>1.924475871828458</v>
      </c>
      <c r="BJ220" s="131">
        <f t="shared" si="154"/>
        <v>19.836292399256898</v>
      </c>
      <c r="BK220" s="131">
        <f t="shared" si="154"/>
        <v>0</v>
      </c>
      <c r="BL220" s="131" t="e">
        <f t="shared" si="154"/>
        <v>#VALUE!</v>
      </c>
      <c r="BM220" s="131">
        <f t="shared" si="154"/>
        <v>0</v>
      </c>
      <c r="BN220" s="131">
        <f t="shared" si="154"/>
        <v>53.396609657457731</v>
      </c>
      <c r="BO220" s="131">
        <f t="shared" si="154"/>
        <v>2.1510482563430839</v>
      </c>
      <c r="BP220" s="131">
        <f t="shared" si="154"/>
        <v>7.0490320119399232</v>
      </c>
      <c r="BQ220" s="131">
        <f t="shared" si="154"/>
        <v>0</v>
      </c>
    </row>
    <row r="221" spans="1:69">
      <c r="A221" s="130">
        <v>12</v>
      </c>
      <c r="B221" s="131">
        <f>IF('Data 2'!B221&lt;0.1,0,'Data 2'!B221)</f>
        <v>74.24848386098121</v>
      </c>
      <c r="C221" s="131">
        <f>IF('Data 2'!C221&lt;0.1,0,'Data 2'!C221)</f>
        <v>0</v>
      </c>
      <c r="D221" s="131">
        <f>IF('Data 2'!D221&lt;0.1,0,'Data 2'!D221)</f>
        <v>5.2567741514998438</v>
      </c>
      <c r="E221" s="131">
        <f>IF('Data 2'!E221&lt;0.1,0,'Data 2'!E221)</f>
        <v>3.0226451371124101</v>
      </c>
      <c r="F221" s="131">
        <f>IF('Data 2'!F221&lt;0.1,0,'Data 2'!F221)</f>
        <v>0</v>
      </c>
      <c r="G221" s="131">
        <f>IF('Data 2'!G221&lt;0.1,0,'Data 2'!G221)</f>
        <v>2.2012741759405596</v>
      </c>
      <c r="H221" s="131" t="str">
        <f>IF('Data 2'!H221&lt;0.1,0,'Data 2'!H221)</f>
        <v>-</v>
      </c>
      <c r="I221" s="131">
        <f>IF('Data 2'!I221&lt;0.1,0,'Data 2'!I221)</f>
        <v>0</v>
      </c>
      <c r="J221" s="131">
        <f>IF('Data 2'!J221&lt;0.1,0,'Data 2'!J221)</f>
        <v>0</v>
      </c>
      <c r="K221" s="131">
        <f>IF('Data 2'!K221&lt;0.1,0,'Data 2'!K221)</f>
        <v>101.18277418408746</v>
      </c>
      <c r="L221" s="131">
        <f>IF('Data 2'!L221&lt;0.1,0,'Data 2'!L221)</f>
        <v>0</v>
      </c>
      <c r="M221" s="131">
        <f>IF('Data 2'!M221&lt;0.1,0,'Data 2'!M221)</f>
        <v>6.6038225278216807</v>
      </c>
      <c r="O221" s="130">
        <v>12</v>
      </c>
      <c r="P221" s="131">
        <f>'Stasiun Pontianak Kota'!Q283</f>
        <v>73</v>
      </c>
      <c r="Q221" s="131">
        <f>'Stasiun Pontianak Kota'!R283</f>
        <v>0</v>
      </c>
      <c r="R221" s="131">
        <f>'Stasiun Pontianak Kota'!S283</f>
        <v>0</v>
      </c>
      <c r="S221" s="131">
        <f>'Stasiun Pontianak Kota'!T283</f>
        <v>0</v>
      </c>
      <c r="T221" s="131">
        <f>'Stasiun Pontianak Kota'!U283</f>
        <v>0</v>
      </c>
      <c r="U221" s="131">
        <f>'Stasiun Pontianak Kota'!V283</f>
        <v>0</v>
      </c>
      <c r="V221" s="131" t="str">
        <f>'Stasiun Pontianak Kota'!W283</f>
        <v>-</v>
      </c>
      <c r="W221" s="131">
        <f>'Stasiun Pontianak Kota'!X283</f>
        <v>0</v>
      </c>
      <c r="X221" s="131">
        <f>'Stasiun Pontianak Kota'!Y283</f>
        <v>0</v>
      </c>
      <c r="Y221" s="131">
        <f>'Stasiun Pontianak Kota'!Z283</f>
        <v>100</v>
      </c>
      <c r="Z221" s="131">
        <f>'Stasiun Pontianak Kota'!AA283</f>
        <v>0</v>
      </c>
      <c r="AA221" s="131">
        <f>'Stasiun Pontianak Kota'!AB283</f>
        <v>0</v>
      </c>
      <c r="AC221" s="130">
        <v>12</v>
      </c>
      <c r="AD221" s="131">
        <f>'Sta. Meteorologi pnk'!B244</f>
        <v>76.8</v>
      </c>
      <c r="AE221" s="131">
        <f>'Sta. Meteorologi pnk'!C244</f>
        <v>0</v>
      </c>
      <c r="AF221" s="131">
        <f>'Sta. Meteorologi pnk'!D244</f>
        <v>16</v>
      </c>
      <c r="AG221" s="131">
        <f>'Sta. Meteorologi pnk'!E244</f>
        <v>9.1999999999999993</v>
      </c>
      <c r="AH221" s="131">
        <f>'Sta. Meteorologi pnk'!F244</f>
        <v>0</v>
      </c>
      <c r="AI221" s="131">
        <f>'Sta. Meteorologi pnk'!G244</f>
        <v>6.7</v>
      </c>
      <c r="AJ221" s="131">
        <f>'Sta. Meteorologi pnk'!H244</f>
        <v>0</v>
      </c>
      <c r="AK221" s="131">
        <f>'Sta. Meteorologi pnk'!I244</f>
        <v>0</v>
      </c>
      <c r="AL221" s="131">
        <f>'Sta. Meteorologi pnk'!J244</f>
        <v>0</v>
      </c>
      <c r="AM221" s="131">
        <f>'Sta. Meteorologi pnk'!K244</f>
        <v>103.6</v>
      </c>
      <c r="AN221" s="131">
        <f>'Sta. Meteorologi pnk'!L244</f>
        <v>0.2</v>
      </c>
      <c r="AO221" s="131">
        <f>'Sta. Meteorologi pnk'!M244</f>
        <v>20.100000000000001</v>
      </c>
      <c r="AQ221" s="130">
        <v>12</v>
      </c>
      <c r="AR221" s="131">
        <f t="shared" si="155"/>
        <v>75.569539863030002</v>
      </c>
      <c r="AS221" s="131">
        <f t="shared" si="153"/>
        <v>0</v>
      </c>
      <c r="AT221" s="131">
        <f t="shared" si="153"/>
        <v>10.8191152127579</v>
      </c>
      <c r="AU221" s="131">
        <f t="shared" si="153"/>
        <v>6.2209912473357925</v>
      </c>
      <c r="AV221" s="131">
        <f t="shared" si="153"/>
        <v>0</v>
      </c>
      <c r="AW221" s="131">
        <f t="shared" si="153"/>
        <v>4.5305044953423712</v>
      </c>
      <c r="AX221" s="131" t="e">
        <f t="shared" si="153"/>
        <v>#VALUE!</v>
      </c>
      <c r="AY221" s="131">
        <f t="shared" si="153"/>
        <v>0</v>
      </c>
      <c r="AZ221" s="131">
        <f t="shared" si="153"/>
        <v>0</v>
      </c>
      <c r="BA221" s="131">
        <f t="shared" si="153"/>
        <v>102.43430092287052</v>
      </c>
      <c r="BB221" s="131">
        <f t="shared" si="153"/>
        <v>0.13523894015947374</v>
      </c>
      <c r="BC221" s="131">
        <f t="shared" si="153"/>
        <v>13.591513486027113</v>
      </c>
      <c r="BE221" s="130">
        <v>12</v>
      </c>
      <c r="BF221" s="131">
        <f t="shared" si="156"/>
        <v>75.404112757089322</v>
      </c>
      <c r="BG221" s="131">
        <f t="shared" si="154"/>
        <v>0</v>
      </c>
      <c r="BH221" s="131">
        <f t="shared" si="154"/>
        <v>10.122580029849807</v>
      </c>
      <c r="BI221" s="131">
        <f t="shared" si="154"/>
        <v>5.8204835171636402</v>
      </c>
      <c r="BJ221" s="131">
        <f t="shared" si="154"/>
        <v>0</v>
      </c>
      <c r="BK221" s="131">
        <f t="shared" si="154"/>
        <v>4.2388303874996076</v>
      </c>
      <c r="BL221" s="131" t="e">
        <f t="shared" si="154"/>
        <v>#VALUE!</v>
      </c>
      <c r="BM221" s="131">
        <f t="shared" si="154"/>
        <v>0</v>
      </c>
      <c r="BN221" s="131">
        <f t="shared" si="154"/>
        <v>0</v>
      </c>
      <c r="BO221" s="131">
        <f t="shared" si="154"/>
        <v>102.27758050671622</v>
      </c>
      <c r="BP221" s="131">
        <f t="shared" si="154"/>
        <v>0.11830386212616625</v>
      </c>
      <c r="BQ221" s="131">
        <f t="shared" si="154"/>
        <v>12.716491162498823</v>
      </c>
    </row>
    <row r="222" spans="1:69">
      <c r="A222" s="130">
        <v>13</v>
      </c>
      <c r="B222" s="131">
        <f>IF('Data 2'!B222&lt;0.1,0,'Data 2'!B222)</f>
        <v>111.55853225359687</v>
      </c>
      <c r="C222" s="131">
        <f>IF('Data 2'!C222&lt;0.1,0,'Data 2'!C222)</f>
        <v>0</v>
      </c>
      <c r="D222" s="131">
        <f>IF('Data 2'!D222&lt;0.1,0,'Data 2'!D222)</f>
        <v>10.677822495234059</v>
      </c>
      <c r="E222" s="131">
        <f>IF('Data 2'!E222&lt;0.1,0,'Data 2'!E222)</f>
        <v>14.100483926156452</v>
      </c>
      <c r="F222" s="131">
        <f>IF('Data 2'!F222&lt;0.1,0,'Data 2'!F222)</f>
        <v>26.026790282371724</v>
      </c>
      <c r="G222" s="131">
        <f>IF('Data 2'!G222&lt;0.1,0,'Data 2'!G222)</f>
        <v>1.314193537874961</v>
      </c>
      <c r="H222" s="131" t="str">
        <f>IF('Data 2'!H222&lt;0.1,0,'Data 2'!H222)</f>
        <v>-</v>
      </c>
      <c r="I222" s="131">
        <f>IF('Data 2'!I222&lt;0.1,0,'Data 2'!I222)</f>
        <v>0</v>
      </c>
      <c r="J222" s="131">
        <f>IF('Data 2'!J222&lt;0.1,0,'Data 2'!J222)</f>
        <v>0.26283870757499223</v>
      </c>
      <c r="K222" s="131">
        <f>IF('Data 2'!K222&lt;0.1,0,'Data 2'!K222)</f>
        <v>9.8213709611718514</v>
      </c>
      <c r="L222" s="131">
        <f>IF('Data 2'!L222&lt;0.1,0,'Data 2'!L222)</f>
        <v>0</v>
      </c>
      <c r="M222" s="131">
        <f>IF('Data 2'!M222&lt;0.1,0,'Data 2'!M222)</f>
        <v>0</v>
      </c>
      <c r="O222" s="130">
        <v>13</v>
      </c>
      <c r="P222" s="131">
        <f>'Stasiun Pontianak Kota'!Q284</f>
        <v>111</v>
      </c>
      <c r="Q222" s="131">
        <f>'Stasiun Pontianak Kota'!R284</f>
        <v>0</v>
      </c>
      <c r="R222" s="131">
        <f>'Stasiun Pontianak Kota'!S284</f>
        <v>0</v>
      </c>
      <c r="S222" s="131">
        <f>'Stasiun Pontianak Kota'!T284</f>
        <v>21</v>
      </c>
      <c r="T222" s="131">
        <f>'Stasiun Pontianak Kota'!U284</f>
        <v>21</v>
      </c>
      <c r="U222" s="131">
        <f>'Stasiun Pontianak Kota'!V284</f>
        <v>0</v>
      </c>
      <c r="V222" s="131" t="str">
        <f>'Stasiun Pontianak Kota'!W284</f>
        <v>-</v>
      </c>
      <c r="W222" s="131">
        <f>'Stasiun Pontianak Kota'!X284</f>
        <v>0</v>
      </c>
      <c r="X222" s="131">
        <f>'Stasiun Pontianak Kota'!Y284</f>
        <v>0</v>
      </c>
      <c r="Y222" s="131">
        <f>'Stasiun Pontianak Kota'!Z284</f>
        <v>9</v>
      </c>
      <c r="Z222" s="131">
        <f>'Stasiun Pontianak Kota'!AA284</f>
        <v>0</v>
      </c>
      <c r="AA222" s="131">
        <f>'Stasiun Pontianak Kota'!AB284</f>
        <v>0</v>
      </c>
      <c r="AC222" s="130">
        <v>13</v>
      </c>
      <c r="AD222" s="131">
        <f>'Sta. Meteorologi pnk'!B245</f>
        <v>112.7</v>
      </c>
      <c r="AE222" s="131">
        <f>'Sta. Meteorologi pnk'!C245</f>
        <v>0</v>
      </c>
      <c r="AF222" s="131">
        <f>'Sta. Meteorologi pnk'!D245</f>
        <v>32.5</v>
      </c>
      <c r="AG222" s="131">
        <f>'Sta. Meteorologi pnk'!E245</f>
        <v>0</v>
      </c>
      <c r="AH222" s="131">
        <f>'Sta. Meteorologi pnk'!F245</f>
        <v>36.299999999999997</v>
      </c>
      <c r="AI222" s="131">
        <f>'Sta. Meteorologi pnk'!G245</f>
        <v>4</v>
      </c>
      <c r="AJ222" s="131">
        <f>'Sta. Meteorologi pnk'!H245</f>
        <v>0</v>
      </c>
      <c r="AK222" s="131">
        <f>'Sta. Meteorologi pnk'!I245</f>
        <v>0</v>
      </c>
      <c r="AL222" s="131">
        <f>'Sta. Meteorologi pnk'!J245</f>
        <v>0.8</v>
      </c>
      <c r="AM222" s="131">
        <f>'Sta. Meteorologi pnk'!K245</f>
        <v>11.5</v>
      </c>
      <c r="AN222" s="131">
        <f>'Sta. Meteorologi pnk'!L245</f>
        <v>0</v>
      </c>
      <c r="AO222" s="131">
        <f>'Sta. Meteorologi pnk'!M245</f>
        <v>0.2</v>
      </c>
      <c r="AQ222" s="130">
        <v>13</v>
      </c>
      <c r="AR222" s="131">
        <f t="shared" si="155"/>
        <v>112.14953099135552</v>
      </c>
      <c r="AS222" s="131">
        <f t="shared" si="153"/>
        <v>0</v>
      </c>
      <c r="AT222" s="131">
        <f t="shared" si="153"/>
        <v>21.976327775914484</v>
      </c>
      <c r="AU222" s="131">
        <f t="shared" si="153"/>
        <v>6.7999112832552546</v>
      </c>
      <c r="AV222" s="131">
        <f t="shared" si="153"/>
        <v>31.345778922199734</v>
      </c>
      <c r="AW222" s="131">
        <f t="shared" si="153"/>
        <v>2.7047788031894751</v>
      </c>
      <c r="AX222" s="131" t="e">
        <f t="shared" si="153"/>
        <v>#VALUE!</v>
      </c>
      <c r="AY222" s="131">
        <f t="shared" si="153"/>
        <v>0</v>
      </c>
      <c r="AZ222" s="131">
        <f t="shared" si="153"/>
        <v>0.54095576063789497</v>
      </c>
      <c r="BA222" s="131">
        <f t="shared" si="153"/>
        <v>10.69048675199342</v>
      </c>
      <c r="BB222" s="131">
        <f t="shared" si="153"/>
        <v>0</v>
      </c>
      <c r="BC222" s="131">
        <f t="shared" si="153"/>
        <v>0.13523894015947374</v>
      </c>
      <c r="BE222" s="130">
        <v>13</v>
      </c>
      <c r="BF222" s="131">
        <f t="shared" si="156"/>
        <v>112.07552412817155</v>
      </c>
      <c r="BG222" s="131">
        <f t="shared" si="154"/>
        <v>0</v>
      </c>
      <c r="BH222" s="131">
        <f t="shared" si="154"/>
        <v>20.561490685632421</v>
      </c>
      <c r="BI222" s="131">
        <f t="shared" si="154"/>
        <v>7.7141137108221267</v>
      </c>
      <c r="BJ222" s="131">
        <f t="shared" si="154"/>
        <v>30.679717153543876</v>
      </c>
      <c r="BK222" s="131">
        <f t="shared" si="154"/>
        <v>2.5306450074624518</v>
      </c>
      <c r="BL222" s="131" t="e">
        <f t="shared" si="154"/>
        <v>#VALUE!</v>
      </c>
      <c r="BM222" s="131">
        <f t="shared" si="154"/>
        <v>0</v>
      </c>
      <c r="BN222" s="131">
        <f t="shared" si="154"/>
        <v>0.5061290014924904</v>
      </c>
      <c r="BO222" s="131">
        <f t="shared" si="154"/>
        <v>10.581653129664032</v>
      </c>
      <c r="BP222" s="131">
        <f t="shared" si="154"/>
        <v>0</v>
      </c>
      <c r="BQ222" s="131">
        <f t="shared" si="154"/>
        <v>0.11830386212616625</v>
      </c>
    </row>
    <row r="223" spans="1:69">
      <c r="A223" s="130">
        <v>14</v>
      </c>
      <c r="B223" s="131">
        <f>IF('Data 2'!B223&lt;0.1,0,'Data 2'!B223)</f>
        <v>75.946725758884199</v>
      </c>
      <c r="C223" s="131">
        <f>IF('Data 2'!C223&lt;0.1,0,'Data 2'!C223)</f>
        <v>0</v>
      </c>
      <c r="D223" s="131">
        <f>IF('Data 2'!D223&lt;0.1,0,'Data 2'!D223)</f>
        <v>0</v>
      </c>
      <c r="E223" s="131">
        <f>IF('Data 2'!E223&lt;0.1,0,'Data 2'!E223)</f>
        <v>11.030935427631041</v>
      </c>
      <c r="F223" s="131">
        <f>IF('Data 2'!F223&lt;0.1,0,'Data 2'!F223)</f>
        <v>0</v>
      </c>
      <c r="G223" s="131">
        <f>IF('Data 2'!G223&lt;0.1,0,'Data 2'!G223)</f>
        <v>0</v>
      </c>
      <c r="H223" s="131" t="str">
        <f>IF('Data 2'!H223&lt;0.1,0,'Data 2'!H223)</f>
        <v>-</v>
      </c>
      <c r="I223" s="131">
        <f>IF('Data 2'!I223&lt;0.1,0,'Data 2'!I223)</f>
        <v>0</v>
      </c>
      <c r="J223" s="131">
        <f>IF('Data 2'!J223&lt;0.1,0,'Data 2'!J223)</f>
        <v>0</v>
      </c>
      <c r="K223" s="131">
        <f>IF('Data 2'!K223&lt;0.1,0,'Data 2'!K223)</f>
        <v>116.21562902253433</v>
      </c>
      <c r="L223" s="131">
        <f>IF('Data 2'!L223&lt;0.1,0,'Data 2'!L223)</f>
        <v>6.8500806543594086</v>
      </c>
      <c r="M223" s="131">
        <f>IF('Data 2'!M223&lt;0.1,0,'Data 2'!M223)</f>
        <v>0.26283870757499223</v>
      </c>
      <c r="O223" s="130">
        <v>14</v>
      </c>
      <c r="P223" s="131">
        <f>'Stasiun Pontianak Kota'!Q285</f>
        <v>70</v>
      </c>
      <c r="Q223" s="131">
        <f>'Stasiun Pontianak Kota'!R285</f>
        <v>0</v>
      </c>
      <c r="R223" s="131">
        <f>'Stasiun Pontianak Kota'!S285</f>
        <v>0</v>
      </c>
      <c r="S223" s="131">
        <f>'Stasiun Pontianak Kota'!T285</f>
        <v>4</v>
      </c>
      <c r="T223" s="131">
        <f>'Stasiun Pontianak Kota'!U285</f>
        <v>0</v>
      </c>
      <c r="U223" s="131">
        <f>'Stasiun Pontianak Kota'!V285</f>
        <v>0</v>
      </c>
      <c r="V223" s="131" t="str">
        <f>'Stasiun Pontianak Kota'!W285</f>
        <v>-</v>
      </c>
      <c r="W223" s="131">
        <f>'Stasiun Pontianak Kota'!X285</f>
        <v>0</v>
      </c>
      <c r="X223" s="131">
        <f>'Stasiun Pontianak Kota'!Y285</f>
        <v>0</v>
      </c>
      <c r="Y223" s="131">
        <f>'Stasiun Pontianak Kota'!Z285</f>
        <v>115</v>
      </c>
      <c r="Z223" s="131">
        <f>'Stasiun Pontianak Kota'!AA285</f>
        <v>8</v>
      </c>
      <c r="AA223" s="131">
        <f>'Stasiun Pontianak Kota'!AB285</f>
        <v>0</v>
      </c>
      <c r="AC223" s="130">
        <v>14</v>
      </c>
      <c r="AD223" s="131">
        <f>'Sta. Meteorologi pnk'!B246</f>
        <v>88.1</v>
      </c>
      <c r="AE223" s="131">
        <f>'Sta. Meteorologi pnk'!C246</f>
        <v>0</v>
      </c>
      <c r="AF223" s="131">
        <f>'Sta. Meteorologi pnk'!D246</f>
        <v>0.1</v>
      </c>
      <c r="AG223" s="131">
        <f>'Sta. Meteorologi pnk'!E246</f>
        <v>25.4</v>
      </c>
      <c r="AH223" s="131">
        <f>'Sta. Meteorologi pnk'!F246</f>
        <v>0.3</v>
      </c>
      <c r="AI223" s="131">
        <f>'Sta. Meteorologi pnk'!G246</f>
        <v>0</v>
      </c>
      <c r="AJ223" s="131">
        <f>'Sta. Meteorologi pnk'!H246</f>
        <v>0</v>
      </c>
      <c r="AK223" s="131">
        <f>'Sta. Meteorologi pnk'!I246</f>
        <v>0</v>
      </c>
      <c r="AL223" s="131">
        <f>'Sta. Meteorologi pnk'!J246</f>
        <v>0</v>
      </c>
      <c r="AM223" s="131">
        <f>'Sta. Meteorologi pnk'!K246</f>
        <v>118.7</v>
      </c>
      <c r="AN223" s="131">
        <f>'Sta. Meteorologi pnk'!L246</f>
        <v>4.5</v>
      </c>
      <c r="AO223" s="131">
        <f>'Sta. Meteorologi pnk'!M246</f>
        <v>0.8</v>
      </c>
      <c r="AQ223" s="130">
        <v>14</v>
      </c>
      <c r="AR223" s="131">
        <f t="shared" si="155"/>
        <v>82.239124084432362</v>
      </c>
      <c r="AS223" s="131">
        <f t="shared" si="153"/>
        <v>0</v>
      </c>
      <c r="AT223" s="131">
        <f t="shared" si="153"/>
        <v>6.7619470079736871E-2</v>
      </c>
      <c r="AU223" s="131">
        <f t="shared" si="153"/>
        <v>18.470566597063691</v>
      </c>
      <c r="AV223" s="131">
        <f t="shared" si="153"/>
        <v>0.20285841023921061</v>
      </c>
      <c r="AW223" s="131">
        <f t="shared" si="153"/>
        <v>0</v>
      </c>
      <c r="AX223" s="131" t="e">
        <f t="shared" si="153"/>
        <v>#VALUE!</v>
      </c>
      <c r="AY223" s="131">
        <f t="shared" si="153"/>
        <v>0</v>
      </c>
      <c r="AZ223" s="131">
        <f t="shared" si="153"/>
        <v>0</v>
      </c>
      <c r="BA223" s="131">
        <f t="shared" si="153"/>
        <v>117.50192039295025</v>
      </c>
      <c r="BB223" s="131">
        <f t="shared" si="153"/>
        <v>5.6333185472092095</v>
      </c>
      <c r="BC223" s="131">
        <f t="shared" si="153"/>
        <v>0.54095576063789497</v>
      </c>
      <c r="BE223" s="130">
        <v>14</v>
      </c>
      <c r="BF223" s="131">
        <f t="shared" si="156"/>
        <v>81.451168658767585</v>
      </c>
      <c r="BG223" s="131">
        <f t="shared" si="154"/>
        <v>0</v>
      </c>
      <c r="BH223" s="131">
        <f>((D223/($BI$1^2))+(R223/($AV$1^2))+(AF223/($AV$2^2)))/((1/($BI$1^2))+(1/($AV$1^2))+(1/($AV$2^2)))</f>
        <v>5.9151931063083127E-2</v>
      </c>
      <c r="BI223" s="131">
        <f t="shared" si="154"/>
        <v>17.538950789924119</v>
      </c>
      <c r="BJ223" s="131">
        <f t="shared" si="154"/>
        <v>0.17745579318924937</v>
      </c>
      <c r="BK223" s="131">
        <f t="shared" si="154"/>
        <v>0</v>
      </c>
      <c r="BL223" s="131" t="e">
        <f t="shared" si="154"/>
        <v>#VALUE!</v>
      </c>
      <c r="BM223" s="131">
        <f t="shared" si="154"/>
        <v>0</v>
      </c>
      <c r="BN223" s="131">
        <f t="shared" si="154"/>
        <v>0</v>
      </c>
      <c r="BO223" s="131">
        <f t="shared" si="154"/>
        <v>117.34084663190275</v>
      </c>
      <c r="BP223" s="131">
        <f t="shared" si="154"/>
        <v>5.785685618470354</v>
      </c>
      <c r="BQ223" s="131">
        <f t="shared" si="154"/>
        <v>0.5061290014924904</v>
      </c>
    </row>
    <row r="224" spans="1:69">
      <c r="A224" s="130">
        <v>15</v>
      </c>
      <c r="B224" s="131">
        <f>IF('Data 2'!B224&lt;0.1,0,'Data 2'!B224)</f>
        <v>4.0143548465937791</v>
      </c>
      <c r="C224" s="131">
        <f>IF('Data 2'!C224&lt;0.1,0,'Data 2'!C224)</f>
        <v>0</v>
      </c>
      <c r="D224" s="131">
        <f>IF('Data 2'!D224&lt;0.1,0,'Data 2'!D224)</f>
        <v>6.8995160738435457</v>
      </c>
      <c r="E224" s="131">
        <f>IF('Data 2'!E224&lt;0.1,0,'Data 2'!E224)</f>
        <v>9.8870806380655978</v>
      </c>
      <c r="F224" s="131">
        <f>IF('Data 2'!F224&lt;0.1,0,'Data 2'!F224)</f>
        <v>4.6653870594561111</v>
      </c>
      <c r="G224" s="131">
        <f>IF('Data 2'!G224&lt;0.1,0,'Data 2'!G224)</f>
        <v>5.322483828393592</v>
      </c>
      <c r="H224" s="131" t="str">
        <f>IF('Data 2'!H224&lt;0.1,0,'Data 2'!H224)</f>
        <v>-</v>
      </c>
      <c r="I224" s="131">
        <f>IF('Data 2'!I224&lt;0.1,0,'Data 2'!I224)</f>
        <v>0</v>
      </c>
      <c r="J224" s="131">
        <f>IF('Data 2'!J224&lt;0.1,0,'Data 2'!J224)</f>
        <v>0</v>
      </c>
      <c r="K224" s="131">
        <f>IF('Data 2'!K224&lt;0.1,0,'Data 2'!K224)</f>
        <v>0</v>
      </c>
      <c r="L224" s="131">
        <f>IF('Data 2'!L224&lt;0.1,0,'Data 2'!L224)</f>
        <v>0.98564515340622083</v>
      </c>
      <c r="M224" s="131">
        <f>IF('Data 2'!M224&lt;0.1,0,'Data 2'!M224)</f>
        <v>13.601903117005847</v>
      </c>
      <c r="O224" s="130">
        <v>15</v>
      </c>
      <c r="P224" s="131">
        <f>'Stasiun Pontianak Kota'!Q286</f>
        <v>5</v>
      </c>
      <c r="Q224" s="131">
        <f>'Stasiun Pontianak Kota'!R286</f>
        <v>0</v>
      </c>
      <c r="R224" s="131">
        <f>'Stasiun Pontianak Kota'!S286</f>
        <v>0</v>
      </c>
      <c r="S224" s="131">
        <f>'Stasiun Pontianak Kota'!T286</f>
        <v>9</v>
      </c>
      <c r="T224" s="131">
        <f>'Stasiun Pontianak Kota'!U286</f>
        <v>0</v>
      </c>
      <c r="U224" s="131">
        <f>'Stasiun Pontianak Kota'!V286</f>
        <v>0</v>
      </c>
      <c r="V224" s="131" t="str">
        <f>'Stasiun Pontianak Kota'!W286</f>
        <v>-</v>
      </c>
      <c r="W224" s="131">
        <f>'Stasiun Pontianak Kota'!X286</f>
        <v>0</v>
      </c>
      <c r="X224" s="131">
        <f>'Stasiun Pontianak Kota'!Y286</f>
        <v>0</v>
      </c>
      <c r="Y224" s="131">
        <f>'Stasiun Pontianak Kota'!Z286</f>
        <v>0</v>
      </c>
      <c r="Z224" s="131">
        <f>'Stasiun Pontianak Kota'!AA286</f>
        <v>0</v>
      </c>
      <c r="AA224" s="131">
        <f>'Stasiun Pontianak Kota'!AB286</f>
        <v>0</v>
      </c>
      <c r="AC224" s="130">
        <v>15</v>
      </c>
      <c r="AD224" s="131">
        <f>'Sta. Meteorologi pnk'!B247</f>
        <v>2</v>
      </c>
      <c r="AE224" s="131">
        <f>'Sta. Meteorologi pnk'!C247</f>
        <v>0</v>
      </c>
      <c r="AF224" s="131">
        <f>'Sta. Meteorologi pnk'!D247</f>
        <v>21</v>
      </c>
      <c r="AG224" s="131">
        <f>'Sta. Meteorologi pnk'!E247</f>
        <v>11.7</v>
      </c>
      <c r="AH224" s="131">
        <f>'Sta. Meteorologi pnk'!F247</f>
        <v>14.2</v>
      </c>
      <c r="AI224" s="131">
        <f>'Sta. Meteorologi pnk'!G247</f>
        <v>16.2</v>
      </c>
      <c r="AJ224" s="131">
        <f>'Sta. Meteorologi pnk'!H247</f>
        <v>0</v>
      </c>
      <c r="AK224" s="131">
        <f>'Sta. Meteorologi pnk'!I247</f>
        <v>0</v>
      </c>
      <c r="AL224" s="131">
        <f>'Sta. Meteorologi pnk'!J247</f>
        <v>0</v>
      </c>
      <c r="AM224" s="131">
        <f>'Sta. Meteorologi pnk'!K247</f>
        <v>0</v>
      </c>
      <c r="AN224" s="131">
        <f>'Sta. Meteorologi pnk'!L247</f>
        <v>3</v>
      </c>
      <c r="AO224" s="131">
        <f>'Sta. Meteorologi pnk'!M247</f>
        <v>41.4</v>
      </c>
      <c r="AQ224" s="130">
        <v>15</v>
      </c>
      <c r="AR224" s="131">
        <f t="shared" si="155"/>
        <v>2.9714158976078933</v>
      </c>
      <c r="AS224" s="131">
        <f t="shared" si="153"/>
        <v>0</v>
      </c>
      <c r="AT224" s="131">
        <f t="shared" si="153"/>
        <v>14.200088716744744</v>
      </c>
      <c r="AU224" s="131">
        <f t="shared" si="153"/>
        <v>10.825725692152893</v>
      </c>
      <c r="AV224" s="131">
        <f t="shared" si="153"/>
        <v>9.6019647513226367</v>
      </c>
      <c r="AW224" s="131">
        <f t="shared" si="153"/>
        <v>10.954354152917373</v>
      </c>
      <c r="AX224" s="131" t="e">
        <f t="shared" si="153"/>
        <v>#VALUE!</v>
      </c>
      <c r="AY224" s="131">
        <f t="shared" si="153"/>
        <v>0</v>
      </c>
      <c r="AZ224" s="131">
        <f t="shared" si="153"/>
        <v>0</v>
      </c>
      <c r="BA224" s="131">
        <f t="shared" si="153"/>
        <v>0</v>
      </c>
      <c r="BB224" s="131">
        <f t="shared" si="153"/>
        <v>2.0285841023921063</v>
      </c>
      <c r="BC224" s="131">
        <f t="shared" si="153"/>
        <v>27.994460613011068</v>
      </c>
      <c r="BE224" s="130">
        <v>15</v>
      </c>
      <c r="BF224" s="131">
        <f t="shared" si="156"/>
        <v>3.1020162444031611</v>
      </c>
      <c r="BG224" s="131">
        <f t="shared" si="154"/>
        <v>0</v>
      </c>
      <c r="BH224" s="131">
        <f t="shared" si="154"/>
        <v>13.285886289177872</v>
      </c>
      <c r="BI224" s="131">
        <f t="shared" si="154"/>
        <v>10.708185380037154</v>
      </c>
      <c r="BJ224" s="131">
        <f t="shared" si="154"/>
        <v>8.9837897764917045</v>
      </c>
      <c r="BK224" s="131">
        <f t="shared" si="154"/>
        <v>10.249112280222931</v>
      </c>
      <c r="BL224" s="131" t="e">
        <f t="shared" si="154"/>
        <v>#VALUE!</v>
      </c>
      <c r="BM224" s="131">
        <f t="shared" si="154"/>
        <v>0</v>
      </c>
      <c r="BN224" s="131">
        <f t="shared" si="154"/>
        <v>0</v>
      </c>
      <c r="BO224" s="131">
        <f t="shared" si="154"/>
        <v>0</v>
      </c>
      <c r="BP224" s="131">
        <f t="shared" si="154"/>
        <v>1.8979837555968391</v>
      </c>
      <c r="BQ224" s="131">
        <f t="shared" si="154"/>
        <v>26.19217582723638</v>
      </c>
    </row>
    <row r="225" spans="1:69">
      <c r="A225" s="130">
        <v>16</v>
      </c>
      <c r="B225" s="131">
        <f>IF('Data 2'!B225&lt;0.1,0,'Data 2'!B225)</f>
        <v>0.16427419223437012</v>
      </c>
      <c r="C225" s="131">
        <f>IF('Data 2'!C225&lt;0.1,0,'Data 2'!C225)</f>
        <v>0</v>
      </c>
      <c r="D225" s="131">
        <f>IF('Data 2'!D225&lt;0.1,0,'Data 2'!D225)</f>
        <v>0</v>
      </c>
      <c r="E225" s="131">
        <f>IF('Data 2'!E225&lt;0.1,0,'Data 2'!E225)</f>
        <v>13.246564450165383</v>
      </c>
      <c r="F225" s="131">
        <f>IF('Data 2'!F225&lt;0.1,0,'Data 2'!F225)</f>
        <v>90.287403255503222</v>
      </c>
      <c r="G225" s="131">
        <f>IF('Data 2'!G225&lt;0.1,0,'Data 2'!G225)</f>
        <v>2.0698548221530637</v>
      </c>
      <c r="H225" s="131" t="str">
        <f>IF('Data 2'!H225&lt;0.1,0,'Data 2'!H225)</f>
        <v>-</v>
      </c>
      <c r="I225" s="131">
        <f>IF('Data 2'!I225&lt;0.1,0,'Data 2'!I225)</f>
        <v>0</v>
      </c>
      <c r="J225" s="131">
        <f>IF('Data 2'!J225&lt;0.1,0,'Data 2'!J225)</f>
        <v>0</v>
      </c>
      <c r="K225" s="131">
        <f>IF('Data 2'!K225&lt;0.1,0,'Data 2'!K225)</f>
        <v>8.8708063806559885</v>
      </c>
      <c r="L225" s="131">
        <f>IF('Data 2'!L225&lt;0.1,0,'Data 2'!L225)</f>
        <v>15.443387157218973</v>
      </c>
      <c r="M225" s="131">
        <f>IF('Data 2'!M225&lt;0.1,0,'Data 2'!M225)</f>
        <v>0.45996773825623638</v>
      </c>
      <c r="O225" s="130">
        <v>16</v>
      </c>
      <c r="P225" s="131">
        <f>'Stasiun Pontianak Kota'!Q287</f>
        <v>0</v>
      </c>
      <c r="Q225" s="131">
        <f>'Stasiun Pontianak Kota'!R287</f>
        <v>0</v>
      </c>
      <c r="R225" s="131">
        <f>'Stasiun Pontianak Kota'!S287</f>
        <v>0</v>
      </c>
      <c r="S225" s="131">
        <f>'Stasiun Pontianak Kota'!T287</f>
        <v>5</v>
      </c>
      <c r="T225" s="131">
        <f>'Stasiun Pontianak Kota'!U287</f>
        <v>94</v>
      </c>
      <c r="U225" s="131">
        <f>'Stasiun Pontianak Kota'!V287</f>
        <v>0</v>
      </c>
      <c r="V225" s="131" t="str">
        <f>'Stasiun Pontianak Kota'!W287</f>
        <v>-</v>
      </c>
      <c r="W225" s="131">
        <f>'Stasiun Pontianak Kota'!X287</f>
        <v>0</v>
      </c>
      <c r="X225" s="131">
        <f>'Stasiun Pontianak Kota'!Y287</f>
        <v>0</v>
      </c>
      <c r="Y225" s="131">
        <f>'Stasiun Pontianak Kota'!Z287</f>
        <v>0</v>
      </c>
      <c r="Z225" s="131">
        <f>'Stasiun Pontianak Kota'!AA287</f>
        <v>23</v>
      </c>
      <c r="AA225" s="131">
        <f>'Stasiun Pontianak Kota'!AB287</f>
        <v>0</v>
      </c>
      <c r="AC225" s="130">
        <v>16</v>
      </c>
      <c r="AD225" s="131">
        <f>'Sta. Meteorologi pnk'!B248</f>
        <v>0.5</v>
      </c>
      <c r="AE225" s="131">
        <f>'Sta. Meteorologi pnk'!C248</f>
        <v>0</v>
      </c>
      <c r="AF225" s="131">
        <f>'Sta. Meteorologi pnk'!D248</f>
        <v>0</v>
      </c>
      <c r="AG225" s="131">
        <f>'Sta. Meteorologi pnk'!E248</f>
        <v>30.1</v>
      </c>
      <c r="AH225" s="131">
        <f>'Sta. Meteorologi pnk'!F248</f>
        <v>82.7</v>
      </c>
      <c r="AI225" s="131">
        <f>'Sta. Meteorologi pnk'!G248</f>
        <v>6.3</v>
      </c>
      <c r="AJ225" s="131">
        <f>'Sta. Meteorologi pnk'!H248</f>
        <v>0</v>
      </c>
      <c r="AK225" s="131">
        <f>'Sta. Meteorologi pnk'!I248</f>
        <v>0</v>
      </c>
      <c r="AL225" s="131">
        <f>'Sta. Meteorologi pnk'!J248</f>
        <v>0</v>
      </c>
      <c r="AM225" s="131">
        <f>'Sta. Meteorologi pnk'!K248</f>
        <v>27</v>
      </c>
      <c r="AN225" s="131">
        <f>'Sta. Meteorologi pnk'!L248</f>
        <v>0</v>
      </c>
      <c r="AO225" s="131">
        <f>'Sta. Meteorologi pnk'!M248</f>
        <v>1.4</v>
      </c>
      <c r="AQ225" s="130">
        <v>16</v>
      </c>
      <c r="AR225" s="131">
        <f t="shared" si="155"/>
        <v>0.33809735039868438</v>
      </c>
      <c r="AS225" s="131">
        <f t="shared" si="153"/>
        <v>0</v>
      </c>
      <c r="AT225" s="131">
        <f t="shared" si="153"/>
        <v>0</v>
      </c>
      <c r="AU225" s="131">
        <f t="shared" si="153"/>
        <v>21.972486990013959</v>
      </c>
      <c r="AV225" s="131">
        <f t="shared" si="153"/>
        <v>86.358999880989742</v>
      </c>
      <c r="AW225" s="131">
        <f t="shared" si="153"/>
        <v>4.2600266150234232</v>
      </c>
      <c r="AX225" s="131" t="e">
        <f t="shared" si="153"/>
        <v>#VALUE!</v>
      </c>
      <c r="AY225" s="131">
        <f t="shared" si="153"/>
        <v>0</v>
      </c>
      <c r="AZ225" s="131">
        <f t="shared" si="153"/>
        <v>0</v>
      </c>
      <c r="BA225" s="131">
        <f t="shared" si="153"/>
        <v>18.257256921528953</v>
      </c>
      <c r="BB225" s="131">
        <f t="shared" si="153"/>
        <v>7.4475218816605171</v>
      </c>
      <c r="BC225" s="131">
        <f t="shared" si="153"/>
        <v>0.94667258111631614</v>
      </c>
      <c r="BE225" s="130">
        <v>16</v>
      </c>
      <c r="BF225" s="131">
        <f t="shared" si="156"/>
        <v>0.31633062593280648</v>
      </c>
      <c r="BG225" s="131">
        <f t="shared" si="154"/>
        <v>0</v>
      </c>
      <c r="BH225" s="131">
        <f t="shared" si="154"/>
        <v>0</v>
      </c>
      <c r="BI225" s="131">
        <f t="shared" si="154"/>
        <v>20.87979742182689</v>
      </c>
      <c r="BJ225" s="131">
        <f t="shared" si="154"/>
        <v>86.850927853918577</v>
      </c>
      <c r="BK225" s="131">
        <f t="shared" si="154"/>
        <v>3.9857658867533621</v>
      </c>
      <c r="BL225" s="131" t="e">
        <f t="shared" si="154"/>
        <v>#VALUE!</v>
      </c>
      <c r="BM225" s="131">
        <f t="shared" si="154"/>
        <v>0</v>
      </c>
      <c r="BN225" s="131">
        <f t="shared" si="154"/>
        <v>0</v>
      </c>
      <c r="BO225" s="131">
        <f t="shared" si="154"/>
        <v>17.081853800371547</v>
      </c>
      <c r="BP225" s="131">
        <f t="shared" si="154"/>
        <v>8.4487912070909008</v>
      </c>
      <c r="BQ225" s="131">
        <f t="shared" si="154"/>
        <v>0.88572575261185815</v>
      </c>
    </row>
    <row r="226" spans="1:69">
      <c r="A226" s="130">
        <v>17</v>
      </c>
      <c r="B226" s="131">
        <f>IF('Data 2'!B226&lt;0.1,0,'Data 2'!B226)</f>
        <v>0</v>
      </c>
      <c r="C226" s="131">
        <f>IF('Data 2'!C226&lt;0.1,0,'Data 2'!C226)</f>
        <v>0</v>
      </c>
      <c r="D226" s="131">
        <f>IF('Data 2'!D226&lt;0.1,0,'Data 2'!D226)</f>
        <v>0</v>
      </c>
      <c r="E226" s="131">
        <f>IF('Data 2'!E226&lt;0.1,0,'Data 2'!E226)</f>
        <v>8.5913870920437319</v>
      </c>
      <c r="F226" s="131">
        <f>IF('Data 2'!F226&lt;0.1,0,'Data 2'!F226)</f>
        <v>0.16427419223437012</v>
      </c>
      <c r="G226" s="131">
        <f>IF('Data 2'!G226&lt;0.1,0,'Data 2'!G226)</f>
        <v>0</v>
      </c>
      <c r="H226" s="131" t="str">
        <f>IF('Data 2'!H226&lt;0.1,0,'Data 2'!H226)</f>
        <v>-</v>
      </c>
      <c r="I226" s="131">
        <f>IF('Data 2'!I226&lt;0.1,0,'Data 2'!I226)</f>
        <v>0</v>
      </c>
      <c r="J226" s="131">
        <f>IF('Data 2'!J226&lt;0.1,0,'Data 2'!J226)</f>
        <v>0</v>
      </c>
      <c r="K226" s="131">
        <f>IF('Data 2'!K226&lt;0.1,0,'Data 2'!K226)</f>
        <v>9.7578870187215845</v>
      </c>
      <c r="L226" s="131">
        <f>IF('Data 2'!L226&lt;0.1,0,'Data 2'!L226)</f>
        <v>6.9652257507372939</v>
      </c>
      <c r="M226" s="131">
        <f>IF('Data 2'!M226&lt;0.1,0,'Data 2'!M226)</f>
        <v>0</v>
      </c>
      <c r="O226" s="130">
        <v>17</v>
      </c>
      <c r="P226" s="131">
        <f>'Stasiun Pontianak Kota'!Q288</f>
        <v>0</v>
      </c>
      <c r="Q226" s="131">
        <f>'Stasiun Pontianak Kota'!R288</f>
        <v>0</v>
      </c>
      <c r="R226" s="131">
        <f>'Stasiun Pontianak Kota'!S288</f>
        <v>0</v>
      </c>
      <c r="S226" s="131">
        <f>'Stasiun Pontianak Kota'!T288</f>
        <v>8</v>
      </c>
      <c r="T226" s="131">
        <f>'Stasiun Pontianak Kota'!U288</f>
        <v>0</v>
      </c>
      <c r="U226" s="131">
        <f>'Stasiun Pontianak Kota'!V288</f>
        <v>0</v>
      </c>
      <c r="V226" s="131" t="str">
        <f>'Stasiun Pontianak Kota'!W288</f>
        <v>-</v>
      </c>
      <c r="W226" s="131">
        <f>'Stasiun Pontianak Kota'!X288</f>
        <v>0</v>
      </c>
      <c r="X226" s="131">
        <f>'Stasiun Pontianak Kota'!Y288</f>
        <v>0</v>
      </c>
      <c r="Y226" s="131">
        <f>'Stasiun Pontianak Kota'!Z288</f>
        <v>0</v>
      </c>
      <c r="Z226" s="131">
        <f>'Stasiun Pontianak Kota'!AA288</f>
        <v>0</v>
      </c>
      <c r="AA226" s="131">
        <f>'Stasiun Pontianak Kota'!AB288</f>
        <v>0</v>
      </c>
      <c r="AC226" s="130">
        <v>17</v>
      </c>
      <c r="AD226" s="131">
        <f>'Sta. Meteorologi pnk'!B249</f>
        <v>0</v>
      </c>
      <c r="AE226" s="131">
        <f>'Sta. Meteorologi pnk'!C249</f>
        <v>0</v>
      </c>
      <c r="AF226" s="131">
        <f>'Sta. Meteorologi pnk'!D249</f>
        <v>0</v>
      </c>
      <c r="AG226" s="131">
        <f>'Sta. Meteorologi pnk'!E249</f>
        <v>9.8000000000000007</v>
      </c>
      <c r="AH226" s="131">
        <f>'Sta. Meteorologi pnk'!F249</f>
        <v>0.5</v>
      </c>
      <c r="AI226" s="131">
        <f>'Sta. Meteorologi pnk'!G249</f>
        <v>0</v>
      </c>
      <c r="AJ226" s="131">
        <f>'Sta. Meteorologi pnk'!H249</f>
        <v>0</v>
      </c>
      <c r="AK226" s="131">
        <f>'Sta. Meteorologi pnk'!I249</f>
        <v>0</v>
      </c>
      <c r="AL226" s="131">
        <f>'Sta. Meteorologi pnk'!J249</f>
        <v>0</v>
      </c>
      <c r="AM226" s="131">
        <f>'Sta. Meteorologi pnk'!K249</f>
        <v>29.7</v>
      </c>
      <c r="AN226" s="131">
        <f>'Sta. Meteorologi pnk'!L249</f>
        <v>21.2</v>
      </c>
      <c r="AO226" s="131">
        <f>'Sta. Meteorologi pnk'!M249</f>
        <v>0.2</v>
      </c>
      <c r="AQ226" s="130">
        <v>17</v>
      </c>
      <c r="AR226" s="131">
        <f t="shared" si="155"/>
        <v>0</v>
      </c>
      <c r="AS226" s="131">
        <f t="shared" si="153"/>
        <v>0</v>
      </c>
      <c r="AT226" s="131">
        <f t="shared" si="153"/>
        <v>0</v>
      </c>
      <c r="AU226" s="131">
        <f t="shared" si="153"/>
        <v>9.2171504614352635</v>
      </c>
      <c r="AV226" s="131">
        <f t="shared" si="153"/>
        <v>0.33809735039868438</v>
      </c>
      <c r="AW226" s="131">
        <f t="shared" si="153"/>
        <v>0</v>
      </c>
      <c r="AX226" s="131" t="e">
        <f t="shared" si="153"/>
        <v>#VALUE!</v>
      </c>
      <c r="AY226" s="131">
        <f t="shared" si="153"/>
        <v>0</v>
      </c>
      <c r="AZ226" s="131">
        <f t="shared" si="153"/>
        <v>0</v>
      </c>
      <c r="BA226" s="131">
        <f t="shared" si="153"/>
        <v>20.08298261368185</v>
      </c>
      <c r="BB226" s="131">
        <f t="shared" si="153"/>
        <v>14.335327656904218</v>
      </c>
      <c r="BC226" s="131">
        <f t="shared" si="153"/>
        <v>0.13523894015947374</v>
      </c>
      <c r="BE226" s="130">
        <v>17</v>
      </c>
      <c r="BF226" s="131">
        <f t="shared" si="156"/>
        <v>0</v>
      </c>
      <c r="BG226" s="131">
        <f t="shared" si="154"/>
        <v>0</v>
      </c>
      <c r="BH226" s="131">
        <f t="shared" si="154"/>
        <v>0</v>
      </c>
      <c r="BI226" s="131">
        <f t="shared" si="154"/>
        <v>9.1387902533581045</v>
      </c>
      <c r="BJ226" s="131">
        <f t="shared" si="154"/>
        <v>0.31633062593280648</v>
      </c>
      <c r="BK226" s="131">
        <f t="shared" si="154"/>
        <v>0</v>
      </c>
      <c r="BL226" s="131" t="e">
        <f t="shared" si="154"/>
        <v>#VALUE!</v>
      </c>
      <c r="BM226" s="131">
        <f t="shared" si="154"/>
        <v>0</v>
      </c>
      <c r="BN226" s="131">
        <f t="shared" si="154"/>
        <v>0</v>
      </c>
      <c r="BO226" s="131">
        <f t="shared" si="154"/>
        <v>18.790039180408705</v>
      </c>
      <c r="BP226" s="131">
        <f t="shared" si="154"/>
        <v>13.412418539550996</v>
      </c>
      <c r="BQ226" s="131">
        <f t="shared" si="154"/>
        <v>0.11830386212616625</v>
      </c>
    </row>
    <row r="227" spans="1:69">
      <c r="A227" s="130">
        <v>18</v>
      </c>
      <c r="B227" s="131">
        <f>IF('Data 2'!B227&lt;0.1,0,'Data 2'!B227)</f>
        <v>0</v>
      </c>
      <c r="C227" s="131">
        <f>IF('Data 2'!C227&lt;0.1,0,'Data 2'!C227)</f>
        <v>0</v>
      </c>
      <c r="D227" s="131">
        <f>IF('Data 2'!D227&lt;0.1,0,'Data 2'!D227)</f>
        <v>0</v>
      </c>
      <c r="E227" s="131">
        <f>IF('Data 2'!E227&lt;0.1,0,'Data 2'!E227)</f>
        <v>2.4312580450686778</v>
      </c>
      <c r="F227" s="131">
        <f>IF('Data 2'!F227&lt;0.1,0,'Data 2'!F227)</f>
        <v>0</v>
      </c>
      <c r="G227" s="131">
        <f>IF('Data 2'!G227&lt;0.1,0,'Data 2'!G227)</f>
        <v>0</v>
      </c>
      <c r="H227" s="131" t="str">
        <f>IF('Data 2'!H227&lt;0.1,0,'Data 2'!H227)</f>
        <v>-</v>
      </c>
      <c r="I227" s="131">
        <f>IF('Data 2'!I227&lt;0.1,0,'Data 2'!I227)</f>
        <v>0</v>
      </c>
      <c r="J227" s="131">
        <f>IF('Data 2'!J227&lt;0.1,0,'Data 2'!J227)</f>
        <v>0.65709676893748048</v>
      </c>
      <c r="K227" s="131">
        <f>IF('Data 2'!K227&lt;0.1,0,'Data 2'!K227)</f>
        <v>15.663161325012627</v>
      </c>
      <c r="L227" s="131">
        <f>IF('Data 2'!L227&lt;0.1,0,'Data 2'!L227)</f>
        <v>0.29569354602186626</v>
      </c>
      <c r="M227" s="131">
        <f>IF('Data 2'!M227&lt;0.1,0,'Data 2'!M227)</f>
        <v>0</v>
      </c>
      <c r="O227" s="130">
        <v>18</v>
      </c>
      <c r="P227" s="131">
        <f>'Stasiun Pontianak Kota'!Q289</f>
        <v>0</v>
      </c>
      <c r="Q227" s="131">
        <f>'Stasiun Pontianak Kota'!R289</f>
        <v>0</v>
      </c>
      <c r="R227" s="131">
        <f>'Stasiun Pontianak Kota'!S289</f>
        <v>0</v>
      </c>
      <c r="S227" s="131">
        <f>'Stasiun Pontianak Kota'!T289</f>
        <v>0</v>
      </c>
      <c r="T227" s="131">
        <f>'Stasiun Pontianak Kota'!U289</f>
        <v>0</v>
      </c>
      <c r="U227" s="131">
        <f>'Stasiun Pontianak Kota'!V289</f>
        <v>0</v>
      </c>
      <c r="V227" s="131" t="str">
        <f>'Stasiun Pontianak Kota'!W289</f>
        <v>-</v>
      </c>
      <c r="W227" s="131">
        <f>'Stasiun Pontianak Kota'!X289</f>
        <v>0</v>
      </c>
      <c r="X227" s="131">
        <f>'Stasiun Pontianak Kota'!Y289</f>
        <v>0</v>
      </c>
      <c r="Y227" s="131">
        <f>'Stasiun Pontianak Kota'!Z289</f>
        <v>20</v>
      </c>
      <c r="Z227" s="131">
        <f>'Stasiun Pontianak Kota'!AA289</f>
        <v>0</v>
      </c>
      <c r="AA227" s="131">
        <f>'Stasiun Pontianak Kota'!AB289</f>
        <v>0</v>
      </c>
      <c r="AC227" s="130">
        <v>18</v>
      </c>
      <c r="AD227" s="131">
        <f>'Sta. Meteorologi pnk'!B250</f>
        <v>0</v>
      </c>
      <c r="AE227" s="131">
        <f>'Sta. Meteorologi pnk'!C250</f>
        <v>0</v>
      </c>
      <c r="AF227" s="131">
        <f>'Sta. Meteorologi pnk'!D250</f>
        <v>0</v>
      </c>
      <c r="AG227" s="131">
        <f>'Sta. Meteorologi pnk'!E250</f>
        <v>7.4</v>
      </c>
      <c r="AH227" s="131">
        <f>'Sta. Meteorologi pnk'!F250</f>
        <v>0.1</v>
      </c>
      <c r="AI227" s="131">
        <f>'Sta. Meteorologi pnk'!G250</f>
        <v>0</v>
      </c>
      <c r="AJ227" s="131">
        <f>'Sta. Meteorologi pnk'!H250</f>
        <v>0</v>
      </c>
      <c r="AK227" s="131">
        <f>'Sta. Meteorologi pnk'!I250</f>
        <v>0</v>
      </c>
      <c r="AL227" s="131">
        <f>'Sta. Meteorologi pnk'!J250</f>
        <v>2</v>
      </c>
      <c r="AM227" s="131">
        <f>'Sta. Meteorologi pnk'!K250</f>
        <v>6.8</v>
      </c>
      <c r="AN227" s="131">
        <f>'Sta. Meteorologi pnk'!L250</f>
        <v>0.9</v>
      </c>
      <c r="AO227" s="131">
        <f>'Sta. Meteorologi pnk'!M250</f>
        <v>0.1</v>
      </c>
      <c r="AQ227" s="130">
        <v>18</v>
      </c>
      <c r="AR227" s="131">
        <f t="shared" si="155"/>
        <v>0</v>
      </c>
      <c r="AS227" s="131">
        <f t="shared" si="153"/>
        <v>0</v>
      </c>
      <c r="AT227" s="131">
        <f t="shared" si="153"/>
        <v>0</v>
      </c>
      <c r="AU227" s="131">
        <f t="shared" si="153"/>
        <v>5.0038407859005289</v>
      </c>
      <c r="AV227" s="131">
        <f t="shared" si="153"/>
        <v>6.7619470079736871E-2</v>
      </c>
      <c r="AW227" s="131">
        <f t="shared" si="153"/>
        <v>0</v>
      </c>
      <c r="AX227" s="131" t="e">
        <f t="shared" si="153"/>
        <v>#VALUE!</v>
      </c>
      <c r="AY227" s="131">
        <f t="shared" si="153"/>
        <v>0</v>
      </c>
      <c r="AZ227" s="131">
        <f t="shared" si="153"/>
        <v>1.3523894015947375</v>
      </c>
      <c r="BA227" s="131">
        <f t="shared" si="153"/>
        <v>11.074229949474732</v>
      </c>
      <c r="BB227" s="131">
        <f t="shared" si="153"/>
        <v>0.60857523071763187</v>
      </c>
      <c r="BC227" s="131">
        <f t="shared" si="153"/>
        <v>6.7619470079736871E-2</v>
      </c>
      <c r="BE227" s="130">
        <v>18</v>
      </c>
      <c r="BF227" s="131">
        <f t="shared" si="156"/>
        <v>0</v>
      </c>
      <c r="BG227" s="131">
        <f t="shared" si="154"/>
        <v>0</v>
      </c>
      <c r="BH227" s="131">
        <f t="shared" si="154"/>
        <v>0</v>
      </c>
      <c r="BI227" s="131">
        <f t="shared" si="154"/>
        <v>4.6816932638055366</v>
      </c>
      <c r="BJ227" s="131">
        <f t="shared" si="154"/>
        <v>5.9151931063083127E-2</v>
      </c>
      <c r="BK227" s="131">
        <f t="shared" si="154"/>
        <v>0</v>
      </c>
      <c r="BL227" s="131" t="e">
        <f t="shared" si="154"/>
        <v>#VALUE!</v>
      </c>
      <c r="BM227" s="131">
        <f t="shared" si="154"/>
        <v>0</v>
      </c>
      <c r="BN227" s="131">
        <f t="shared" si="154"/>
        <v>1.2653225037312259</v>
      </c>
      <c r="BO227" s="131">
        <f t="shared" si="154"/>
        <v>11.648871475373907</v>
      </c>
      <c r="BP227" s="131">
        <f t="shared" si="154"/>
        <v>0.56939512667905179</v>
      </c>
      <c r="BQ227" s="131">
        <f t="shared" si="154"/>
        <v>5.9151931063083127E-2</v>
      </c>
    </row>
    <row r="228" spans="1:69">
      <c r="A228" s="130">
        <v>19</v>
      </c>
      <c r="B228" s="131">
        <f>IF('Data 2'!B228&lt;0.1,0,'Data 2'!B228)</f>
        <v>0</v>
      </c>
      <c r="C228" s="131">
        <f>IF('Data 2'!C228&lt;0.1,0,'Data 2'!C228)</f>
        <v>0</v>
      </c>
      <c r="D228" s="131">
        <f>IF('Data 2'!D228&lt;0.1,0,'Data 2'!D228)</f>
        <v>0</v>
      </c>
      <c r="E228" s="131">
        <f>IF('Data 2'!E228&lt;0.1,0,'Data 2'!E228)</f>
        <v>0</v>
      </c>
      <c r="F228" s="131">
        <f>IF('Data 2'!F228&lt;0.1,0,'Data 2'!F228)</f>
        <v>17.084515992374492</v>
      </c>
      <c r="G228" s="131">
        <f>IF('Data 2'!G228&lt;0.1,0,'Data 2'!G228)</f>
        <v>0</v>
      </c>
      <c r="H228" s="131" t="str">
        <f>IF('Data 2'!H228&lt;0.1,0,'Data 2'!H228)</f>
        <v>-</v>
      </c>
      <c r="I228" s="131">
        <f>IF('Data 2'!I228&lt;0.1,0,'Data 2'!I228)</f>
        <v>0</v>
      </c>
      <c r="J228" s="131">
        <f>IF('Data 2'!J228&lt;0.1,0,'Data 2'!J228)</f>
        <v>21.638596777084384</v>
      </c>
      <c r="K228" s="131">
        <f>IF('Data 2'!K228&lt;0.1,0,'Data 2'!K228)</f>
        <v>14.724725856647058</v>
      </c>
      <c r="L228" s="131">
        <f>IF('Data 2'!L228&lt;0.1,0,'Data 2'!L228)</f>
        <v>38.77638701057468</v>
      </c>
      <c r="M228" s="131">
        <f>IF('Data 2'!M228&lt;0.1,0,'Data 2'!M228)</f>
        <v>0</v>
      </c>
      <c r="O228" s="130">
        <v>19</v>
      </c>
      <c r="P228" s="131">
        <f>'Stasiun Pontianak Kota'!Q290</f>
        <v>0</v>
      </c>
      <c r="Q228" s="131">
        <f>'Stasiun Pontianak Kota'!R290</f>
        <v>0</v>
      </c>
      <c r="R228" s="131">
        <f>'Stasiun Pontianak Kota'!S290</f>
        <v>0</v>
      </c>
      <c r="S228" s="131">
        <f>'Stasiun Pontianak Kota'!T290</f>
        <v>0</v>
      </c>
      <c r="T228" s="131">
        <f>'Stasiun Pontianak Kota'!U290</f>
        <v>0</v>
      </c>
      <c r="U228" s="131">
        <f>'Stasiun Pontianak Kota'!V290</f>
        <v>0</v>
      </c>
      <c r="V228" s="131" t="str">
        <f>'Stasiun Pontianak Kota'!W290</f>
        <v>-</v>
      </c>
      <c r="W228" s="131">
        <f>'Stasiun Pontianak Kota'!X290</f>
        <v>0</v>
      </c>
      <c r="X228" s="131">
        <f>'Stasiun Pontianak Kota'!Y290</f>
        <v>22</v>
      </c>
      <c r="Y228" s="131">
        <f>'Stasiun Pontianak Kota'!Z290</f>
        <v>21</v>
      </c>
      <c r="Z228" s="131">
        <f>'Stasiun Pontianak Kota'!AA290</f>
        <v>28</v>
      </c>
      <c r="AA228" s="131">
        <f>'Stasiun Pontianak Kota'!AB290</f>
        <v>0</v>
      </c>
      <c r="AC228" s="130">
        <v>19</v>
      </c>
      <c r="AD228" s="131">
        <f>'Sta. Meteorologi pnk'!B251</f>
        <v>0</v>
      </c>
      <c r="AE228" s="131">
        <f>'Sta. Meteorologi pnk'!C251</f>
        <v>0</v>
      </c>
      <c r="AF228" s="131">
        <f>'Sta. Meteorologi pnk'!D251</f>
        <v>0</v>
      </c>
      <c r="AG228" s="131">
        <f>'Sta. Meteorologi pnk'!E251</f>
        <v>0</v>
      </c>
      <c r="AH228" s="131">
        <f>'Sta. Meteorologi pnk'!F251</f>
        <v>52</v>
      </c>
      <c r="AI228" s="131">
        <f>'Sta. Meteorologi pnk'!G251</f>
        <v>0</v>
      </c>
      <c r="AJ228" s="131">
        <f>'Sta. Meteorologi pnk'!H251</f>
        <v>0</v>
      </c>
      <c r="AK228" s="131">
        <f>'Sta. Meteorologi pnk'!I251</f>
        <v>0</v>
      </c>
      <c r="AL228" s="131">
        <f>'Sta. Meteorologi pnk'!J251</f>
        <v>20.9</v>
      </c>
      <c r="AM228" s="131">
        <f>'Sta. Meteorologi pnk'!K251</f>
        <v>1.9</v>
      </c>
      <c r="AN228" s="131">
        <f>'Sta. Meteorologi pnk'!L251</f>
        <v>60.8</v>
      </c>
      <c r="AO228" s="131">
        <f>'Sta. Meteorologi pnk'!M251</f>
        <v>0</v>
      </c>
      <c r="AQ228" s="130">
        <v>19</v>
      </c>
      <c r="AR228" s="131">
        <f t="shared" si="155"/>
        <v>0</v>
      </c>
      <c r="AS228" s="131">
        <f t="shared" si="153"/>
        <v>0</v>
      </c>
      <c r="AT228" s="131">
        <f t="shared" si="153"/>
        <v>0</v>
      </c>
      <c r="AU228" s="131">
        <f t="shared" si="153"/>
        <v>0</v>
      </c>
      <c r="AV228" s="131">
        <f t="shared" si="153"/>
        <v>35.16212444146317</v>
      </c>
      <c r="AW228" s="131">
        <f t="shared" si="153"/>
        <v>0</v>
      </c>
      <c r="AX228" s="131" t="e">
        <f t="shared" si="153"/>
        <v>#VALUE!</v>
      </c>
      <c r="AY228" s="131">
        <f t="shared" si="153"/>
        <v>0</v>
      </c>
      <c r="AZ228" s="131">
        <f t="shared" si="153"/>
        <v>21.256185829122892</v>
      </c>
      <c r="BA228" s="131">
        <f t="shared" si="153"/>
        <v>8.0846812147702547</v>
      </c>
      <c r="BB228" s="131">
        <f t="shared" si="153"/>
        <v>50.179186186153693</v>
      </c>
      <c r="BC228" s="131">
        <f t="shared" si="153"/>
        <v>0</v>
      </c>
      <c r="BE228" s="130">
        <v>19</v>
      </c>
      <c r="BF228" s="131">
        <f t="shared" si="156"/>
        <v>0</v>
      </c>
      <c r="BG228" s="131">
        <f t="shared" si="154"/>
        <v>0</v>
      </c>
      <c r="BH228" s="131">
        <f t="shared" si="154"/>
        <v>0</v>
      </c>
      <c r="BI228" s="131">
        <f t="shared" si="154"/>
        <v>0</v>
      </c>
      <c r="BJ228" s="131">
        <f t="shared" si="154"/>
        <v>32.898385097011875</v>
      </c>
      <c r="BK228" s="131">
        <f t="shared" si="154"/>
        <v>0</v>
      </c>
      <c r="BL228" s="131" t="e">
        <f t="shared" si="154"/>
        <v>#VALUE!</v>
      </c>
      <c r="BM228" s="131">
        <f t="shared" si="154"/>
        <v>0</v>
      </c>
      <c r="BN228" s="131">
        <f t="shared" si="154"/>
        <v>21.304072622947825</v>
      </c>
      <c r="BO228" s="131">
        <f t="shared" si="154"/>
        <v>8.9161700893667906</v>
      </c>
      <c r="BP228" s="131">
        <f t="shared" si="154"/>
        <v>48.751289061192104</v>
      </c>
      <c r="BQ228" s="131">
        <f t="shared" si="154"/>
        <v>0</v>
      </c>
    </row>
    <row r="229" spans="1:69">
      <c r="A229" s="130">
        <v>20</v>
      </c>
      <c r="B229" s="131">
        <f>IF('Data 2'!B229&lt;0.1,0,'Data 2'!B229)</f>
        <v>4.5913870920437327</v>
      </c>
      <c r="C229" s="131">
        <f>IF('Data 2'!C229&lt;0.1,0,'Data 2'!C229)</f>
        <v>0</v>
      </c>
      <c r="D229" s="131">
        <f>IF('Data 2'!D229&lt;0.1,0,'Data 2'!D229)</f>
        <v>0</v>
      </c>
      <c r="E229" s="131">
        <f>IF('Data 2'!E229&lt;0.1,0,'Data 2'!E229)</f>
        <v>9.599677382562362</v>
      </c>
      <c r="F229" s="131">
        <f>IF('Data 2'!F229&lt;0.1,0,'Data 2'!F229)</f>
        <v>0.16427419223437012</v>
      </c>
      <c r="G229" s="131">
        <f>IF('Data 2'!G229&lt;0.1,0,'Data 2'!G229)</f>
        <v>16.098870838968274</v>
      </c>
      <c r="H229" s="131" t="str">
        <f>IF('Data 2'!H229&lt;0.1,0,'Data 2'!H229)</f>
        <v>-</v>
      </c>
      <c r="I229" s="131">
        <f>IF('Data 2'!I229&lt;0.1,0,'Data 2'!I229)</f>
        <v>0</v>
      </c>
      <c r="J229" s="131">
        <f>IF('Data 2'!J229&lt;0.1,0,'Data 2'!J229)</f>
        <v>0.19712903068124416</v>
      </c>
      <c r="K229" s="131">
        <f>IF('Data 2'!K229&lt;0.1,0,'Data 2'!K229)</f>
        <v>0</v>
      </c>
      <c r="L229" s="131">
        <f>IF('Data 2'!L229&lt;0.1,0,'Data 2'!L229)</f>
        <v>5.3881935052873402</v>
      </c>
      <c r="M229" s="131">
        <f>IF('Data 2'!M229&lt;0.1,0,'Data 2'!M229)</f>
        <v>19.712903068124415</v>
      </c>
      <c r="O229" s="130">
        <v>20</v>
      </c>
      <c r="P229" s="131">
        <f>'Stasiun Pontianak Kota'!Q291</f>
        <v>4</v>
      </c>
      <c r="Q229" s="131">
        <f>'Stasiun Pontianak Kota'!R291</f>
        <v>0</v>
      </c>
      <c r="R229" s="131">
        <f>'Stasiun Pontianak Kota'!S291</f>
        <v>0</v>
      </c>
      <c r="S229" s="131">
        <f>'Stasiun Pontianak Kota'!T291</f>
        <v>5</v>
      </c>
      <c r="T229" s="131">
        <f>'Stasiun Pontianak Kota'!U291</f>
        <v>0</v>
      </c>
      <c r="U229" s="131">
        <f>'Stasiun Pontianak Kota'!V291</f>
        <v>0</v>
      </c>
      <c r="V229" s="131" t="str">
        <f>'Stasiun Pontianak Kota'!W291</f>
        <v>-</v>
      </c>
      <c r="W229" s="131">
        <f>'Stasiun Pontianak Kota'!X291</f>
        <v>0</v>
      </c>
      <c r="X229" s="131">
        <f>'Stasiun Pontianak Kota'!Y291</f>
        <v>0</v>
      </c>
      <c r="Y229" s="131">
        <f>'Stasiun Pontianak Kota'!Z291</f>
        <v>0</v>
      </c>
      <c r="Z229" s="131">
        <f>'Stasiun Pontianak Kota'!AA291</f>
        <v>0</v>
      </c>
      <c r="AA229" s="131">
        <f>'Stasiun Pontianak Kota'!AB291</f>
        <v>0</v>
      </c>
      <c r="AC229" s="130">
        <v>20</v>
      </c>
      <c r="AD229" s="131">
        <f>'Sta. Meteorologi pnk'!B252</f>
        <v>5.8</v>
      </c>
      <c r="AE229" s="131">
        <f>'Sta. Meteorologi pnk'!C252</f>
        <v>0.2</v>
      </c>
      <c r="AF229" s="131">
        <f>'Sta. Meteorologi pnk'!D252</f>
        <v>0</v>
      </c>
      <c r="AG229" s="131">
        <f>'Sta. Meteorologi pnk'!E252</f>
        <v>19</v>
      </c>
      <c r="AH229" s="131">
        <f>'Sta. Meteorologi pnk'!F252</f>
        <v>0.5</v>
      </c>
      <c r="AI229" s="131">
        <f>'Sta. Meteorologi pnk'!G252</f>
        <v>49</v>
      </c>
      <c r="AJ229" s="131">
        <f>'Sta. Meteorologi pnk'!H252</f>
        <v>0</v>
      </c>
      <c r="AK229" s="131">
        <f>'Sta. Meteorologi pnk'!I252</f>
        <v>0</v>
      </c>
      <c r="AL229" s="131">
        <f>'Sta. Meteorologi pnk'!J252</f>
        <v>0.6</v>
      </c>
      <c r="AM229" s="131">
        <f>'Sta. Meteorologi pnk'!K252</f>
        <v>0.1</v>
      </c>
      <c r="AN229" s="131">
        <f>'Sta. Meteorologi pnk'!L252</f>
        <v>16.399999999999999</v>
      </c>
      <c r="AO229" s="131">
        <f>'Sta. Meteorologi pnk'!M252</f>
        <v>60</v>
      </c>
      <c r="AQ229" s="130">
        <v>20</v>
      </c>
      <c r="AR229" s="131">
        <f t="shared" si="155"/>
        <v>5.2171504614352626</v>
      </c>
      <c r="AS229" s="131">
        <f t="shared" si="153"/>
        <v>0.13523894015947374</v>
      </c>
      <c r="AT229" s="131">
        <f t="shared" si="153"/>
        <v>0</v>
      </c>
      <c r="AU229" s="131">
        <f t="shared" si="153"/>
        <v>14.46672581116316</v>
      </c>
      <c r="AV229" s="131">
        <f t="shared" si="153"/>
        <v>0.33809735039868438</v>
      </c>
      <c r="AW229" s="131">
        <f t="shared" si="153"/>
        <v>33.133540339071068</v>
      </c>
      <c r="AX229" s="131" t="e">
        <f t="shared" si="153"/>
        <v>#VALUE!</v>
      </c>
      <c r="AY229" s="131">
        <f t="shared" si="153"/>
        <v>0</v>
      </c>
      <c r="AZ229" s="131">
        <f t="shared" si="153"/>
        <v>0.40571682047842123</v>
      </c>
      <c r="BA229" s="131">
        <f t="shared" si="153"/>
        <v>6.7619470079736871E-2</v>
      </c>
      <c r="BB229" s="131">
        <f t="shared" si="153"/>
        <v>11.089593093076846</v>
      </c>
      <c r="BC229" s="131">
        <f t="shared" si="153"/>
        <v>40.571682047842124</v>
      </c>
      <c r="BE229" s="130">
        <v>20</v>
      </c>
      <c r="BF229" s="131">
        <f t="shared" si="156"/>
        <v>5.1387902533581036</v>
      </c>
      <c r="BG229" s="131">
        <f t="shared" si="154"/>
        <v>0.11830386212616625</v>
      </c>
      <c r="BH229" s="131">
        <f t="shared" si="154"/>
        <v>0</v>
      </c>
      <c r="BI229" s="131">
        <f t="shared" si="154"/>
        <v>13.857257526118582</v>
      </c>
      <c r="BJ229" s="131">
        <f t="shared" si="154"/>
        <v>0.31633062593280648</v>
      </c>
      <c r="BK229" s="131">
        <f t="shared" si="154"/>
        <v>31.000401341415039</v>
      </c>
      <c r="BL229" s="131" t="e">
        <f t="shared" si="154"/>
        <v>#VALUE!</v>
      </c>
      <c r="BM229" s="131">
        <f t="shared" si="154"/>
        <v>0</v>
      </c>
      <c r="BN229" s="131">
        <f t="shared" si="154"/>
        <v>0.37959675111936775</v>
      </c>
      <c r="BO229" s="131">
        <f t="shared" si="154"/>
        <v>5.9151931063083127E-2</v>
      </c>
      <c r="BP229" s="131">
        <f t="shared" si="154"/>
        <v>10.375644530596052</v>
      </c>
      <c r="BQ229" s="131">
        <f t="shared" si="154"/>
        <v>37.959675111936782</v>
      </c>
    </row>
    <row r="230" spans="1:69">
      <c r="A230" s="130">
        <v>21</v>
      </c>
      <c r="B230" s="131">
        <f>IF('Data 2'!B230&lt;0.1,0,'Data 2'!B230)</f>
        <v>0</v>
      </c>
      <c r="C230" s="131">
        <f>IF('Data 2'!C230&lt;0.1,0,'Data 2'!C230)</f>
        <v>0</v>
      </c>
      <c r="D230" s="131">
        <f>IF('Data 2'!D230&lt;0.1,0,'Data 2'!D230)</f>
        <v>0</v>
      </c>
      <c r="E230" s="131">
        <f>IF('Data 2'!E230&lt;0.1,0,'Data 2'!E230)</f>
        <v>9.5913870920437319</v>
      </c>
      <c r="F230" s="131">
        <f>IF('Data 2'!F230&lt;0.1,0,'Data 2'!F230)</f>
        <v>55.605435615009853</v>
      </c>
      <c r="G230" s="131">
        <f>IF('Data 2'!G230&lt;0.1,0,'Data 2'!G230)</f>
        <v>0</v>
      </c>
      <c r="H230" s="131" t="str">
        <f>IF('Data 2'!H230&lt;0.1,0,'Data 2'!H230)</f>
        <v>-</v>
      </c>
      <c r="I230" s="131">
        <f>IF('Data 2'!I230&lt;0.1,0,'Data 2'!I230)</f>
        <v>0</v>
      </c>
      <c r="J230" s="131">
        <f>IF('Data 2'!J230&lt;0.1,0,'Data 2'!J230)</f>
        <v>1.7741612761311976</v>
      </c>
      <c r="K230" s="131">
        <f>IF('Data 2'!K230&lt;0.1,0,'Data 2'!K230)</f>
        <v>25.125354797712347</v>
      </c>
      <c r="L230" s="131">
        <f>IF('Data 2'!L230&lt;0.1,0,'Data 2'!L230)</f>
        <v>0</v>
      </c>
      <c r="M230" s="131">
        <f>IF('Data 2'!M230&lt;0.1,0,'Data 2'!M230)</f>
        <v>0</v>
      </c>
      <c r="O230" s="130">
        <v>21</v>
      </c>
      <c r="P230" s="131">
        <f>'Stasiun Pontianak Kota'!Q292</f>
        <v>0</v>
      </c>
      <c r="Q230" s="131">
        <f>'Stasiun Pontianak Kota'!R292</f>
        <v>0</v>
      </c>
      <c r="R230" s="131">
        <f>'Stasiun Pontianak Kota'!S292</f>
        <v>0</v>
      </c>
      <c r="S230" s="131">
        <f>'Stasiun Pontianak Kota'!T292</f>
        <v>9</v>
      </c>
      <c r="T230" s="131">
        <f>'Stasiun Pontianak Kota'!U292</f>
        <v>72</v>
      </c>
      <c r="U230" s="131">
        <f>'Stasiun Pontianak Kota'!V292</f>
        <v>0</v>
      </c>
      <c r="V230" s="131" t="str">
        <f>'Stasiun Pontianak Kota'!W292</f>
        <v>-</v>
      </c>
      <c r="W230" s="131">
        <f>'Stasiun Pontianak Kota'!X292</f>
        <v>0</v>
      </c>
      <c r="X230" s="131">
        <f>'Stasiun Pontianak Kota'!Y292</f>
        <v>0</v>
      </c>
      <c r="Y230" s="131">
        <f>'Stasiun Pontianak Kota'!Z292</f>
        <v>20</v>
      </c>
      <c r="Z230" s="131">
        <f>'Stasiun Pontianak Kota'!AA292</f>
        <v>0</v>
      </c>
      <c r="AA230" s="131">
        <f>'Stasiun Pontianak Kota'!AB292</f>
        <v>0</v>
      </c>
      <c r="AC230" s="130">
        <v>21</v>
      </c>
      <c r="AD230" s="131">
        <f>'Sta. Meteorologi pnk'!B253</f>
        <v>0</v>
      </c>
      <c r="AE230" s="131">
        <f>'Sta. Meteorologi pnk'!C253</f>
        <v>0</v>
      </c>
      <c r="AF230" s="131">
        <f>'Sta. Meteorologi pnk'!D253</f>
        <v>0</v>
      </c>
      <c r="AG230" s="131">
        <f>'Sta. Meteorologi pnk'!E253</f>
        <v>10.8</v>
      </c>
      <c r="AH230" s="131">
        <f>'Sta. Meteorologi pnk'!F253</f>
        <v>22.1</v>
      </c>
      <c r="AI230" s="131">
        <f>'Sta. Meteorologi pnk'!G253</f>
        <v>0</v>
      </c>
      <c r="AJ230" s="131">
        <f>'Sta. Meteorologi pnk'!H253</f>
        <v>0</v>
      </c>
      <c r="AK230" s="131">
        <f>'Sta. Meteorologi pnk'!I253</f>
        <v>0</v>
      </c>
      <c r="AL230" s="131">
        <f>'Sta. Meteorologi pnk'!J253</f>
        <v>5.4</v>
      </c>
      <c r="AM230" s="131">
        <f>'Sta. Meteorologi pnk'!K253</f>
        <v>35.6</v>
      </c>
      <c r="AN230" s="131">
        <f>'Sta. Meteorologi pnk'!L253</f>
        <v>0</v>
      </c>
      <c r="AO230" s="131">
        <f>'Sta. Meteorologi pnk'!M253</f>
        <v>0</v>
      </c>
      <c r="AQ230" s="130">
        <v>21</v>
      </c>
      <c r="AR230" s="131">
        <f t="shared" si="155"/>
        <v>0</v>
      </c>
      <c r="AS230" s="131">
        <f t="shared" si="153"/>
        <v>0</v>
      </c>
      <c r="AT230" s="131">
        <f t="shared" si="153"/>
        <v>0</v>
      </c>
      <c r="AU230" s="131">
        <f t="shared" si="153"/>
        <v>10.217150461435262</v>
      </c>
      <c r="AV230" s="131">
        <f t="shared" si="153"/>
        <v>38.257884430211291</v>
      </c>
      <c r="AW230" s="131">
        <f t="shared" si="153"/>
        <v>0</v>
      </c>
      <c r="AX230" s="131" t="e">
        <f t="shared" si="153"/>
        <v>#VALUE!</v>
      </c>
      <c r="AY230" s="131">
        <f t="shared" si="153"/>
        <v>0</v>
      </c>
      <c r="AZ230" s="131">
        <f t="shared" si="153"/>
        <v>3.651451384305791</v>
      </c>
      <c r="BA230" s="131">
        <f t="shared" si="153"/>
        <v>30.54863733243895</v>
      </c>
      <c r="BB230" s="131">
        <f t="shared" si="153"/>
        <v>0</v>
      </c>
      <c r="BC230" s="131">
        <f t="shared" si="153"/>
        <v>0</v>
      </c>
      <c r="BE230" s="130">
        <v>21</v>
      </c>
      <c r="BF230" s="131">
        <f t="shared" si="156"/>
        <v>0</v>
      </c>
      <c r="BG230" s="131">
        <f t="shared" si="154"/>
        <v>0</v>
      </c>
      <c r="BH230" s="131">
        <f t="shared" si="154"/>
        <v>0</v>
      </c>
      <c r="BI230" s="131">
        <f t="shared" si="154"/>
        <v>10.138790253358104</v>
      </c>
      <c r="BJ230" s="131">
        <f t="shared" si="154"/>
        <v>40.43020353190591</v>
      </c>
      <c r="BK230" s="131">
        <f t="shared" si="154"/>
        <v>0</v>
      </c>
      <c r="BL230" s="131" t="e">
        <f t="shared" si="154"/>
        <v>#VALUE!</v>
      </c>
      <c r="BM230" s="131">
        <f t="shared" si="154"/>
        <v>0</v>
      </c>
      <c r="BN230" s="131">
        <f t="shared" si="154"/>
        <v>3.4163707600743098</v>
      </c>
      <c r="BO230" s="131">
        <f t="shared" si="154"/>
        <v>29.869515529103563</v>
      </c>
      <c r="BP230" s="131">
        <f t="shared" si="154"/>
        <v>0</v>
      </c>
      <c r="BQ230" s="131">
        <f t="shared" si="154"/>
        <v>0</v>
      </c>
    </row>
    <row r="231" spans="1:69">
      <c r="A231" s="130">
        <v>22</v>
      </c>
      <c r="B231" s="131">
        <f>IF('Data 2'!B231&lt;0.1,0,'Data 2'!B231)</f>
        <v>0</v>
      </c>
      <c r="C231" s="131">
        <f>IF('Data 2'!C231&lt;0.1,0,'Data 2'!C231)</f>
        <v>0</v>
      </c>
      <c r="D231" s="131">
        <f>IF('Data 2'!D231&lt;0.1,0,'Data 2'!D231)</f>
        <v>0</v>
      </c>
      <c r="E231" s="131">
        <f>IF('Data 2'!E231&lt;0.1,0,'Data 2'!E231)</f>
        <v>3.2114838772750232</v>
      </c>
      <c r="F231" s="131">
        <f>IF('Data 2'!F231&lt;0.1,0,'Data 2'!F231)</f>
        <v>30.350887197953501</v>
      </c>
      <c r="G231" s="131">
        <f>IF('Data 2'!G231&lt;0.1,0,'Data 2'!G231)</f>
        <v>0</v>
      </c>
      <c r="H231" s="131" t="str">
        <f>IF('Data 2'!H231&lt;0.1,0,'Data 2'!H231)</f>
        <v>-</v>
      </c>
      <c r="I231" s="131">
        <f>IF('Data 2'!I231&lt;0.1,0,'Data 2'!I231)</f>
        <v>5.4210483437342152</v>
      </c>
      <c r="J231" s="131">
        <f>IF('Data 2'!J231&lt;0.1,0,'Data 2'!J231)</f>
        <v>0</v>
      </c>
      <c r="K231" s="131">
        <f>IF('Data 2'!K231&lt;0.1,0,'Data 2'!K231)</f>
        <v>0</v>
      </c>
      <c r="L231" s="131">
        <f>IF('Data 2'!L231&lt;0.1,0,'Data 2'!L231)</f>
        <v>0.68995160738435457</v>
      </c>
      <c r="M231" s="131">
        <f>IF('Data 2'!M231&lt;0.1,0,'Data 2'!M231)</f>
        <v>0</v>
      </c>
      <c r="O231" s="130">
        <v>22</v>
      </c>
      <c r="P231" s="131">
        <f>'Stasiun Pontianak Kota'!Q293</f>
        <v>0</v>
      </c>
      <c r="Q231" s="131">
        <f>'Stasiun Pontianak Kota'!R293</f>
        <v>0</v>
      </c>
      <c r="R231" s="131">
        <f>'Stasiun Pontianak Kota'!S293</f>
        <v>0</v>
      </c>
      <c r="S231" s="131">
        <f>'Stasiun Pontianak Kota'!T293</f>
        <v>4</v>
      </c>
      <c r="T231" s="131">
        <f>'Stasiun Pontianak Kota'!U293</f>
        <v>43</v>
      </c>
      <c r="U231" s="131">
        <f>'Stasiun Pontianak Kota'!V293</f>
        <v>0</v>
      </c>
      <c r="V231" s="131" t="str">
        <f>'Stasiun Pontianak Kota'!W293</f>
        <v>-</v>
      </c>
      <c r="W231" s="131">
        <f>'Stasiun Pontianak Kota'!X293</f>
        <v>0</v>
      </c>
      <c r="X231" s="131">
        <f>'Stasiun Pontianak Kota'!Y293</f>
        <v>0</v>
      </c>
      <c r="Y231" s="131">
        <f>'Stasiun Pontianak Kota'!Z293</f>
        <v>0</v>
      </c>
      <c r="Z231" s="131">
        <f>'Stasiun Pontianak Kota'!AA293</f>
        <v>0</v>
      </c>
      <c r="AA231" s="131">
        <f>'Stasiun Pontianak Kota'!AB293</f>
        <v>0</v>
      </c>
      <c r="AC231" s="130">
        <v>22</v>
      </c>
      <c r="AD231" s="131">
        <f>'Sta. Meteorologi pnk'!B254</f>
        <v>0</v>
      </c>
      <c r="AE231" s="131">
        <f>'Sta. Meteorologi pnk'!C254</f>
        <v>0</v>
      </c>
      <c r="AF231" s="131">
        <f>'Sta. Meteorologi pnk'!D254</f>
        <v>0</v>
      </c>
      <c r="AG231" s="131">
        <f>'Sta. Meteorologi pnk'!E254</f>
        <v>1.6</v>
      </c>
      <c r="AH231" s="131">
        <f>'Sta. Meteorologi pnk'!F254</f>
        <v>4.5</v>
      </c>
      <c r="AI231" s="131">
        <f>'Sta. Meteorologi pnk'!G254</f>
        <v>0</v>
      </c>
      <c r="AJ231" s="131">
        <f>'Sta. Meteorologi pnk'!H254</f>
        <v>0</v>
      </c>
      <c r="AK231" s="131">
        <f>'Sta. Meteorologi pnk'!I254</f>
        <v>16.5</v>
      </c>
      <c r="AL231" s="131">
        <f>'Sta. Meteorologi pnk'!J254</f>
        <v>0</v>
      </c>
      <c r="AM231" s="131">
        <f>'Sta. Meteorologi pnk'!K254</f>
        <v>0</v>
      </c>
      <c r="AN231" s="131">
        <f>'Sta. Meteorologi pnk'!L254</f>
        <v>2.1</v>
      </c>
      <c r="AO231" s="131">
        <f>'Sta. Meteorologi pnk'!M254</f>
        <v>0</v>
      </c>
      <c r="AQ231" s="130">
        <v>22</v>
      </c>
      <c r="AR231" s="131">
        <f t="shared" si="155"/>
        <v>0</v>
      </c>
      <c r="AS231" s="131">
        <f t="shared" si="153"/>
        <v>0</v>
      </c>
      <c r="AT231" s="131">
        <f t="shared" si="153"/>
        <v>0</v>
      </c>
      <c r="AU231" s="131">
        <f t="shared" si="153"/>
        <v>2.3771327180863149</v>
      </c>
      <c r="AV231" s="131">
        <f t="shared" si="153"/>
        <v>16.966504019301301</v>
      </c>
      <c r="AW231" s="131">
        <f t="shared" si="153"/>
        <v>0</v>
      </c>
      <c r="AX231" s="131" t="e">
        <f t="shared" si="153"/>
        <v>#VALUE!</v>
      </c>
      <c r="AY231" s="131">
        <f t="shared" si="153"/>
        <v>11.157212563156584</v>
      </c>
      <c r="AZ231" s="131">
        <f t="shared" si="153"/>
        <v>0</v>
      </c>
      <c r="BA231" s="131">
        <f t="shared" si="153"/>
        <v>0</v>
      </c>
      <c r="BB231" s="131">
        <f t="shared" si="153"/>
        <v>1.4200088716744745</v>
      </c>
      <c r="BC231" s="131">
        <f t="shared" si="153"/>
        <v>0</v>
      </c>
      <c r="BE231" s="130">
        <v>22</v>
      </c>
      <c r="BF231" s="131">
        <f t="shared" si="156"/>
        <v>0</v>
      </c>
      <c r="BG231" s="131">
        <f t="shared" si="154"/>
        <v>0</v>
      </c>
      <c r="BH231" s="131">
        <f t="shared" si="154"/>
        <v>0</v>
      </c>
      <c r="BI231" s="131">
        <f t="shared" si="154"/>
        <v>2.481612995522529</v>
      </c>
      <c r="BJ231" s="131">
        <f t="shared" si="154"/>
        <v>18.642541803173899</v>
      </c>
      <c r="BK231" s="131">
        <f t="shared" si="154"/>
        <v>0</v>
      </c>
      <c r="BL231" s="131" t="e">
        <f t="shared" si="154"/>
        <v>#VALUE!</v>
      </c>
      <c r="BM231" s="131">
        <f t="shared" si="154"/>
        <v>10.438910655782614</v>
      </c>
      <c r="BN231" s="131">
        <f t="shared" si="154"/>
        <v>0</v>
      </c>
      <c r="BO231" s="131">
        <f t="shared" si="154"/>
        <v>0</v>
      </c>
      <c r="BP231" s="131">
        <f t="shared" si="154"/>
        <v>1.3285886289177873</v>
      </c>
      <c r="BQ231" s="131">
        <f t="shared" si="154"/>
        <v>0</v>
      </c>
    </row>
    <row r="232" spans="1:69">
      <c r="A232" s="130">
        <v>23</v>
      </c>
      <c r="B232" s="131">
        <f>IF('Data 2'!B232&lt;0.1,0,'Data 2'!B232)</f>
        <v>0</v>
      </c>
      <c r="C232" s="131">
        <f>IF('Data 2'!C232&lt;0.1,0,'Data 2'!C232)</f>
        <v>3.3757580695093932</v>
      </c>
      <c r="D232" s="131">
        <f>IF('Data 2'!D232&lt;0.1,0,'Data 2'!D232)</f>
        <v>0.98564515340622083</v>
      </c>
      <c r="E232" s="131">
        <f>IF('Data 2'!E232&lt;0.1,0,'Data 2'!E232)</f>
        <v>3.3901129161031722</v>
      </c>
      <c r="F232" s="131">
        <f>IF('Data 2'!F232&lt;0.1,0,'Data 2'!F232)</f>
        <v>1.4784677301093312</v>
      </c>
      <c r="G232" s="131">
        <f>IF('Data 2'!G232&lt;0.1,0,'Data 2'!G232)</f>
        <v>72.933677675850944</v>
      </c>
      <c r="H232" s="131" t="str">
        <f>IF('Data 2'!H232&lt;0.1,0,'Data 2'!H232)</f>
        <v>-</v>
      </c>
      <c r="I232" s="131">
        <f>IF('Data 2'!I232&lt;0.1,0,'Data 2'!I232)</f>
        <v>0</v>
      </c>
      <c r="J232" s="131">
        <f>IF('Data 2'!J232&lt;0.1,0,'Data 2'!J232)</f>
        <v>0</v>
      </c>
      <c r="K232" s="131">
        <f>IF('Data 2'!K232&lt;0.1,0,'Data 2'!K232)</f>
        <v>3.1540644908999065</v>
      </c>
      <c r="L232" s="131">
        <f>IF('Data 2'!L232&lt;0.1,0,'Data 2'!L232)</f>
        <v>4.0287096931875581</v>
      </c>
      <c r="M232" s="131">
        <f>IF('Data 2'!M232&lt;0.1,0,'Data 2'!M232)</f>
        <v>0</v>
      </c>
      <c r="O232" s="130">
        <v>23</v>
      </c>
      <c r="P232" s="131">
        <f>'Stasiun Pontianak Kota'!Q294</f>
        <v>0</v>
      </c>
      <c r="Q232" s="131">
        <f>'Stasiun Pontianak Kota'!R294</f>
        <v>4</v>
      </c>
      <c r="R232" s="131">
        <f>'Stasiun Pontianak Kota'!S294</f>
        <v>0</v>
      </c>
      <c r="S232" s="131">
        <f>'Stasiun Pontianak Kota'!T294</f>
        <v>5</v>
      </c>
      <c r="T232" s="131">
        <f>'Stasiun Pontianak Kota'!U294</f>
        <v>0</v>
      </c>
      <c r="U232" s="131">
        <f>'Stasiun Pontianak Kota'!V294</f>
        <v>105</v>
      </c>
      <c r="V232" s="131" t="str">
        <f>'Stasiun Pontianak Kota'!W294</f>
        <v>-</v>
      </c>
      <c r="W232" s="131">
        <f>'Stasiun Pontianak Kota'!X294</f>
        <v>0</v>
      </c>
      <c r="X232" s="131">
        <f>'Stasiun Pontianak Kota'!Y294</f>
        <v>0</v>
      </c>
      <c r="Y232" s="131">
        <f>'Stasiun Pontianak Kota'!Z294</f>
        <v>0</v>
      </c>
      <c r="Z232" s="131">
        <f>'Stasiun Pontianak Kota'!AA294</f>
        <v>6</v>
      </c>
      <c r="AA232" s="131">
        <f>'Stasiun Pontianak Kota'!AB294</f>
        <v>0</v>
      </c>
      <c r="AC232" s="130">
        <v>23</v>
      </c>
      <c r="AD232" s="131">
        <f>'Sta. Meteorologi pnk'!B255</f>
        <v>0</v>
      </c>
      <c r="AE232" s="131">
        <f>'Sta. Meteorologi pnk'!C255</f>
        <v>2.1</v>
      </c>
      <c r="AF232" s="131">
        <f>'Sta. Meteorologi pnk'!D255</f>
        <v>3</v>
      </c>
      <c r="AG232" s="131">
        <f>'Sta. Meteorologi pnk'!E255</f>
        <v>0.1</v>
      </c>
      <c r="AH232" s="131">
        <f>'Sta. Meteorologi pnk'!F255</f>
        <v>4.5</v>
      </c>
      <c r="AI232" s="131">
        <f>'Sta. Meteorologi pnk'!G255</f>
        <v>7.4</v>
      </c>
      <c r="AJ232" s="131">
        <f>'Sta. Meteorologi pnk'!H255</f>
        <v>0</v>
      </c>
      <c r="AK232" s="131">
        <f>'Sta. Meteorologi pnk'!I255</f>
        <v>0</v>
      </c>
      <c r="AL232" s="131">
        <f>'Sta. Meteorologi pnk'!J255</f>
        <v>0</v>
      </c>
      <c r="AM232" s="131">
        <f>'Sta. Meteorologi pnk'!K255</f>
        <v>9.6</v>
      </c>
      <c r="AN232" s="131">
        <f>'Sta. Meteorologi pnk'!L255</f>
        <v>0</v>
      </c>
      <c r="AO232" s="131">
        <f>'Sta. Meteorologi pnk'!M255</f>
        <v>0</v>
      </c>
      <c r="AQ232" s="130">
        <v>23</v>
      </c>
      <c r="AR232" s="131">
        <f t="shared" si="155"/>
        <v>0</v>
      </c>
      <c r="AS232" s="131">
        <f t="shared" si="153"/>
        <v>2.7152300684849995</v>
      </c>
      <c r="AT232" s="131">
        <f t="shared" si="153"/>
        <v>2.0285841023921063</v>
      </c>
      <c r="AU232" s="131">
        <f t="shared" si="153"/>
        <v>1.6866459660928927</v>
      </c>
      <c r="AV232" s="131">
        <f t="shared" si="153"/>
        <v>3.0428761535881592</v>
      </c>
      <c r="AW232" s="131">
        <f t="shared" si="153"/>
        <v>39.003397202176807</v>
      </c>
      <c r="AX232" s="131" t="e">
        <f t="shared" si="153"/>
        <v>#VALUE!</v>
      </c>
      <c r="AY232" s="131">
        <f t="shared" si="153"/>
        <v>0</v>
      </c>
      <c r="AZ232" s="131">
        <f t="shared" si="153"/>
        <v>0</v>
      </c>
      <c r="BA232" s="131">
        <f t="shared" si="153"/>
        <v>6.4914691276547396</v>
      </c>
      <c r="BB232" s="131">
        <f t="shared" si="153"/>
        <v>1.942831795215787</v>
      </c>
      <c r="BC232" s="131">
        <f t="shared" si="153"/>
        <v>0</v>
      </c>
      <c r="BE232" s="130">
        <v>23</v>
      </c>
      <c r="BF232" s="131">
        <f t="shared" si="156"/>
        <v>0</v>
      </c>
      <c r="BG232" s="131">
        <f t="shared" si="154"/>
        <v>2.7979436214553357</v>
      </c>
      <c r="BH232" s="131">
        <f t="shared" si="154"/>
        <v>1.8979837555968391</v>
      </c>
      <c r="BI232" s="131">
        <f t="shared" si="154"/>
        <v>1.8999598658584962</v>
      </c>
      <c r="BJ232" s="131">
        <f t="shared" si="154"/>
        <v>2.8469756333952585</v>
      </c>
      <c r="BK232" s="131">
        <f t="shared" si="154"/>
        <v>43.252261817916171</v>
      </c>
      <c r="BL232" s="131" t="e">
        <f t="shared" si="154"/>
        <v>#VALUE!</v>
      </c>
      <c r="BM232" s="131">
        <f t="shared" si="154"/>
        <v>0</v>
      </c>
      <c r="BN232" s="131">
        <f t="shared" si="154"/>
        <v>0</v>
      </c>
      <c r="BO232" s="131">
        <f t="shared" si="154"/>
        <v>6.073548017909884</v>
      </c>
      <c r="BP232" s="131">
        <f t="shared" si="154"/>
        <v>2.2040324888063219</v>
      </c>
      <c r="BQ232" s="131">
        <f t="shared" si="154"/>
        <v>0</v>
      </c>
    </row>
    <row r="233" spans="1:69">
      <c r="A233" s="130">
        <v>24</v>
      </c>
      <c r="B233" s="131">
        <f>IF('Data 2'!B233&lt;0.1,0,'Data 2'!B233)</f>
        <v>0</v>
      </c>
      <c r="C233" s="131">
        <f>IF('Data 2'!C233&lt;0.1,0,'Data 2'!C233)</f>
        <v>11.342903231062518</v>
      </c>
      <c r="D233" s="131">
        <f>IF('Data 2'!D233&lt;0.1,0,'Data 2'!D233)</f>
        <v>7.326628973652908</v>
      </c>
      <c r="E233" s="131">
        <f>IF('Data 2'!E233&lt;0.1,0,'Data 2'!E233)</f>
        <v>1.314193537874961</v>
      </c>
      <c r="F233" s="131">
        <f>IF('Data 2'!F233&lt;0.1,0,'Data 2'!F233)</f>
        <v>11.334919264171539</v>
      </c>
      <c r="G233" s="131">
        <f>IF('Data 2'!G233&lt;0.1,0,'Data 2'!G233)</f>
        <v>46.287096931875581</v>
      </c>
      <c r="H233" s="131" t="str">
        <f>IF('Data 2'!H233&lt;0.1,0,'Data 2'!H233)</f>
        <v>-</v>
      </c>
      <c r="I233" s="131">
        <f>IF('Data 2'!I233&lt;0.1,0,'Data 2'!I233)</f>
        <v>0</v>
      </c>
      <c r="J233" s="131">
        <f>IF('Data 2'!J233&lt;0.1,0,'Data 2'!J233)</f>
        <v>22.15790331253157</v>
      </c>
      <c r="K233" s="131">
        <f>IF('Data 2'!K233&lt;0.1,0,'Data 2'!K233)</f>
        <v>0</v>
      </c>
      <c r="L233" s="131">
        <f>IF('Data 2'!L233&lt;0.1,0,'Data 2'!L233)</f>
        <v>2.1355644990468114</v>
      </c>
      <c r="M233" s="131">
        <f>IF('Data 2'!M233&lt;0.1,0,'Data 2'!M233)</f>
        <v>0</v>
      </c>
      <c r="O233" s="130">
        <v>24</v>
      </c>
      <c r="P233" s="131">
        <f>'Stasiun Pontianak Kota'!Q295</f>
        <v>0</v>
      </c>
      <c r="Q233" s="131">
        <f>'Stasiun Pontianak Kota'!R295</f>
        <v>12</v>
      </c>
      <c r="R233" s="131">
        <f>'Stasiun Pontianak Kota'!S295</f>
        <v>0</v>
      </c>
      <c r="S233" s="131">
        <f>'Stasiun Pontianak Kota'!T295</f>
        <v>0</v>
      </c>
      <c r="T233" s="131">
        <f>'Stasiun Pontianak Kota'!U295</f>
        <v>0</v>
      </c>
      <c r="U233" s="131">
        <f>'Stasiun Pontianak Kota'!V295</f>
        <v>66</v>
      </c>
      <c r="V233" s="131" t="str">
        <f>'Stasiun Pontianak Kota'!W295</f>
        <v>-</v>
      </c>
      <c r="W233" s="131">
        <f>'Stasiun Pontianak Kota'!X295</f>
        <v>0</v>
      </c>
      <c r="X233" s="131">
        <f>'Stasiun Pontianak Kota'!Y295</f>
        <v>33</v>
      </c>
      <c r="Y233" s="131">
        <f>'Stasiun Pontianak Kota'!Z295</f>
        <v>0</v>
      </c>
      <c r="Z233" s="131">
        <f>'Stasiun Pontianak Kota'!AA295</f>
        <v>0</v>
      </c>
      <c r="AA233" s="131">
        <f>'Stasiun Pontianak Kota'!AB295</f>
        <v>0</v>
      </c>
      <c r="AC233" s="130">
        <v>24</v>
      </c>
      <c r="AD233" s="131">
        <f>'Sta. Meteorologi pnk'!B256</f>
        <v>0</v>
      </c>
      <c r="AE233" s="131">
        <f>'Sta. Meteorologi pnk'!C256</f>
        <v>10</v>
      </c>
      <c r="AF233" s="131">
        <f>'Sta. Meteorologi pnk'!D256</f>
        <v>22.3</v>
      </c>
      <c r="AG233" s="131">
        <f>'Sta. Meteorologi pnk'!E256</f>
        <v>4</v>
      </c>
      <c r="AH233" s="131">
        <f>'Sta. Meteorologi pnk'!F256</f>
        <v>34.5</v>
      </c>
      <c r="AI233" s="131">
        <f>'Sta. Meteorologi pnk'!G256</f>
        <v>6</v>
      </c>
      <c r="AJ233" s="131">
        <f>'Sta. Meteorologi pnk'!H256</f>
        <v>0</v>
      </c>
      <c r="AK233" s="131">
        <f>'Sta. Meteorologi pnk'!I256</f>
        <v>0</v>
      </c>
      <c r="AL233" s="131">
        <f>'Sta. Meteorologi pnk'!J256</f>
        <v>0</v>
      </c>
      <c r="AM233" s="131">
        <f>'Sta. Meteorologi pnk'!K256</f>
        <v>0</v>
      </c>
      <c r="AN233" s="131">
        <f>'Sta. Meteorologi pnk'!L256</f>
        <v>6.5</v>
      </c>
      <c r="AO233" s="131">
        <f>'Sta. Meteorologi pnk'!M256</f>
        <v>0</v>
      </c>
      <c r="AQ233" s="130">
        <v>24</v>
      </c>
      <c r="AR233" s="131">
        <f t="shared" si="155"/>
        <v>0</v>
      </c>
      <c r="AS233" s="131">
        <f t="shared" si="153"/>
        <v>10.647610598405262</v>
      </c>
      <c r="AT233" s="131">
        <f t="shared" si="153"/>
        <v>15.079141827781323</v>
      </c>
      <c r="AU233" s="131">
        <f t="shared" ref="AU233:BC240" si="157">((S233/($AV$1^2))+(AG233/($AV$2^2)))/((1/($AV$1^2))+(1/($AV$2^2)))</f>
        <v>2.7047788031894751</v>
      </c>
      <c r="AV233" s="131">
        <f t="shared" si="157"/>
        <v>23.328717177509223</v>
      </c>
      <c r="AW233" s="131">
        <f t="shared" si="157"/>
        <v>25.428317952157872</v>
      </c>
      <c r="AX233" s="131" t="e">
        <f t="shared" si="157"/>
        <v>#VALUE!</v>
      </c>
      <c r="AY233" s="131">
        <f t="shared" si="157"/>
        <v>0</v>
      </c>
      <c r="AZ233" s="131">
        <f t="shared" si="157"/>
        <v>10.68557487368683</v>
      </c>
      <c r="BA233" s="131">
        <f t="shared" si="157"/>
        <v>0</v>
      </c>
      <c r="BB233" s="131">
        <f t="shared" si="157"/>
        <v>4.3952655551828963</v>
      </c>
      <c r="BC233" s="131">
        <f t="shared" si="157"/>
        <v>0</v>
      </c>
      <c r="BE233" s="130">
        <v>24</v>
      </c>
      <c r="BF233" s="131">
        <f t="shared" si="156"/>
        <v>0</v>
      </c>
      <c r="BG233" s="131">
        <f t="shared" si="154"/>
        <v>10.734677496268773</v>
      </c>
      <c r="BH233" s="131">
        <f t="shared" si="154"/>
        <v>14.10834591660317</v>
      </c>
      <c r="BI233" s="131">
        <f t="shared" ref="BI233:BQ240" si="158">((E233/($BI$1^2))+(S233/($AV$1^2))+(AG233/($AV$2^2)))/((1/($BI$1^2))+(1/($AV$1^2))+(1/($AV$2^2)))</f>
        <v>2.5306450074624518</v>
      </c>
      <c r="BJ233" s="131">
        <f t="shared" si="158"/>
        <v>21.826813189363651</v>
      </c>
      <c r="BK233" s="131">
        <f t="shared" si="158"/>
        <v>28.040324888063221</v>
      </c>
      <c r="BL233" s="131" t="e">
        <f t="shared" si="158"/>
        <v>#VALUE!</v>
      </c>
      <c r="BM233" s="131">
        <f t="shared" si="158"/>
        <v>0</v>
      </c>
      <c r="BN233" s="131">
        <f t="shared" si="158"/>
        <v>12.12217868843477</v>
      </c>
      <c r="BO233" s="131">
        <f t="shared" si="158"/>
        <v>0</v>
      </c>
      <c r="BP233" s="131">
        <f t="shared" si="158"/>
        <v>4.1122981371264844</v>
      </c>
      <c r="BQ233" s="131">
        <f t="shared" si="158"/>
        <v>0</v>
      </c>
    </row>
    <row r="234" spans="1:69">
      <c r="A234" s="130">
        <v>25</v>
      </c>
      <c r="B234" s="131">
        <f>IF('Data 2'!B234&lt;0.1,0,'Data 2'!B234)</f>
        <v>0.26283870757499223</v>
      </c>
      <c r="C234" s="131">
        <f>IF('Data 2'!C234&lt;0.1,0,'Data 2'!C234)</f>
        <v>3.4497580369217729</v>
      </c>
      <c r="D234" s="131">
        <f>IF('Data 2'!D234&lt;0.1,0,'Data 2'!D234)</f>
        <v>0.88708063806559878</v>
      </c>
      <c r="E234" s="131">
        <f>IF('Data 2'!E234&lt;0.1,0,'Data 2'!E234)</f>
        <v>0.45996773825623638</v>
      </c>
      <c r="F234" s="131">
        <f>IF('Data 2'!F234&lt;0.1,0,'Data 2'!F234)</f>
        <v>0.98564515340622083</v>
      </c>
      <c r="G234" s="131">
        <f>IF('Data 2'!G234&lt;0.1,0,'Data 2'!G234)</f>
        <v>75.334612940543892</v>
      </c>
      <c r="H234" s="131" t="str">
        <f>IF('Data 2'!H234&lt;0.1,0,'Data 2'!H234)</f>
        <v>-</v>
      </c>
      <c r="I234" s="131">
        <f>IF('Data 2'!I234&lt;0.1,0,'Data 2'!I234)</f>
        <v>0</v>
      </c>
      <c r="J234" s="131">
        <f>IF('Data 2'!J234&lt;0.1,0,'Data 2'!J234)</f>
        <v>1.0842096687468428</v>
      </c>
      <c r="K234" s="131">
        <f>IF('Data 2'!K234&lt;0.1,0,'Data 2'!K234)</f>
        <v>32.523758004334155</v>
      </c>
      <c r="L234" s="131">
        <f>IF('Data 2'!L234&lt;0.1,0,'Data 2'!L234)</f>
        <v>30.591387092043735</v>
      </c>
      <c r="M234" s="131">
        <f>IF('Data 2'!M234&lt;0.1,0,'Data 2'!M234)</f>
        <v>0</v>
      </c>
      <c r="O234" s="130">
        <v>25</v>
      </c>
      <c r="P234" s="131">
        <f>'Stasiun Pontianak Kota'!Q296</f>
        <v>0</v>
      </c>
      <c r="Q234" s="131">
        <f>'Stasiun Pontianak Kota'!R296</f>
        <v>0</v>
      </c>
      <c r="R234" s="131">
        <f>'Stasiun Pontianak Kota'!S296</f>
        <v>0</v>
      </c>
      <c r="S234" s="131">
        <f>'Stasiun Pontianak Kota'!T296</f>
        <v>0</v>
      </c>
      <c r="T234" s="131">
        <f>'Stasiun Pontianak Kota'!U296</f>
        <v>0</v>
      </c>
      <c r="U234" s="131">
        <f>'Stasiun Pontianak Kota'!V296</f>
        <v>80</v>
      </c>
      <c r="V234" s="131" t="str">
        <f>'Stasiun Pontianak Kota'!W296</f>
        <v>-</v>
      </c>
      <c r="W234" s="131">
        <f>'Stasiun Pontianak Kota'!X296</f>
        <v>0</v>
      </c>
      <c r="X234" s="131">
        <f>'Stasiun Pontianak Kota'!Y296</f>
        <v>0</v>
      </c>
      <c r="Y234" s="131">
        <f>'Stasiun Pontianak Kota'!Z296</f>
        <v>25</v>
      </c>
      <c r="Z234" s="131">
        <f>'Stasiun Pontianak Kota'!AA296</f>
        <v>30</v>
      </c>
      <c r="AA234" s="131">
        <f>'Stasiun Pontianak Kota'!AB296</f>
        <v>0</v>
      </c>
      <c r="AC234" s="130">
        <v>25</v>
      </c>
      <c r="AD234" s="131">
        <f>'Sta. Meteorologi pnk'!B257</f>
        <v>0.8</v>
      </c>
      <c r="AE234" s="131">
        <f>'Sta. Meteorologi pnk'!C257</f>
        <v>10.5</v>
      </c>
      <c r="AF234" s="131">
        <f>'Sta. Meteorologi pnk'!D257</f>
        <v>2.7</v>
      </c>
      <c r="AG234" s="131">
        <f>'Sta. Meteorologi pnk'!E257</f>
        <v>1.4</v>
      </c>
      <c r="AH234" s="131">
        <f>'Sta. Meteorologi pnk'!F257</f>
        <v>3</v>
      </c>
      <c r="AI234" s="131">
        <f>'Sta. Meteorologi pnk'!G257</f>
        <v>65.8</v>
      </c>
      <c r="AJ234" s="131">
        <f>'Sta. Meteorologi pnk'!H257</f>
        <v>0</v>
      </c>
      <c r="AK234" s="131">
        <f>'Sta. Meteorologi pnk'!I257</f>
        <v>0.1</v>
      </c>
      <c r="AL234" s="131">
        <f>'Sta. Meteorologi pnk'!J257</f>
        <v>3.3</v>
      </c>
      <c r="AM234" s="131">
        <f>'Sta. Meteorologi pnk'!K257</f>
        <v>47.9</v>
      </c>
      <c r="AN234" s="131">
        <f>'Sta. Meteorologi pnk'!L257</f>
        <v>31.8</v>
      </c>
      <c r="AO234" s="131">
        <f>'Sta. Meteorologi pnk'!M257</f>
        <v>0</v>
      </c>
      <c r="AQ234" s="130">
        <v>25</v>
      </c>
      <c r="AR234" s="131">
        <f t="shared" si="155"/>
        <v>0.54095576063789497</v>
      </c>
      <c r="AS234" s="131">
        <f t="shared" si="155"/>
        <v>7.1000443583723722</v>
      </c>
      <c r="AT234" s="131">
        <f t="shared" si="155"/>
        <v>1.8257256921528955</v>
      </c>
      <c r="AU234" s="131">
        <f t="shared" si="157"/>
        <v>0.94667258111631614</v>
      </c>
      <c r="AV234" s="131">
        <f t="shared" si="157"/>
        <v>2.0285841023921063</v>
      </c>
      <c r="AW234" s="131">
        <f t="shared" si="157"/>
        <v>70.39803524867736</v>
      </c>
      <c r="AX234" s="131" t="e">
        <f t="shared" si="157"/>
        <v>#VALUE!</v>
      </c>
      <c r="AY234" s="131">
        <f t="shared" si="157"/>
        <v>6.7619470079736871E-2</v>
      </c>
      <c r="AZ234" s="131">
        <f t="shared" si="157"/>
        <v>2.2314425126313169</v>
      </c>
      <c r="BA234" s="131">
        <f t="shared" si="157"/>
        <v>40.484858648259745</v>
      </c>
      <c r="BB234" s="131">
        <f t="shared" si="157"/>
        <v>31.217150461435264</v>
      </c>
      <c r="BC234" s="131">
        <f t="shared" si="157"/>
        <v>0</v>
      </c>
      <c r="BE234" s="130">
        <v>25</v>
      </c>
      <c r="BF234" s="131">
        <f t="shared" si="156"/>
        <v>0.5061290014924904</v>
      </c>
      <c r="BG234" s="131">
        <f t="shared" si="156"/>
        <v>6.6429431445889362</v>
      </c>
      <c r="BH234" s="131">
        <f t="shared" si="156"/>
        <v>1.7081853800371549</v>
      </c>
      <c r="BI234" s="131">
        <f t="shared" si="158"/>
        <v>0.88572575261185815</v>
      </c>
      <c r="BJ234" s="131">
        <f t="shared" si="158"/>
        <v>1.8979837555968391</v>
      </c>
      <c r="BK234" s="131">
        <f t="shared" si="158"/>
        <v>71.016210223508295</v>
      </c>
      <c r="BL234" s="131" t="e">
        <f t="shared" si="158"/>
        <v>#VALUE!</v>
      </c>
      <c r="BM234" s="131">
        <f t="shared" si="158"/>
        <v>5.9151931063083127E-2</v>
      </c>
      <c r="BN234" s="131">
        <f t="shared" si="158"/>
        <v>2.0877821311565228</v>
      </c>
      <c r="BO234" s="131">
        <f t="shared" si="158"/>
        <v>39.487942667722535</v>
      </c>
      <c r="BP234" s="131">
        <f t="shared" si="158"/>
        <v>31.138790253358106</v>
      </c>
      <c r="BQ234" s="131">
        <f t="shared" si="158"/>
        <v>0</v>
      </c>
    </row>
    <row r="235" spans="1:69">
      <c r="A235" s="130">
        <v>26</v>
      </c>
      <c r="B235" s="131">
        <f>IF('Data 2'!B235&lt;0.1,0,'Data 2'!B235)</f>
        <v>8.6899516073843532</v>
      </c>
      <c r="C235" s="131">
        <f>IF('Data 2'!C235&lt;0.1,0,'Data 2'!C235)</f>
        <v>0.75566128427810253</v>
      </c>
      <c r="D235" s="131">
        <f>IF('Data 2'!D235&lt;0.1,0,'Data 2'!D235)</f>
        <v>0</v>
      </c>
      <c r="E235" s="131">
        <f>IF('Data 2'!E235&lt;0.1,0,'Data 2'!E235)</f>
        <v>5.4867580206279625</v>
      </c>
      <c r="F235" s="131">
        <f>IF('Data 2'!F235&lt;0.1,0,'Data 2'!F235)</f>
        <v>17.577338569077604</v>
      </c>
      <c r="G235" s="131">
        <f>IF('Data 2'!G235&lt;0.1,0,'Data 2'!G235)</f>
        <v>41.068241734964879</v>
      </c>
      <c r="H235" s="131" t="str">
        <f>IF('Data 2'!H235&lt;0.1,0,'Data 2'!H235)</f>
        <v>-</v>
      </c>
      <c r="I235" s="131">
        <f>IF('Data 2'!I235&lt;0.1,0,'Data 2'!I235)</f>
        <v>0</v>
      </c>
      <c r="J235" s="131">
        <f>IF('Data 2'!J235&lt;0.1,0,'Data 2'!J235)</f>
        <v>19.242419304906065</v>
      </c>
      <c r="K235" s="131">
        <f>IF('Data 2'!K235&lt;0.1,0,'Data 2'!K235)</f>
        <v>4.4312580450686783</v>
      </c>
      <c r="L235" s="131">
        <f>IF('Data 2'!L235&lt;0.1,0,'Data 2'!L235)</f>
        <v>0.82137096117185071</v>
      </c>
      <c r="M235" s="131">
        <f>IF('Data 2'!M235&lt;0.1,0,'Data 2'!M235)</f>
        <v>0</v>
      </c>
      <c r="O235" s="130">
        <v>26</v>
      </c>
      <c r="P235" s="131">
        <f>'Stasiun Pontianak Kota'!Q297</f>
        <v>8</v>
      </c>
      <c r="Q235" s="131">
        <f>'Stasiun Pontianak Kota'!R297</f>
        <v>0</v>
      </c>
      <c r="R235" s="131">
        <f>'Stasiun Pontianak Kota'!S297</f>
        <v>0</v>
      </c>
      <c r="S235" s="131">
        <f>'Stasiun Pontianak Kota'!T297</f>
        <v>0</v>
      </c>
      <c r="T235" s="131">
        <f>'Stasiun Pontianak Kota'!U297</f>
        <v>0</v>
      </c>
      <c r="U235" s="131">
        <f>'Stasiun Pontianak Kota'!V297</f>
        <v>16</v>
      </c>
      <c r="V235" s="131" t="str">
        <f>'Stasiun Pontianak Kota'!W297</f>
        <v>-</v>
      </c>
      <c r="W235" s="131">
        <f>'Stasiun Pontianak Kota'!X297</f>
        <v>0</v>
      </c>
      <c r="X235" s="131">
        <f>'Stasiun Pontianak Kota'!Y297</f>
        <v>13</v>
      </c>
      <c r="Y235" s="131">
        <f>'Stasiun Pontianak Kota'!Z297</f>
        <v>2</v>
      </c>
      <c r="Z235" s="131">
        <f>'Stasiun Pontianak Kota'!AA297</f>
        <v>0</v>
      </c>
      <c r="AA235" s="131">
        <f>'Stasiun Pontianak Kota'!AB297</f>
        <v>0</v>
      </c>
      <c r="AC235" s="130">
        <v>26</v>
      </c>
      <c r="AD235" s="131">
        <f>'Sta. Meteorologi pnk'!B258</f>
        <v>10.1</v>
      </c>
      <c r="AE235" s="131">
        <f>'Sta. Meteorologi pnk'!C258</f>
        <v>2.2999999999999998</v>
      </c>
      <c r="AF235" s="131">
        <f>'Sta. Meteorologi pnk'!D258</f>
        <v>0.3</v>
      </c>
      <c r="AG235" s="131">
        <f>'Sta. Meteorologi pnk'!E258</f>
        <v>16.7</v>
      </c>
      <c r="AH235" s="131">
        <f>'Sta. Meteorologi pnk'!F258</f>
        <v>53.5</v>
      </c>
      <c r="AI235" s="131">
        <f>'Sta. Meteorologi pnk'!G258</f>
        <v>92.3</v>
      </c>
      <c r="AJ235" s="131">
        <f>'Sta. Meteorologi pnk'!H258</f>
        <v>1.6</v>
      </c>
      <c r="AK235" s="131">
        <f>'Sta. Meteorologi pnk'!I258</f>
        <v>0</v>
      </c>
      <c r="AL235" s="131">
        <f>'Sta. Meteorologi pnk'!J258</f>
        <v>32</v>
      </c>
      <c r="AM235" s="131">
        <f>'Sta. Meteorologi pnk'!K258</f>
        <v>9.4</v>
      </c>
      <c r="AN235" s="131">
        <f>'Sta. Meteorologi pnk'!L258</f>
        <v>2.5</v>
      </c>
      <c r="AO235" s="131">
        <f>'Sta. Meteorologi pnk'!M258</f>
        <v>0</v>
      </c>
      <c r="AQ235" s="130">
        <v>26</v>
      </c>
      <c r="AR235" s="131">
        <f t="shared" si="155"/>
        <v>9.4200088716744723</v>
      </c>
      <c r="AS235" s="131">
        <f t="shared" si="155"/>
        <v>1.5552478118339481</v>
      </c>
      <c r="AT235" s="131">
        <f t="shared" si="155"/>
        <v>0.20285841023921061</v>
      </c>
      <c r="AU235" s="131">
        <f t="shared" si="157"/>
        <v>11.292451503316057</v>
      </c>
      <c r="AV235" s="131">
        <f t="shared" si="157"/>
        <v>36.176416492659229</v>
      </c>
      <c r="AW235" s="131">
        <f t="shared" si="157"/>
        <v>67.59365567083924</v>
      </c>
      <c r="AX235" s="131" t="e">
        <f t="shared" si="157"/>
        <v>#VALUE!</v>
      </c>
      <c r="AY235" s="131">
        <f t="shared" si="157"/>
        <v>0</v>
      </c>
      <c r="AZ235" s="131">
        <f t="shared" si="157"/>
        <v>25.847699315150006</v>
      </c>
      <c r="BA235" s="131">
        <f t="shared" si="157"/>
        <v>7.0038407859005281</v>
      </c>
      <c r="BB235" s="131">
        <f t="shared" si="157"/>
        <v>1.6904867519934219</v>
      </c>
      <c r="BC235" s="131">
        <f t="shared" si="157"/>
        <v>0</v>
      </c>
      <c r="BE235" s="130">
        <v>26</v>
      </c>
      <c r="BF235" s="131">
        <f t="shared" si="156"/>
        <v>9.3285886289177871</v>
      </c>
      <c r="BG235" s="131">
        <f t="shared" si="156"/>
        <v>1.4551208792909101</v>
      </c>
      <c r="BH235" s="131">
        <f t="shared" si="156"/>
        <v>0.17745579318924937</v>
      </c>
      <c r="BI235" s="131">
        <f t="shared" si="158"/>
        <v>10.565442906155736</v>
      </c>
      <c r="BJ235" s="131">
        <f t="shared" si="158"/>
        <v>33.847376974810295</v>
      </c>
      <c r="BK235" s="131">
        <f t="shared" si="158"/>
        <v>64.272053517346279</v>
      </c>
      <c r="BL235" s="131" t="e">
        <f t="shared" si="158"/>
        <v>#VALUE!</v>
      </c>
      <c r="BM235" s="131">
        <f t="shared" si="158"/>
        <v>0</v>
      </c>
      <c r="BN235" s="131">
        <f t="shared" si="158"/>
        <v>25.020563785446647</v>
      </c>
      <c r="BO235" s="131">
        <f t="shared" si="158"/>
        <v>6.6816932638055357</v>
      </c>
      <c r="BP235" s="131">
        <f t="shared" si="158"/>
        <v>1.5816531296640326</v>
      </c>
      <c r="BQ235" s="131">
        <f t="shared" si="158"/>
        <v>0</v>
      </c>
    </row>
    <row r="236" spans="1:69">
      <c r="A236" s="130">
        <v>27</v>
      </c>
      <c r="B236" s="131">
        <f>IF('Data 2'!B236&lt;0.1,0,'Data 2'!B236)</f>
        <v>0</v>
      </c>
      <c r="C236" s="131">
        <f>IF('Data 2'!C236&lt;0.1,0,'Data 2'!C236)</f>
        <v>27.443387157218972</v>
      </c>
      <c r="D236" s="131">
        <f>IF('Data 2'!D236&lt;0.1,0,'Data 2'!D236)</f>
        <v>9.7250321802747113</v>
      </c>
      <c r="E236" s="131">
        <f>IF('Data 2'!E236&lt;0.1,0,'Data 2'!E236)</f>
        <v>0</v>
      </c>
      <c r="F236" s="131">
        <f>IF('Data 2'!F236&lt;0.1,0,'Data 2'!F236)</f>
        <v>37.47401626122236</v>
      </c>
      <c r="G236" s="131">
        <f>IF('Data 2'!G236&lt;0.1,0,'Data 2'!G236)</f>
        <v>0</v>
      </c>
      <c r="H236" s="131" t="str">
        <f>IF('Data 2'!H236&lt;0.1,0,'Data 2'!H236)</f>
        <v>-</v>
      </c>
      <c r="I236" s="131">
        <f>IF('Data 2'!I236&lt;0.1,0,'Data 2'!I236)</f>
        <v>0.13141935378749611</v>
      </c>
      <c r="J236" s="131">
        <f>IF('Data 2'!J236&lt;0.1,0,'Data 2'!J236)</f>
        <v>0</v>
      </c>
      <c r="K236" s="131">
        <f>IF('Data 2'!K236&lt;0.1,0,'Data 2'!K236)</f>
        <v>6.8995160738435457</v>
      </c>
      <c r="L236" s="131">
        <f>IF('Data 2'!L236&lt;0.1,0,'Data 2'!L236)</f>
        <v>0</v>
      </c>
      <c r="M236" s="131">
        <f>IF('Data 2'!M236&lt;0.1,0,'Data 2'!M236)</f>
        <v>0.22998386912811819</v>
      </c>
      <c r="O236" s="130">
        <v>27</v>
      </c>
      <c r="P236" s="131">
        <f>'Stasiun Pontianak Kota'!Q298</f>
        <v>0</v>
      </c>
      <c r="Q236" s="131">
        <f>'Stasiun Pontianak Kota'!R298</f>
        <v>35</v>
      </c>
      <c r="R236" s="131">
        <f>'Stasiun Pontianak Kota'!S298</f>
        <v>0</v>
      </c>
      <c r="S236" s="131">
        <f>'Stasiun Pontianak Kota'!T298</f>
        <v>0</v>
      </c>
      <c r="T236" s="131">
        <f>'Stasiun Pontianak Kota'!U298</f>
        <v>54</v>
      </c>
      <c r="U236" s="131">
        <f>'Stasiun Pontianak Kota'!V298</f>
        <v>0</v>
      </c>
      <c r="V236" s="131" t="str">
        <f>'Stasiun Pontianak Kota'!W298</f>
        <v>-</v>
      </c>
      <c r="W236" s="131">
        <f>'Stasiun Pontianak Kota'!X298</f>
        <v>0</v>
      </c>
      <c r="X236" s="131">
        <f>'Stasiun Pontianak Kota'!Y298</f>
        <v>0</v>
      </c>
      <c r="Y236" s="131">
        <f>'Stasiun Pontianak Kota'!Z298</f>
        <v>0</v>
      </c>
      <c r="Z236" s="131">
        <f>'Stasiun Pontianak Kota'!AA298</f>
        <v>0</v>
      </c>
      <c r="AA236" s="131">
        <f>'Stasiun Pontianak Kota'!AB298</f>
        <v>0</v>
      </c>
      <c r="AC236" s="130">
        <v>27</v>
      </c>
      <c r="AD236" s="131">
        <f>'Sta. Meteorologi pnk'!B259</f>
        <v>0</v>
      </c>
      <c r="AE236" s="131">
        <f>'Sta. Meteorologi pnk'!C259</f>
        <v>12</v>
      </c>
      <c r="AF236" s="131">
        <f>'Sta. Meteorologi pnk'!D259</f>
        <v>29.6</v>
      </c>
      <c r="AG236" s="131">
        <f>'Sta. Meteorologi pnk'!E259</f>
        <v>0</v>
      </c>
      <c r="AH236" s="131">
        <f>'Sta. Meteorologi pnk'!F259</f>
        <v>3.7</v>
      </c>
      <c r="AI236" s="131">
        <f>'Sta. Meteorologi pnk'!G259</f>
        <v>0</v>
      </c>
      <c r="AJ236" s="131">
        <f>'Sta. Meteorologi pnk'!H259</f>
        <v>9</v>
      </c>
      <c r="AK236" s="131">
        <f>'Sta. Meteorologi pnk'!I259</f>
        <v>0.4</v>
      </c>
      <c r="AL236" s="131">
        <f>'Sta. Meteorologi pnk'!J259</f>
        <v>0</v>
      </c>
      <c r="AM236" s="131">
        <f>'Sta. Meteorologi pnk'!K259</f>
        <v>21</v>
      </c>
      <c r="AN236" s="131">
        <f>'Sta. Meteorologi pnk'!L259</f>
        <v>0</v>
      </c>
      <c r="AO236" s="131">
        <f>'Sta. Meteorologi pnk'!M259</f>
        <v>0.7</v>
      </c>
      <c r="AQ236" s="130">
        <v>27</v>
      </c>
      <c r="AR236" s="131">
        <f t="shared" si="155"/>
        <v>0</v>
      </c>
      <c r="AS236" s="131">
        <f t="shared" si="155"/>
        <v>19.447521881660517</v>
      </c>
      <c r="AT236" s="131">
        <f t="shared" si="155"/>
        <v>20.015363143602116</v>
      </c>
      <c r="AU236" s="131">
        <f t="shared" si="157"/>
        <v>0</v>
      </c>
      <c r="AV236" s="131">
        <f t="shared" si="157"/>
        <v>19.987406549892349</v>
      </c>
      <c r="AW236" s="131">
        <f t="shared" si="157"/>
        <v>0</v>
      </c>
      <c r="AX236" s="131" t="e">
        <f t="shared" si="157"/>
        <v>#VALUE!</v>
      </c>
      <c r="AY236" s="131">
        <f t="shared" si="157"/>
        <v>0.27047788031894748</v>
      </c>
      <c r="AZ236" s="131">
        <f t="shared" si="157"/>
        <v>0</v>
      </c>
      <c r="BA236" s="131">
        <f t="shared" si="157"/>
        <v>14.200088716744744</v>
      </c>
      <c r="BB236" s="131">
        <f t="shared" si="157"/>
        <v>0</v>
      </c>
      <c r="BC236" s="131">
        <f t="shared" si="157"/>
        <v>0.47333629055815807</v>
      </c>
      <c r="BE236" s="130">
        <v>27</v>
      </c>
      <c r="BF236" s="131">
        <f t="shared" si="156"/>
        <v>0</v>
      </c>
      <c r="BG236" s="131">
        <f t="shared" si="156"/>
        <v>20.448791207090899</v>
      </c>
      <c r="BH236" s="131">
        <f t="shared" si="156"/>
        <v>18.726773055222147</v>
      </c>
      <c r="BI236" s="131">
        <f t="shared" si="158"/>
        <v>0</v>
      </c>
      <c r="BJ236" s="131">
        <f t="shared" si="158"/>
        <v>22.177139031159669</v>
      </c>
      <c r="BK236" s="131">
        <f t="shared" si="158"/>
        <v>0</v>
      </c>
      <c r="BL236" s="131" t="e">
        <f t="shared" si="158"/>
        <v>#VALUE!</v>
      </c>
      <c r="BM236" s="131">
        <f t="shared" si="158"/>
        <v>0.2530645007462452</v>
      </c>
      <c r="BN236" s="131">
        <f t="shared" si="158"/>
        <v>0</v>
      </c>
      <c r="BO236" s="131">
        <f t="shared" si="158"/>
        <v>13.285886289177872</v>
      </c>
      <c r="BP236" s="131">
        <f t="shared" si="158"/>
        <v>0</v>
      </c>
      <c r="BQ236" s="131">
        <f t="shared" si="158"/>
        <v>0.44286287630592908</v>
      </c>
    </row>
    <row r="237" spans="1:69">
      <c r="A237" s="130">
        <v>28</v>
      </c>
      <c r="B237" s="131">
        <f>IF('Data 2'!B237&lt;0.1,0,'Data 2'!B237)</f>
        <v>0</v>
      </c>
      <c r="C237" s="131">
        <f>IF('Data 2'!C237&lt;0.1,0,'Data 2'!C237)</f>
        <v>10.661241914196797</v>
      </c>
      <c r="D237" s="131">
        <f>IF('Data 2'!D237&lt;0.1,0,'Data 2'!D237)</f>
        <v>14.554693431965195</v>
      </c>
      <c r="E237" s="131">
        <f>IF('Data 2'!E237&lt;0.1,0,'Data 2'!E237)</f>
        <v>3.6529516236781645</v>
      </c>
      <c r="F237" s="131">
        <f>IF('Data 2'!F237&lt;0.1,0,'Data 2'!F237)</f>
        <v>3.3511935215811506</v>
      </c>
      <c r="G237" s="131">
        <f>IF('Data 2'!G237&lt;0.1,0,'Data 2'!G237)</f>
        <v>0</v>
      </c>
      <c r="H237" s="131" t="str">
        <f>IF('Data 2'!H237&lt;0.1,0,'Data 2'!H237)</f>
        <v>-</v>
      </c>
      <c r="I237" s="131">
        <f>IF('Data 2'!I237&lt;0.1,0,'Data 2'!I237)</f>
        <v>11.872725791471819</v>
      </c>
      <c r="J237" s="131">
        <f>IF('Data 2'!J237&lt;0.1,0,'Data 2'!J237)</f>
        <v>1.6755967607905753</v>
      </c>
      <c r="K237" s="131">
        <f>IF('Data 2'!K237&lt;0.1,0,'Data 2'!K237)</f>
        <v>8.0574193863751162</v>
      </c>
      <c r="L237" s="131">
        <f>IF('Data 2'!L237&lt;0.1,0,'Data 2'!L237)</f>
        <v>0</v>
      </c>
      <c r="M237" s="131">
        <f>IF('Data 2'!M237&lt;0.1,0,'Data 2'!M237)</f>
        <v>3.2854838446874028</v>
      </c>
      <c r="O237" s="130">
        <v>28</v>
      </c>
      <c r="P237" s="131">
        <f>'Stasiun Pontianak Kota'!Q299</f>
        <v>0</v>
      </c>
      <c r="Q237" s="131">
        <f>'Stasiun Pontianak Kota'!R299</f>
        <v>8</v>
      </c>
      <c r="R237" s="131">
        <f>'Stasiun Pontianak Kota'!S299</f>
        <v>0</v>
      </c>
      <c r="S237" s="131">
        <f>'Stasiun Pontianak Kota'!T299</f>
        <v>5</v>
      </c>
      <c r="T237" s="131">
        <f>'Stasiun Pontianak Kota'!U299</f>
        <v>0</v>
      </c>
      <c r="U237" s="131">
        <f>'Stasiun Pontianak Kota'!V299</f>
        <v>0</v>
      </c>
      <c r="V237" s="131" t="str">
        <f>'Stasiun Pontianak Kota'!W299</f>
        <v>-</v>
      </c>
      <c r="W237" s="131">
        <f>'Stasiun Pontianak Kota'!X299</f>
        <v>10</v>
      </c>
      <c r="X237" s="131">
        <f>'Stasiun Pontianak Kota'!Y299</f>
        <v>0</v>
      </c>
      <c r="Y237" s="131">
        <f>'Stasiun Pontianak Kota'!Z299</f>
        <v>12</v>
      </c>
      <c r="Z237" s="131">
        <f>'Stasiun Pontianak Kota'!AA299</f>
        <v>0</v>
      </c>
      <c r="AA237" s="131">
        <f>'Stasiun Pontianak Kota'!AB299</f>
        <v>0</v>
      </c>
      <c r="AC237" s="130">
        <v>28</v>
      </c>
      <c r="AD237" s="131">
        <f>'Sta. Meteorologi pnk'!B260</f>
        <v>0</v>
      </c>
      <c r="AE237" s="131">
        <f>'Sta. Meteorologi pnk'!C260</f>
        <v>16.100000000000001</v>
      </c>
      <c r="AF237" s="131">
        <f>'Sta. Meteorologi pnk'!D260</f>
        <v>44.3</v>
      </c>
      <c r="AG237" s="131">
        <f>'Sta. Meteorologi pnk'!E260</f>
        <v>0.9</v>
      </c>
      <c r="AH237" s="131">
        <f>'Sta. Meteorologi pnk'!F260</f>
        <v>10.199999999999999</v>
      </c>
      <c r="AI237" s="131">
        <f>'Sta. Meteorologi pnk'!G260</f>
        <v>0.1</v>
      </c>
      <c r="AJ237" s="131">
        <f>'Sta. Meteorologi pnk'!H260</f>
        <v>0.1</v>
      </c>
      <c r="AK237" s="131">
        <f>'Sta. Meteorologi pnk'!I260</f>
        <v>15.7</v>
      </c>
      <c r="AL237" s="131">
        <f>'Sta. Meteorologi pnk'!J260</f>
        <v>5.0999999999999996</v>
      </c>
      <c r="AM237" s="131">
        <f>'Sta. Meteorologi pnk'!K260</f>
        <v>0</v>
      </c>
      <c r="AN237" s="131">
        <f>'Sta. Meteorologi pnk'!L260</f>
        <v>0</v>
      </c>
      <c r="AO237" s="131">
        <f>'Sta. Meteorologi pnk'!M260</f>
        <v>10</v>
      </c>
      <c r="AQ237" s="130">
        <v>28</v>
      </c>
      <c r="AR237" s="131">
        <f t="shared" si="155"/>
        <v>0</v>
      </c>
      <c r="AS237" s="131">
        <f t="shared" si="155"/>
        <v>13.477177076458689</v>
      </c>
      <c r="AT237" s="131">
        <f t="shared" si="155"/>
        <v>29.955425245323433</v>
      </c>
      <c r="AU237" s="131">
        <f t="shared" si="157"/>
        <v>2.2276017267307879</v>
      </c>
      <c r="AV237" s="131">
        <f t="shared" si="157"/>
        <v>6.8971859481331599</v>
      </c>
      <c r="AW237" s="131">
        <f t="shared" si="157"/>
        <v>6.7619470079736871E-2</v>
      </c>
      <c r="AX237" s="131" t="e">
        <f t="shared" si="157"/>
        <v>#VALUE!</v>
      </c>
      <c r="AY237" s="131">
        <f t="shared" si="157"/>
        <v>13.854309794544999</v>
      </c>
      <c r="AZ237" s="131">
        <f t="shared" si="157"/>
        <v>3.4485929740665799</v>
      </c>
      <c r="BA237" s="131">
        <f t="shared" si="157"/>
        <v>3.8856635904315739</v>
      </c>
      <c r="BB237" s="131">
        <f t="shared" si="157"/>
        <v>0</v>
      </c>
      <c r="BC237" s="131">
        <f t="shared" si="157"/>
        <v>6.7619470079736876</v>
      </c>
      <c r="BE237" s="130">
        <v>28</v>
      </c>
      <c r="BF237" s="131">
        <f t="shared" si="156"/>
        <v>0</v>
      </c>
      <c r="BG237" s="131">
        <f t="shared" si="156"/>
        <v>13.124556140111466</v>
      </c>
      <c r="BH237" s="131">
        <f t="shared" si="156"/>
        <v>28.026893457646654</v>
      </c>
      <c r="BI237" s="131">
        <f t="shared" si="158"/>
        <v>2.406088867350987</v>
      </c>
      <c r="BJ237" s="131">
        <f t="shared" si="158"/>
        <v>6.4531447690292518</v>
      </c>
      <c r="BK237" s="131">
        <f t="shared" si="158"/>
        <v>5.9151931063083127E-2</v>
      </c>
      <c r="BL237" s="131" t="e">
        <f t="shared" si="158"/>
        <v>#VALUE!</v>
      </c>
      <c r="BM237" s="131">
        <f t="shared" si="158"/>
        <v>13.606169135633992</v>
      </c>
      <c r="BN237" s="131">
        <f t="shared" si="158"/>
        <v>3.2265723845146259</v>
      </c>
      <c r="BO237" s="131">
        <f t="shared" si="158"/>
        <v>4.4080649776126437</v>
      </c>
      <c r="BP237" s="131">
        <f t="shared" si="158"/>
        <v>0</v>
      </c>
      <c r="BQ237" s="131">
        <f t="shared" si="158"/>
        <v>6.3266125186561304</v>
      </c>
    </row>
    <row r="238" spans="1:69">
      <c r="A238" s="130">
        <v>29</v>
      </c>
      <c r="B238" s="131">
        <f>IF('Data 2'!B238&lt;0.1,0,'Data 2'!B238)</f>
        <v>0</v>
      </c>
      <c r="C238" s="131">
        <f>IF('Data 2'!C238&lt;0.1,0,'Data 2'!C238)</f>
        <v>0</v>
      </c>
      <c r="D238" s="131">
        <f>IF('Data 2'!D238&lt;0.1,0,'Data 2'!D238)</f>
        <v>0</v>
      </c>
      <c r="E238" s="131">
        <f>IF('Data 2'!E238&lt;0.1,0,'Data 2'!E238)</f>
        <v>3.3572580776562981</v>
      </c>
      <c r="F238" s="131">
        <f>IF('Data 2'!F238&lt;0.1,0,'Data 2'!F238)</f>
        <v>31.558225929969204</v>
      </c>
      <c r="G238" s="131">
        <f>IF('Data 2'!G238&lt;0.1,0,'Data 2'!G238)</f>
        <v>53.94611311162889</v>
      </c>
      <c r="H238" s="131" t="str">
        <f>IF('Data 2'!H238&lt;0.1,0,'Data 2'!H238)</f>
        <v>-</v>
      </c>
      <c r="I238" s="131">
        <f>IF('Data 2'!I238&lt;0.1,0,'Data 2'!I238)</f>
        <v>15.942580613624884</v>
      </c>
      <c r="J238" s="131">
        <f>IF('Data 2'!J238&lt;0.1,0,'Data 2'!J238)</f>
        <v>22.15790331253157</v>
      </c>
      <c r="K238" s="131">
        <f>IF('Data 2'!K238&lt;0.1,0,'Data 2'!K238)</f>
        <v>0</v>
      </c>
      <c r="L238" s="131">
        <f>IF('Data 2'!L238&lt;0.1,0,'Data 2'!L238)</f>
        <v>64.25677415149984</v>
      </c>
      <c r="M238" s="131">
        <f>IF('Data 2'!M238&lt;0.1,0,'Data 2'!M238)</f>
        <v>5.4210483437342152</v>
      </c>
      <c r="O238" s="130">
        <v>29</v>
      </c>
      <c r="P238" s="131">
        <f>'Stasiun Pontianak Kota'!Q300</f>
        <v>0</v>
      </c>
      <c r="Q238" s="131">
        <f>'Stasiun Pontianak Kota'!R300</f>
        <v>0</v>
      </c>
      <c r="R238" s="131">
        <f>'Stasiun Pontianak Kota'!S300</f>
        <v>0</v>
      </c>
      <c r="S238" s="131">
        <f>'Stasiun Pontianak Kota'!T300</f>
        <v>5</v>
      </c>
      <c r="T238" s="131">
        <f>'Stasiun Pontianak Kota'!U300</f>
        <v>47</v>
      </c>
      <c r="U238" s="131">
        <f>'Stasiun Pontianak Kota'!V300</f>
        <v>80</v>
      </c>
      <c r="V238" s="131" t="str">
        <f>'Stasiun Pontianak Kota'!W300</f>
        <v>-</v>
      </c>
      <c r="W238" s="131">
        <f>'Stasiun Pontianak Kota'!X300</f>
        <v>12</v>
      </c>
      <c r="X238" s="131">
        <f>'Stasiun Pontianak Kota'!Y300</f>
        <v>33</v>
      </c>
      <c r="Y238" s="131">
        <f>'Stasiun Pontianak Kota'!Z300</f>
        <v>0</v>
      </c>
      <c r="Z238" s="131">
        <f>'Stasiun Pontianak Kota'!AA300</f>
        <v>59</v>
      </c>
      <c r="AA238" s="131">
        <f>'Stasiun Pontianak Kota'!AB300</f>
        <v>0</v>
      </c>
      <c r="AC238" s="130">
        <v>29</v>
      </c>
      <c r="AD238" s="131">
        <f>'Sta. Meteorologi pnk'!B261</f>
        <v>0</v>
      </c>
      <c r="AE238" s="131">
        <f>'Sta. Meteorologi pnk'!C261</f>
        <v>0</v>
      </c>
      <c r="AF238" s="131">
        <f>'Sta. Meteorologi pnk'!D261</f>
        <v>0</v>
      </c>
      <c r="AG238" s="131">
        <f>'Sta. Meteorologi pnk'!E261</f>
        <v>0</v>
      </c>
      <c r="AH238" s="131">
        <f>'Sta. Meteorologi pnk'!F261</f>
        <v>0</v>
      </c>
      <c r="AI238" s="131">
        <f>'Sta. Meteorologi pnk'!G261</f>
        <v>0.7</v>
      </c>
      <c r="AJ238" s="131">
        <f>'Sta. Meteorologi pnk'!H261</f>
        <v>0</v>
      </c>
      <c r="AK238" s="131">
        <f>'Sta. Meteorologi pnk'!I261</f>
        <v>24</v>
      </c>
      <c r="AL238" s="131">
        <f>'Sta. Meteorologi pnk'!J261</f>
        <v>0</v>
      </c>
      <c r="AM238" s="131">
        <f>'Sta. Meteorologi pnk'!K261</f>
        <v>0</v>
      </c>
      <c r="AN238" s="131">
        <f>'Sta. Meteorologi pnk'!L261</f>
        <v>75</v>
      </c>
      <c r="AO238" s="131">
        <f>'Sta. Meteorologi pnk'!M261</f>
        <v>16.5</v>
      </c>
      <c r="AQ238" s="130">
        <v>29</v>
      </c>
      <c r="AR238" s="131">
        <f t="shared" si="155"/>
        <v>0</v>
      </c>
      <c r="AS238" s="131">
        <f t="shared" si="155"/>
        <v>0</v>
      </c>
      <c r="AT238" s="131">
        <f t="shared" si="155"/>
        <v>0</v>
      </c>
      <c r="AU238" s="131">
        <f t="shared" si="157"/>
        <v>1.619026496013156</v>
      </c>
      <c r="AV238" s="131">
        <f t="shared" si="157"/>
        <v>15.218849062523667</v>
      </c>
      <c r="AW238" s="131">
        <f t="shared" si="157"/>
        <v>26.377760226768658</v>
      </c>
      <c r="AX238" s="131" t="e">
        <f t="shared" si="157"/>
        <v>#VALUE!</v>
      </c>
      <c r="AY238" s="131">
        <f t="shared" si="157"/>
        <v>20.114336409568423</v>
      </c>
      <c r="AZ238" s="131">
        <f t="shared" si="157"/>
        <v>10.68557487368683</v>
      </c>
      <c r="BA238" s="131">
        <f t="shared" si="157"/>
        <v>0</v>
      </c>
      <c r="BB238" s="131">
        <f t="shared" si="157"/>
        <v>69.819115212757893</v>
      </c>
      <c r="BC238" s="131">
        <f t="shared" si="157"/>
        <v>11.157212563156584</v>
      </c>
      <c r="BE238" s="130">
        <v>29</v>
      </c>
      <c r="BF238" s="131">
        <f t="shared" si="156"/>
        <v>0</v>
      </c>
      <c r="BG238" s="131">
        <f t="shared" si="156"/>
        <v>0</v>
      </c>
      <c r="BH238" s="131">
        <f t="shared" si="156"/>
        <v>0</v>
      </c>
      <c r="BI238" s="131">
        <f t="shared" si="158"/>
        <v>1.8366937406719348</v>
      </c>
      <c r="BJ238" s="131">
        <f t="shared" si="158"/>
        <v>17.264921162316188</v>
      </c>
      <c r="BK238" s="131">
        <f t="shared" si="158"/>
        <v>29.829962727056888</v>
      </c>
      <c r="BL238" s="131" t="e">
        <f t="shared" si="158"/>
        <v>#VALUE!</v>
      </c>
      <c r="BM238" s="131">
        <f t="shared" si="158"/>
        <v>19.591935022387357</v>
      </c>
      <c r="BN238" s="131">
        <f t="shared" si="158"/>
        <v>12.12217868843477</v>
      </c>
      <c r="BO238" s="131">
        <f t="shared" si="158"/>
        <v>0</v>
      </c>
      <c r="BP238" s="131">
        <f t="shared" si="158"/>
        <v>69.122580029849814</v>
      </c>
      <c r="BQ238" s="131">
        <f t="shared" si="158"/>
        <v>10.438910655782614</v>
      </c>
    </row>
    <row r="239" spans="1:69">
      <c r="A239" s="130">
        <v>30</v>
      </c>
      <c r="B239" s="131">
        <f>IF('Data 2'!B239&lt;0.1,0,'Data 2'!B239)</f>
        <v>22.377677480325225</v>
      </c>
      <c r="C239" s="131">
        <f>IF('Data 2'!C239&lt;0.1,0,'Data 2'!C239)</f>
        <v>0</v>
      </c>
      <c r="D239" s="131">
        <f>IF('Data 2'!D239&lt;0.1,0,'Data 2'!D239)</f>
        <v>0</v>
      </c>
      <c r="E239" s="131">
        <f>IF('Data 2'!E239&lt;0.1,0,'Data 2'!E239)</f>
        <v>4.7001613087188172</v>
      </c>
      <c r="F239" s="131">
        <f>IF('Data 2'!F239&lt;0.1,0,'Data 2'!F239)</f>
        <v>0.59138709204373252</v>
      </c>
      <c r="G239" s="131">
        <f>IF('Data 2'!G239&lt;0.1,0,'Data 2'!G239)</f>
        <v>70.252322682612871</v>
      </c>
      <c r="H239" s="131" t="str">
        <f>IF('Data 2'!H239&lt;0.1,0,'Data 2'!H239)</f>
        <v>-</v>
      </c>
      <c r="I239" s="131">
        <f>IF('Data 2'!I239&lt;0.1,0,'Data 2'!I239)</f>
        <v>31.15790331253157</v>
      </c>
      <c r="J239" s="131">
        <f>IF('Data 2'!J239&lt;0.1,0,'Data 2'!J239)</f>
        <v>17.741612761311977</v>
      </c>
      <c r="K239" s="131">
        <f>IF('Data 2'!K239&lt;0.1,0,'Data 2'!K239)</f>
        <v>0</v>
      </c>
      <c r="L239" s="131">
        <f>IF('Data 2'!L239&lt;0.1,0,'Data 2'!L239)</f>
        <v>6.0883548140061592</v>
      </c>
      <c r="M239" s="131">
        <f>IF('Data 2'!M239&lt;0.1,0,'Data 2'!M239)</f>
        <v>15.047516008668303</v>
      </c>
      <c r="O239" s="130">
        <v>30</v>
      </c>
      <c r="P239" s="131">
        <f>'Stasiun Pontianak Kota'!Q301</f>
        <v>30</v>
      </c>
      <c r="Q239" s="131">
        <f>'Stasiun Pontianak Kota'!R301</f>
        <v>0</v>
      </c>
      <c r="R239" s="131">
        <f>'Stasiun Pontianak Kota'!S301</f>
        <v>0</v>
      </c>
      <c r="S239" s="131">
        <f>'Stasiun Pontianak Kota'!T301</f>
        <v>7</v>
      </c>
      <c r="T239" s="131">
        <f>'Stasiun Pontianak Kota'!U301</f>
        <v>0</v>
      </c>
      <c r="U239" s="131">
        <f>'Stasiun Pontianak Kota'!V301</f>
        <v>83</v>
      </c>
      <c r="V239" s="131" t="str">
        <f>'Stasiun Pontianak Kota'!W301</f>
        <v>-</v>
      </c>
      <c r="W239" s="131">
        <f>'Stasiun Pontianak Kota'!X301</f>
        <v>42</v>
      </c>
      <c r="X239" s="131">
        <f>'Stasiun Pontianak Kota'!Y301</f>
        <v>0</v>
      </c>
      <c r="Y239" s="131">
        <f>'Stasiun Pontianak Kota'!Z301</f>
        <v>0</v>
      </c>
      <c r="Z239" s="131">
        <f>'Stasiun Pontianak Kota'!AA301</f>
        <v>3</v>
      </c>
      <c r="AA239" s="131">
        <f>'Stasiun Pontianak Kota'!AB301</f>
        <v>0</v>
      </c>
      <c r="AC239" s="130">
        <v>30</v>
      </c>
      <c r="AD239" s="131">
        <f>'Sta. Meteorologi pnk'!B262</f>
        <v>6.8</v>
      </c>
      <c r="AE239" s="131">
        <f>'Sta. Meteorologi pnk'!C262</f>
        <v>0</v>
      </c>
      <c r="AF239" s="131">
        <f>'Sta. Meteorologi pnk'!D262</f>
        <v>0</v>
      </c>
      <c r="AG239" s="131">
        <f>'Sta. Meteorologi pnk'!E262</f>
        <v>0</v>
      </c>
      <c r="AH239" s="131">
        <f>'Sta. Meteorologi pnk'!F262</f>
        <v>1.8</v>
      </c>
      <c r="AI239" s="131">
        <f>'Sta. Meteorologi pnk'!G262</f>
        <v>44.2</v>
      </c>
      <c r="AJ239" s="131">
        <f>'Sta. Meteorologi pnk'!H262</f>
        <v>1.1000000000000001</v>
      </c>
      <c r="AK239" s="131">
        <f>'Sta. Meteorologi pnk'!I262</f>
        <v>9</v>
      </c>
      <c r="AL239" s="131">
        <f>'Sta. Meteorologi pnk'!J262</f>
        <v>54</v>
      </c>
      <c r="AM239" s="131">
        <f>'Sta. Meteorologi pnk'!K262</f>
        <v>0</v>
      </c>
      <c r="AN239" s="131">
        <f>'Sta. Meteorologi pnk'!L262</f>
        <v>12.4</v>
      </c>
      <c r="AO239" s="131">
        <f>'Sta. Meteorologi pnk'!M262</f>
        <v>45.8</v>
      </c>
      <c r="AQ239" s="130">
        <v>30</v>
      </c>
      <c r="AR239" s="131">
        <f t="shared" si="155"/>
        <v>14.312282941501044</v>
      </c>
      <c r="AS239" s="131">
        <f t="shared" si="155"/>
        <v>0</v>
      </c>
      <c r="AT239" s="131">
        <f t="shared" si="155"/>
        <v>0</v>
      </c>
      <c r="AU239" s="131">
        <f t="shared" si="157"/>
        <v>2.2666370944184182</v>
      </c>
      <c r="AV239" s="131">
        <f t="shared" si="157"/>
        <v>1.2171504614352637</v>
      </c>
      <c r="AW239" s="131">
        <f t="shared" si="157"/>
        <v>56.763645609062088</v>
      </c>
      <c r="AX239" s="131" t="e">
        <f t="shared" si="157"/>
        <v>#VALUE!</v>
      </c>
      <c r="AY239" s="131">
        <f t="shared" si="157"/>
        <v>19.685574873686829</v>
      </c>
      <c r="AZ239" s="131">
        <f t="shared" si="157"/>
        <v>36.514513843057905</v>
      </c>
      <c r="BA239" s="131">
        <f t="shared" si="157"/>
        <v>0</v>
      </c>
      <c r="BB239" s="131">
        <f t="shared" si="157"/>
        <v>9.3562301874952656</v>
      </c>
      <c r="BC239" s="131">
        <f t="shared" si="157"/>
        <v>30.969717296519487</v>
      </c>
      <c r="BE239" s="130">
        <v>30</v>
      </c>
      <c r="BF239" s="131">
        <f t="shared" si="156"/>
        <v>15.322258956717778</v>
      </c>
      <c r="BG239" s="131">
        <f t="shared" si="156"/>
        <v>0</v>
      </c>
      <c r="BH239" s="131">
        <f t="shared" si="156"/>
        <v>0</v>
      </c>
      <c r="BI239" s="131">
        <f t="shared" si="158"/>
        <v>2.5713712369407089</v>
      </c>
      <c r="BJ239" s="131">
        <f t="shared" si="158"/>
        <v>1.1387902533581036</v>
      </c>
      <c r="BK239" s="131">
        <f t="shared" si="158"/>
        <v>58.452743427614216</v>
      </c>
      <c r="BL239" s="131" t="e">
        <f t="shared" si="158"/>
        <v>#VALUE!</v>
      </c>
      <c r="BM239" s="131">
        <f t="shared" si="158"/>
        <v>21.122178688434769</v>
      </c>
      <c r="BN239" s="131">
        <f t="shared" si="158"/>
        <v>34.163707600743095</v>
      </c>
      <c r="BO239" s="131">
        <f t="shared" si="158"/>
        <v>0</v>
      </c>
      <c r="BP239" s="131">
        <f t="shared" si="158"/>
        <v>8.9470157675367616</v>
      </c>
      <c r="BQ239" s="131">
        <f t="shared" si="158"/>
        <v>28.975885335445074</v>
      </c>
    </row>
    <row r="240" spans="1:69" ht="15.75" thickBot="1">
      <c r="A240" s="133">
        <v>31</v>
      </c>
      <c r="B240" s="131">
        <f>IF('Data 2'!B240&lt;0.1,0,'Data 2'!B240)</f>
        <v>0</v>
      </c>
      <c r="C240" s="131">
        <f>IF('Data 2'!C240&lt;0.1,0,'Data 2'!C240)</f>
        <v>0</v>
      </c>
      <c r="D240" s="131">
        <f>IF('Data 2'!D240&lt;0.1,0,'Data 2'!D240)</f>
        <v>0</v>
      </c>
      <c r="E240" s="131">
        <f>IF('Data 2'!E240&lt;0.1,0,'Data 2'!E240)</f>
        <v>0</v>
      </c>
      <c r="F240" s="131">
        <f>IF('Data 2'!F240&lt;0.1,0,'Data 2'!F240)</f>
        <v>8.1151450963778853</v>
      </c>
      <c r="G240" s="131">
        <f>IF('Data 2'!G240&lt;0.1,0,'Data 2'!G240)</f>
        <v>0</v>
      </c>
      <c r="H240" s="131" t="str">
        <f>IF('Data 2'!H240&lt;0.1,0,'Data 2'!H240)</f>
        <v>-</v>
      </c>
      <c r="I240" s="131">
        <f>IF('Data 2'!I240&lt;0.1,0,'Data 2'!I240)</f>
        <v>0</v>
      </c>
      <c r="J240" s="131">
        <f>IF('Data 2'!J240&lt;0.1,0,'Data 2'!J240)</f>
        <v>0</v>
      </c>
      <c r="K240" s="131">
        <f>IF('Data 2'!K240&lt;0.1,0,'Data 2'!K240)</f>
        <v>70.184387271275654</v>
      </c>
      <c r="L240" s="131">
        <f>IF('Data 2'!L240&lt;0.1,0,'Data 2'!L240)</f>
        <v>0</v>
      </c>
      <c r="M240" s="131">
        <f>IF('Data 2'!M240&lt;0.1,0,'Data 2'!M240)</f>
        <v>0.19712903068124416</v>
      </c>
      <c r="O240" s="133">
        <v>31</v>
      </c>
      <c r="P240" s="131">
        <f>'Stasiun Pontianak Kota'!Q302</f>
        <v>0</v>
      </c>
      <c r="Q240" s="131">
        <f>'Stasiun Pontianak Kota'!R302</f>
        <v>0</v>
      </c>
      <c r="R240" s="131">
        <f>'Stasiun Pontianak Kota'!S302</f>
        <v>0</v>
      </c>
      <c r="S240" s="131">
        <f>'Stasiun Pontianak Kota'!T302</f>
        <v>0</v>
      </c>
      <c r="T240" s="131">
        <f>'Stasiun Pontianak Kota'!U302</f>
        <v>0</v>
      </c>
      <c r="U240" s="131">
        <f>'Stasiun Pontianak Kota'!V302</f>
        <v>0</v>
      </c>
      <c r="V240" s="131" t="str">
        <f>'Stasiun Pontianak Kota'!W302</f>
        <v>-</v>
      </c>
      <c r="W240" s="131">
        <f>'Stasiun Pontianak Kota'!X302</f>
        <v>0</v>
      </c>
      <c r="X240" s="131">
        <f>'Stasiun Pontianak Kota'!Y302</f>
        <v>0</v>
      </c>
      <c r="Y240" s="131">
        <f>'Stasiun Pontianak Kota'!Z302</f>
        <v>92</v>
      </c>
      <c r="Z240" s="131">
        <f>'Stasiun Pontianak Kota'!AA302</f>
        <v>0</v>
      </c>
      <c r="AA240" s="131">
        <f>'Stasiun Pontianak Kota'!AB302</f>
        <v>0</v>
      </c>
      <c r="AC240" s="133">
        <v>31</v>
      </c>
      <c r="AD240" s="131">
        <f>'Sta. Meteorologi pnk'!B263</f>
        <v>0</v>
      </c>
      <c r="AE240" s="131">
        <f>'Sta. Meteorologi pnk'!C263</f>
        <v>0</v>
      </c>
      <c r="AF240" s="131">
        <f>'Sta. Meteorologi pnk'!D263</f>
        <v>0</v>
      </c>
      <c r="AG240" s="131">
        <f>'Sta. Meteorologi pnk'!E263</f>
        <v>0</v>
      </c>
      <c r="AH240" s="131">
        <f>'Sta. Meteorologi pnk'!F263</f>
        <v>24.7</v>
      </c>
      <c r="AI240" s="131">
        <f>'Sta. Meteorologi pnk'!G263</f>
        <v>0</v>
      </c>
      <c r="AJ240" s="131">
        <f>'Sta. Meteorologi pnk'!H263</f>
        <v>2.6</v>
      </c>
      <c r="AK240" s="131">
        <f>'Sta. Meteorologi pnk'!I263</f>
        <v>0</v>
      </c>
      <c r="AL240" s="131">
        <f>'Sta. Meteorologi pnk'!J263</f>
        <v>0</v>
      </c>
      <c r="AM240" s="131">
        <f>'Sta. Meteorologi pnk'!K263</f>
        <v>25.6</v>
      </c>
      <c r="AN240" s="131">
        <f>'Sta. Meteorologi pnk'!L263</f>
        <v>0</v>
      </c>
      <c r="AO240" s="131">
        <f>'Sta. Meteorologi pnk'!M263</f>
        <v>0.6</v>
      </c>
      <c r="AQ240" s="133">
        <v>31</v>
      </c>
      <c r="AR240" s="131">
        <f t="shared" si="155"/>
        <v>0</v>
      </c>
      <c r="AS240" s="131">
        <f t="shared" si="155"/>
        <v>0</v>
      </c>
      <c r="AT240" s="131">
        <f t="shared" si="155"/>
        <v>0</v>
      </c>
      <c r="AU240" s="131">
        <f t="shared" si="157"/>
        <v>0</v>
      </c>
      <c r="AV240" s="131">
        <f t="shared" si="157"/>
        <v>16.702009109695009</v>
      </c>
      <c r="AW240" s="131">
        <f t="shared" si="157"/>
        <v>0</v>
      </c>
      <c r="AX240" s="131" t="e">
        <f t="shared" si="157"/>
        <v>#VALUE!</v>
      </c>
      <c r="AY240" s="131">
        <f t="shared" si="157"/>
        <v>0</v>
      </c>
      <c r="AZ240" s="131">
        <f t="shared" si="157"/>
        <v>0</v>
      </c>
      <c r="BA240" s="131">
        <f t="shared" si="157"/>
        <v>47.100671867054714</v>
      </c>
      <c r="BB240" s="131">
        <f t="shared" si="157"/>
        <v>0</v>
      </c>
      <c r="BC240" s="131">
        <f t="shared" si="157"/>
        <v>0.40571682047842123</v>
      </c>
      <c r="BE240" s="133">
        <v>31</v>
      </c>
      <c r="BF240" s="131">
        <f t="shared" si="156"/>
        <v>0</v>
      </c>
      <c r="BG240" s="131">
        <f t="shared" si="156"/>
        <v>0</v>
      </c>
      <c r="BH240" s="131">
        <f t="shared" si="156"/>
        <v>0</v>
      </c>
      <c r="BI240" s="131">
        <f t="shared" si="158"/>
        <v>0</v>
      </c>
      <c r="BJ240" s="131">
        <f t="shared" si="158"/>
        <v>15.626732921080642</v>
      </c>
      <c r="BK240" s="131">
        <f t="shared" si="158"/>
        <v>0</v>
      </c>
      <c r="BL240" s="131" t="e">
        <f t="shared" si="158"/>
        <v>#VALUE!</v>
      </c>
      <c r="BM240" s="131">
        <f t="shared" si="158"/>
        <v>0</v>
      </c>
      <c r="BN240" s="131">
        <f t="shared" si="158"/>
        <v>0</v>
      </c>
      <c r="BO240" s="131">
        <f t="shared" si="158"/>
        <v>49.991292876123296</v>
      </c>
      <c r="BP240" s="131">
        <f t="shared" si="158"/>
        <v>0</v>
      </c>
      <c r="BQ240" s="131">
        <f t="shared" si="158"/>
        <v>0.37959675111936775</v>
      </c>
    </row>
    <row r="241" spans="1:70">
      <c r="A241" s="135" t="s">
        <v>28</v>
      </c>
      <c r="B241" s="136">
        <f>SUM(B210:B240)</f>
        <v>381.81177390709274</v>
      </c>
      <c r="C241" s="136">
        <f t="shared" ref="C241:M241" si="159">SUM(C210:C240)</f>
        <v>93.026790282371721</v>
      </c>
      <c r="D241" s="136">
        <f t="shared" si="159"/>
        <v>100.95401560946995</v>
      </c>
      <c r="E241" s="136">
        <f t="shared" si="159"/>
        <v>271.0963387808971</v>
      </c>
      <c r="F241" s="136">
        <f t="shared" si="159"/>
        <v>475.91033842243331</v>
      </c>
      <c r="G241" s="136">
        <f t="shared" si="159"/>
        <v>450.3917260032913</v>
      </c>
      <c r="H241" s="136">
        <f t="shared" si="159"/>
        <v>0</v>
      </c>
      <c r="I241" s="136">
        <f t="shared" si="159"/>
        <v>68.566822544115496</v>
      </c>
      <c r="J241" s="136">
        <f t="shared" si="159"/>
        <v>211.63345119189219</v>
      </c>
      <c r="K241" s="136">
        <f t="shared" si="159"/>
        <v>532.62201619604707</v>
      </c>
      <c r="L241" s="136">
        <f t="shared" si="159"/>
        <v>344.26567708927377</v>
      </c>
      <c r="M241" s="136">
        <f t="shared" si="159"/>
        <v>309.87809623124173</v>
      </c>
      <c r="N241" s="137"/>
      <c r="O241" s="135" t="s">
        <v>28</v>
      </c>
      <c r="P241" s="136">
        <f>SUM(P210:P240)</f>
        <v>346</v>
      </c>
      <c r="Q241" s="136">
        <f t="shared" ref="Q241:AA241" si="160">SUM(Q210:Q240)</f>
        <v>88</v>
      </c>
      <c r="R241" s="136">
        <f t="shared" si="160"/>
        <v>36</v>
      </c>
      <c r="S241" s="136">
        <f t="shared" si="160"/>
        <v>280</v>
      </c>
      <c r="T241" s="136">
        <f t="shared" si="160"/>
        <v>440</v>
      </c>
      <c r="U241" s="136">
        <f t="shared" si="160"/>
        <v>475</v>
      </c>
      <c r="V241" s="136">
        <f t="shared" si="160"/>
        <v>0</v>
      </c>
      <c r="W241" s="136">
        <f t="shared" si="160"/>
        <v>64</v>
      </c>
      <c r="X241" s="136">
        <f t="shared" si="160"/>
        <v>159</v>
      </c>
      <c r="Y241" s="136">
        <f t="shared" si="160"/>
        <v>541</v>
      </c>
      <c r="Z241" s="136">
        <f t="shared" si="160"/>
        <v>303</v>
      </c>
      <c r="AA241" s="136">
        <f t="shared" si="160"/>
        <v>242</v>
      </c>
      <c r="AB241" s="137"/>
      <c r="AC241" s="135" t="s">
        <v>28</v>
      </c>
      <c r="AD241" s="136">
        <f>SUM(AD210:AD240)</f>
        <v>455.00000000000006</v>
      </c>
      <c r="AE241" s="136">
        <f t="shared" ref="AE241:AO241" si="161">SUM(AE210:AE240)</f>
        <v>103.5</v>
      </c>
      <c r="AF241" s="136">
        <f t="shared" si="161"/>
        <v>234.09999999999997</v>
      </c>
      <c r="AG241" s="136">
        <f t="shared" si="161"/>
        <v>252.9</v>
      </c>
      <c r="AH241" s="136">
        <f t="shared" si="161"/>
        <v>549.80000000000007</v>
      </c>
      <c r="AI241" s="136">
        <f t="shared" si="161"/>
        <v>400.40000000000003</v>
      </c>
      <c r="AJ241" s="136">
        <f t="shared" si="161"/>
        <v>56.500000000000007</v>
      </c>
      <c r="AK241" s="136">
        <f t="shared" si="161"/>
        <v>78</v>
      </c>
      <c r="AL241" s="136">
        <f t="shared" si="161"/>
        <v>319.20000000000005</v>
      </c>
      <c r="AM241" s="136">
        <f t="shared" si="161"/>
        <v>515.79999999999995</v>
      </c>
      <c r="AN241" s="136">
        <f t="shared" si="161"/>
        <v>428.79999999999995</v>
      </c>
      <c r="AO241" s="136">
        <f t="shared" si="161"/>
        <v>449.3</v>
      </c>
      <c r="AP241" s="137"/>
      <c r="AQ241" s="135" t="s">
        <v>28</v>
      </c>
      <c r="AR241" s="136">
        <f>SUM(AR210:AR240)</f>
        <v>419.70522238691319</v>
      </c>
      <c r="AS241" s="136">
        <f t="shared" ref="AS241:BC241" si="162">SUM(AS210:AS240)</f>
        <v>98.481017862359224</v>
      </c>
      <c r="AT241" s="136">
        <f t="shared" si="162"/>
        <v>169.95417022795874</v>
      </c>
      <c r="AU241" s="136">
        <f t="shared" si="162"/>
        <v>261.67512360839123</v>
      </c>
      <c r="AV241" s="136">
        <f t="shared" si="162"/>
        <v>514.24617814755106</v>
      </c>
      <c r="AW241" s="136">
        <f t="shared" si="162"/>
        <v>424.55587532051635</v>
      </c>
      <c r="AX241" s="136" t="e">
        <f t="shared" si="162"/>
        <v>#VALUE!</v>
      </c>
      <c r="AY241" s="136">
        <f t="shared" si="162"/>
        <v>73.466725811163158</v>
      </c>
      <c r="AZ241" s="136">
        <f t="shared" si="162"/>
        <v>267.32639106773843</v>
      </c>
      <c r="BA241" s="136">
        <f t="shared" si="162"/>
        <v>523.95989353990626</v>
      </c>
      <c r="BB241" s="136">
        <f t="shared" si="162"/>
        <v>388.06529336030906</v>
      </c>
      <c r="BC241" s="136">
        <f t="shared" si="162"/>
        <v>382.17516147529449</v>
      </c>
      <c r="BD241" s="137"/>
      <c r="BE241" s="135" t="s">
        <v>28</v>
      </c>
      <c r="BF241" s="136">
        <f>SUM(BF210:BF240)</f>
        <v>414.96007645335175</v>
      </c>
      <c r="BG241" s="136">
        <f t="shared" ref="BG241:BQ241" si="163">SUM(BG210:BG240)</f>
        <v>97.798021015670045</v>
      </c>
      <c r="BH241" s="136">
        <f t="shared" si="163"/>
        <v>161.31373721808401</v>
      </c>
      <c r="BI241" s="136">
        <f t="shared" si="163"/>
        <v>262.85488007444189</v>
      </c>
      <c r="BJ241" s="136">
        <f t="shared" si="163"/>
        <v>509.44563448422684</v>
      </c>
      <c r="BK241" s="136">
        <f t="shared" si="163"/>
        <v>427.79112802845486</v>
      </c>
      <c r="BL241" s="136" t="e">
        <f t="shared" si="163"/>
        <v>#VALUE!</v>
      </c>
      <c r="BM241" s="136">
        <f t="shared" si="163"/>
        <v>72.853143331995099</v>
      </c>
      <c r="BN241" s="136">
        <f t="shared" si="163"/>
        <v>260.35233254887123</v>
      </c>
      <c r="BO241" s="136">
        <f t="shared" si="163"/>
        <v>525.04459387061604</v>
      </c>
      <c r="BP241" s="136">
        <f t="shared" si="163"/>
        <v>382.58055709644708</v>
      </c>
      <c r="BQ241" s="136">
        <f t="shared" si="163"/>
        <v>373.12187815287717</v>
      </c>
      <c r="BR241" s="137"/>
    </row>
    <row r="242" spans="1:70">
      <c r="A242" s="138" t="s">
        <v>29</v>
      </c>
      <c r="B242" s="139">
        <f>MAX(B210:B240)</f>
        <v>111.55853225359687</v>
      </c>
      <c r="C242" s="139">
        <f t="shared" ref="C242:M242" si="164">MAX(C210:C240)</f>
        <v>27.443387157218972</v>
      </c>
      <c r="D242" s="139">
        <f t="shared" si="164"/>
        <v>18.318338683134279</v>
      </c>
      <c r="E242" s="139">
        <f t="shared" si="164"/>
        <v>68.030629104003381</v>
      </c>
      <c r="F242" s="139">
        <f t="shared" si="164"/>
        <v>90.287403255503222</v>
      </c>
      <c r="G242" s="139">
        <f t="shared" si="164"/>
        <v>75.334612940543892</v>
      </c>
      <c r="H242" s="139">
        <f t="shared" si="164"/>
        <v>0</v>
      </c>
      <c r="I242" s="139">
        <f t="shared" si="164"/>
        <v>31.15790331253157</v>
      </c>
      <c r="J242" s="139">
        <f t="shared" si="164"/>
        <v>27.729483649161679</v>
      </c>
      <c r="K242" s="139">
        <f t="shared" si="164"/>
        <v>116.21562902253433</v>
      </c>
      <c r="L242" s="139">
        <f t="shared" si="164"/>
        <v>67.285483844687406</v>
      </c>
      <c r="M242" s="139">
        <f t="shared" si="164"/>
        <v>85.381822625584533</v>
      </c>
      <c r="O242" s="138" t="s">
        <v>29</v>
      </c>
      <c r="P242" s="139">
        <f>MAX(P210:P240)</f>
        <v>111</v>
      </c>
      <c r="Q242" s="139">
        <f t="shared" ref="Q242:AA242" si="165">MAX(Q210:Q240)</f>
        <v>35</v>
      </c>
      <c r="R242" s="139">
        <f t="shared" si="165"/>
        <v>21</v>
      </c>
      <c r="S242" s="139">
        <f t="shared" si="165"/>
        <v>77</v>
      </c>
      <c r="T242" s="139">
        <f t="shared" si="165"/>
        <v>94</v>
      </c>
      <c r="U242" s="139">
        <f t="shared" si="165"/>
        <v>105</v>
      </c>
      <c r="V242" s="139">
        <f t="shared" si="165"/>
        <v>0</v>
      </c>
      <c r="W242" s="139">
        <f t="shared" si="165"/>
        <v>42</v>
      </c>
      <c r="X242" s="139">
        <f t="shared" si="165"/>
        <v>33</v>
      </c>
      <c r="Y242" s="139">
        <f t="shared" si="165"/>
        <v>115</v>
      </c>
      <c r="Z242" s="139">
        <f t="shared" si="165"/>
        <v>64</v>
      </c>
      <c r="AA242" s="139">
        <f t="shared" si="165"/>
        <v>91</v>
      </c>
      <c r="AC242" s="138" t="s">
        <v>29</v>
      </c>
      <c r="AD242" s="139">
        <f>MAX(AD210:AD240)</f>
        <v>112.7</v>
      </c>
      <c r="AE242" s="139">
        <f t="shared" ref="AE242:AO242" si="166">MAX(AE210:AE240)</f>
        <v>22.1</v>
      </c>
      <c r="AF242" s="139">
        <f t="shared" si="166"/>
        <v>44.3</v>
      </c>
      <c r="AG242" s="139">
        <f t="shared" si="166"/>
        <v>49.7</v>
      </c>
      <c r="AH242" s="139">
        <f t="shared" si="166"/>
        <v>82.7</v>
      </c>
      <c r="AI242" s="139">
        <f t="shared" si="166"/>
        <v>92.3</v>
      </c>
      <c r="AJ242" s="139">
        <f t="shared" si="166"/>
        <v>24.8</v>
      </c>
      <c r="AK242" s="139">
        <f t="shared" si="166"/>
        <v>24</v>
      </c>
      <c r="AL242" s="139">
        <f t="shared" si="166"/>
        <v>84.4</v>
      </c>
      <c r="AM242" s="139">
        <f t="shared" si="166"/>
        <v>118.7</v>
      </c>
      <c r="AN242" s="139">
        <f t="shared" si="166"/>
        <v>75</v>
      </c>
      <c r="AO242" s="139">
        <f t="shared" si="166"/>
        <v>86.2</v>
      </c>
      <c r="AQ242" s="138" t="s">
        <v>29</v>
      </c>
      <c r="AR242" s="139">
        <f>MAX(AR210:AR240)</f>
        <v>112.14953099135552</v>
      </c>
      <c r="AS242" s="139">
        <f t="shared" ref="AS242:BC242" si="167">MAX(AS210:AS240)</f>
        <v>22.715230068484999</v>
      </c>
      <c r="AT242" s="139">
        <f t="shared" si="167"/>
        <v>29.955425245323433</v>
      </c>
      <c r="AU242" s="139">
        <f t="shared" si="167"/>
        <v>58.539884668231828</v>
      </c>
      <c r="AV242" s="139">
        <f t="shared" si="167"/>
        <v>86.358999880989742</v>
      </c>
      <c r="AW242" s="139">
        <f t="shared" si="167"/>
        <v>70.39803524867736</v>
      </c>
      <c r="AX242" s="139" t="e">
        <f t="shared" si="167"/>
        <v>#VALUE!</v>
      </c>
      <c r="AY242" s="139">
        <f t="shared" si="167"/>
        <v>20.114336409568423</v>
      </c>
      <c r="AZ242" s="139">
        <f t="shared" si="167"/>
        <v>57.070832747297921</v>
      </c>
      <c r="BA242" s="139">
        <f t="shared" si="167"/>
        <v>117.50192039295025</v>
      </c>
      <c r="BB242" s="139">
        <f t="shared" si="167"/>
        <v>70.761947007973674</v>
      </c>
      <c r="BC242" s="139">
        <f t="shared" si="167"/>
        <v>85.163823042551584</v>
      </c>
      <c r="BE242" s="138" t="s">
        <v>29</v>
      </c>
      <c r="BF242" s="139">
        <f>MAX(BF210:BF240)</f>
        <v>112.07552412817155</v>
      </c>
      <c r="BG242" s="139">
        <f t="shared" ref="BG242:BQ242" si="168">MAX(BG210:BG240)</f>
        <v>22.797943621455335</v>
      </c>
      <c r="BH242" s="139">
        <f t="shared" si="168"/>
        <v>28.026893457646654</v>
      </c>
      <c r="BI242" s="139">
        <f t="shared" si="168"/>
        <v>59.72834782406877</v>
      </c>
      <c r="BJ242" s="139">
        <f t="shared" si="168"/>
        <v>86.850927853918577</v>
      </c>
      <c r="BK242" s="139">
        <f t="shared" si="168"/>
        <v>71.016210223508295</v>
      </c>
      <c r="BL242" s="139" t="e">
        <f t="shared" si="168"/>
        <v>#VALUE!</v>
      </c>
      <c r="BM242" s="139">
        <f t="shared" si="168"/>
        <v>21.122178688434769</v>
      </c>
      <c r="BN242" s="139">
        <f t="shared" si="168"/>
        <v>53.396609657457731</v>
      </c>
      <c r="BO242" s="139">
        <f t="shared" si="168"/>
        <v>117.34084663190275</v>
      </c>
      <c r="BP242" s="139">
        <f t="shared" si="168"/>
        <v>70.326612518656134</v>
      </c>
      <c r="BQ242" s="139">
        <f t="shared" si="168"/>
        <v>85.024516005969971</v>
      </c>
    </row>
    <row r="243" spans="1:70">
      <c r="A243" s="130" t="s">
        <v>30</v>
      </c>
      <c r="B243" s="131">
        <f>SUM(B210:B224)</f>
        <v>345.72564482753006</v>
      </c>
      <c r="C243" s="131">
        <f t="shared" ref="C243:M243" si="169">SUM(C210:C224)</f>
        <v>35.99808058918417</v>
      </c>
      <c r="D243" s="131">
        <f t="shared" si="169"/>
        <v>67.474935232105324</v>
      </c>
      <c r="E243" s="131">
        <f t="shared" si="169"/>
        <v>202.06317761882258</v>
      </c>
      <c r="F243" s="131">
        <f t="shared" si="169"/>
        <v>169.78720935916445</v>
      </c>
      <c r="G243" s="131">
        <f t="shared" si="169"/>
        <v>72.400935264692919</v>
      </c>
      <c r="H243" s="131">
        <f t="shared" si="169"/>
        <v>0</v>
      </c>
      <c r="I243" s="131">
        <f t="shared" si="169"/>
        <v>4.0411451289655052</v>
      </c>
      <c r="J243" s="131">
        <f t="shared" si="169"/>
        <v>103.30682221823929</v>
      </c>
      <c r="K243" s="131">
        <f t="shared" si="169"/>
        <v>333.22967754550041</v>
      </c>
      <c r="L243" s="131">
        <f t="shared" si="169"/>
        <v>168.7846773010933</v>
      </c>
      <c r="M243" s="131">
        <f t="shared" si="169"/>
        <v>265.52406432796175</v>
      </c>
      <c r="O243" s="130" t="s">
        <v>30</v>
      </c>
      <c r="P243" s="131">
        <f>SUM(P210:P224)</f>
        <v>304</v>
      </c>
      <c r="Q243" s="131">
        <f t="shared" ref="Q243:AA243" si="170">SUM(Q210:Q224)</f>
        <v>29</v>
      </c>
      <c r="R243" s="131">
        <f t="shared" si="170"/>
        <v>36</v>
      </c>
      <c r="S243" s="131">
        <f t="shared" si="170"/>
        <v>227</v>
      </c>
      <c r="T243" s="131">
        <f t="shared" si="170"/>
        <v>130</v>
      </c>
      <c r="U243" s="131">
        <f t="shared" si="170"/>
        <v>45</v>
      </c>
      <c r="V243" s="131">
        <f t="shared" si="170"/>
        <v>0</v>
      </c>
      <c r="W243" s="131">
        <f t="shared" si="170"/>
        <v>0</v>
      </c>
      <c r="X243" s="131">
        <f t="shared" si="170"/>
        <v>58</v>
      </c>
      <c r="Y243" s="131">
        <f t="shared" si="170"/>
        <v>349</v>
      </c>
      <c r="Z243" s="131">
        <f t="shared" si="170"/>
        <v>154</v>
      </c>
      <c r="AA243" s="131">
        <f t="shared" si="170"/>
        <v>242</v>
      </c>
      <c r="AC243" s="130" t="s">
        <v>30</v>
      </c>
      <c r="AD243" s="131">
        <f>SUM(AD210:AD224)</f>
        <v>431</v>
      </c>
      <c r="AE243" s="131">
        <f t="shared" ref="AE243:AO243" si="171">SUM(AE210:AE224)</f>
        <v>50.3</v>
      </c>
      <c r="AF243" s="131">
        <f t="shared" si="171"/>
        <v>131.89999999999998</v>
      </c>
      <c r="AG243" s="131">
        <f t="shared" si="171"/>
        <v>151.1</v>
      </c>
      <c r="AH243" s="131">
        <f t="shared" si="171"/>
        <v>251.5</v>
      </c>
      <c r="AI243" s="131">
        <f t="shared" si="171"/>
        <v>128.6</v>
      </c>
      <c r="AJ243" s="131">
        <f t="shared" si="171"/>
        <v>42.1</v>
      </c>
      <c r="AK243" s="131">
        <f t="shared" si="171"/>
        <v>12.3</v>
      </c>
      <c r="AL243" s="131">
        <f t="shared" si="171"/>
        <v>195.90000000000003</v>
      </c>
      <c r="AM243" s="131">
        <f t="shared" si="171"/>
        <v>301.2</v>
      </c>
      <c r="AN243" s="131">
        <f t="shared" si="171"/>
        <v>199.2</v>
      </c>
      <c r="AO243" s="131">
        <f t="shared" si="171"/>
        <v>314</v>
      </c>
      <c r="AQ243" s="130" t="s">
        <v>30</v>
      </c>
      <c r="AR243" s="131">
        <f>SUM(AR210:AR224)</f>
        <v>389.87672700126581</v>
      </c>
      <c r="AS243" s="131">
        <f t="shared" ref="AS243:BC243" si="172">SUM(AS210:AS224)</f>
        <v>43.402947126983953</v>
      </c>
      <c r="AT243" s="131">
        <f t="shared" si="172"/>
        <v>100.84707180646765</v>
      </c>
      <c r="AU243" s="131">
        <f t="shared" si="172"/>
        <v>175.6768222094797</v>
      </c>
      <c r="AV243" s="131">
        <f t="shared" si="172"/>
        <v>212.15765614688027</v>
      </c>
      <c r="AW243" s="131">
        <f t="shared" si="172"/>
        <v>101.52987698666003</v>
      </c>
      <c r="AX243" s="131" t="e">
        <f t="shared" si="172"/>
        <v>#VALUE!</v>
      </c>
      <c r="AY243" s="131">
        <f t="shared" si="172"/>
        <v>8.3171948198076358</v>
      </c>
      <c r="AZ243" s="131">
        <f t="shared" si="172"/>
        <v>151.24724923995714</v>
      </c>
      <c r="BA243" s="131">
        <f t="shared" si="172"/>
        <v>316.67789330188572</v>
      </c>
      <c r="BB243" s="131">
        <f t="shared" si="172"/>
        <v>184.56400047604106</v>
      </c>
      <c r="BC243" s="131">
        <f t="shared" si="172"/>
        <v>290.68601845741051</v>
      </c>
      <c r="BE243" s="130" t="s">
        <v>30</v>
      </c>
      <c r="BF243" s="131">
        <f>SUM(BF210:BF224)</f>
        <v>384.34797898693284</v>
      </c>
      <c r="BG243" s="131">
        <f t="shared" ref="BG243:BQ243" si="173">SUM(BG210:BG224)</f>
        <v>42.475684664737557</v>
      </c>
      <c r="BH243" s="131">
        <f t="shared" si="173"/>
        <v>96.668099859788811</v>
      </c>
      <c r="BI243" s="131">
        <f t="shared" si="173"/>
        <v>178.98101098339995</v>
      </c>
      <c r="BJ243" s="131">
        <f t="shared" si="173"/>
        <v>206.85188532517805</v>
      </c>
      <c r="BK243" s="131">
        <f t="shared" si="173"/>
        <v>97.882252267718286</v>
      </c>
      <c r="BL243" s="131" t="e">
        <f t="shared" si="173"/>
        <v>#VALUE!</v>
      </c>
      <c r="BM243" s="131">
        <f t="shared" si="173"/>
        <v>7.7817333979470398</v>
      </c>
      <c r="BN243" s="131">
        <f t="shared" si="173"/>
        <v>145.24398663226805</v>
      </c>
      <c r="BO243" s="131">
        <f t="shared" si="173"/>
        <v>318.7505637725767</v>
      </c>
      <c r="BP243" s="131">
        <f t="shared" si="173"/>
        <v>182.58806019607877</v>
      </c>
      <c r="BQ243" s="131">
        <f t="shared" si="173"/>
        <v>287.53515335783021</v>
      </c>
    </row>
    <row r="244" spans="1:70">
      <c r="A244" s="140" t="s">
        <v>31</v>
      </c>
      <c r="B244" s="141">
        <f>SUM(B225:B240)</f>
        <v>36.086129079562674</v>
      </c>
      <c r="C244" s="141">
        <f t="shared" ref="C244:M244" si="174">SUM(C225:C240)</f>
        <v>57.028709693187551</v>
      </c>
      <c r="D244" s="141">
        <f t="shared" si="174"/>
        <v>33.479080377364639</v>
      </c>
      <c r="E244" s="141">
        <f t="shared" si="174"/>
        <v>69.033161162074521</v>
      </c>
      <c r="F244" s="141">
        <f t="shared" si="174"/>
        <v>306.12312906326883</v>
      </c>
      <c r="G244" s="141">
        <f t="shared" si="174"/>
        <v>377.99079073859843</v>
      </c>
      <c r="H244" s="141">
        <f t="shared" si="174"/>
        <v>0</v>
      </c>
      <c r="I244" s="141">
        <f t="shared" si="174"/>
        <v>64.525677415149985</v>
      </c>
      <c r="J244" s="141">
        <f t="shared" si="174"/>
        <v>108.3266289736529</v>
      </c>
      <c r="K244" s="141">
        <f t="shared" si="174"/>
        <v>199.39233865054666</v>
      </c>
      <c r="L244" s="141">
        <f t="shared" si="174"/>
        <v>175.48099978818044</v>
      </c>
      <c r="M244" s="141">
        <f t="shared" si="174"/>
        <v>44.354031903279939</v>
      </c>
      <c r="O244" s="140" t="s">
        <v>31</v>
      </c>
      <c r="P244" s="141">
        <f>SUM(P225:P240)</f>
        <v>42</v>
      </c>
      <c r="Q244" s="141">
        <f t="shared" ref="Q244:AA244" si="175">SUM(Q225:Q240)</f>
        <v>59</v>
      </c>
      <c r="R244" s="141">
        <f t="shared" si="175"/>
        <v>0</v>
      </c>
      <c r="S244" s="141">
        <f t="shared" si="175"/>
        <v>53</v>
      </c>
      <c r="T244" s="141">
        <f t="shared" si="175"/>
        <v>310</v>
      </c>
      <c r="U244" s="141">
        <f t="shared" si="175"/>
        <v>430</v>
      </c>
      <c r="V244" s="141">
        <f t="shared" si="175"/>
        <v>0</v>
      </c>
      <c r="W244" s="141">
        <f t="shared" si="175"/>
        <v>64</v>
      </c>
      <c r="X244" s="141">
        <f t="shared" si="175"/>
        <v>101</v>
      </c>
      <c r="Y244" s="141">
        <f t="shared" si="175"/>
        <v>192</v>
      </c>
      <c r="Z244" s="141">
        <f t="shared" si="175"/>
        <v>149</v>
      </c>
      <c r="AA244" s="141">
        <f t="shared" si="175"/>
        <v>0</v>
      </c>
      <c r="AC244" s="140" t="s">
        <v>31</v>
      </c>
      <c r="AD244" s="141">
        <f>SUM(AD225:AD240)</f>
        <v>24</v>
      </c>
      <c r="AE244" s="141">
        <f t="shared" ref="AE244:AO244" si="176">SUM(AE225:AE240)</f>
        <v>53.2</v>
      </c>
      <c r="AF244" s="141">
        <f t="shared" si="176"/>
        <v>102.2</v>
      </c>
      <c r="AG244" s="141">
        <f t="shared" si="176"/>
        <v>101.80000000000001</v>
      </c>
      <c r="AH244" s="141">
        <f t="shared" si="176"/>
        <v>298.29999999999995</v>
      </c>
      <c r="AI244" s="141">
        <f t="shared" si="176"/>
        <v>271.8</v>
      </c>
      <c r="AJ244" s="141">
        <f t="shared" si="176"/>
        <v>14.399999999999999</v>
      </c>
      <c r="AK244" s="141">
        <f t="shared" si="176"/>
        <v>65.7</v>
      </c>
      <c r="AL244" s="141">
        <f t="shared" si="176"/>
        <v>123.29999999999998</v>
      </c>
      <c r="AM244" s="141">
        <f t="shared" si="176"/>
        <v>214.6</v>
      </c>
      <c r="AN244" s="141">
        <f t="shared" si="176"/>
        <v>229.6</v>
      </c>
      <c r="AO244" s="141">
        <f t="shared" si="176"/>
        <v>135.29999999999998</v>
      </c>
      <c r="AQ244" s="140" t="s">
        <v>31</v>
      </c>
      <c r="AR244" s="141">
        <f>SUM(AR225:AR240)</f>
        <v>29.828495385647358</v>
      </c>
      <c r="AS244" s="141">
        <f t="shared" ref="AS244:BC244" si="177">SUM(AS225:AS240)</f>
        <v>55.078070735375263</v>
      </c>
      <c r="AT244" s="141">
        <f t="shared" si="177"/>
        <v>69.107098421491088</v>
      </c>
      <c r="AU244" s="141">
        <f t="shared" si="177"/>
        <v>85.998301398911579</v>
      </c>
      <c r="AV244" s="141">
        <f t="shared" si="177"/>
        <v>302.08852200067071</v>
      </c>
      <c r="AW244" s="141">
        <f t="shared" si="177"/>
        <v>323.02599833385625</v>
      </c>
      <c r="AX244" s="141" t="e">
        <f t="shared" si="177"/>
        <v>#VALUE!</v>
      </c>
      <c r="AY244" s="141">
        <f t="shared" si="177"/>
        <v>65.149530991355519</v>
      </c>
      <c r="AZ244" s="141">
        <f t="shared" si="177"/>
        <v>116.07914182778131</v>
      </c>
      <c r="BA244" s="141">
        <f t="shared" si="177"/>
        <v>207.28200023802054</v>
      </c>
      <c r="BB244" s="141">
        <f t="shared" si="177"/>
        <v>203.50129288426791</v>
      </c>
      <c r="BC244" s="141">
        <f t="shared" si="177"/>
        <v>91.48914301788399</v>
      </c>
      <c r="BE244" s="140" t="s">
        <v>31</v>
      </c>
      <c r="BF244" s="141">
        <f>SUM(BF225:BF240)</f>
        <v>30.612097466418966</v>
      </c>
      <c r="BG244" s="141">
        <f t="shared" ref="BG244:BQ244" si="178">SUM(BG225:BG240)</f>
        <v>55.322336350932488</v>
      </c>
      <c r="BH244" s="141">
        <f t="shared" si="178"/>
        <v>64.645637358295218</v>
      </c>
      <c r="BI244" s="141">
        <f t="shared" si="178"/>
        <v>83.873869091041925</v>
      </c>
      <c r="BJ244" s="141">
        <f t="shared" si="178"/>
        <v>302.5937491590488</v>
      </c>
      <c r="BK244" s="141">
        <f t="shared" si="178"/>
        <v>329.90887576073658</v>
      </c>
      <c r="BL244" s="141" t="e">
        <f t="shared" si="178"/>
        <v>#VALUE!</v>
      </c>
      <c r="BM244" s="141">
        <f t="shared" si="178"/>
        <v>65.071409934048063</v>
      </c>
      <c r="BN244" s="141">
        <f t="shared" si="178"/>
        <v>115.10834591660316</v>
      </c>
      <c r="BO244" s="141">
        <f t="shared" si="178"/>
        <v>206.29403009803934</v>
      </c>
      <c r="BP244" s="141">
        <f t="shared" si="178"/>
        <v>199.99249690036839</v>
      </c>
      <c r="BQ244" s="141">
        <f t="shared" si="178"/>
        <v>85.586724795047004</v>
      </c>
    </row>
    <row r="245" spans="1:70" ht="15.75" thickBot="1">
      <c r="A245" s="133" t="s">
        <v>32</v>
      </c>
      <c r="B245" s="134">
        <f>COUNTIF(B212:B242,"&gt;0")</f>
        <v>16</v>
      </c>
      <c r="C245" s="134">
        <f t="shared" ref="C245:M245" si="179">COUNTIF(C212:C242,"&gt;0")</f>
        <v>12</v>
      </c>
      <c r="D245" s="134">
        <f t="shared" si="179"/>
        <v>15</v>
      </c>
      <c r="E245" s="134">
        <f t="shared" si="179"/>
        <v>25</v>
      </c>
      <c r="F245" s="134">
        <f t="shared" si="179"/>
        <v>25</v>
      </c>
      <c r="G245" s="134">
        <f t="shared" si="179"/>
        <v>18</v>
      </c>
      <c r="H245" s="134">
        <f t="shared" si="179"/>
        <v>0</v>
      </c>
      <c r="I245" s="134">
        <f t="shared" si="179"/>
        <v>8</v>
      </c>
      <c r="J245" s="134">
        <f t="shared" si="179"/>
        <v>18</v>
      </c>
      <c r="K245" s="134">
        <f t="shared" si="179"/>
        <v>22</v>
      </c>
      <c r="L245" s="134">
        <f t="shared" si="179"/>
        <v>24</v>
      </c>
      <c r="M245" s="134">
        <f t="shared" si="179"/>
        <v>17</v>
      </c>
      <c r="O245" s="133" t="s">
        <v>32</v>
      </c>
      <c r="P245" s="134">
        <f>COUNTIF(P210:P240,"&gt;0")</f>
        <v>11</v>
      </c>
      <c r="Q245" s="134">
        <f t="shared" ref="Q245:AA245" si="180">COUNTIF(Q210:Q240,"&gt;0")</f>
        <v>6</v>
      </c>
      <c r="R245" s="134">
        <f t="shared" si="180"/>
        <v>2</v>
      </c>
      <c r="S245" s="134">
        <f t="shared" si="180"/>
        <v>18</v>
      </c>
      <c r="T245" s="134">
        <f t="shared" si="180"/>
        <v>9</v>
      </c>
      <c r="U245" s="134">
        <f t="shared" si="180"/>
        <v>8</v>
      </c>
      <c r="V245" s="134">
        <f t="shared" si="180"/>
        <v>0</v>
      </c>
      <c r="W245" s="134">
        <f t="shared" si="180"/>
        <v>3</v>
      </c>
      <c r="X245" s="134">
        <f t="shared" si="180"/>
        <v>7</v>
      </c>
      <c r="Y245" s="134">
        <f t="shared" si="180"/>
        <v>14</v>
      </c>
      <c r="Z245" s="134">
        <f t="shared" si="180"/>
        <v>13</v>
      </c>
      <c r="AA245" s="134">
        <f t="shared" si="180"/>
        <v>3</v>
      </c>
      <c r="AC245" s="133" t="s">
        <v>32</v>
      </c>
      <c r="AD245" s="134">
        <f>COUNTIF(AD210:AD240,"&gt;0")</f>
        <v>16</v>
      </c>
      <c r="AE245" s="134">
        <f t="shared" ref="AE245:AO245" si="181">COUNTIF(AE210:AE240,"&gt;0")</f>
        <v>11</v>
      </c>
      <c r="AF245" s="134">
        <f t="shared" si="181"/>
        <v>16</v>
      </c>
      <c r="AG245" s="134">
        <f t="shared" si="181"/>
        <v>19</v>
      </c>
      <c r="AH245" s="134">
        <f t="shared" si="181"/>
        <v>26</v>
      </c>
      <c r="AI245" s="134">
        <f t="shared" si="181"/>
        <v>19</v>
      </c>
      <c r="AJ245" s="134">
        <f t="shared" si="181"/>
        <v>9</v>
      </c>
      <c r="AK245" s="134">
        <f t="shared" si="181"/>
        <v>9</v>
      </c>
      <c r="AL245" s="134">
        <f t="shared" si="181"/>
        <v>16</v>
      </c>
      <c r="AM245" s="134">
        <f t="shared" si="181"/>
        <v>22</v>
      </c>
      <c r="AN245" s="134">
        <f t="shared" si="181"/>
        <v>23</v>
      </c>
      <c r="AO245" s="134">
        <f t="shared" si="181"/>
        <v>20</v>
      </c>
      <c r="AQ245" s="133" t="s">
        <v>32</v>
      </c>
      <c r="AR245" s="134">
        <f>COUNTIF(AR210:AR240,"&gt;0")</f>
        <v>16</v>
      </c>
      <c r="AS245" s="134">
        <f t="shared" ref="AS245:BC245" si="182">COUNTIF(AS210:AS240,"&gt;0")</f>
        <v>11</v>
      </c>
      <c r="AT245" s="134">
        <f t="shared" si="182"/>
        <v>16</v>
      </c>
      <c r="AU245" s="134">
        <f t="shared" si="182"/>
        <v>23</v>
      </c>
      <c r="AV245" s="134">
        <f t="shared" si="182"/>
        <v>28</v>
      </c>
      <c r="AW245" s="134">
        <f t="shared" si="182"/>
        <v>19</v>
      </c>
      <c r="AX245" s="134">
        <f t="shared" si="182"/>
        <v>0</v>
      </c>
      <c r="AY245" s="134">
        <f t="shared" si="182"/>
        <v>9</v>
      </c>
      <c r="AZ245" s="134">
        <f t="shared" si="182"/>
        <v>18</v>
      </c>
      <c r="BA245" s="134">
        <f t="shared" si="182"/>
        <v>23</v>
      </c>
      <c r="BB245" s="134">
        <f t="shared" si="182"/>
        <v>25</v>
      </c>
      <c r="BC245" s="134">
        <f t="shared" si="182"/>
        <v>20</v>
      </c>
      <c r="BE245" s="133" t="s">
        <v>32</v>
      </c>
      <c r="BF245" s="134">
        <f>COUNTIF(BF210:BF240,"&gt;0")</f>
        <v>16</v>
      </c>
      <c r="BG245" s="134">
        <f t="shared" ref="BG245:BQ245" si="183">COUNTIF(BG210:BG240,"&gt;0")</f>
        <v>11</v>
      </c>
      <c r="BH245" s="134">
        <f t="shared" si="183"/>
        <v>16</v>
      </c>
      <c r="BI245" s="134">
        <f t="shared" si="183"/>
        <v>23</v>
      </c>
      <c r="BJ245" s="134">
        <f t="shared" si="183"/>
        <v>28</v>
      </c>
      <c r="BK245" s="134">
        <f t="shared" si="183"/>
        <v>19</v>
      </c>
      <c r="BL245" s="134">
        <f t="shared" si="183"/>
        <v>0</v>
      </c>
      <c r="BM245" s="134">
        <f t="shared" si="183"/>
        <v>9</v>
      </c>
      <c r="BN245" s="134">
        <f t="shared" si="183"/>
        <v>18</v>
      </c>
      <c r="BO245" s="134">
        <f t="shared" si="183"/>
        <v>23</v>
      </c>
      <c r="BP245" s="134">
        <f t="shared" si="183"/>
        <v>25</v>
      </c>
      <c r="BQ245" s="134">
        <f t="shared" si="183"/>
        <v>20</v>
      </c>
    </row>
    <row r="246" spans="1:70" ht="15.75" thickBot="1"/>
    <row r="247" spans="1:70">
      <c r="A247" s="147" t="s">
        <v>38</v>
      </c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9"/>
      <c r="O247" s="147" t="s">
        <v>38</v>
      </c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9"/>
      <c r="AC247" s="147" t="s">
        <v>38</v>
      </c>
      <c r="AD247" s="148"/>
      <c r="AE247" s="148"/>
      <c r="AF247" s="148"/>
      <c r="AG247" s="148"/>
      <c r="AH247" s="148"/>
      <c r="AI247" s="148"/>
      <c r="AJ247" s="148"/>
      <c r="AK247" s="148"/>
      <c r="AL247" s="148"/>
      <c r="AM247" s="148"/>
      <c r="AN247" s="148"/>
      <c r="AO247" s="149"/>
      <c r="AQ247" s="147" t="s">
        <v>38</v>
      </c>
      <c r="AR247" s="148"/>
      <c r="AS247" s="148"/>
      <c r="AT247" s="148"/>
      <c r="AU247" s="148"/>
      <c r="AV247" s="148"/>
      <c r="AW247" s="148"/>
      <c r="AX247" s="148"/>
      <c r="AY247" s="148"/>
      <c r="AZ247" s="148"/>
      <c r="BA247" s="148"/>
      <c r="BB247" s="148"/>
      <c r="BC247" s="149"/>
    </row>
    <row r="248" spans="1:70">
      <c r="A248" s="144"/>
      <c r="B248" s="145" t="s">
        <v>15</v>
      </c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6"/>
      <c r="O248" s="144"/>
      <c r="P248" s="145" t="s">
        <v>15</v>
      </c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  <c r="AA248" s="146"/>
      <c r="AC248" s="144"/>
      <c r="AD248" s="145" t="s">
        <v>15</v>
      </c>
      <c r="AE248" s="145"/>
      <c r="AF248" s="145"/>
      <c r="AG248" s="145"/>
      <c r="AH248" s="145"/>
      <c r="AI248" s="145"/>
      <c r="AJ248" s="145"/>
      <c r="AK248" s="145"/>
      <c r="AL248" s="145"/>
      <c r="AM248" s="145"/>
      <c r="AN248" s="145"/>
      <c r="AO248" s="146"/>
      <c r="AQ248" s="144"/>
      <c r="AR248" s="145" t="s">
        <v>15</v>
      </c>
      <c r="AS248" s="145"/>
      <c r="AT248" s="145"/>
      <c r="AU248" s="145"/>
      <c r="AV248" s="145"/>
      <c r="AW248" s="145"/>
      <c r="AX248" s="145"/>
      <c r="AY248" s="145"/>
      <c r="AZ248" s="145"/>
      <c r="BA248" s="145"/>
      <c r="BB248" s="145"/>
      <c r="BC248" s="146"/>
    </row>
    <row r="249" spans="1:70">
      <c r="A249" s="144"/>
      <c r="B249" s="131" t="s">
        <v>16</v>
      </c>
      <c r="C249" s="131" t="s">
        <v>17</v>
      </c>
      <c r="D249" s="131" t="s">
        <v>18</v>
      </c>
      <c r="E249" s="131" t="s">
        <v>19</v>
      </c>
      <c r="F249" s="131" t="s">
        <v>20</v>
      </c>
      <c r="G249" s="131" t="s">
        <v>21</v>
      </c>
      <c r="H249" s="131" t="s">
        <v>22</v>
      </c>
      <c r="I249" s="131" t="s">
        <v>23</v>
      </c>
      <c r="J249" s="131" t="s">
        <v>24</v>
      </c>
      <c r="K249" s="131" t="s">
        <v>25</v>
      </c>
      <c r="L249" s="131" t="s">
        <v>26</v>
      </c>
      <c r="M249" s="132" t="s">
        <v>27</v>
      </c>
      <c r="O249" s="144"/>
      <c r="P249" s="131" t="s">
        <v>16</v>
      </c>
      <c r="Q249" s="131" t="s">
        <v>17</v>
      </c>
      <c r="R249" s="131" t="s">
        <v>18</v>
      </c>
      <c r="S249" s="131" t="s">
        <v>19</v>
      </c>
      <c r="T249" s="131" t="s">
        <v>20</v>
      </c>
      <c r="U249" s="131" t="s">
        <v>21</v>
      </c>
      <c r="V249" s="131" t="s">
        <v>22</v>
      </c>
      <c r="W249" s="131" t="s">
        <v>23</v>
      </c>
      <c r="X249" s="131" t="s">
        <v>24</v>
      </c>
      <c r="Y249" s="131" t="s">
        <v>25</v>
      </c>
      <c r="Z249" s="131" t="s">
        <v>26</v>
      </c>
      <c r="AA249" s="132" t="s">
        <v>27</v>
      </c>
      <c r="AC249" s="144"/>
      <c r="AD249" s="131" t="s">
        <v>16</v>
      </c>
      <c r="AE249" s="131" t="s">
        <v>17</v>
      </c>
      <c r="AF249" s="131" t="s">
        <v>18</v>
      </c>
      <c r="AG249" s="131" t="s">
        <v>19</v>
      </c>
      <c r="AH249" s="131" t="s">
        <v>20</v>
      </c>
      <c r="AI249" s="131" t="s">
        <v>21</v>
      </c>
      <c r="AJ249" s="131" t="s">
        <v>22</v>
      </c>
      <c r="AK249" s="131" t="s">
        <v>23</v>
      </c>
      <c r="AL249" s="131" t="s">
        <v>24</v>
      </c>
      <c r="AM249" s="131" t="s">
        <v>25</v>
      </c>
      <c r="AN249" s="131" t="s">
        <v>26</v>
      </c>
      <c r="AO249" s="132" t="s">
        <v>27</v>
      </c>
      <c r="AQ249" s="144"/>
      <c r="AR249" s="131" t="s">
        <v>16</v>
      </c>
      <c r="AS249" s="131" t="s">
        <v>17</v>
      </c>
      <c r="AT249" s="131" t="s">
        <v>18</v>
      </c>
      <c r="AU249" s="131" t="s">
        <v>19</v>
      </c>
      <c r="AV249" s="131" t="s">
        <v>20</v>
      </c>
      <c r="AW249" s="131" t="s">
        <v>21</v>
      </c>
      <c r="AX249" s="131" t="s">
        <v>22</v>
      </c>
      <c r="AY249" s="131" t="s">
        <v>23</v>
      </c>
      <c r="AZ249" s="131" t="s">
        <v>24</v>
      </c>
      <c r="BA249" s="131" t="s">
        <v>25</v>
      </c>
      <c r="BB249" s="131" t="s">
        <v>26</v>
      </c>
      <c r="BC249" s="132" t="s">
        <v>27</v>
      </c>
    </row>
    <row r="250" spans="1:70">
      <c r="A250" s="130">
        <v>1</v>
      </c>
      <c r="B250" s="131">
        <f>'Sta. Klimatologi Kalbar'!Q8</f>
        <v>0</v>
      </c>
      <c r="C250" s="131">
        <f>'Sta. Klimatologi Kalbar'!R8</f>
        <v>0</v>
      </c>
      <c r="D250" s="131">
        <f>'Sta. Klimatologi Kalbar'!S8</f>
        <v>0</v>
      </c>
      <c r="E250" s="131">
        <f>'Sta. Klimatologi Kalbar'!T8</f>
        <v>0</v>
      </c>
      <c r="F250" s="131">
        <f>'Sta. Klimatologi Kalbar'!U8</f>
        <v>0</v>
      </c>
      <c r="G250" s="131">
        <f>'Sta. Klimatologi Kalbar'!V8</f>
        <v>0</v>
      </c>
      <c r="H250" s="131">
        <f>'Sta. Klimatologi Kalbar'!W8</f>
        <v>0.5</v>
      </c>
      <c r="I250" s="131">
        <f>'Sta. Klimatologi Kalbar'!X8</f>
        <v>0</v>
      </c>
      <c r="J250" s="131">
        <f>'Sta. Klimatologi Kalbar'!Y8</f>
        <v>1</v>
      </c>
      <c r="K250" s="131">
        <f>'Sta. Klimatologi Kalbar'!Z8</f>
        <v>0</v>
      </c>
      <c r="L250" s="131">
        <f>'Sta. Klimatologi Kalbar'!AA8</f>
        <v>18.8</v>
      </c>
      <c r="M250" s="131">
        <f>'Sta. Klimatologi Kalbar'!AB8</f>
        <v>20.6</v>
      </c>
      <c r="O250" s="130">
        <v>1</v>
      </c>
      <c r="P250" s="131">
        <f>((B250/($T$1^2))+(AD250/($T$2^2))+(AR250/($T$3^2)))/((1/($T$1^2))+(1/($T$2^2))+(1/($T$3^2)))</f>
        <v>21.094326511261489</v>
      </c>
      <c r="Q250" s="131">
        <f t="shared" ref="Q250:AA265" si="184">((C250/($T$1^2))+(AE250/($T$2^2))+(AS250/($T$3^2)))/((1/($T$1^2))+(1/($T$2^2))+(1/($T$3^2)))</f>
        <v>0</v>
      </c>
      <c r="R250" s="131">
        <f t="shared" si="184"/>
        <v>0</v>
      </c>
      <c r="S250" s="131">
        <f t="shared" si="184"/>
        <v>0.7439419646390254</v>
      </c>
      <c r="T250" s="131">
        <f t="shared" si="184"/>
        <v>0.5313871175993039</v>
      </c>
      <c r="U250" s="131">
        <f t="shared" si="184"/>
        <v>1.2753290822383292</v>
      </c>
      <c r="V250" s="131">
        <f t="shared" si="184"/>
        <v>7.7726101262824638</v>
      </c>
      <c r="W250" s="131">
        <f t="shared" si="184"/>
        <v>0</v>
      </c>
      <c r="X250" s="131">
        <f t="shared" si="184"/>
        <v>19.94210736297342</v>
      </c>
      <c r="Y250" s="131">
        <f t="shared" si="184"/>
        <v>1.014199838786235</v>
      </c>
      <c r="Z250" s="131">
        <f t="shared" si="184"/>
        <v>15.50253901410634</v>
      </c>
      <c r="AA250" s="131">
        <f t="shared" si="184"/>
        <v>15.860470797919044</v>
      </c>
      <c r="AC250" s="130">
        <v>1</v>
      </c>
      <c r="AD250" s="131">
        <f>'Sta. Meteorologi pnk'!Q143</f>
        <v>29.5</v>
      </c>
      <c r="AE250" s="131">
        <f>'Sta. Meteorologi pnk'!R143</f>
        <v>0</v>
      </c>
      <c r="AF250" s="131">
        <f>'Sta. Meteorologi pnk'!S143</f>
        <v>0</v>
      </c>
      <c r="AG250" s="131">
        <f>'Sta. Meteorologi pnk'!T143</f>
        <v>0</v>
      </c>
      <c r="AH250" s="131">
        <f>'Sta. Meteorologi pnk'!U143</f>
        <v>0</v>
      </c>
      <c r="AI250" s="131">
        <f>'Sta. Meteorologi pnk'!V143</f>
        <v>0</v>
      </c>
      <c r="AJ250" s="131">
        <f>'Sta. Meteorologi pnk'!W143</f>
        <v>10.6</v>
      </c>
      <c r="AK250" s="131">
        <f>'Sta. Meteorologi pnk'!X143</f>
        <v>0</v>
      </c>
      <c r="AL250" s="131">
        <f>'Sta. Meteorologi pnk'!Y143</f>
        <v>25.2</v>
      </c>
      <c r="AM250" s="131">
        <f>'Sta. Meteorologi pnk'!Z143</f>
        <v>1</v>
      </c>
      <c r="AN250" s="131">
        <f>'Sta. Meteorologi pnk'!AA143</f>
        <v>16</v>
      </c>
      <c r="AO250" s="131">
        <f>'Sta. Meteorologi pnk'!AB143</f>
        <v>14.1</v>
      </c>
      <c r="AQ250" s="130">
        <v>1</v>
      </c>
      <c r="AR250" s="131">
        <f>'Sta. Meteorologi Supadio'!Q8</f>
        <v>2.2999999999999998</v>
      </c>
      <c r="AS250" s="131">
        <f>'Sta. Meteorologi Supadio'!R8</f>
        <v>0</v>
      </c>
      <c r="AT250" s="131">
        <f>'Sta. Meteorologi Supadio'!S8</f>
        <v>0</v>
      </c>
      <c r="AU250" s="131">
        <f>'Sta. Meteorologi Supadio'!T8</f>
        <v>10.5</v>
      </c>
      <c r="AV250" s="131">
        <f>'Sta. Meteorologi Supadio'!U8</f>
        <v>7.5</v>
      </c>
      <c r="AW250" s="131">
        <f>'Sta. Meteorologi Supadio'!V8</f>
        <v>18</v>
      </c>
      <c r="AX250" s="131">
        <f>'Sta. Meteorologi Supadio'!W8</f>
        <v>2</v>
      </c>
      <c r="AY250" s="131">
        <f>'Sta. Meteorologi Supadio'!X8</f>
        <v>0</v>
      </c>
      <c r="AZ250" s="131">
        <f>'Sta. Meteorologi Supadio'!Y8</f>
        <v>26</v>
      </c>
      <c r="BA250" s="131">
        <f>'Sta. Meteorologi Supadio'!Z8</f>
        <v>4.3</v>
      </c>
      <c r="BB250" s="131">
        <f>'Sta. Meteorologi Supadio'!AA8</f>
        <v>0.3</v>
      </c>
      <c r="BC250" s="131">
        <f>'Sta. Meteorologi Supadio'!AB8</f>
        <v>18.8</v>
      </c>
    </row>
    <row r="251" spans="1:70">
      <c r="A251" s="130">
        <v>2</v>
      </c>
      <c r="B251" s="131">
        <f>'Sta. Klimatologi Kalbar'!Q9</f>
        <v>0</v>
      </c>
      <c r="C251" s="131">
        <f>'Sta. Klimatologi Kalbar'!R9</f>
        <v>0</v>
      </c>
      <c r="D251" s="131">
        <f>'Sta. Klimatologi Kalbar'!S9</f>
        <v>0</v>
      </c>
      <c r="E251" s="131">
        <f>'Sta. Klimatologi Kalbar'!T9</f>
        <v>0</v>
      </c>
      <c r="F251" s="131">
        <f>'Sta. Klimatologi Kalbar'!U9</f>
        <v>0</v>
      </c>
      <c r="G251" s="131">
        <f>'Sta. Klimatologi Kalbar'!V9</f>
        <v>0</v>
      </c>
      <c r="H251" s="131">
        <f>'Sta. Klimatologi Kalbar'!W9</f>
        <v>0</v>
      </c>
      <c r="I251" s="131">
        <f>'Sta. Klimatologi Kalbar'!X9</f>
        <v>0</v>
      </c>
      <c r="J251" s="131">
        <f>'Sta. Klimatologi Kalbar'!Y9</f>
        <v>35.9</v>
      </c>
      <c r="K251" s="131">
        <f>'Sta. Klimatologi Kalbar'!Z9</f>
        <v>17.7</v>
      </c>
      <c r="L251" s="131">
        <f>'Sta. Klimatologi Kalbar'!AA9</f>
        <v>22.9</v>
      </c>
      <c r="M251" s="131">
        <f>'Sta. Klimatologi Kalbar'!AB9</f>
        <v>29.1</v>
      </c>
      <c r="O251" s="130">
        <v>2</v>
      </c>
      <c r="P251" s="131">
        <f t="shared" ref="P251:AA280" si="185">((B251/($T$1^2))+(AD251/($T$2^2))+(AR251/($T$3^2)))/((1/($T$1^2))+(1/($T$2^2))+(1/($T$3^2)))</f>
        <v>4.3276702700302856</v>
      </c>
      <c r="Q251" s="131">
        <f t="shared" si="184"/>
        <v>0</v>
      </c>
      <c r="R251" s="131">
        <f t="shared" si="184"/>
        <v>0</v>
      </c>
      <c r="S251" s="131">
        <f t="shared" si="184"/>
        <v>0.28340646271962872</v>
      </c>
      <c r="T251" s="131">
        <f t="shared" si="184"/>
        <v>0.92209273840235551</v>
      </c>
      <c r="U251" s="131">
        <f t="shared" si="184"/>
        <v>0</v>
      </c>
      <c r="V251" s="131">
        <f t="shared" si="184"/>
        <v>0</v>
      </c>
      <c r="W251" s="131">
        <f t="shared" si="184"/>
        <v>10.855929737848301</v>
      </c>
      <c r="X251" s="131">
        <f t="shared" si="184"/>
        <v>42.010847976044694</v>
      </c>
      <c r="Y251" s="131">
        <f t="shared" si="184"/>
        <v>25.695603126586583</v>
      </c>
      <c r="Z251" s="131">
        <f t="shared" si="184"/>
        <v>14.931613611665457</v>
      </c>
      <c r="AA251" s="131">
        <f t="shared" si="184"/>
        <v>15.458171337542359</v>
      </c>
      <c r="AC251" s="130">
        <v>2</v>
      </c>
      <c r="AD251" s="131">
        <f>'Sta. Meteorologi pnk'!Q144</f>
        <v>5.6</v>
      </c>
      <c r="AE251" s="131">
        <f>'Sta. Meteorologi pnk'!R144</f>
        <v>0</v>
      </c>
      <c r="AF251" s="131">
        <f>'Sta. Meteorologi pnk'!S144</f>
        <v>0</v>
      </c>
      <c r="AG251" s="131">
        <f>'Sta. Meteorologi pnk'!T144</f>
        <v>0</v>
      </c>
      <c r="AH251" s="131">
        <f>'Sta. Meteorologi pnk'!U144</f>
        <v>1</v>
      </c>
      <c r="AI251" s="131">
        <f>'Sta. Meteorologi pnk'!V144</f>
        <v>0</v>
      </c>
      <c r="AJ251" s="131">
        <f>'Sta. Meteorologi pnk'!W144</f>
        <v>0</v>
      </c>
      <c r="AK251" s="131">
        <f>'Sta. Meteorologi pnk'!X144</f>
        <v>15.3</v>
      </c>
      <c r="AL251" s="131">
        <f>'Sta. Meteorologi pnk'!Y144</f>
        <v>46.2</v>
      </c>
      <c r="AM251" s="131">
        <f>'Sta. Meteorologi pnk'!Z144</f>
        <v>28.1</v>
      </c>
      <c r="AN251" s="131">
        <f>'Sta. Meteorologi pnk'!AA144</f>
        <v>11.4</v>
      </c>
      <c r="AO251" s="131">
        <f>'Sta. Meteorologi pnk'!AB144</f>
        <v>12.4</v>
      </c>
      <c r="AQ251" s="130">
        <v>2</v>
      </c>
      <c r="AR251" s="131">
        <f>'Sta. Meteorologi Supadio'!Q9</f>
        <v>5</v>
      </c>
      <c r="AS251" s="131">
        <f>'Sta. Meteorologi Supadio'!R9</f>
        <v>0</v>
      </c>
      <c r="AT251" s="131">
        <f>'Sta. Meteorologi Supadio'!S9</f>
        <v>0</v>
      </c>
      <c r="AU251" s="131">
        <f>'Sta. Meteorologi Supadio'!T9</f>
        <v>4</v>
      </c>
      <c r="AV251" s="131">
        <f>'Sta. Meteorologi Supadio'!U9</f>
        <v>3</v>
      </c>
      <c r="AW251" s="131">
        <f>'Sta. Meteorologi Supadio'!V9</f>
        <v>0</v>
      </c>
      <c r="AX251" s="131">
        <f>'Sta. Meteorologi Supadio'!W9</f>
        <v>0</v>
      </c>
      <c r="AY251" s="131">
        <f>'Sta. Meteorologi Supadio'!X9</f>
        <v>0</v>
      </c>
      <c r="AZ251" s="131">
        <f>'Sta. Meteorologi Supadio'!Y9</f>
        <v>19</v>
      </c>
      <c r="BA251" s="131">
        <f>'Sta. Meteorologi Supadio'!Z9</f>
        <v>26.4</v>
      </c>
      <c r="BB251" s="131">
        <f>'Sta. Meteorologi Supadio'!AA9</f>
        <v>25.6</v>
      </c>
      <c r="BC251" s="131">
        <f>'Sta. Meteorologi Supadio'!AB9</f>
        <v>3.8</v>
      </c>
    </row>
    <row r="252" spans="1:70">
      <c r="A252" s="130">
        <v>3</v>
      </c>
      <c r="B252" s="131">
        <f>'Sta. Klimatologi Kalbar'!Q10</f>
        <v>0</v>
      </c>
      <c r="C252" s="131">
        <f>'Sta. Klimatologi Kalbar'!R10</f>
        <v>0</v>
      </c>
      <c r="D252" s="131">
        <f>'Sta. Klimatologi Kalbar'!S10</f>
        <v>0</v>
      </c>
      <c r="E252" s="131">
        <f>'Sta. Klimatologi Kalbar'!T10</f>
        <v>0</v>
      </c>
      <c r="F252" s="131">
        <f>'Sta. Klimatologi Kalbar'!U10</f>
        <v>2</v>
      </c>
      <c r="G252" s="131">
        <f>'Sta. Klimatologi Kalbar'!V10</f>
        <v>32.5</v>
      </c>
      <c r="H252" s="131">
        <f>'Sta. Klimatologi Kalbar'!W10</f>
        <v>0</v>
      </c>
      <c r="I252" s="131">
        <f>'Sta. Klimatologi Kalbar'!X10</f>
        <v>2.2999999999999998</v>
      </c>
      <c r="J252" s="131">
        <f>'Sta. Klimatologi Kalbar'!Y10</f>
        <v>14.5</v>
      </c>
      <c r="K252" s="131">
        <f>'Sta. Klimatologi Kalbar'!Z10</f>
        <v>5.0999999999999996</v>
      </c>
      <c r="L252" s="131">
        <f>'Sta. Klimatologi Kalbar'!AA10</f>
        <v>0</v>
      </c>
      <c r="M252" s="131">
        <f>'Sta. Klimatologi Kalbar'!AB10</f>
        <v>10.5</v>
      </c>
      <c r="O252" s="130">
        <v>3</v>
      </c>
      <c r="P252" s="131">
        <f t="shared" si="185"/>
        <v>1.6661368764977371</v>
      </c>
      <c r="Q252" s="131">
        <f t="shared" si="184"/>
        <v>0</v>
      </c>
      <c r="R252" s="131">
        <f t="shared" si="184"/>
        <v>0</v>
      </c>
      <c r="S252" s="131">
        <f t="shared" si="184"/>
        <v>0</v>
      </c>
      <c r="T252" s="131">
        <f t="shared" si="184"/>
        <v>1.3753818739968984</v>
      </c>
      <c r="U252" s="131">
        <f t="shared" si="184"/>
        <v>37.760424240973094</v>
      </c>
      <c r="V252" s="131">
        <f t="shared" si="184"/>
        <v>1.2481123439862849</v>
      </c>
      <c r="W252" s="131">
        <f t="shared" si="184"/>
        <v>1.6969438790699392</v>
      </c>
      <c r="X252" s="131">
        <f t="shared" si="184"/>
        <v>8.6043633808602831</v>
      </c>
      <c r="Y252" s="131">
        <f t="shared" si="184"/>
        <v>12.513700316904139</v>
      </c>
      <c r="Z252" s="131">
        <f t="shared" si="184"/>
        <v>4.6967117123039408</v>
      </c>
      <c r="AA252" s="131">
        <f t="shared" si="184"/>
        <v>11.323513517188621</v>
      </c>
      <c r="AC252" s="130">
        <v>3</v>
      </c>
      <c r="AD252" s="131">
        <f>'Sta. Meteorologi pnk'!Q145</f>
        <v>1.1000000000000001</v>
      </c>
      <c r="AE252" s="131">
        <f>'Sta. Meteorologi pnk'!R145</f>
        <v>0</v>
      </c>
      <c r="AF252" s="131">
        <f>'Sta. Meteorologi pnk'!S145</f>
        <v>0</v>
      </c>
      <c r="AG252" s="131">
        <f>'Sta. Meteorologi pnk'!T145</f>
        <v>0</v>
      </c>
      <c r="AH252" s="131">
        <f>'Sta. Meteorologi pnk'!U145</f>
        <v>0.9</v>
      </c>
      <c r="AI252" s="131">
        <f>'Sta. Meteorologi pnk'!V145</f>
        <v>42.6</v>
      </c>
      <c r="AJ252" s="131">
        <f>'Sta. Meteorologi pnk'!W145</f>
        <v>1.1000000000000001</v>
      </c>
      <c r="AK252" s="131">
        <f>'Sta. Meteorologi pnk'!X145</f>
        <v>1.5</v>
      </c>
      <c r="AL252" s="131">
        <f>'Sta. Meteorologi pnk'!Y145</f>
        <v>6.8</v>
      </c>
      <c r="AM252" s="131">
        <f>'Sta. Meteorologi pnk'!Z145</f>
        <v>14.6</v>
      </c>
      <c r="AN252" s="131">
        <f>'Sta. Meteorologi pnk'!AA145</f>
        <v>6.2</v>
      </c>
      <c r="AO252" s="131">
        <f>'Sta. Meteorologi pnk'!AB145</f>
        <v>12.1</v>
      </c>
      <c r="AQ252" s="130">
        <v>3</v>
      </c>
      <c r="AR252" s="131">
        <f>'Sta. Meteorologi Supadio'!Q10</f>
        <v>12.5</v>
      </c>
      <c r="AS252" s="131">
        <f>'Sta. Meteorologi Supadio'!R10</f>
        <v>0</v>
      </c>
      <c r="AT252" s="131">
        <f>'Sta. Meteorologi Supadio'!S10</f>
        <v>0</v>
      </c>
      <c r="AU252" s="131">
        <f>'Sta. Meteorologi Supadio'!T10</f>
        <v>0</v>
      </c>
      <c r="AV252" s="131">
        <f>'Sta. Meteorologi Supadio'!U10</f>
        <v>4.2</v>
      </c>
      <c r="AW252" s="131">
        <f>'Sta. Meteorologi Supadio'!V10</f>
        <v>5.6</v>
      </c>
      <c r="AX252" s="131">
        <f>'Sta. Meteorologi Supadio'!W10</f>
        <v>6.6</v>
      </c>
      <c r="AY252" s="131">
        <f>'Sta. Meteorologi Supadio'!X10</f>
        <v>1.8</v>
      </c>
      <c r="AZ252" s="131">
        <f>'Sta. Meteorologi Supadio'!Y10</f>
        <v>8.4</v>
      </c>
      <c r="BA252" s="131">
        <f>'Sta. Meteorologi Supadio'!Z10</f>
        <v>14.6</v>
      </c>
      <c r="BB252" s="131">
        <f>'Sta. Meteorologi Supadio'!AA10</f>
        <v>4.2</v>
      </c>
      <c r="BC252" s="131">
        <f>'Sta. Meteorologi Supadio'!AB10</f>
        <v>6.1</v>
      </c>
    </row>
    <row r="253" spans="1:70">
      <c r="A253" s="130">
        <v>4</v>
      </c>
      <c r="B253" s="131">
        <f>'Sta. Klimatologi Kalbar'!Q11</f>
        <v>2</v>
      </c>
      <c r="C253" s="131">
        <f>'Sta. Klimatologi Kalbar'!R11</f>
        <v>0</v>
      </c>
      <c r="D253" s="131">
        <f>'Sta. Klimatologi Kalbar'!S11</f>
        <v>0</v>
      </c>
      <c r="E253" s="131">
        <f>'Sta. Klimatologi Kalbar'!T11</f>
        <v>0</v>
      </c>
      <c r="F253" s="131">
        <f>'Sta. Klimatologi Kalbar'!U11</f>
        <v>5.4</v>
      </c>
      <c r="G253" s="131">
        <f>'Sta. Klimatologi Kalbar'!V11</f>
        <v>25.4</v>
      </c>
      <c r="H253" s="131">
        <f>'Sta. Klimatologi Kalbar'!W11</f>
        <v>0</v>
      </c>
      <c r="I253" s="131">
        <f>'Sta. Klimatologi Kalbar'!X11</f>
        <v>7.1</v>
      </c>
      <c r="J253" s="131">
        <f>'Sta. Klimatologi Kalbar'!Y11</f>
        <v>0</v>
      </c>
      <c r="K253" s="131">
        <f>'Sta. Klimatologi Kalbar'!Z11</f>
        <v>3</v>
      </c>
      <c r="L253" s="131">
        <f>'Sta. Klimatologi Kalbar'!AA11</f>
        <v>0.3</v>
      </c>
      <c r="M253" s="131">
        <f>'Sta. Klimatologi Kalbar'!AB11</f>
        <v>3.4</v>
      </c>
      <c r="O253" s="130">
        <v>4</v>
      </c>
      <c r="P253" s="131">
        <f t="shared" si="185"/>
        <v>0.43922098591491759</v>
      </c>
      <c r="Q253" s="131">
        <f t="shared" si="184"/>
        <v>6.3766454111916462E-2</v>
      </c>
      <c r="R253" s="131">
        <f t="shared" si="184"/>
        <v>0</v>
      </c>
      <c r="S253" s="131">
        <f t="shared" si="184"/>
        <v>0</v>
      </c>
      <c r="T253" s="131">
        <f t="shared" si="184"/>
        <v>8.6259963294756137</v>
      </c>
      <c r="U253" s="131">
        <f t="shared" si="184"/>
        <v>7.7699757820374904</v>
      </c>
      <c r="V253" s="131">
        <f t="shared" si="184"/>
        <v>4.6499094577290352</v>
      </c>
      <c r="W253" s="131">
        <f t="shared" si="184"/>
        <v>18.630654862109118</v>
      </c>
      <c r="X253" s="131">
        <f t="shared" si="184"/>
        <v>0.28381515654505363</v>
      </c>
      <c r="Y253" s="131">
        <f t="shared" si="184"/>
        <v>6.0932173818982021</v>
      </c>
      <c r="Z253" s="131">
        <f t="shared" si="184"/>
        <v>4.3442638073106572</v>
      </c>
      <c r="AA253" s="131">
        <f t="shared" si="184"/>
        <v>7.0402052510224742</v>
      </c>
      <c r="AC253" s="130">
        <v>4</v>
      </c>
      <c r="AD253" s="131">
        <f>'Sta. Meteorologi pnk'!Q146</f>
        <v>0</v>
      </c>
      <c r="AE253" s="131">
        <f>'Sta. Meteorologi pnk'!R146</f>
        <v>0</v>
      </c>
      <c r="AF253" s="131">
        <f>'Sta. Meteorologi pnk'!S146</f>
        <v>0</v>
      </c>
      <c r="AG253" s="131">
        <f>'Sta. Meteorologi pnk'!T146</f>
        <v>0</v>
      </c>
      <c r="AH253" s="131">
        <f>'Sta. Meteorologi pnk'!U146</f>
        <v>7.6</v>
      </c>
      <c r="AI253" s="131">
        <f>'Sta. Meteorologi pnk'!V146</f>
        <v>2.5</v>
      </c>
      <c r="AJ253" s="131">
        <f>'Sta. Meteorologi pnk'!W146</f>
        <v>2</v>
      </c>
      <c r="AK253" s="131">
        <f>'Sta. Meteorologi pnk'!X146</f>
        <v>24</v>
      </c>
      <c r="AL253" s="131">
        <f>'Sta. Meteorologi pnk'!Y146</f>
        <v>0.4</v>
      </c>
      <c r="AM253" s="131">
        <f>'Sta. Meteorologi pnk'!Z146</f>
        <v>7</v>
      </c>
      <c r="AN253" s="131">
        <f>'Sta. Meteorologi pnk'!AA146</f>
        <v>5.9</v>
      </c>
      <c r="AO253" s="131">
        <f>'Sta. Meteorologi pnk'!AB146</f>
        <v>8.8000000000000007</v>
      </c>
      <c r="AQ253" s="130">
        <v>4</v>
      </c>
      <c r="AR253" s="131">
        <f>'Sta. Meteorologi Supadio'!Q11</f>
        <v>0</v>
      </c>
      <c r="AS253" s="131">
        <f>'Sta. Meteorologi Supadio'!R11</f>
        <v>0.9</v>
      </c>
      <c r="AT253" s="131">
        <f>'Sta. Meteorologi Supadio'!S11</f>
        <v>0</v>
      </c>
      <c r="AU253" s="131">
        <f>'Sta. Meteorologi Supadio'!T11</f>
        <v>0</v>
      </c>
      <c r="AV253" s="131">
        <f>'Sta. Meteorologi Supadio'!U11</f>
        <v>28.9</v>
      </c>
      <c r="AW253" s="131">
        <f>'Sta. Meteorologi Supadio'!V11</f>
        <v>5.9</v>
      </c>
      <c r="AX253" s="131">
        <f>'Sta. Meteorologi Supadio'!W11</f>
        <v>45.6</v>
      </c>
      <c r="AY253" s="131">
        <f>'Sta. Meteorologi Supadio'!X11</f>
        <v>0.6</v>
      </c>
      <c r="AZ253" s="131">
        <f>'Sta. Meteorologi Supadio'!Y11</f>
        <v>0</v>
      </c>
      <c r="BA253" s="131">
        <f>'Sta. Meteorologi Supadio'!Z11</f>
        <v>6.6</v>
      </c>
      <c r="BB253" s="131">
        <f>'Sta. Meteorologi Supadio'!AA11</f>
        <v>1.3</v>
      </c>
      <c r="BC253" s="131">
        <f>'Sta. Meteorologi Supadio'!AB11</f>
        <v>0.7</v>
      </c>
    </row>
    <row r="254" spans="1:70">
      <c r="A254" s="130">
        <v>5</v>
      </c>
      <c r="B254" s="131">
        <f>'Sta. Klimatologi Kalbar'!Q12</f>
        <v>0</v>
      </c>
      <c r="C254" s="131">
        <f>'Sta. Klimatologi Kalbar'!R12</f>
        <v>0</v>
      </c>
      <c r="D254" s="131">
        <f>'Sta. Klimatologi Kalbar'!S12</f>
        <v>9.6999999999999993</v>
      </c>
      <c r="E254" s="131">
        <f>'Sta. Klimatologi Kalbar'!T12</f>
        <v>2.5</v>
      </c>
      <c r="F254" s="131">
        <f>'Sta. Klimatologi Kalbar'!U12</f>
        <v>9.1</v>
      </c>
      <c r="G254" s="131">
        <f>'Sta. Klimatologi Kalbar'!V12</f>
        <v>9.1999999999999993</v>
      </c>
      <c r="H254" s="131">
        <f>'Sta. Klimatologi Kalbar'!W12</f>
        <v>1</v>
      </c>
      <c r="I254" s="131">
        <f>'Sta. Klimatologi Kalbar'!X12</f>
        <v>104.5</v>
      </c>
      <c r="J254" s="131">
        <f>'Sta. Klimatologi Kalbar'!Y12</f>
        <v>0</v>
      </c>
      <c r="K254" s="131">
        <f>'Sta. Klimatologi Kalbar'!Z12</f>
        <v>31.5</v>
      </c>
      <c r="L254" s="131">
        <f>'Sta. Klimatologi Kalbar'!AA12</f>
        <v>0</v>
      </c>
      <c r="M254" s="131">
        <f>'Sta. Klimatologi Kalbar'!AB12</f>
        <v>13.3</v>
      </c>
      <c r="O254" s="130">
        <v>5</v>
      </c>
      <c r="P254" s="131">
        <f t="shared" si="185"/>
        <v>3.1644776914035342</v>
      </c>
      <c r="Q254" s="131">
        <f t="shared" si="184"/>
        <v>22.416901734979561</v>
      </c>
      <c r="R254" s="131">
        <f t="shared" si="184"/>
        <v>2.6621197665684355</v>
      </c>
      <c r="S254" s="131">
        <f t="shared" si="184"/>
        <v>2.0231485323611413</v>
      </c>
      <c r="T254" s="131">
        <f t="shared" si="184"/>
        <v>5.6238773730612301</v>
      </c>
      <c r="U254" s="131">
        <f t="shared" si="184"/>
        <v>4.957862536067382</v>
      </c>
      <c r="V254" s="131">
        <f t="shared" si="184"/>
        <v>0.2196104929574588</v>
      </c>
      <c r="W254" s="131">
        <f t="shared" si="184"/>
        <v>46.971940395479578</v>
      </c>
      <c r="X254" s="131">
        <f t="shared" si="184"/>
        <v>0.28381515654505363</v>
      </c>
      <c r="Y254" s="131">
        <f t="shared" si="184"/>
        <v>17.804590441768532</v>
      </c>
      <c r="Z254" s="131">
        <f t="shared" si="184"/>
        <v>0.30476412087995708</v>
      </c>
      <c r="AA254" s="131">
        <f t="shared" si="184"/>
        <v>5.3808010488159672</v>
      </c>
      <c r="AC254" s="130">
        <v>5</v>
      </c>
      <c r="AD254" s="131">
        <f>'Sta. Meteorologi pnk'!Q147</f>
        <v>4.4000000000000004</v>
      </c>
      <c r="AE254" s="131">
        <f>'Sta. Meteorologi pnk'!R147</f>
        <v>27.2</v>
      </c>
      <c r="AF254" s="131">
        <f>'Sta. Meteorologi pnk'!S147</f>
        <v>0.5</v>
      </c>
      <c r="AG254" s="131">
        <f>'Sta. Meteorologi pnk'!T147</f>
        <v>0.4</v>
      </c>
      <c r="AH254" s="131">
        <f>'Sta. Meteorologi pnk'!U147</f>
        <v>4.8</v>
      </c>
      <c r="AI254" s="131">
        <f>'Sta. Meteorologi pnk'!V147</f>
        <v>4.0999999999999996</v>
      </c>
      <c r="AJ254" s="131">
        <f>'Sta. Meteorologi pnk'!W147</f>
        <v>0</v>
      </c>
      <c r="AK254" s="131">
        <f>'Sta. Meteorologi pnk'!X147</f>
        <v>31.6</v>
      </c>
      <c r="AL254" s="131">
        <f>'Sta. Meteorologi pnk'!Y147</f>
        <v>0.4</v>
      </c>
      <c r="AM254" s="131">
        <f>'Sta. Meteorologi pnk'!Z147</f>
        <v>10.9</v>
      </c>
      <c r="AN254" s="131">
        <f>'Sta. Meteorologi pnk'!AA147</f>
        <v>0.1</v>
      </c>
      <c r="AO254" s="131">
        <f>'Sta. Meteorologi pnk'!AB147</f>
        <v>1.4</v>
      </c>
      <c r="AQ254" s="130">
        <v>5</v>
      </c>
      <c r="AR254" s="131">
        <f>'Sta. Meteorologi Supadio'!Q12</f>
        <v>0.6</v>
      </c>
      <c r="AS254" s="131">
        <f>'Sta. Meteorologi Supadio'!R12</f>
        <v>44</v>
      </c>
      <c r="AT254" s="131">
        <f>'Sta. Meteorologi Supadio'!S12</f>
        <v>2.5</v>
      </c>
      <c r="AU254" s="131">
        <f>'Sta. Meteorologi Supadio'!T12</f>
        <v>16.8</v>
      </c>
      <c r="AV254" s="131">
        <f>'Sta. Meteorologi Supadio'!U12</f>
        <v>3.1</v>
      </c>
      <c r="AW254" s="131">
        <f>'Sta. Meteorologi Supadio'!V12</f>
        <v>0.4</v>
      </c>
      <c r="AX254" s="131">
        <f>'Sta. Meteorologi Supadio'!W12</f>
        <v>0</v>
      </c>
      <c r="AY254" s="131">
        <f>'Sta. Meteorologi Supadio'!X12</f>
        <v>22.6</v>
      </c>
      <c r="AZ254" s="131">
        <f>'Sta. Meteorologi Supadio'!Y12</f>
        <v>0</v>
      </c>
      <c r="BA254" s="131">
        <f>'Sta. Meteorologi Supadio'!Z12</f>
        <v>44.5</v>
      </c>
      <c r="BB254" s="131">
        <f>'Sta. Meteorologi Supadio'!AA12</f>
        <v>3.3</v>
      </c>
      <c r="BC254" s="131">
        <f>'Sta. Meteorologi Supadio'!AB12</f>
        <v>20.7</v>
      </c>
    </row>
    <row r="255" spans="1:70">
      <c r="A255" s="130">
        <v>6</v>
      </c>
      <c r="B255" s="131">
        <f>'Sta. Klimatologi Kalbar'!Q13</f>
        <v>3.8</v>
      </c>
      <c r="C255" s="131">
        <f>'Sta. Klimatologi Kalbar'!R13</f>
        <v>1.6</v>
      </c>
      <c r="D255" s="131">
        <f>'Sta. Klimatologi Kalbar'!S13</f>
        <v>17.5</v>
      </c>
      <c r="E255" s="131">
        <f>'Sta. Klimatologi Kalbar'!T13</f>
        <v>1.1000000000000001</v>
      </c>
      <c r="F255" s="131">
        <f>'Sta. Klimatologi Kalbar'!U13</f>
        <v>29.5</v>
      </c>
      <c r="G255" s="131">
        <f>'Sta. Klimatologi Kalbar'!V13</f>
        <v>56.2</v>
      </c>
      <c r="H255" s="131">
        <f>'Sta. Klimatologi Kalbar'!W13</f>
        <v>1</v>
      </c>
      <c r="I255" s="131">
        <f>'Sta. Klimatologi Kalbar'!X13</f>
        <v>0</v>
      </c>
      <c r="J255" s="131">
        <f>'Sta. Klimatologi Kalbar'!Y13</f>
        <v>0</v>
      </c>
      <c r="K255" s="131">
        <f>'Sta. Klimatologi Kalbar'!Z13</f>
        <v>34</v>
      </c>
      <c r="L255" s="131">
        <f>'Sta. Klimatologi Kalbar'!AA13</f>
        <v>38.9</v>
      </c>
      <c r="M255" s="131">
        <f>'Sta. Klimatologi Kalbar'!AB13</f>
        <v>0</v>
      </c>
      <c r="O255" s="130">
        <v>6</v>
      </c>
      <c r="P255" s="131">
        <f t="shared" si="185"/>
        <v>12.200479070525621</v>
      </c>
      <c r="Q255" s="131">
        <f t="shared" si="184"/>
        <v>18.4445930184791</v>
      </c>
      <c r="R255" s="131">
        <f t="shared" si="184"/>
        <v>13.731137932733771</v>
      </c>
      <c r="S255" s="131">
        <f t="shared" si="184"/>
        <v>34.750388505058496</v>
      </c>
      <c r="T255" s="131">
        <f t="shared" si="184"/>
        <v>7.1169914710150488</v>
      </c>
      <c r="U255" s="131">
        <f t="shared" si="184"/>
        <v>90.16847036834416</v>
      </c>
      <c r="V255" s="131">
        <f t="shared" si="184"/>
        <v>8.9035981996590614</v>
      </c>
      <c r="W255" s="131">
        <f t="shared" si="184"/>
        <v>2.8340646271962873E-2</v>
      </c>
      <c r="X255" s="131">
        <f t="shared" si="184"/>
        <v>0.15587355449579579</v>
      </c>
      <c r="Y255" s="131">
        <f t="shared" si="184"/>
        <v>23.235666495253795</v>
      </c>
      <c r="Z255" s="131">
        <f t="shared" si="184"/>
        <v>36.719644552352683</v>
      </c>
      <c r="AA255" s="131">
        <f t="shared" si="184"/>
        <v>0.14878839292780507</v>
      </c>
      <c r="AC255" s="130">
        <v>6</v>
      </c>
      <c r="AD255" s="131">
        <f>'Sta. Meteorologi pnk'!Q148</f>
        <v>15.2</v>
      </c>
      <c r="AE255" s="131">
        <f>'Sta. Meteorologi pnk'!R148</f>
        <v>25.5</v>
      </c>
      <c r="AF255" s="131">
        <f>'Sta. Meteorologi pnk'!S148</f>
        <v>11</v>
      </c>
      <c r="AG255" s="131">
        <f>'Sta. Meteorologi pnk'!T148</f>
        <v>45.6</v>
      </c>
      <c r="AH255" s="131">
        <f>'Sta. Meteorologi pnk'!U148</f>
        <v>0.8</v>
      </c>
      <c r="AI255" s="131">
        <f>'Sta. Meteorologi pnk'!V148</f>
        <v>106.9</v>
      </c>
      <c r="AJ255" s="131">
        <f>'Sta. Meteorologi pnk'!W148</f>
        <v>11.5</v>
      </c>
      <c r="AK255" s="131">
        <f>'Sta. Meteorologi pnk'!X148</f>
        <v>0</v>
      </c>
      <c r="AL255" s="131">
        <f>'Sta. Meteorologi pnk'!Y148</f>
        <v>0</v>
      </c>
      <c r="AM255" s="131">
        <f>'Sta. Meteorologi pnk'!Z148</f>
        <v>18.2</v>
      </c>
      <c r="AN255" s="131">
        <f>'Sta. Meteorologi pnk'!AA148</f>
        <v>33.799999999999997</v>
      </c>
      <c r="AO255" s="131">
        <f>'Sta. Meteorologi pnk'!AB148</f>
        <v>0</v>
      </c>
      <c r="AQ255" s="130">
        <v>6</v>
      </c>
      <c r="AR255" s="131">
        <f>'Sta. Meteorologi Supadio'!Q13</f>
        <v>8.1999999999999993</v>
      </c>
      <c r="AS255" s="131">
        <f>'Sta. Meteorologi Supadio'!R13</f>
        <v>0</v>
      </c>
      <c r="AT255" s="131">
        <f>'Sta. Meteorologi Supadio'!S13</f>
        <v>29.4</v>
      </c>
      <c r="AU255" s="131">
        <f>'Sta. Meteorologi Supadio'!T13</f>
        <v>30.4</v>
      </c>
      <c r="AV255" s="131">
        <f>'Sta. Meteorologi Supadio'!U13</f>
        <v>1</v>
      </c>
      <c r="AW255" s="131">
        <f>'Sta. Meteorologi Supadio'!V13</f>
        <v>27.9</v>
      </c>
      <c r="AX255" s="131">
        <f>'Sta. Meteorologi Supadio'!W13</f>
        <v>7.4</v>
      </c>
      <c r="AY255" s="131">
        <f>'Sta. Meteorologi Supadio'!X13</f>
        <v>0.4</v>
      </c>
      <c r="AZ255" s="131">
        <f>'Sta. Meteorologi Supadio'!Y13</f>
        <v>2.2000000000000002</v>
      </c>
      <c r="BA255" s="131">
        <f>'Sta. Meteorologi Supadio'!Z13</f>
        <v>40.299999999999997</v>
      </c>
      <c r="BB255" s="131">
        <f>'Sta. Meteorologi Supadio'!AA13</f>
        <v>59.2</v>
      </c>
      <c r="BC255" s="131">
        <f>'Sta. Meteorologi Supadio'!AB13</f>
        <v>2.1</v>
      </c>
    </row>
    <row r="256" spans="1:70">
      <c r="A256" s="130">
        <v>7</v>
      </c>
      <c r="B256" s="131">
        <f>'Sta. Klimatologi Kalbar'!Q14</f>
        <v>5.4</v>
      </c>
      <c r="C256" s="131">
        <f>'Sta. Klimatologi Kalbar'!R14</f>
        <v>30</v>
      </c>
      <c r="D256" s="131">
        <f>'Sta. Klimatologi Kalbar'!S14</f>
        <v>10.8</v>
      </c>
      <c r="E256" s="131">
        <f>'Sta. Klimatologi Kalbar'!T14</f>
        <v>12.6</v>
      </c>
      <c r="F256" s="131">
        <f>'Sta. Klimatologi Kalbar'!U14</f>
        <v>0.5</v>
      </c>
      <c r="G256" s="131">
        <f>'Sta. Klimatologi Kalbar'!V14</f>
        <v>0</v>
      </c>
      <c r="H256" s="131">
        <f>'Sta. Klimatologi Kalbar'!W14</f>
        <v>9.1999999999999993</v>
      </c>
      <c r="I256" s="131">
        <f>'Sta. Klimatologi Kalbar'!X14</f>
        <v>0.8</v>
      </c>
      <c r="J256" s="131">
        <f>'Sta. Klimatologi Kalbar'!Y14</f>
        <v>0</v>
      </c>
      <c r="K256" s="131">
        <f>'Sta. Klimatologi Kalbar'!Z14</f>
        <v>78.900000000000006</v>
      </c>
      <c r="L256" s="131">
        <f>'Sta. Klimatologi Kalbar'!AA14</f>
        <v>2.4</v>
      </c>
      <c r="M256" s="131">
        <f>'Sta. Klimatologi Kalbar'!AB14</f>
        <v>2</v>
      </c>
      <c r="O256" s="130">
        <v>7</v>
      </c>
      <c r="P256" s="131">
        <f t="shared" si="185"/>
        <v>19.766354264607102</v>
      </c>
      <c r="Q256" s="131">
        <f t="shared" si="184"/>
        <v>15.100215148666464</v>
      </c>
      <c r="R256" s="131">
        <f t="shared" si="184"/>
        <v>5.0325093298222541</v>
      </c>
      <c r="S256" s="131">
        <f t="shared" si="184"/>
        <v>4.8944798038756074</v>
      </c>
      <c r="T256" s="131">
        <f t="shared" si="184"/>
        <v>12.383175991750596</v>
      </c>
      <c r="U256" s="131">
        <f t="shared" si="184"/>
        <v>0</v>
      </c>
      <c r="V256" s="131">
        <f t="shared" si="184"/>
        <v>2.020416535208621</v>
      </c>
      <c r="W256" s="131">
        <f t="shared" si="184"/>
        <v>1.9495331227725521</v>
      </c>
      <c r="X256" s="131">
        <f t="shared" si="184"/>
        <v>1.773844728406585</v>
      </c>
      <c r="Y256" s="131">
        <f t="shared" si="184"/>
        <v>76.398564465753253</v>
      </c>
      <c r="Z256" s="131">
        <f t="shared" si="184"/>
        <v>15.900023257641468</v>
      </c>
      <c r="AA256" s="131">
        <f t="shared" si="184"/>
        <v>2.1538300853686714</v>
      </c>
      <c r="AC256" s="130">
        <v>7</v>
      </c>
      <c r="AD256" s="131">
        <f>'Sta. Meteorologi pnk'!Q149</f>
        <v>23.9</v>
      </c>
      <c r="AE256" s="131">
        <f>'Sta. Meteorologi pnk'!R149</f>
        <v>9.5</v>
      </c>
      <c r="AF256" s="131">
        <f>'Sta. Meteorologi pnk'!S149</f>
        <v>3.7</v>
      </c>
      <c r="AG256" s="131">
        <f>'Sta. Meteorologi pnk'!T149</f>
        <v>1.8</v>
      </c>
      <c r="AH256" s="131">
        <f>'Sta. Meteorologi pnk'!U149</f>
        <v>15.7</v>
      </c>
      <c r="AI256" s="131">
        <f>'Sta. Meteorologi pnk'!V149</f>
        <v>0</v>
      </c>
      <c r="AJ256" s="131">
        <f>'Sta. Meteorologi pnk'!W149</f>
        <v>0</v>
      </c>
      <c r="AK256" s="131">
        <f>'Sta. Meteorologi pnk'!X149</f>
        <v>2.5</v>
      </c>
      <c r="AL256" s="131">
        <f>'Sta. Meteorologi pnk'!Y149</f>
        <v>2.5</v>
      </c>
      <c r="AM256" s="131">
        <f>'Sta. Meteorologi pnk'!Z149</f>
        <v>71.599999999999994</v>
      </c>
      <c r="AN256" s="131">
        <f>'Sta. Meteorologi pnk'!AA149</f>
        <v>19</v>
      </c>
      <c r="AO256" s="131">
        <f>'Sta. Meteorologi pnk'!AB149</f>
        <v>0</v>
      </c>
      <c r="AQ256" s="130">
        <v>7</v>
      </c>
      <c r="AR256" s="131">
        <f>'Sta. Meteorologi Supadio'!Q14</f>
        <v>22.9</v>
      </c>
      <c r="AS256" s="131">
        <f>'Sta. Meteorologi Supadio'!R14</f>
        <v>25</v>
      </c>
      <c r="AT256" s="131">
        <f>'Sta. Meteorologi Supadio'!S14</f>
        <v>0.5</v>
      </c>
      <c r="AU256" s="131">
        <f>'Sta. Meteorologi Supadio'!T14</f>
        <v>12</v>
      </c>
      <c r="AV256" s="131">
        <f>'Sta. Meteorologi Supadio'!U14</f>
        <v>16</v>
      </c>
      <c r="AW256" s="131">
        <f>'Sta. Meteorologi Supadio'!V14</f>
        <v>0</v>
      </c>
      <c r="AX256" s="131">
        <f>'Sta. Meteorologi Supadio'!W14</f>
        <v>0</v>
      </c>
      <c r="AY256" s="131">
        <f>'Sta. Meteorologi Supadio'!X14</f>
        <v>0</v>
      </c>
      <c r="AZ256" s="131">
        <f>'Sta. Meteorologi Supadio'!Y14</f>
        <v>0</v>
      </c>
      <c r="BA256" s="131">
        <f>'Sta. Meteorologi Supadio'!Z14</f>
        <v>116.7</v>
      </c>
      <c r="BB256" s="131">
        <f>'Sta. Meteorologi Supadio'!AA14</f>
        <v>26.7</v>
      </c>
      <c r="BC256" s="131">
        <f>'Sta. Meteorologi Supadio'!AB14</f>
        <v>24.2</v>
      </c>
    </row>
    <row r="257" spans="1:55">
      <c r="A257" s="130">
        <v>8</v>
      </c>
      <c r="B257" s="131">
        <f>'Sta. Klimatologi Kalbar'!Q15</f>
        <v>0</v>
      </c>
      <c r="C257" s="131">
        <f>'Sta. Klimatologi Kalbar'!R15</f>
        <v>46.3</v>
      </c>
      <c r="D257" s="131">
        <f>'Sta. Klimatologi Kalbar'!S15</f>
        <v>0</v>
      </c>
      <c r="E257" s="131">
        <f>'Sta. Klimatologi Kalbar'!T15</f>
        <v>106</v>
      </c>
      <c r="F257" s="131">
        <f>'Sta. Klimatologi Kalbar'!U15</f>
        <v>38.700000000000003</v>
      </c>
      <c r="G257" s="131">
        <f>'Sta. Klimatologi Kalbar'!V15</f>
        <v>1.5</v>
      </c>
      <c r="H257" s="131">
        <f>'Sta. Klimatologi Kalbar'!W15</f>
        <v>0</v>
      </c>
      <c r="I257" s="131">
        <f>'Sta. Klimatologi Kalbar'!X15</f>
        <v>0</v>
      </c>
      <c r="J257" s="131">
        <f>'Sta. Klimatologi Kalbar'!Y15</f>
        <v>39.799999999999997</v>
      </c>
      <c r="K257" s="131">
        <f>'Sta. Klimatologi Kalbar'!Z15</f>
        <v>17.399999999999999</v>
      </c>
      <c r="L257" s="131">
        <f>'Sta. Klimatologi Kalbar'!AA15</f>
        <v>1</v>
      </c>
      <c r="M257" s="131">
        <f>'Sta. Klimatologi Kalbar'!AB15</f>
        <v>0</v>
      </c>
      <c r="O257" s="130">
        <v>8</v>
      </c>
      <c r="P257" s="131">
        <f t="shared" si="185"/>
        <v>0.47470582505537812</v>
      </c>
      <c r="Q257" s="131">
        <f t="shared" si="184"/>
        <v>14.822473087195409</v>
      </c>
      <c r="R257" s="131">
        <f t="shared" si="184"/>
        <v>1.1690516587184685</v>
      </c>
      <c r="S257" s="131">
        <f t="shared" si="184"/>
        <v>111.99264804542868</v>
      </c>
      <c r="T257" s="131">
        <f t="shared" si="184"/>
        <v>69.982718459873311</v>
      </c>
      <c r="U257" s="131">
        <f t="shared" si="184"/>
        <v>0.47132331770871499</v>
      </c>
      <c r="V257" s="131">
        <f t="shared" si="184"/>
        <v>0</v>
      </c>
      <c r="W257" s="131">
        <f t="shared" si="184"/>
        <v>0</v>
      </c>
      <c r="X257" s="131">
        <f t="shared" si="184"/>
        <v>19.777576354632231</v>
      </c>
      <c r="Y257" s="131">
        <f t="shared" si="184"/>
        <v>22.550979440306193</v>
      </c>
      <c r="Z257" s="131">
        <f t="shared" si="184"/>
        <v>12.790966717910363</v>
      </c>
      <c r="AA257" s="131">
        <f t="shared" si="184"/>
        <v>15.075789982513381</v>
      </c>
      <c r="AC257" s="130">
        <v>8</v>
      </c>
      <c r="AD257" s="131">
        <f>'Sta. Meteorologi pnk'!Q150</f>
        <v>0</v>
      </c>
      <c r="AE257" s="131">
        <f>'Sta. Meteorologi pnk'!R150</f>
        <v>6.5</v>
      </c>
      <c r="AF257" s="131">
        <f>'Sta. Meteorologi pnk'!S150</f>
        <v>0</v>
      </c>
      <c r="AG257" s="131">
        <f>'Sta. Meteorologi pnk'!T150</f>
        <v>118.5</v>
      </c>
      <c r="AH257" s="131">
        <f>'Sta. Meteorologi pnk'!U150</f>
        <v>82</v>
      </c>
      <c r="AI257" s="131">
        <f>'Sta. Meteorologi pnk'!V150</f>
        <v>0.2</v>
      </c>
      <c r="AJ257" s="131">
        <f>'Sta. Meteorologi pnk'!W150</f>
        <v>0</v>
      </c>
      <c r="AK257" s="131">
        <f>'Sta. Meteorologi pnk'!X150</f>
        <v>0</v>
      </c>
      <c r="AL257" s="131">
        <f>'Sta. Meteorologi pnk'!Y150</f>
        <v>12.3</v>
      </c>
      <c r="AM257" s="131">
        <f>'Sta. Meteorologi pnk'!Z150</f>
        <v>24.4</v>
      </c>
      <c r="AN257" s="131">
        <f>'Sta. Meteorologi pnk'!AA150</f>
        <v>16.100000000000001</v>
      </c>
      <c r="AO257" s="131">
        <f>'Sta. Meteorologi pnk'!AB150</f>
        <v>19.399999999999999</v>
      </c>
      <c r="AQ257" s="130">
        <v>8</v>
      </c>
      <c r="AR257" s="131">
        <f>'Sta. Meteorologi Supadio'!Q15</f>
        <v>6.7</v>
      </c>
      <c r="AS257" s="131">
        <f>'Sta. Meteorologi Supadio'!R15</f>
        <v>0.6</v>
      </c>
      <c r="AT257" s="131">
        <f>'Sta. Meteorologi Supadio'!S15</f>
        <v>16.5</v>
      </c>
      <c r="AU257" s="131">
        <f>'Sta. Meteorologi Supadio'!T15</f>
        <v>65.400000000000006</v>
      </c>
      <c r="AV257" s="131">
        <f>'Sta. Meteorologi Supadio'!U15</f>
        <v>46.6</v>
      </c>
      <c r="AW257" s="131">
        <f>'Sta. Meteorologi Supadio'!V15</f>
        <v>0</v>
      </c>
      <c r="AX257" s="131">
        <f>'Sta. Meteorologi Supadio'!W15</f>
        <v>0</v>
      </c>
      <c r="AY257" s="131">
        <f>'Sta. Meteorologi Supadio'!X15</f>
        <v>0</v>
      </c>
      <c r="AZ257" s="131">
        <f>'Sta. Meteorologi Supadio'!Y15</f>
        <v>32.6</v>
      </c>
      <c r="BA257" s="131">
        <f>'Sta. Meteorologi Supadio'!Z15</f>
        <v>20</v>
      </c>
      <c r="BB257" s="131">
        <f>'Sta. Meteorologi Supadio'!AA15</f>
        <v>16.2</v>
      </c>
      <c r="BC257" s="131">
        <f>'Sta. Meteorologi Supadio'!AB15</f>
        <v>18.5</v>
      </c>
    </row>
    <row r="258" spans="1:55">
      <c r="A258" s="130">
        <v>9</v>
      </c>
      <c r="B258" s="131">
        <f>'Sta. Klimatologi Kalbar'!Q16</f>
        <v>0</v>
      </c>
      <c r="C258" s="131">
        <f>'Sta. Klimatologi Kalbar'!R16</f>
        <v>9.9</v>
      </c>
      <c r="D258" s="131">
        <f>'Sta. Klimatologi Kalbar'!S16</f>
        <v>1.1000000000000001</v>
      </c>
      <c r="E258" s="131">
        <f>'Sta. Klimatologi Kalbar'!T16</f>
        <v>9.4</v>
      </c>
      <c r="F258" s="131">
        <f>'Sta. Klimatologi Kalbar'!U16</f>
        <v>3</v>
      </c>
      <c r="G258" s="131">
        <f>'Sta. Klimatologi Kalbar'!V16</f>
        <v>10.6</v>
      </c>
      <c r="H258" s="131">
        <f>'Sta. Klimatologi Kalbar'!W16</f>
        <v>27.7</v>
      </c>
      <c r="I258" s="131">
        <f>'Sta. Klimatologi Kalbar'!X16</f>
        <v>0</v>
      </c>
      <c r="J258" s="131">
        <f>'Sta. Klimatologi Kalbar'!Y16</f>
        <v>1.1000000000000001</v>
      </c>
      <c r="K258" s="131">
        <f>'Sta. Klimatologi Kalbar'!Z16</f>
        <v>6</v>
      </c>
      <c r="L258" s="131">
        <f>'Sta. Klimatologi Kalbar'!AA16</f>
        <v>52.8</v>
      </c>
      <c r="M258" s="131">
        <f>'Sta. Klimatologi Kalbar'!AB16</f>
        <v>32.299999999999997</v>
      </c>
      <c r="O258" s="130">
        <v>9</v>
      </c>
      <c r="P258" s="131">
        <f t="shared" si="185"/>
        <v>0</v>
      </c>
      <c r="Q258" s="131">
        <f t="shared" si="184"/>
        <v>25.191103512874722</v>
      </c>
      <c r="R258" s="131">
        <f t="shared" si="184"/>
        <v>3.1858983577672451</v>
      </c>
      <c r="S258" s="131">
        <f t="shared" si="184"/>
        <v>15.848585741812059</v>
      </c>
      <c r="T258" s="131">
        <f t="shared" si="184"/>
        <v>2.993017011888365</v>
      </c>
      <c r="U258" s="131">
        <f t="shared" si="184"/>
        <v>7.1157704769296775</v>
      </c>
      <c r="V258" s="131">
        <f t="shared" si="184"/>
        <v>10.794399210730599</v>
      </c>
      <c r="W258" s="131">
        <f t="shared" si="184"/>
        <v>0</v>
      </c>
      <c r="X258" s="131">
        <f t="shared" si="184"/>
        <v>1.7101412824980513</v>
      </c>
      <c r="Y258" s="131">
        <f t="shared" si="184"/>
        <v>5.6307542108136328</v>
      </c>
      <c r="Z258" s="131">
        <f t="shared" si="184"/>
        <v>29.347745114986591</v>
      </c>
      <c r="AA258" s="131">
        <f t="shared" si="184"/>
        <v>40.071738813188851</v>
      </c>
      <c r="AC258" s="130">
        <v>9</v>
      </c>
      <c r="AD258" s="131">
        <f>'Sta. Meteorologi pnk'!Q151</f>
        <v>0</v>
      </c>
      <c r="AE258" s="131">
        <f>'Sta. Meteorologi pnk'!R151</f>
        <v>32</v>
      </c>
      <c r="AF258" s="131">
        <f>'Sta. Meteorologi pnk'!S151</f>
        <v>3.9</v>
      </c>
      <c r="AG258" s="131">
        <f>'Sta. Meteorologi pnk'!T151</f>
        <v>17.399999999999999</v>
      </c>
      <c r="AH258" s="131">
        <f>'Sta. Meteorologi pnk'!U151</f>
        <v>3.1</v>
      </c>
      <c r="AI258" s="131">
        <f>'Sta. Meteorologi pnk'!V151</f>
        <v>5.3</v>
      </c>
      <c r="AJ258" s="131">
        <f>'Sta. Meteorologi pnk'!W151</f>
        <v>6.5</v>
      </c>
      <c r="AK258" s="131">
        <f>'Sta. Meteorologi pnk'!X151</f>
        <v>0</v>
      </c>
      <c r="AL258" s="131">
        <f>'Sta. Meteorologi pnk'!Y151</f>
        <v>1.9</v>
      </c>
      <c r="AM258" s="131">
        <f>'Sta. Meteorologi pnk'!Z151</f>
        <v>5.2</v>
      </c>
      <c r="AN258" s="131">
        <f>'Sta. Meteorologi pnk'!AA151</f>
        <v>24.7</v>
      </c>
      <c r="AO258" s="131">
        <f>'Sta. Meteorologi pnk'!AB151</f>
        <v>45.5</v>
      </c>
      <c r="AQ258" s="130">
        <v>9</v>
      </c>
      <c r="AR258" s="131">
        <f>'Sta. Meteorologi Supadio'!Q16</f>
        <v>0</v>
      </c>
      <c r="AS258" s="131">
        <f>'Sta. Meteorologi Supadio'!R16</f>
        <v>4.4000000000000004</v>
      </c>
      <c r="AT258" s="131">
        <f>'Sta. Meteorologi Supadio'!S16</f>
        <v>2.5</v>
      </c>
      <c r="AU258" s="131">
        <f>'Sta. Meteorologi Supadio'!T16</f>
        <v>20.3</v>
      </c>
      <c r="AV258" s="131">
        <f>'Sta. Meteorologi Supadio'!U16</f>
        <v>1.9</v>
      </c>
      <c r="AW258" s="131">
        <f>'Sta. Meteorologi Supadio'!V16</f>
        <v>14.5</v>
      </c>
      <c r="AX258" s="131">
        <f>'Sta. Meteorologi Supadio'!W16</f>
        <v>1.4</v>
      </c>
      <c r="AY258" s="131">
        <f>'Sta. Meteorologi Supadio'!X16</f>
        <v>0</v>
      </c>
      <c r="AZ258" s="131">
        <f>'Sta. Meteorologi Supadio'!Y16</f>
        <v>1.7</v>
      </c>
      <c r="BA258" s="131">
        <f>'Sta. Meteorologi Supadio'!Z16</f>
        <v>8.8000000000000007</v>
      </c>
      <c r="BB258" s="131">
        <f>'Sta. Meteorologi Supadio'!AA16</f>
        <v>3.2</v>
      </c>
      <c r="BC258" s="131">
        <f>'Sta. Meteorologi Supadio'!AB16</f>
        <v>9.8000000000000007</v>
      </c>
    </row>
    <row r="259" spans="1:55">
      <c r="A259" s="130">
        <v>10</v>
      </c>
      <c r="B259" s="131">
        <f>'Sta. Klimatologi Kalbar'!Q17</f>
        <v>0</v>
      </c>
      <c r="C259" s="131">
        <f>'Sta. Klimatologi Kalbar'!R17</f>
        <v>3.8</v>
      </c>
      <c r="D259" s="131">
        <f>'Sta. Klimatologi Kalbar'!S17</f>
        <v>0.4</v>
      </c>
      <c r="E259" s="131">
        <f>'Sta. Klimatologi Kalbar'!T17</f>
        <v>17.8</v>
      </c>
      <c r="F259" s="131">
        <f>'Sta. Klimatologi Kalbar'!U17</f>
        <v>0</v>
      </c>
      <c r="G259" s="131">
        <f>'Sta. Klimatologi Kalbar'!V17</f>
        <v>4.9000000000000004</v>
      </c>
      <c r="H259" s="131">
        <f>'Sta. Klimatologi Kalbar'!W17</f>
        <v>0</v>
      </c>
      <c r="I259" s="131">
        <f>'Sta. Klimatologi Kalbar'!X17</f>
        <v>0</v>
      </c>
      <c r="J259" s="131">
        <f>'Sta. Klimatologi Kalbar'!Y17</f>
        <v>0.2</v>
      </c>
      <c r="K259" s="131">
        <f>'Sta. Klimatologi Kalbar'!Z17</f>
        <v>27.3</v>
      </c>
      <c r="L259" s="131">
        <f>'Sta. Klimatologi Kalbar'!AA17</f>
        <v>0.4</v>
      </c>
      <c r="M259" s="131">
        <f>'Sta. Klimatologi Kalbar'!AB17</f>
        <v>8</v>
      </c>
      <c r="O259" s="130">
        <v>10</v>
      </c>
      <c r="P259" s="131">
        <f t="shared" si="185"/>
        <v>0.70953789136263401</v>
      </c>
      <c r="Q259" s="131">
        <f t="shared" si="184"/>
        <v>2.8494644418693253</v>
      </c>
      <c r="R259" s="131">
        <f t="shared" si="184"/>
        <v>0.30070556459177367</v>
      </c>
      <c r="S259" s="131">
        <f t="shared" si="184"/>
        <v>5.9941477447591618</v>
      </c>
      <c r="T259" s="131">
        <f t="shared" si="184"/>
        <v>0</v>
      </c>
      <c r="U259" s="131">
        <f t="shared" si="184"/>
        <v>14.044114514795577</v>
      </c>
      <c r="V259" s="131">
        <f t="shared" si="184"/>
        <v>0</v>
      </c>
      <c r="W259" s="131">
        <f t="shared" si="184"/>
        <v>0</v>
      </c>
      <c r="X259" s="131">
        <f t="shared" si="184"/>
        <v>0.34190757827252682</v>
      </c>
      <c r="Y259" s="131">
        <f t="shared" si="184"/>
        <v>13.313281429830061</v>
      </c>
      <c r="Z259" s="131">
        <f t="shared" si="184"/>
        <v>0.94606830801706621</v>
      </c>
      <c r="AA259" s="131">
        <f t="shared" si="184"/>
        <v>11.838998468751639</v>
      </c>
      <c r="AC259" s="130">
        <v>10</v>
      </c>
      <c r="AD259" s="131">
        <f>'Sta. Meteorologi pnk'!Q152</f>
        <v>1</v>
      </c>
      <c r="AE259" s="131">
        <f>'Sta. Meteorologi pnk'!R152</f>
        <v>2.7</v>
      </c>
      <c r="AF259" s="131">
        <f>'Sta. Meteorologi pnk'!S152</f>
        <v>0.3</v>
      </c>
      <c r="AG259" s="131">
        <f>'Sta. Meteorologi pnk'!T152</f>
        <v>2</v>
      </c>
      <c r="AH259" s="131">
        <f>'Sta. Meteorologi pnk'!U152</f>
        <v>0</v>
      </c>
      <c r="AI259" s="131">
        <f>'Sta. Meteorologi pnk'!V152</f>
        <v>16</v>
      </c>
      <c r="AJ259" s="131">
        <f>'Sta. Meteorologi pnk'!W152</f>
        <v>0</v>
      </c>
      <c r="AK259" s="131">
        <f>'Sta. Meteorologi pnk'!X152</f>
        <v>0</v>
      </c>
      <c r="AL259" s="131">
        <f>'Sta. Meteorologi pnk'!Y152</f>
        <v>0.4</v>
      </c>
      <c r="AM259" s="131">
        <f>'Sta. Meteorologi pnk'!Z152</f>
        <v>5.9</v>
      </c>
      <c r="AN259" s="131">
        <f>'Sta. Meteorologi pnk'!AA152</f>
        <v>0.9</v>
      </c>
      <c r="AO259" s="131">
        <f>'Sta. Meteorologi pnk'!AB152</f>
        <v>13.8</v>
      </c>
      <c r="AQ259" s="130">
        <v>10</v>
      </c>
      <c r="AR259" s="131">
        <f>'Sta. Meteorologi Supadio'!Q17</f>
        <v>0</v>
      </c>
      <c r="AS259" s="131">
        <f>'Sta. Meteorologi Supadio'!R17</f>
        <v>1.4</v>
      </c>
      <c r="AT259" s="131">
        <f>'Sta. Meteorologi Supadio'!S17</f>
        <v>0</v>
      </c>
      <c r="AU259" s="131">
        <f>'Sta. Meteorologi Supadio'!T17</f>
        <v>9.4</v>
      </c>
      <c r="AV259" s="131">
        <f>'Sta. Meteorologi Supadio'!U17</f>
        <v>0</v>
      </c>
      <c r="AW259" s="131">
        <f>'Sta. Meteorologi Supadio'!V17</f>
        <v>22.8</v>
      </c>
      <c r="AX259" s="131">
        <f>'Sta. Meteorologi Supadio'!W17</f>
        <v>0</v>
      </c>
      <c r="AY259" s="131">
        <f>'Sta. Meteorologi Supadio'!X17</f>
        <v>0</v>
      </c>
      <c r="AZ259" s="131">
        <f>'Sta. Meteorologi Supadio'!Y17</f>
        <v>0.2</v>
      </c>
      <c r="BA259" s="131">
        <f>'Sta. Meteorologi Supadio'!Z17</f>
        <v>44.2</v>
      </c>
      <c r="BB259" s="131">
        <f>'Sta. Meteorologi Supadio'!AA17</f>
        <v>3.1</v>
      </c>
      <c r="BC259" s="131">
        <f>'Sta. Meteorologi Supadio'!AB17</f>
        <v>4.0999999999999996</v>
      </c>
    </row>
    <row r="260" spans="1:55">
      <c r="A260" s="130">
        <v>11</v>
      </c>
      <c r="B260" s="131">
        <f>'Sta. Klimatologi Kalbar'!Q18</f>
        <v>0</v>
      </c>
      <c r="C260" s="131">
        <f>'Sta. Klimatologi Kalbar'!R18</f>
        <v>3.5</v>
      </c>
      <c r="D260" s="131">
        <f>'Sta. Klimatologi Kalbar'!S18</f>
        <v>0</v>
      </c>
      <c r="E260" s="131">
        <f>'Sta. Klimatologi Kalbar'!T18</f>
        <v>0</v>
      </c>
      <c r="F260" s="131">
        <f>'Sta. Klimatologi Kalbar'!U18</f>
        <v>0</v>
      </c>
      <c r="G260" s="131">
        <f>'Sta. Klimatologi Kalbar'!V18</f>
        <v>1</v>
      </c>
      <c r="H260" s="131">
        <f>'Sta. Klimatologi Kalbar'!W18</f>
        <v>0</v>
      </c>
      <c r="I260" s="131">
        <f>'Sta. Klimatologi Kalbar'!X18</f>
        <v>0.5</v>
      </c>
      <c r="J260" s="131">
        <f>'Sta. Klimatologi Kalbar'!Y18</f>
        <v>0</v>
      </c>
      <c r="K260" s="131">
        <f>'Sta. Klimatologi Kalbar'!Z18</f>
        <v>15.9</v>
      </c>
      <c r="L260" s="131">
        <f>'Sta. Klimatologi Kalbar'!AA18</f>
        <v>1.5</v>
      </c>
      <c r="M260" s="131">
        <f>'Sta. Klimatologi Kalbar'!AB18</f>
        <v>4</v>
      </c>
      <c r="O260" s="130">
        <v>11</v>
      </c>
      <c r="P260" s="131">
        <f t="shared" si="185"/>
        <v>0.82290047645048547</v>
      </c>
      <c r="Q260" s="131">
        <f t="shared" si="184"/>
        <v>2.5632260711798818</v>
      </c>
      <c r="R260" s="131">
        <f t="shared" si="184"/>
        <v>0</v>
      </c>
      <c r="S260" s="131">
        <f t="shared" si="184"/>
        <v>0</v>
      </c>
      <c r="T260" s="131">
        <f t="shared" si="184"/>
        <v>0</v>
      </c>
      <c r="U260" s="131">
        <f t="shared" si="184"/>
        <v>19.093216229747167</v>
      </c>
      <c r="V260" s="131">
        <f t="shared" si="184"/>
        <v>0</v>
      </c>
      <c r="W260" s="131">
        <f t="shared" si="184"/>
        <v>1.0108468470898251</v>
      </c>
      <c r="X260" s="131">
        <f t="shared" si="184"/>
        <v>7.3008485990980709</v>
      </c>
      <c r="Y260" s="131">
        <f t="shared" si="184"/>
        <v>37.072569808878455</v>
      </c>
      <c r="Z260" s="131">
        <f t="shared" si="184"/>
        <v>4.4370373070333375</v>
      </c>
      <c r="AA260" s="131">
        <f t="shared" si="184"/>
        <v>1.2332109175111523</v>
      </c>
      <c r="AC260" s="130">
        <v>11</v>
      </c>
      <c r="AD260" s="131">
        <f>'Sta. Meteorologi pnk'!Q153</f>
        <v>1</v>
      </c>
      <c r="AE260" s="131">
        <f>'Sta. Meteorologi pnk'!R153</f>
        <v>2</v>
      </c>
      <c r="AF260" s="131">
        <f>'Sta. Meteorologi pnk'!S153</f>
        <v>0</v>
      </c>
      <c r="AG260" s="131">
        <f>'Sta. Meteorologi pnk'!T153</f>
        <v>0</v>
      </c>
      <c r="AH260" s="131">
        <f>'Sta. Meteorologi pnk'!U153</f>
        <v>0</v>
      </c>
      <c r="AI260" s="131">
        <f>'Sta. Meteorologi pnk'!V153</f>
        <v>26.5</v>
      </c>
      <c r="AJ260" s="131">
        <f>'Sta. Meteorologi pnk'!W153</f>
        <v>0</v>
      </c>
      <c r="AK260" s="131">
        <f>'Sta. Meteorologi pnk'!X153</f>
        <v>1.2</v>
      </c>
      <c r="AL260" s="131">
        <f>'Sta. Meteorologi pnk'!Y153</f>
        <v>10</v>
      </c>
      <c r="AM260" s="131">
        <f>'Sta. Meteorologi pnk'!Z153</f>
        <v>45.7</v>
      </c>
      <c r="AN260" s="131">
        <f>'Sta. Meteorologi pnk'!AA153</f>
        <v>5.2</v>
      </c>
      <c r="AO260" s="131">
        <f>'Sta. Meteorologi pnk'!AB153</f>
        <v>0.5</v>
      </c>
      <c r="AQ260" s="130">
        <v>11</v>
      </c>
      <c r="AR260" s="131">
        <f>'Sta. Meteorologi Supadio'!Q18</f>
        <v>1.6</v>
      </c>
      <c r="AS260" s="131">
        <f>'Sta. Meteorologi Supadio'!R18</f>
        <v>5.3</v>
      </c>
      <c r="AT260" s="131">
        <f>'Sta. Meteorologi Supadio'!S18</f>
        <v>0</v>
      </c>
      <c r="AU260" s="131">
        <f>'Sta. Meteorologi Supadio'!T18</f>
        <v>0</v>
      </c>
      <c r="AV260" s="131">
        <f>'Sta. Meteorologi Supadio'!U18</f>
        <v>0</v>
      </c>
      <c r="AW260" s="131">
        <f>'Sta. Meteorologi Supadio'!V18</f>
        <v>1</v>
      </c>
      <c r="AX260" s="131">
        <f>'Sta. Meteorologi Supadio'!W18</f>
        <v>0</v>
      </c>
      <c r="AY260" s="131">
        <f>'Sta. Meteorologi Supadio'!X18</f>
        <v>0.7</v>
      </c>
      <c r="AZ260" s="131">
        <f>'Sta. Meteorologi Supadio'!Y18</f>
        <v>2.9</v>
      </c>
      <c r="BA260" s="131">
        <f>'Sta. Meteorologi Supadio'!Z18</f>
        <v>16.3</v>
      </c>
      <c r="BB260" s="131">
        <f>'Sta. Meteorologi Supadio'!AA18</f>
        <v>5.9</v>
      </c>
      <c r="BC260" s="131">
        <f>'Sta. Meteorologi Supadio'!AB18</f>
        <v>0</v>
      </c>
    </row>
    <row r="261" spans="1:55">
      <c r="A261" s="130">
        <v>12</v>
      </c>
      <c r="B261" s="131">
        <f>'Sta. Klimatologi Kalbar'!Q19</f>
        <v>21.7</v>
      </c>
      <c r="C261" s="131">
        <f>'Sta. Klimatologi Kalbar'!R19</f>
        <v>0.5</v>
      </c>
      <c r="D261" s="131">
        <f>'Sta. Klimatologi Kalbar'!S19</f>
        <v>0</v>
      </c>
      <c r="E261" s="131">
        <f>'Sta. Klimatologi Kalbar'!T19</f>
        <v>5.6</v>
      </c>
      <c r="F261" s="131">
        <f>'Sta. Klimatologi Kalbar'!U19</f>
        <v>0.1</v>
      </c>
      <c r="G261" s="131">
        <f>'Sta. Klimatologi Kalbar'!V19</f>
        <v>1.3</v>
      </c>
      <c r="H261" s="131">
        <f>'Sta. Klimatologi Kalbar'!W19</f>
        <v>0</v>
      </c>
      <c r="I261" s="131">
        <f>'Sta. Klimatologi Kalbar'!X19</f>
        <v>0</v>
      </c>
      <c r="J261" s="131">
        <f>'Sta. Klimatologi Kalbar'!Y19</f>
        <v>1</v>
      </c>
      <c r="K261" s="131">
        <f>'Sta. Klimatologi Kalbar'!Z19</f>
        <v>0</v>
      </c>
      <c r="L261" s="131">
        <f>'Sta. Klimatologi Kalbar'!AA19</f>
        <v>10.5</v>
      </c>
      <c r="M261" s="131">
        <f>'Sta. Klimatologi Kalbar'!AB19</f>
        <v>0</v>
      </c>
      <c r="O261" s="130">
        <v>12</v>
      </c>
      <c r="P261" s="131">
        <f t="shared" si="185"/>
        <v>8.0427749329301026</v>
      </c>
      <c r="Q261" s="131">
        <f t="shared" si="184"/>
        <v>1.4862678863396968</v>
      </c>
      <c r="R261" s="131">
        <f t="shared" si="184"/>
        <v>1.4605650175696501</v>
      </c>
      <c r="S261" s="131">
        <f t="shared" si="184"/>
        <v>1.3573516687856022</v>
      </c>
      <c r="T261" s="131">
        <f t="shared" si="184"/>
        <v>0.28431637422411488</v>
      </c>
      <c r="U261" s="131">
        <f t="shared" si="184"/>
        <v>4.4359326982188581</v>
      </c>
      <c r="V261" s="131">
        <f t="shared" si="184"/>
        <v>0.82290047645048547</v>
      </c>
      <c r="W261" s="131">
        <f t="shared" si="184"/>
        <v>4.1862735590395399</v>
      </c>
      <c r="X261" s="131">
        <f t="shared" si="184"/>
        <v>1.9225014322277802</v>
      </c>
      <c r="Y261" s="131">
        <f t="shared" si="184"/>
        <v>0</v>
      </c>
      <c r="Z261" s="131">
        <f t="shared" si="184"/>
        <v>5.2851519321255305</v>
      </c>
      <c r="AA261" s="131">
        <f t="shared" si="184"/>
        <v>1.3249252132142642</v>
      </c>
      <c r="AC261" s="130">
        <v>12</v>
      </c>
      <c r="AD261" s="131">
        <f>'Sta. Meteorologi pnk'!Q154</f>
        <v>3.8</v>
      </c>
      <c r="AE261" s="131">
        <f>'Sta. Meteorologi pnk'!R154</f>
        <v>1.9</v>
      </c>
      <c r="AF261" s="131">
        <f>'Sta. Meteorologi pnk'!S154</f>
        <v>1</v>
      </c>
      <c r="AG261" s="131">
        <f>'Sta. Meteorologi pnk'!T154</f>
        <v>0</v>
      </c>
      <c r="AH261" s="131">
        <f>'Sta. Meteorologi pnk'!U154</f>
        <v>0.2</v>
      </c>
      <c r="AI261" s="131">
        <f>'Sta. Meteorologi pnk'!V154</f>
        <v>5.5</v>
      </c>
      <c r="AJ261" s="131">
        <f>'Sta. Meteorologi pnk'!W154</f>
        <v>1</v>
      </c>
      <c r="AK261" s="131">
        <f>'Sta. Meteorologi pnk'!X154</f>
        <v>5.9</v>
      </c>
      <c r="AL261" s="131">
        <f>'Sta. Meteorologi pnk'!Y154</f>
        <v>2.4</v>
      </c>
      <c r="AM261" s="131">
        <f>'Sta. Meteorologi pnk'!Z154</f>
        <v>0</v>
      </c>
      <c r="AN261" s="131">
        <f>'Sta. Meteorologi pnk'!AA154</f>
        <v>3.4</v>
      </c>
      <c r="AO261" s="131">
        <f>'Sta. Meteorologi pnk'!AB154</f>
        <v>0</v>
      </c>
      <c r="AQ261" s="130">
        <v>12</v>
      </c>
      <c r="AR261" s="131">
        <f>'Sta. Meteorologi Supadio'!Q19</f>
        <v>8.1999999999999993</v>
      </c>
      <c r="AS261" s="131">
        <f>'Sta. Meteorologi Supadio'!R19</f>
        <v>0.4</v>
      </c>
      <c r="AT261" s="131">
        <f>'Sta. Meteorologi Supadio'!S19</f>
        <v>10.6</v>
      </c>
      <c r="AU261" s="131">
        <f>'Sta. Meteorologi Supadio'!T19</f>
        <v>1.8</v>
      </c>
      <c r="AV261" s="131">
        <f>'Sta. Meteorologi Supadio'!U19</f>
        <v>1.7</v>
      </c>
      <c r="AW261" s="131">
        <f>'Sta. Meteorologi Supadio'!V19</f>
        <v>3.5</v>
      </c>
      <c r="AX261" s="131">
        <f>'Sta. Meteorologi Supadio'!W19</f>
        <v>1.6</v>
      </c>
      <c r="AY261" s="131">
        <f>'Sta. Meteorologi Supadio'!X19</f>
        <v>0</v>
      </c>
      <c r="AZ261" s="131">
        <f>'Sta. Meteorologi Supadio'!Y19</f>
        <v>0</v>
      </c>
      <c r="BA261" s="131">
        <f>'Sta. Meteorologi Supadio'!Z19</f>
        <v>0</v>
      </c>
      <c r="BB261" s="131">
        <f>'Sta. Meteorologi Supadio'!AA19</f>
        <v>8</v>
      </c>
      <c r="BC261" s="131">
        <f>'Sta. Meteorologi Supadio'!AB19</f>
        <v>18.7</v>
      </c>
    </row>
    <row r="262" spans="1:55">
      <c r="A262" s="130">
        <v>13</v>
      </c>
      <c r="B262" s="131">
        <f>'Sta. Klimatologi Kalbar'!Q20</f>
        <v>3.3</v>
      </c>
      <c r="C262" s="131">
        <f>'Sta. Klimatologi Kalbar'!R20</f>
        <v>0.8</v>
      </c>
      <c r="D262" s="131">
        <f>'Sta. Klimatologi Kalbar'!S20</f>
        <v>0</v>
      </c>
      <c r="E262" s="131">
        <f>'Sta. Klimatologi Kalbar'!T20</f>
        <v>4.3</v>
      </c>
      <c r="F262" s="131">
        <f>'Sta. Klimatologi Kalbar'!U20</f>
        <v>0</v>
      </c>
      <c r="G262" s="131">
        <f>'Sta. Klimatologi Kalbar'!V20</f>
        <v>76.3</v>
      </c>
      <c r="H262" s="131">
        <f>'Sta. Klimatologi Kalbar'!W20</f>
        <v>0</v>
      </c>
      <c r="I262" s="131">
        <f>'Sta. Klimatologi Kalbar'!X20</f>
        <v>2.5</v>
      </c>
      <c r="J262" s="131">
        <f>'Sta. Klimatologi Kalbar'!Y20</f>
        <v>3</v>
      </c>
      <c r="K262" s="131">
        <f>'Sta. Klimatologi Kalbar'!Z20</f>
        <v>6</v>
      </c>
      <c r="L262" s="131">
        <f>'Sta. Klimatologi Kalbar'!AA20</f>
        <v>0</v>
      </c>
      <c r="M262" s="131">
        <f>'Sta. Klimatologi Kalbar'!AB20</f>
        <v>21.2</v>
      </c>
      <c r="O262" s="130">
        <v>13</v>
      </c>
      <c r="P262" s="131">
        <f t="shared" si="185"/>
        <v>1.0227001064406491</v>
      </c>
      <c r="Q262" s="131">
        <f t="shared" si="184"/>
        <v>1.3109490205461816</v>
      </c>
      <c r="R262" s="131">
        <f t="shared" si="184"/>
        <v>0</v>
      </c>
      <c r="S262" s="131">
        <f t="shared" si="184"/>
        <v>18.413025396917494</v>
      </c>
      <c r="T262" s="131">
        <f t="shared" si="184"/>
        <v>2.3898450909963525</v>
      </c>
      <c r="U262" s="131">
        <f t="shared" si="184"/>
        <v>25.107061378747431</v>
      </c>
      <c r="V262" s="131">
        <f t="shared" si="184"/>
        <v>2.834166800652643</v>
      </c>
      <c r="W262" s="131">
        <f t="shared" si="184"/>
        <v>1.12333301322632</v>
      </c>
      <c r="X262" s="131">
        <f t="shared" si="184"/>
        <v>9.5620505003562659</v>
      </c>
      <c r="Y262" s="131">
        <f t="shared" si="184"/>
        <v>5.4392505015651711</v>
      </c>
      <c r="Z262" s="131">
        <f t="shared" si="184"/>
        <v>7.0953789136263401</v>
      </c>
      <c r="AA262" s="131">
        <f t="shared" si="184"/>
        <v>10.047923904685076</v>
      </c>
      <c r="AC262" s="130">
        <v>13</v>
      </c>
      <c r="AD262" s="131">
        <f>'Sta. Meteorologi pnk'!Q155</f>
        <v>0.4</v>
      </c>
      <c r="AE262" s="131">
        <f>'Sta. Meteorologi pnk'!R155</f>
        <v>1.6</v>
      </c>
      <c r="AF262" s="131">
        <f>'Sta. Meteorologi pnk'!S155</f>
        <v>0</v>
      </c>
      <c r="AG262" s="131">
        <f>'Sta. Meteorologi pnk'!T155</f>
        <v>24.5</v>
      </c>
      <c r="AH262" s="131">
        <f>'Sta. Meteorologi pnk'!U155</f>
        <v>2.1</v>
      </c>
      <c r="AI262" s="131">
        <f>'Sta. Meteorologi pnk'!V155</f>
        <v>11.3</v>
      </c>
      <c r="AJ262" s="131">
        <f>'Sta. Meteorologi pnk'!W155</f>
        <v>0.1</v>
      </c>
      <c r="AK262" s="131">
        <f>'Sta. Meteorologi pnk'!X155</f>
        <v>0.4</v>
      </c>
      <c r="AL262" s="131">
        <f>'Sta. Meteorologi pnk'!Y155</f>
        <v>11.1</v>
      </c>
      <c r="AM262" s="131">
        <f>'Sta. Meteorologi pnk'!Z155</f>
        <v>5</v>
      </c>
      <c r="AN262" s="131">
        <f>'Sta. Meteorologi pnk'!AA155</f>
        <v>10</v>
      </c>
      <c r="AO262" s="131">
        <f>'Sta. Meteorologi pnk'!AB155</f>
        <v>7.3</v>
      </c>
      <c r="AQ262" s="130">
        <v>13</v>
      </c>
      <c r="AR262" s="131">
        <f>'Sta. Meteorologi Supadio'!Q20</f>
        <v>0.2</v>
      </c>
      <c r="AS262" s="131">
        <f>'Sta. Meteorologi Supadio'!R20</f>
        <v>0</v>
      </c>
      <c r="AT262" s="131">
        <f>'Sta. Meteorologi Supadio'!S20</f>
        <v>0</v>
      </c>
      <c r="AU262" s="131">
        <f>'Sta. Meteorologi Supadio'!T20</f>
        <v>1.2</v>
      </c>
      <c r="AV262" s="131">
        <f>'Sta. Meteorologi Supadio'!U20</f>
        <v>12.7</v>
      </c>
      <c r="AW262" s="131">
        <f>'Sta. Meteorologi Supadio'!V20</f>
        <v>4.7</v>
      </c>
      <c r="AX262" s="131">
        <f>'Sta. Meteorologi Supadio'!W20</f>
        <v>39</v>
      </c>
      <c r="AY262" s="131">
        <f>'Sta. Meteorologi Supadio'!X20</f>
        <v>4.0999999999999996</v>
      </c>
      <c r="AZ262" s="131">
        <f>'Sta. Meteorologi Supadio'!Y20</f>
        <v>14.5</v>
      </c>
      <c r="BA262" s="131">
        <f>'Sta. Meteorologi Supadio'!Z20</f>
        <v>8.1</v>
      </c>
      <c r="BB262" s="131">
        <f>'Sta. Meteorologi Supadio'!AA20</f>
        <v>0</v>
      </c>
      <c r="BC262" s="131">
        <f>'Sta. Meteorologi Supadio'!AB20</f>
        <v>3</v>
      </c>
    </row>
    <row r="263" spans="1:55">
      <c r="A263" s="130">
        <v>14</v>
      </c>
      <c r="B263" s="131">
        <f>'Sta. Klimatologi Kalbar'!Q21</f>
        <v>0</v>
      </c>
      <c r="C263" s="131">
        <f>'Sta. Klimatologi Kalbar'!R21</f>
        <v>6.8</v>
      </c>
      <c r="D263" s="131">
        <f>'Sta. Klimatologi Kalbar'!S21</f>
        <v>0</v>
      </c>
      <c r="E263" s="131">
        <f>'Sta. Klimatologi Kalbar'!T21</f>
        <v>9.8000000000000007</v>
      </c>
      <c r="F263" s="131">
        <f>'Sta. Klimatologi Kalbar'!U21</f>
        <v>30.6</v>
      </c>
      <c r="G263" s="131">
        <f>'Sta. Klimatologi Kalbar'!V21</f>
        <v>26.2</v>
      </c>
      <c r="H263" s="131">
        <f>'Sta. Klimatologi Kalbar'!W21</f>
        <v>46</v>
      </c>
      <c r="I263" s="131">
        <f>'Sta. Klimatologi Kalbar'!X21</f>
        <v>74.7</v>
      </c>
      <c r="J263" s="131">
        <f>'Sta. Klimatologi Kalbar'!Y21</f>
        <v>5.5</v>
      </c>
      <c r="K263" s="131">
        <f>'Sta. Klimatologi Kalbar'!Z21</f>
        <v>0</v>
      </c>
      <c r="L263" s="131">
        <f>'Sta. Klimatologi Kalbar'!AA21</f>
        <v>0.6</v>
      </c>
      <c r="M263" s="131">
        <f>'Sta. Klimatologi Kalbar'!AB21</f>
        <v>0</v>
      </c>
      <c r="O263" s="130">
        <v>14</v>
      </c>
      <c r="P263" s="131">
        <f t="shared" si="185"/>
        <v>1.4170323135981436E-2</v>
      </c>
      <c r="Q263" s="131">
        <f t="shared" si="184"/>
        <v>1.6352589303832463</v>
      </c>
      <c r="R263" s="131">
        <f t="shared" si="184"/>
        <v>0</v>
      </c>
      <c r="S263" s="131">
        <f t="shared" si="184"/>
        <v>3.1455358788907839</v>
      </c>
      <c r="T263" s="131">
        <f t="shared" si="184"/>
        <v>13.4460098620255</v>
      </c>
      <c r="U263" s="131">
        <f t="shared" si="184"/>
        <v>13.600405302231486</v>
      </c>
      <c r="V263" s="131">
        <f t="shared" si="184"/>
        <v>32.706876856219246</v>
      </c>
      <c r="W263" s="131">
        <f t="shared" si="184"/>
        <v>64.105879526718866</v>
      </c>
      <c r="X263" s="131">
        <f t="shared" si="184"/>
        <v>8.3594070501545072</v>
      </c>
      <c r="Y263" s="131">
        <f t="shared" si="184"/>
        <v>0.25506581644766585</v>
      </c>
      <c r="Z263" s="131">
        <f t="shared" si="184"/>
        <v>0.77035039800084582</v>
      </c>
      <c r="AA263" s="131">
        <f t="shared" si="184"/>
        <v>1.5243314716815666</v>
      </c>
      <c r="AC263" s="130">
        <v>14</v>
      </c>
      <c r="AD263" s="131">
        <f>'Sta. Meteorologi pnk'!Q156</f>
        <v>0</v>
      </c>
      <c r="AE263" s="131">
        <f>'Sta. Meteorologi pnk'!R156</f>
        <v>0.2</v>
      </c>
      <c r="AF263" s="131">
        <f>'Sta. Meteorologi pnk'!S156</f>
        <v>0</v>
      </c>
      <c r="AG263" s="131">
        <f>'Sta. Meteorologi pnk'!T156</f>
        <v>1.4</v>
      </c>
      <c r="AH263" s="131">
        <f>'Sta. Meteorologi pnk'!U156</f>
        <v>9</v>
      </c>
      <c r="AI263" s="131">
        <f>'Sta. Meteorologi pnk'!V156</f>
        <v>10.199999999999999</v>
      </c>
      <c r="AJ263" s="131">
        <f>'Sta. Meteorologi pnk'!W156</f>
        <v>30.8</v>
      </c>
      <c r="AK263" s="131">
        <f>'Sta. Meteorologi pnk'!X156</f>
        <v>66</v>
      </c>
      <c r="AL263" s="131">
        <f>'Sta. Meteorologi pnk'!Y156</f>
        <v>9.5</v>
      </c>
      <c r="AM263" s="131">
        <f>'Sta. Meteorologi pnk'!Z156</f>
        <v>0</v>
      </c>
      <c r="AN263" s="131">
        <f>'Sta. Meteorologi pnk'!AA156</f>
        <v>0.9</v>
      </c>
      <c r="AO263" s="131">
        <f>'Sta. Meteorologi pnk'!AB156</f>
        <v>1</v>
      </c>
      <c r="AQ263" s="130">
        <v>14</v>
      </c>
      <c r="AR263" s="131">
        <f>'Sta. Meteorologi Supadio'!Q21</f>
        <v>0.2</v>
      </c>
      <c r="AS263" s="131">
        <f>'Sta. Meteorologi Supadio'!R21</f>
        <v>0</v>
      </c>
      <c r="AT263" s="131">
        <f>'Sta. Meteorologi Supadio'!S21</f>
        <v>0</v>
      </c>
      <c r="AU263" s="131">
        <f>'Sta. Meteorologi Supadio'!T21</f>
        <v>0</v>
      </c>
      <c r="AV263" s="131">
        <f>'Sta. Meteorologi Supadio'!U21</f>
        <v>4.8</v>
      </c>
      <c r="AW263" s="131">
        <f>'Sta. Meteorologi Supadio'!V21</f>
        <v>8.6</v>
      </c>
      <c r="AX263" s="131">
        <f>'Sta. Meteorologi Supadio'!W21</f>
        <v>10.6</v>
      </c>
      <c r="AY263" s="131">
        <f>'Sta. Meteorologi Supadio'!X21</f>
        <v>12.3</v>
      </c>
      <c r="AZ263" s="131">
        <f>'Sta. Meteorologi Supadio'!Y21</f>
        <v>5.8</v>
      </c>
      <c r="BA263" s="131">
        <f>'Sta. Meteorologi Supadio'!Z21</f>
        <v>3.6</v>
      </c>
      <c r="BB263" s="131">
        <f>'Sta. Meteorologi Supadio'!AA21</f>
        <v>0</v>
      </c>
      <c r="BC263" s="131">
        <f>'Sta. Meteorologi Supadio'!AB21</f>
        <v>11.5</v>
      </c>
    </row>
    <row r="264" spans="1:55">
      <c r="A264" s="130">
        <v>15</v>
      </c>
      <c r="B264" s="131">
        <f>'Sta. Klimatologi Kalbar'!Q22</f>
        <v>2.4</v>
      </c>
      <c r="C264" s="131">
        <f>'Sta. Klimatologi Kalbar'!R22</f>
        <v>5.4</v>
      </c>
      <c r="D264" s="131">
        <f>'Sta. Klimatologi Kalbar'!S22</f>
        <v>23</v>
      </c>
      <c r="E264" s="131">
        <f>'Sta. Klimatologi Kalbar'!T22</f>
        <v>0</v>
      </c>
      <c r="F264" s="131">
        <f>'Sta. Klimatologi Kalbar'!U22</f>
        <v>0</v>
      </c>
      <c r="G264" s="131">
        <f>'Sta. Klimatologi Kalbar'!V22</f>
        <v>0.7</v>
      </c>
      <c r="H264" s="131">
        <f>'Sta. Klimatologi Kalbar'!W22</f>
        <v>0</v>
      </c>
      <c r="I264" s="131">
        <f>'Sta. Klimatologi Kalbar'!X22</f>
        <v>0</v>
      </c>
      <c r="J264" s="131">
        <f>'Sta. Klimatologi Kalbar'!Y22</f>
        <v>0</v>
      </c>
      <c r="K264" s="131">
        <f>'Sta. Klimatologi Kalbar'!Z22</f>
        <v>0</v>
      </c>
      <c r="L264" s="131">
        <f>'Sta. Klimatologi Kalbar'!AA22</f>
        <v>21.5</v>
      </c>
      <c r="M264" s="131">
        <f>'Sta. Klimatologi Kalbar'!AB22</f>
        <v>30.3</v>
      </c>
      <c r="O264" s="130">
        <v>15</v>
      </c>
      <c r="P264" s="131">
        <f t="shared" si="185"/>
        <v>8.0551498196534563</v>
      </c>
      <c r="Q264" s="131">
        <f t="shared" si="184"/>
        <v>11.59988987273789</v>
      </c>
      <c r="R264" s="131">
        <f t="shared" si="184"/>
        <v>6.2924772142652712</v>
      </c>
      <c r="S264" s="131">
        <f t="shared" si="184"/>
        <v>0.17004387763177722</v>
      </c>
      <c r="T264" s="131">
        <f t="shared" si="184"/>
        <v>0</v>
      </c>
      <c r="U264" s="131">
        <f t="shared" si="184"/>
        <v>1.9985258626130695</v>
      </c>
      <c r="V264" s="131">
        <f t="shared" si="184"/>
        <v>0</v>
      </c>
      <c r="W264" s="131">
        <f t="shared" si="184"/>
        <v>0</v>
      </c>
      <c r="X264" s="131">
        <f t="shared" si="184"/>
        <v>0</v>
      </c>
      <c r="Y264" s="131">
        <f t="shared" si="184"/>
        <v>0.93544567388748712</v>
      </c>
      <c r="Z264" s="131">
        <f t="shared" si="184"/>
        <v>16.23000324142695</v>
      </c>
      <c r="AA264" s="131">
        <f t="shared" si="184"/>
        <v>39.698567290505103</v>
      </c>
      <c r="AC264" s="130">
        <v>15</v>
      </c>
      <c r="AD264" s="131">
        <f>'Sta. Meteorologi pnk'!Q157</f>
        <v>10.5</v>
      </c>
      <c r="AE264" s="131">
        <f>'Sta. Meteorologi pnk'!R157</f>
        <v>12.7</v>
      </c>
      <c r="AF264" s="131">
        <f>'Sta. Meteorologi pnk'!S157</f>
        <v>1.5</v>
      </c>
      <c r="AG264" s="131">
        <f>'Sta. Meteorologi pnk'!T157</f>
        <v>0</v>
      </c>
      <c r="AH264" s="131">
        <f>'Sta. Meteorologi pnk'!U157</f>
        <v>0</v>
      </c>
      <c r="AI264" s="131">
        <f>'Sta. Meteorologi pnk'!V157</f>
        <v>2.6</v>
      </c>
      <c r="AJ264" s="131">
        <f>'Sta. Meteorologi pnk'!W157</f>
        <v>0</v>
      </c>
      <c r="AK264" s="131">
        <f>'Sta. Meteorologi pnk'!X157</f>
        <v>0</v>
      </c>
      <c r="AL264" s="131">
        <f>'Sta. Meteorologi pnk'!Y157</f>
        <v>0</v>
      </c>
      <c r="AM264" s="131">
        <f>'Sta. Meteorologi pnk'!Z157</f>
        <v>0.2</v>
      </c>
      <c r="AN264" s="131">
        <f>'Sta. Meteorologi pnk'!AA157</f>
        <v>15.9</v>
      </c>
      <c r="AO264" s="131">
        <f>'Sta. Meteorologi pnk'!AB157</f>
        <v>40.799999999999997</v>
      </c>
      <c r="AQ264" s="130">
        <v>15</v>
      </c>
      <c r="AR264" s="131">
        <f>'Sta. Meteorologi Supadio'!Q22</f>
        <v>1.1000000000000001</v>
      </c>
      <c r="AS264" s="131">
        <f>'Sta. Meteorologi Supadio'!R22</f>
        <v>19.8</v>
      </c>
      <c r="AT264" s="131">
        <f>'Sta. Meteorologi Supadio'!S22</f>
        <v>2.5</v>
      </c>
      <c r="AU264" s="131">
        <f>'Sta. Meteorologi Supadio'!T22</f>
        <v>2.4</v>
      </c>
      <c r="AV264" s="131">
        <f>'Sta. Meteorologi Supadio'!U22</f>
        <v>0</v>
      </c>
      <c r="AW264" s="131">
        <f>'Sta. Meteorologi Supadio'!V22</f>
        <v>0</v>
      </c>
      <c r="AX264" s="131">
        <f>'Sta. Meteorologi Supadio'!W22</f>
        <v>0</v>
      </c>
      <c r="AY264" s="131">
        <f>'Sta. Meteorologi Supadio'!X22</f>
        <v>0</v>
      </c>
      <c r="AZ264" s="131">
        <f>'Sta. Meteorologi Supadio'!Y22</f>
        <v>0</v>
      </c>
      <c r="BA264" s="131">
        <f>'Sta. Meteorologi Supadio'!Z22</f>
        <v>11.2</v>
      </c>
      <c r="BB264" s="131">
        <f>'Sta. Meteorologi Supadio'!AA22</f>
        <v>3.2</v>
      </c>
      <c r="BC264" s="131">
        <f>'Sta. Meteorologi Supadio'!AB22</f>
        <v>57.8</v>
      </c>
    </row>
    <row r="265" spans="1:55">
      <c r="A265" s="130">
        <v>16</v>
      </c>
      <c r="B265" s="131">
        <f>'Sta. Klimatologi Kalbar'!Q23</f>
        <v>0</v>
      </c>
      <c r="C265" s="131">
        <f>'Sta. Klimatologi Kalbar'!R23</f>
        <v>0</v>
      </c>
      <c r="D265" s="131">
        <f>'Sta. Klimatologi Kalbar'!S23</f>
        <v>0.2</v>
      </c>
      <c r="E265" s="131">
        <f>'Sta. Klimatologi Kalbar'!T23</f>
        <v>0</v>
      </c>
      <c r="F265" s="131">
        <f>'Sta. Klimatologi Kalbar'!U23</f>
        <v>0</v>
      </c>
      <c r="G265" s="131">
        <f>'Sta. Klimatologi Kalbar'!V23</f>
        <v>1</v>
      </c>
      <c r="H265" s="131">
        <f>'Sta. Klimatologi Kalbar'!W23</f>
        <v>0</v>
      </c>
      <c r="I265" s="131">
        <f>'Sta. Klimatologi Kalbar'!X23</f>
        <v>0</v>
      </c>
      <c r="J265" s="131">
        <f>'Sta. Klimatologi Kalbar'!Y23</f>
        <v>9.5</v>
      </c>
      <c r="K265" s="131">
        <f>'Sta. Klimatologi Kalbar'!Z23</f>
        <v>0.9</v>
      </c>
      <c r="L265" s="131">
        <f>'Sta. Klimatologi Kalbar'!AA23</f>
        <v>0.9</v>
      </c>
      <c r="M265" s="131">
        <f>'Sta. Klimatologi Kalbar'!AB23</f>
        <v>7</v>
      </c>
      <c r="O265" s="130">
        <v>16</v>
      </c>
      <c r="P265" s="131">
        <f t="shared" si="185"/>
        <v>0</v>
      </c>
      <c r="Q265" s="131">
        <f t="shared" si="184"/>
        <v>0</v>
      </c>
      <c r="R265" s="131">
        <f t="shared" si="184"/>
        <v>0.68250620081786229</v>
      </c>
      <c r="S265" s="131">
        <f t="shared" si="184"/>
        <v>6.7463668745803815</v>
      </c>
      <c r="T265" s="131">
        <f t="shared" si="184"/>
        <v>1.1700733932820306</v>
      </c>
      <c r="U265" s="131">
        <f t="shared" si="184"/>
        <v>0.2196104929574588</v>
      </c>
      <c r="V265" s="131">
        <f t="shared" si="184"/>
        <v>0</v>
      </c>
      <c r="W265" s="131">
        <f t="shared" si="184"/>
        <v>4.2572273481758032</v>
      </c>
      <c r="X265" s="131">
        <f t="shared" si="184"/>
        <v>3.4258039132715292</v>
      </c>
      <c r="Y265" s="131">
        <f t="shared" si="184"/>
        <v>0.62327000502293717</v>
      </c>
      <c r="Z265" s="131">
        <f t="shared" si="184"/>
        <v>1.645065872658944</v>
      </c>
      <c r="AA265" s="131">
        <f t="shared" si="184"/>
        <v>9.4131440448274475</v>
      </c>
      <c r="AC265" s="130">
        <v>16</v>
      </c>
      <c r="AD265" s="131">
        <f>'Sta. Meteorologi pnk'!Q158</f>
        <v>0</v>
      </c>
      <c r="AE265" s="131">
        <f>'Sta. Meteorologi pnk'!R158</f>
        <v>0</v>
      </c>
      <c r="AF265" s="131">
        <f>'Sta. Meteorologi pnk'!S158</f>
        <v>0.9</v>
      </c>
      <c r="AG265" s="131">
        <f>'Sta. Meteorologi pnk'!T158</f>
        <v>8.1999999999999993</v>
      </c>
      <c r="AH265" s="131">
        <f>'Sta. Meteorologi pnk'!U158</f>
        <v>1</v>
      </c>
      <c r="AI265" s="131">
        <f>'Sta. Meteorologi pnk'!V158</f>
        <v>0</v>
      </c>
      <c r="AJ265" s="131">
        <f>'Sta. Meteorologi pnk'!W158</f>
        <v>0</v>
      </c>
      <c r="AK265" s="131">
        <f>'Sta. Meteorologi pnk'!X158</f>
        <v>6</v>
      </c>
      <c r="AL265" s="131">
        <f>'Sta. Meteorologi pnk'!Y158</f>
        <v>0.4</v>
      </c>
      <c r="AM265" s="131">
        <f>'Sta. Meteorologi pnk'!Z158</f>
        <v>0.5</v>
      </c>
      <c r="AN265" s="131">
        <f>'Sta. Meteorologi pnk'!AA158</f>
        <v>2</v>
      </c>
      <c r="AO265" s="131">
        <f>'Sta. Meteorologi pnk'!AB158</f>
        <v>11.1</v>
      </c>
      <c r="AQ265" s="130">
        <v>16</v>
      </c>
      <c r="AR265" s="131">
        <f>'Sta. Meteorologi Supadio'!Q23</f>
        <v>0</v>
      </c>
      <c r="AS265" s="131">
        <f>'Sta. Meteorologi Supadio'!R23</f>
        <v>0</v>
      </c>
      <c r="AT265" s="131">
        <f>'Sta. Meteorologi Supadio'!S23</f>
        <v>0</v>
      </c>
      <c r="AU265" s="131">
        <f>'Sta. Meteorologi Supadio'!T23</f>
        <v>13.1</v>
      </c>
      <c r="AV265" s="131">
        <f>'Sta. Meteorologi Supadio'!U23</f>
        <v>6.5</v>
      </c>
      <c r="AW265" s="131">
        <f>'Sta. Meteorologi Supadio'!V23</f>
        <v>0</v>
      </c>
      <c r="AX265" s="131">
        <f>'Sta. Meteorologi Supadio'!W23</f>
        <v>0</v>
      </c>
      <c r="AY265" s="131">
        <f>'Sta. Meteorologi Supadio'!X23</f>
        <v>0</v>
      </c>
      <c r="AZ265" s="131">
        <f>'Sta. Meteorologi Supadio'!Y23</f>
        <v>14.9</v>
      </c>
      <c r="BA265" s="131">
        <f>'Sta. Meteorologi Supadio'!Z23</f>
        <v>1</v>
      </c>
      <c r="BB265" s="131">
        <f>'Sta. Meteorologi Supadio'!AA23</f>
        <v>0.4</v>
      </c>
      <c r="BC265" s="131">
        <f>'Sta. Meteorologi Supadio'!AB23</f>
        <v>0</v>
      </c>
    </row>
    <row r="266" spans="1:55">
      <c r="A266" s="130">
        <v>17</v>
      </c>
      <c r="B266" s="131">
        <f>'Sta. Klimatologi Kalbar'!Q24</f>
        <v>0</v>
      </c>
      <c r="C266" s="131">
        <f>'Sta. Klimatologi Kalbar'!R24</f>
        <v>0.4</v>
      </c>
      <c r="D266" s="131">
        <f>'Sta. Klimatologi Kalbar'!S24</f>
        <v>0</v>
      </c>
      <c r="E266" s="131">
        <f>'Sta. Klimatologi Kalbar'!T24</f>
        <v>0.9</v>
      </c>
      <c r="F266" s="131">
        <f>'Sta. Klimatologi Kalbar'!U24</f>
        <v>6.1</v>
      </c>
      <c r="G266" s="131">
        <f>'Sta. Klimatologi Kalbar'!V24</f>
        <v>5.2</v>
      </c>
      <c r="H266" s="131">
        <f>'Sta. Klimatologi Kalbar'!W24</f>
        <v>1.6</v>
      </c>
      <c r="I266" s="131">
        <f>'Sta. Klimatologi Kalbar'!X24</f>
        <v>1</v>
      </c>
      <c r="J266" s="131">
        <f>'Sta. Klimatologi Kalbar'!Y24</f>
        <v>6</v>
      </c>
      <c r="K266" s="131">
        <f>'Sta. Klimatologi Kalbar'!Z24</f>
        <v>5.3</v>
      </c>
      <c r="L266" s="131">
        <f>'Sta. Klimatologi Kalbar'!AA24</f>
        <v>0</v>
      </c>
      <c r="M266" s="131">
        <f>'Sta. Klimatologi Kalbar'!AB24</f>
        <v>0</v>
      </c>
      <c r="O266" s="130">
        <v>17</v>
      </c>
      <c r="P266" s="131">
        <f t="shared" si="185"/>
        <v>8.5021938815888612E-2</v>
      </c>
      <c r="Q266" s="131">
        <f t="shared" si="185"/>
        <v>8.7844197182983516E-2</v>
      </c>
      <c r="R266" s="131">
        <f t="shared" si="185"/>
        <v>35.476894568131698</v>
      </c>
      <c r="S266" s="131">
        <f t="shared" si="185"/>
        <v>10.456688661040735</v>
      </c>
      <c r="T266" s="131">
        <f t="shared" si="185"/>
        <v>3.0425149463108196</v>
      </c>
      <c r="U266" s="131">
        <f t="shared" si="185"/>
        <v>12.392323359538373</v>
      </c>
      <c r="V266" s="131">
        <f t="shared" si="185"/>
        <v>4.5440202951449722</v>
      </c>
      <c r="W266" s="131">
        <f t="shared" si="185"/>
        <v>0.51010211724507815</v>
      </c>
      <c r="X266" s="131">
        <f t="shared" si="185"/>
        <v>14.172527818873636</v>
      </c>
      <c r="Y266" s="131">
        <f t="shared" si="185"/>
        <v>6.9084338493902493</v>
      </c>
      <c r="Z266" s="131">
        <f t="shared" si="185"/>
        <v>0</v>
      </c>
      <c r="AA266" s="131">
        <f t="shared" si="185"/>
        <v>0</v>
      </c>
      <c r="AC266" s="130">
        <v>17</v>
      </c>
      <c r="AD266" s="131">
        <f>'Sta. Meteorologi pnk'!Q159</f>
        <v>0</v>
      </c>
      <c r="AE266" s="131">
        <f>'Sta. Meteorologi pnk'!R159</f>
        <v>0</v>
      </c>
      <c r="AF266" s="131">
        <f>'Sta. Meteorologi pnk'!S159</f>
        <v>50</v>
      </c>
      <c r="AG266" s="131">
        <f>'Sta. Meteorologi pnk'!T159</f>
        <v>13.6</v>
      </c>
      <c r="AH266" s="131">
        <f>'Sta. Meteorologi pnk'!U159</f>
        <v>2.4</v>
      </c>
      <c r="AI266" s="131">
        <f>'Sta. Meteorologi pnk'!V159</f>
        <v>13</v>
      </c>
      <c r="AJ266" s="131">
        <f>'Sta. Meteorologi pnk'!W159</f>
        <v>5.2</v>
      </c>
      <c r="AK266" s="131">
        <f>'Sta. Meteorologi pnk'!X159</f>
        <v>0</v>
      </c>
      <c r="AL266" s="131">
        <f>'Sta. Meteorologi pnk'!Y159</f>
        <v>16.2</v>
      </c>
      <c r="AM266" s="131">
        <f>'Sta. Meteorologi pnk'!Z159</f>
        <v>5.4</v>
      </c>
      <c r="AN266" s="131">
        <f>'Sta. Meteorologi pnk'!AA159</f>
        <v>0</v>
      </c>
      <c r="AO266" s="131">
        <f>'Sta. Meteorologi pnk'!AB159</f>
        <v>0</v>
      </c>
      <c r="AQ266" s="130">
        <v>17</v>
      </c>
      <c r="AR266" s="131">
        <f>'Sta. Meteorologi Supadio'!Q24</f>
        <v>1.2</v>
      </c>
      <c r="AS266" s="131">
        <f>'Sta. Meteorologi Supadio'!R24</f>
        <v>0</v>
      </c>
      <c r="AT266" s="131">
        <f>'Sta. Meteorologi Supadio'!S24</f>
        <v>0</v>
      </c>
      <c r="AU266" s="131">
        <f>'Sta. Meteorologi Supadio'!T24</f>
        <v>8.6</v>
      </c>
      <c r="AV266" s="131">
        <f>'Sta. Meteorologi Supadio'!U24</f>
        <v>0</v>
      </c>
      <c r="AW266" s="131">
        <f>'Sta. Meteorologi Supadio'!V24</f>
        <v>28.6</v>
      </c>
      <c r="AX266" s="131">
        <f>'Sta. Meteorologi Supadio'!W24</f>
        <v>7.1</v>
      </c>
      <c r="AY266" s="131">
        <f>'Sta. Meteorologi Supadio'!X24</f>
        <v>4.0999999999999996</v>
      </c>
      <c r="AZ266" s="131">
        <f>'Sta. Meteorologi Supadio'!Y24</f>
        <v>19.2</v>
      </c>
      <c r="BA266" s="131">
        <f>'Sta. Meteorologi Supadio'!Z24</f>
        <v>27</v>
      </c>
      <c r="BB266" s="131">
        <f>'Sta. Meteorologi Supadio'!AA24</f>
        <v>0</v>
      </c>
      <c r="BC266" s="131">
        <f>'Sta. Meteorologi Supadio'!AB24</f>
        <v>0</v>
      </c>
    </row>
    <row r="267" spans="1:55">
      <c r="A267" s="130">
        <v>18</v>
      </c>
      <c r="B267" s="131">
        <f>'Sta. Klimatologi Kalbar'!Q25</f>
        <v>0</v>
      </c>
      <c r="C267" s="131">
        <f>'Sta. Klimatologi Kalbar'!R25</f>
        <v>0</v>
      </c>
      <c r="D267" s="131">
        <f>'Sta. Klimatologi Kalbar'!S25</f>
        <v>6</v>
      </c>
      <c r="E267" s="131">
        <f>'Sta. Klimatologi Kalbar'!T25</f>
        <v>4.5999999999999996</v>
      </c>
      <c r="F267" s="131">
        <f>'Sta. Klimatologi Kalbar'!U25</f>
        <v>0.2</v>
      </c>
      <c r="G267" s="131">
        <f>'Sta. Klimatologi Kalbar'!V25</f>
        <v>13.6</v>
      </c>
      <c r="H267" s="131">
        <f>'Sta. Klimatologi Kalbar'!W25</f>
        <v>0</v>
      </c>
      <c r="I267" s="131">
        <f>'Sta. Klimatologi Kalbar'!X25</f>
        <v>17.600000000000001</v>
      </c>
      <c r="J267" s="131">
        <f>'Sta. Klimatologi Kalbar'!Y25</f>
        <v>0</v>
      </c>
      <c r="K267" s="131">
        <f>'Sta. Klimatologi Kalbar'!Z25</f>
        <v>6.1</v>
      </c>
      <c r="L267" s="131">
        <f>'Sta. Klimatologi Kalbar'!AA25</f>
        <v>0.5</v>
      </c>
      <c r="M267" s="131">
        <f>'Sta. Klimatologi Kalbar'!AB25</f>
        <v>0</v>
      </c>
      <c r="O267" s="130">
        <v>18</v>
      </c>
      <c r="P267" s="131">
        <f t="shared" si="185"/>
        <v>4.2572273481758032</v>
      </c>
      <c r="Q267" s="131">
        <f t="shared" si="185"/>
        <v>1.0643068370439508</v>
      </c>
      <c r="R267" s="131">
        <f t="shared" si="185"/>
        <v>37.616369287386426</v>
      </c>
      <c r="S267" s="131">
        <f t="shared" si="185"/>
        <v>3.1883158992117915</v>
      </c>
      <c r="T267" s="131">
        <f t="shared" si="185"/>
        <v>4.3922098591491758E-2</v>
      </c>
      <c r="U267" s="131">
        <f t="shared" si="185"/>
        <v>13.693026661491084</v>
      </c>
      <c r="V267" s="131">
        <f t="shared" si="185"/>
        <v>0</v>
      </c>
      <c r="W267" s="131">
        <f t="shared" si="185"/>
        <v>4.5746825674139089</v>
      </c>
      <c r="X267" s="131">
        <f t="shared" si="185"/>
        <v>7.5068291518515826</v>
      </c>
      <c r="Y267" s="131">
        <f t="shared" si="185"/>
        <v>11.783694812838132</v>
      </c>
      <c r="Z267" s="131">
        <f t="shared" si="185"/>
        <v>2.436701271014015</v>
      </c>
      <c r="AA267" s="131">
        <f t="shared" si="185"/>
        <v>0</v>
      </c>
      <c r="AC267" s="130">
        <v>18</v>
      </c>
      <c r="AD267" s="131">
        <f>'Sta. Meteorologi pnk'!Q160</f>
        <v>6</v>
      </c>
      <c r="AE267" s="131">
        <f>'Sta. Meteorologi pnk'!R160</f>
        <v>1.5</v>
      </c>
      <c r="AF267" s="131">
        <f>'Sta. Meteorologi pnk'!S160</f>
        <v>43</v>
      </c>
      <c r="AG267" s="131">
        <f>'Sta. Meteorologi pnk'!T160</f>
        <v>2.9</v>
      </c>
      <c r="AH267" s="131">
        <f>'Sta. Meteorologi pnk'!U160</f>
        <v>0</v>
      </c>
      <c r="AI267" s="131">
        <f>'Sta. Meteorologi pnk'!V160</f>
        <v>14.5</v>
      </c>
      <c r="AJ267" s="131">
        <f>'Sta. Meteorologi pnk'!W160</f>
        <v>0</v>
      </c>
      <c r="AK267" s="131">
        <f>'Sta. Meteorologi pnk'!X160</f>
        <v>1</v>
      </c>
      <c r="AL267" s="131">
        <f>'Sta. Meteorologi pnk'!Y160</f>
        <v>10.5</v>
      </c>
      <c r="AM267" s="131">
        <f>'Sta. Meteorologi pnk'!Z160</f>
        <v>14.4</v>
      </c>
      <c r="AN267" s="131">
        <f>'Sta. Meteorologi pnk'!AA160</f>
        <v>2.9</v>
      </c>
      <c r="AO267" s="131">
        <f>'Sta. Meteorologi pnk'!AB160</f>
        <v>0</v>
      </c>
      <c r="AQ267" s="130">
        <v>18</v>
      </c>
      <c r="AR267" s="131">
        <f>'Sta. Meteorologi Supadio'!Q25</f>
        <v>0</v>
      </c>
      <c r="AS267" s="131">
        <f>'Sta. Meteorologi Supadio'!R25</f>
        <v>0</v>
      </c>
      <c r="AT267" s="131">
        <f>'Sta. Meteorologi Supadio'!S25</f>
        <v>81.7</v>
      </c>
      <c r="AU267" s="131">
        <f>'Sta. Meteorologi Supadio'!T25</f>
        <v>1.7</v>
      </c>
      <c r="AV267" s="131">
        <f>'Sta. Meteorologi Supadio'!U25</f>
        <v>0</v>
      </c>
      <c r="AW267" s="131">
        <f>'Sta. Meteorologi Supadio'!V25</f>
        <v>5.9</v>
      </c>
      <c r="AX267" s="131">
        <f>'Sta. Meteorologi Supadio'!W25</f>
        <v>0</v>
      </c>
      <c r="AY267" s="131">
        <f>'Sta. Meteorologi Supadio'!X25</f>
        <v>0</v>
      </c>
      <c r="AZ267" s="131">
        <f>'Sta. Meteorologi Supadio'!Y25</f>
        <v>0.8</v>
      </c>
      <c r="BA267" s="131">
        <f>'Sta. Meteorologi Supadio'!Z25</f>
        <v>3.2</v>
      </c>
      <c r="BB267" s="131">
        <f>'Sta. Meteorologi Supadio'!AA25</f>
        <v>3.8</v>
      </c>
      <c r="BC267" s="131">
        <f>'Sta. Meteorologi Supadio'!AB25</f>
        <v>0</v>
      </c>
    </row>
    <row r="268" spans="1:55">
      <c r="A268" s="130">
        <v>19</v>
      </c>
      <c r="B268" s="131">
        <f>'Sta. Klimatologi Kalbar'!Q26</f>
        <v>0</v>
      </c>
      <c r="C268" s="131">
        <f>'Sta. Klimatologi Kalbar'!R26</f>
        <v>3</v>
      </c>
      <c r="D268" s="131">
        <f>'Sta. Klimatologi Kalbar'!S26</f>
        <v>0</v>
      </c>
      <c r="E268" s="131">
        <f>'Sta. Klimatologi Kalbar'!T26</f>
        <v>1</v>
      </c>
      <c r="F268" s="131">
        <f>'Sta. Klimatologi Kalbar'!U26</f>
        <v>0</v>
      </c>
      <c r="G268" s="131">
        <f>'Sta. Klimatologi Kalbar'!V26</f>
        <v>0</v>
      </c>
      <c r="H268" s="131">
        <f>'Sta. Klimatologi Kalbar'!W26</f>
        <v>0</v>
      </c>
      <c r="I268" s="131">
        <f>'Sta. Klimatologi Kalbar'!X26</f>
        <v>0</v>
      </c>
      <c r="J268" s="131">
        <f>'Sta. Klimatologi Kalbar'!Y26</f>
        <v>12.7</v>
      </c>
      <c r="K268" s="131">
        <f>'Sta. Klimatologi Kalbar'!Z26</f>
        <v>0</v>
      </c>
      <c r="L268" s="131">
        <f>'Sta. Klimatologi Kalbar'!AA26</f>
        <v>12.3</v>
      </c>
      <c r="M268" s="131">
        <f>'Sta. Klimatologi Kalbar'!AB26</f>
        <v>0</v>
      </c>
      <c r="O268" s="130">
        <v>19</v>
      </c>
      <c r="P268" s="131">
        <f t="shared" si="185"/>
        <v>8.5021938815888612E-2</v>
      </c>
      <c r="Q268" s="131">
        <f t="shared" si="185"/>
        <v>0.65883147887237636</v>
      </c>
      <c r="R268" s="131">
        <f t="shared" si="185"/>
        <v>8.9963478564313331</v>
      </c>
      <c r="S268" s="131">
        <f t="shared" si="185"/>
        <v>5.5814078315453202</v>
      </c>
      <c r="T268" s="131">
        <f t="shared" si="185"/>
        <v>0</v>
      </c>
      <c r="U268" s="131">
        <f t="shared" si="185"/>
        <v>1.773844728406585</v>
      </c>
      <c r="V268" s="131">
        <f t="shared" si="185"/>
        <v>0</v>
      </c>
      <c r="W268" s="131">
        <f t="shared" si="185"/>
        <v>1.6013486878222587</v>
      </c>
      <c r="X268" s="131">
        <f t="shared" si="185"/>
        <v>22.627364878616092</v>
      </c>
      <c r="Y268" s="131">
        <f t="shared" si="185"/>
        <v>0</v>
      </c>
      <c r="Z268" s="131">
        <f t="shared" si="185"/>
        <v>5.1481441407424464</v>
      </c>
      <c r="AA268" s="131">
        <f t="shared" si="185"/>
        <v>0</v>
      </c>
      <c r="AC268" s="130">
        <v>19</v>
      </c>
      <c r="AD268" s="131">
        <f>'Sta. Meteorologi pnk'!Q161</f>
        <v>0</v>
      </c>
      <c r="AE268" s="131">
        <f>'Sta. Meteorologi pnk'!R161</f>
        <v>0</v>
      </c>
      <c r="AF268" s="131">
        <f>'Sta. Meteorologi pnk'!S161</f>
        <v>12.1</v>
      </c>
      <c r="AG268" s="131">
        <f>'Sta. Meteorologi pnk'!T161</f>
        <v>5.3</v>
      </c>
      <c r="AH268" s="131">
        <f>'Sta. Meteorologi pnk'!U161</f>
        <v>0</v>
      </c>
      <c r="AI268" s="131">
        <f>'Sta. Meteorologi pnk'!V161</f>
        <v>2.5</v>
      </c>
      <c r="AJ268" s="131">
        <f>'Sta. Meteorologi pnk'!W161</f>
        <v>0</v>
      </c>
      <c r="AK268" s="131">
        <f>'Sta. Meteorologi pnk'!X161</f>
        <v>0.1</v>
      </c>
      <c r="AL268" s="131">
        <f>'Sta. Meteorologi pnk'!Y161</f>
        <v>27.6</v>
      </c>
      <c r="AM268" s="131">
        <f>'Sta. Meteorologi pnk'!Z161</f>
        <v>0</v>
      </c>
      <c r="AN268" s="131">
        <f>'Sta. Meteorologi pnk'!AA161</f>
        <v>2.5</v>
      </c>
      <c r="AO268" s="131">
        <f>'Sta. Meteorologi pnk'!AB161</f>
        <v>0</v>
      </c>
      <c r="AQ268" s="130">
        <v>19</v>
      </c>
      <c r="AR268" s="131">
        <f>'Sta. Meteorologi Supadio'!Q26</f>
        <v>1.2</v>
      </c>
      <c r="AS268" s="131">
        <f>'Sta. Meteorologi Supadio'!R26</f>
        <v>0</v>
      </c>
      <c r="AT268" s="131">
        <f>'Sta. Meteorologi Supadio'!S26</f>
        <v>5.8</v>
      </c>
      <c r="AU268" s="131">
        <f>'Sta. Meteorologi Supadio'!T26</f>
        <v>22.6</v>
      </c>
      <c r="AV268" s="131">
        <f>'Sta. Meteorologi Supadio'!U26</f>
        <v>0</v>
      </c>
      <c r="AW268" s="131">
        <f>'Sta. Meteorologi Supadio'!V26</f>
        <v>0</v>
      </c>
      <c r="AX268" s="131">
        <f>'Sta. Meteorologi Supadio'!W26</f>
        <v>0</v>
      </c>
      <c r="AY268" s="131">
        <f>'Sta. Meteorologi Supadio'!X26</f>
        <v>21.6</v>
      </c>
      <c r="AZ268" s="131">
        <f>'Sta. Meteorologi Supadio'!Y26</f>
        <v>3.6</v>
      </c>
      <c r="BA268" s="131">
        <f>'Sta. Meteorologi Supadio'!Z26</f>
        <v>0</v>
      </c>
      <c r="BB268" s="131">
        <f>'Sta. Meteorologi Supadio'!AA26</f>
        <v>9.5</v>
      </c>
      <c r="BC268" s="131">
        <f>'Sta. Meteorologi Supadio'!AB26</f>
        <v>0</v>
      </c>
    </row>
    <row r="269" spans="1:55">
      <c r="A269" s="130">
        <v>20</v>
      </c>
      <c r="B269" s="131">
        <f>'Sta. Klimatologi Kalbar'!Q27</f>
        <v>51.5</v>
      </c>
      <c r="C269" s="131">
        <f>'Sta. Klimatologi Kalbar'!R27</f>
        <v>0</v>
      </c>
      <c r="D269" s="131">
        <f>'Sta. Klimatologi Kalbar'!S27</f>
        <v>0</v>
      </c>
      <c r="E269" s="131">
        <f>'Sta. Klimatologi Kalbar'!T27</f>
        <v>5.2</v>
      </c>
      <c r="F269" s="131">
        <f>'Sta. Klimatologi Kalbar'!U27</f>
        <v>36.9</v>
      </c>
      <c r="G269" s="131">
        <f>'Sta. Klimatologi Kalbar'!V27</f>
        <v>0</v>
      </c>
      <c r="H269" s="131">
        <f>'Sta. Klimatologi Kalbar'!W27</f>
        <v>0</v>
      </c>
      <c r="I269" s="131">
        <f>'Sta. Klimatologi Kalbar'!X27</f>
        <v>0.8</v>
      </c>
      <c r="J269" s="131">
        <f>'Sta. Klimatologi Kalbar'!Y27</f>
        <v>22</v>
      </c>
      <c r="K269" s="131">
        <f>'Sta. Klimatologi Kalbar'!Z27</f>
        <v>0</v>
      </c>
      <c r="L269" s="131">
        <f>'Sta. Klimatologi Kalbar'!AA27</f>
        <v>7.3</v>
      </c>
      <c r="M269" s="131">
        <f>'Sta. Klimatologi Kalbar'!AB27</f>
        <v>0</v>
      </c>
      <c r="O269" s="130">
        <v>20</v>
      </c>
      <c r="P269" s="131">
        <f t="shared" si="185"/>
        <v>24.059345212569003</v>
      </c>
      <c r="Q269" s="131">
        <f t="shared" si="185"/>
        <v>6.9450579188531911</v>
      </c>
      <c r="R269" s="131">
        <f t="shared" si="185"/>
        <v>1.4170323135981436E-2</v>
      </c>
      <c r="S269" s="131">
        <f t="shared" si="185"/>
        <v>9.5142151610887975</v>
      </c>
      <c r="T269" s="131">
        <f t="shared" si="185"/>
        <v>40.847012841029553</v>
      </c>
      <c r="U269" s="131">
        <f t="shared" si="185"/>
        <v>0</v>
      </c>
      <c r="V269" s="131">
        <f t="shared" si="185"/>
        <v>0</v>
      </c>
      <c r="W269" s="131">
        <f t="shared" si="185"/>
        <v>2.6423463545902992</v>
      </c>
      <c r="X269" s="131">
        <f t="shared" si="185"/>
        <v>16.750134818111004</v>
      </c>
      <c r="Y269" s="131">
        <f t="shared" si="185"/>
        <v>0.13461806979182364</v>
      </c>
      <c r="Z269" s="131">
        <f t="shared" si="185"/>
        <v>11.308327132188921</v>
      </c>
      <c r="AA269" s="131">
        <f t="shared" si="185"/>
        <v>0</v>
      </c>
      <c r="AC269" s="130">
        <v>20</v>
      </c>
      <c r="AD269" s="131">
        <f>'Sta. Meteorologi pnk'!Q162</f>
        <v>17</v>
      </c>
      <c r="AE269" s="131">
        <f>'Sta. Meteorologi pnk'!R162</f>
        <v>8.5</v>
      </c>
      <c r="AF269" s="131">
        <f>'Sta. Meteorologi pnk'!S162</f>
        <v>0</v>
      </c>
      <c r="AG269" s="131">
        <f>'Sta. Meteorologi pnk'!T162</f>
        <v>11.5</v>
      </c>
      <c r="AH269" s="131">
        <f>'Sta. Meteorologi pnk'!U162</f>
        <v>44.4</v>
      </c>
      <c r="AI269" s="131">
        <f>'Sta. Meteorologi pnk'!V162</f>
        <v>0</v>
      </c>
      <c r="AJ269" s="131">
        <f>'Sta. Meteorologi pnk'!W162</f>
        <v>0</v>
      </c>
      <c r="AK269" s="131">
        <f>'Sta. Meteorologi pnk'!X162</f>
        <v>1</v>
      </c>
      <c r="AL269" s="131">
        <f>'Sta. Meteorologi pnk'!Y162</f>
        <v>15.3</v>
      </c>
      <c r="AM269" s="131">
        <f>'Sta. Meteorologi pnk'!Z162</f>
        <v>0</v>
      </c>
      <c r="AN269" s="131">
        <f>'Sta. Meteorologi pnk'!AA162</f>
        <v>12.4</v>
      </c>
      <c r="AO269" s="131">
        <f>'Sta. Meteorologi pnk'!AB162</f>
        <v>0</v>
      </c>
      <c r="AQ269" s="130">
        <v>20</v>
      </c>
      <c r="AR269" s="131">
        <f>'Sta. Meteorologi Supadio'!Q27</f>
        <v>9.6999999999999993</v>
      </c>
      <c r="AS269" s="131">
        <f>'Sta. Meteorologi Supadio'!R27</f>
        <v>12.9</v>
      </c>
      <c r="AT269" s="131">
        <f>'Sta. Meteorologi Supadio'!S27</f>
        <v>0.2</v>
      </c>
      <c r="AU269" s="131">
        <f>'Sta. Meteorologi Supadio'!T27</f>
        <v>3</v>
      </c>
      <c r="AV269" s="131">
        <f>'Sta. Meteorologi Supadio'!U27</f>
        <v>17.5</v>
      </c>
      <c r="AW269" s="131">
        <f>'Sta. Meteorologi Supadio'!V27</f>
        <v>0</v>
      </c>
      <c r="AX269" s="131">
        <f>'Sta. Meteorologi Supadio'!W27</f>
        <v>0</v>
      </c>
      <c r="AY269" s="131">
        <f>'Sta. Meteorologi Supadio'!X27</f>
        <v>24.8</v>
      </c>
      <c r="AZ269" s="131">
        <f>'Sta. Meteorologi Supadio'!Y27</f>
        <v>15</v>
      </c>
      <c r="BA269" s="131">
        <f>'Sta. Meteorologi Supadio'!Z27</f>
        <v>1.9</v>
      </c>
      <c r="BB269" s="131">
        <f>'Sta. Meteorologi Supadio'!AA27</f>
        <v>12.8</v>
      </c>
      <c r="BC269" s="131">
        <f>'Sta. Meteorologi Supadio'!AB27</f>
        <v>0</v>
      </c>
    </row>
    <row r="270" spans="1:55">
      <c r="A270" s="130">
        <v>21</v>
      </c>
      <c r="B270" s="131">
        <f>'Sta. Klimatologi Kalbar'!Q28</f>
        <v>0</v>
      </c>
      <c r="C270" s="131">
        <f>'Sta. Klimatologi Kalbar'!R28</f>
        <v>0</v>
      </c>
      <c r="D270" s="131">
        <f>'Sta. Klimatologi Kalbar'!S28</f>
        <v>0</v>
      </c>
      <c r="E270" s="131">
        <f>'Sta. Klimatologi Kalbar'!T28</f>
        <v>0</v>
      </c>
      <c r="F270" s="131">
        <f>'Sta. Klimatologi Kalbar'!U28</f>
        <v>4</v>
      </c>
      <c r="G270" s="131">
        <f>'Sta. Klimatologi Kalbar'!V28</f>
        <v>21.5</v>
      </c>
      <c r="H270" s="131">
        <f>'Sta. Klimatologi Kalbar'!W28</f>
        <v>0</v>
      </c>
      <c r="I270" s="131">
        <f>'Sta. Klimatologi Kalbar'!X28</f>
        <v>13.8</v>
      </c>
      <c r="J270" s="131">
        <f>'Sta. Klimatologi Kalbar'!Y28</f>
        <v>3</v>
      </c>
      <c r="K270" s="131">
        <f>'Sta. Klimatologi Kalbar'!Z28</f>
        <v>20.9</v>
      </c>
      <c r="L270" s="131">
        <f>'Sta. Klimatologi Kalbar'!AA28</f>
        <v>0</v>
      </c>
      <c r="M270" s="131">
        <f>'Sta. Klimatologi Kalbar'!AB28</f>
        <v>0</v>
      </c>
      <c r="O270" s="130">
        <v>21</v>
      </c>
      <c r="P270" s="131">
        <f t="shared" si="185"/>
        <v>0.35476894568131701</v>
      </c>
      <c r="Q270" s="131">
        <f t="shared" si="185"/>
        <v>0</v>
      </c>
      <c r="R270" s="131">
        <f t="shared" si="185"/>
        <v>0.78049168049889739</v>
      </c>
      <c r="S270" s="131">
        <f t="shared" si="185"/>
        <v>0.22672517017570298</v>
      </c>
      <c r="T270" s="131">
        <f t="shared" si="185"/>
        <v>1.7155127714163023</v>
      </c>
      <c r="U270" s="131">
        <f t="shared" si="185"/>
        <v>18.911259517818124</v>
      </c>
      <c r="V270" s="131">
        <f t="shared" si="185"/>
        <v>0</v>
      </c>
      <c r="W270" s="131">
        <f t="shared" si="185"/>
        <v>16.06364043770515</v>
      </c>
      <c r="X270" s="131">
        <f t="shared" si="185"/>
        <v>2.6801459948768556</v>
      </c>
      <c r="Y270" s="131">
        <f t="shared" si="185"/>
        <v>8.582687856931198</v>
      </c>
      <c r="Z270" s="131">
        <f t="shared" si="185"/>
        <v>5.6904734540370532</v>
      </c>
      <c r="AA270" s="131">
        <f t="shared" si="185"/>
        <v>0.14170323135981436</v>
      </c>
      <c r="AC270" s="130">
        <v>21</v>
      </c>
      <c r="AD270" s="131">
        <f>'Sta. Meteorologi pnk'!Q163</f>
        <v>0.5</v>
      </c>
      <c r="AE270" s="131">
        <f>'Sta. Meteorologi pnk'!R163</f>
        <v>0</v>
      </c>
      <c r="AF270" s="131">
        <f>'Sta. Meteorologi pnk'!S163</f>
        <v>1.1000000000000001</v>
      </c>
      <c r="AG270" s="131">
        <f>'Sta. Meteorologi pnk'!T163</f>
        <v>0</v>
      </c>
      <c r="AH270" s="131">
        <f>'Sta. Meteorologi pnk'!U163</f>
        <v>1</v>
      </c>
      <c r="AI270" s="131">
        <f>'Sta. Meteorologi pnk'!V163</f>
        <v>18.899999999999999</v>
      </c>
      <c r="AJ270" s="131">
        <f>'Sta. Meteorologi pnk'!W163</f>
        <v>0</v>
      </c>
      <c r="AK270" s="131">
        <f>'Sta. Meteorologi pnk'!X163</f>
        <v>17.2</v>
      </c>
      <c r="AL270" s="131">
        <f>'Sta. Meteorologi pnk'!Y163</f>
        <v>2</v>
      </c>
      <c r="AM270" s="131">
        <f>'Sta. Meteorologi pnk'!Z163</f>
        <v>3.8</v>
      </c>
      <c r="AN270" s="131">
        <f>'Sta. Meteorologi pnk'!AA163</f>
        <v>8</v>
      </c>
      <c r="AO270" s="131">
        <f>'Sta. Meteorologi pnk'!AB163</f>
        <v>0</v>
      </c>
      <c r="AQ270" s="130">
        <v>21</v>
      </c>
      <c r="AR270" s="131">
        <f>'Sta. Meteorologi Supadio'!Q28</f>
        <v>0</v>
      </c>
      <c r="AS270" s="131">
        <f>'Sta. Meteorologi Supadio'!R28</f>
        <v>0</v>
      </c>
      <c r="AT270" s="131">
        <f>'Sta. Meteorologi Supadio'!S28</f>
        <v>0</v>
      </c>
      <c r="AU270" s="131">
        <f>'Sta. Meteorologi Supadio'!T28</f>
        <v>3.2</v>
      </c>
      <c r="AV270" s="131">
        <f>'Sta. Meteorologi Supadio'!U28</f>
        <v>1.8</v>
      </c>
      <c r="AW270" s="131">
        <f>'Sta. Meteorologi Supadio'!V28</f>
        <v>11</v>
      </c>
      <c r="AX270" s="131">
        <f>'Sta. Meteorologi Supadio'!W28</f>
        <v>0</v>
      </c>
      <c r="AY270" s="131">
        <f>'Sta. Meteorologi Supadio'!X28</f>
        <v>11.7</v>
      </c>
      <c r="AZ270" s="131">
        <f>'Sta. Meteorologi Supadio'!Y28</f>
        <v>8.5</v>
      </c>
      <c r="BA270" s="131">
        <f>'Sta. Meteorologi Supadio'!Z28</f>
        <v>18.3</v>
      </c>
      <c r="BB270" s="131">
        <f>'Sta. Meteorologi Supadio'!AA28</f>
        <v>0.2</v>
      </c>
      <c r="BC270" s="131">
        <f>'Sta. Meteorologi Supadio'!AB28</f>
        <v>2</v>
      </c>
    </row>
    <row r="271" spans="1:55">
      <c r="A271" s="130">
        <v>22</v>
      </c>
      <c r="B271" s="131">
        <f>'Sta. Klimatologi Kalbar'!Q29</f>
        <v>0</v>
      </c>
      <c r="C271" s="131">
        <f>'Sta. Klimatologi Kalbar'!R29</f>
        <v>0</v>
      </c>
      <c r="D271" s="131">
        <f>'Sta. Klimatologi Kalbar'!S29</f>
        <v>4</v>
      </c>
      <c r="E271" s="131">
        <f>'Sta. Klimatologi Kalbar'!T29</f>
        <v>40</v>
      </c>
      <c r="F271" s="131">
        <f>'Sta. Klimatologi Kalbar'!U29</f>
        <v>0</v>
      </c>
      <c r="G271" s="131">
        <f>'Sta. Klimatologi Kalbar'!V29</f>
        <v>0</v>
      </c>
      <c r="H271" s="131">
        <f>'Sta. Klimatologi Kalbar'!W29</f>
        <v>11.2</v>
      </c>
      <c r="I271" s="131">
        <f>'Sta. Klimatologi Kalbar'!X29</f>
        <v>20.8</v>
      </c>
      <c r="J271" s="131">
        <f>'Sta. Klimatologi Kalbar'!Y29</f>
        <v>0</v>
      </c>
      <c r="K271" s="131">
        <f>'Sta. Klimatologi Kalbar'!Z29</f>
        <v>15.9</v>
      </c>
      <c r="L271" s="131">
        <f>'Sta. Klimatologi Kalbar'!AA29</f>
        <v>6</v>
      </c>
      <c r="M271" s="131">
        <f>'Sta. Klimatologi Kalbar'!AB29</f>
        <v>2.8</v>
      </c>
      <c r="O271" s="130">
        <v>22</v>
      </c>
      <c r="P271" s="131">
        <f t="shared" si="185"/>
        <v>0</v>
      </c>
      <c r="Q271" s="131">
        <f t="shared" si="185"/>
        <v>0</v>
      </c>
      <c r="R271" s="131">
        <f t="shared" si="185"/>
        <v>3.8585011155528974</v>
      </c>
      <c r="S271" s="131">
        <f t="shared" si="185"/>
        <v>9.6642058342054753</v>
      </c>
      <c r="T271" s="131">
        <f t="shared" si="185"/>
        <v>0</v>
      </c>
      <c r="U271" s="131">
        <f t="shared" si="185"/>
        <v>1.5609833609977948</v>
      </c>
      <c r="V271" s="131">
        <f t="shared" si="185"/>
        <v>9.9097853804311953</v>
      </c>
      <c r="W271" s="131">
        <f t="shared" si="185"/>
        <v>22.315918055180948</v>
      </c>
      <c r="X271" s="131">
        <f t="shared" si="185"/>
        <v>0</v>
      </c>
      <c r="Y271" s="131">
        <f t="shared" si="185"/>
        <v>8.9377065543201404</v>
      </c>
      <c r="Z271" s="131">
        <f t="shared" si="185"/>
        <v>2.8641694752374969</v>
      </c>
      <c r="AA271" s="131">
        <f t="shared" si="185"/>
        <v>18.808307819245947</v>
      </c>
      <c r="AC271" s="130">
        <v>22</v>
      </c>
      <c r="AD271" s="131">
        <f>'Sta. Meteorologi pnk'!Q164</f>
        <v>0</v>
      </c>
      <c r="AE271" s="131">
        <f>'Sta. Meteorologi pnk'!R164</f>
        <v>0</v>
      </c>
      <c r="AF271" s="131">
        <f>'Sta. Meteorologi pnk'!S164</f>
        <v>4.2</v>
      </c>
      <c r="AG271" s="131">
        <f>'Sta. Meteorologi pnk'!T164</f>
        <v>1.2</v>
      </c>
      <c r="AH271" s="131">
        <f>'Sta. Meteorologi pnk'!U164</f>
        <v>0</v>
      </c>
      <c r="AI271" s="131">
        <f>'Sta. Meteorologi pnk'!V164</f>
        <v>2.2000000000000002</v>
      </c>
      <c r="AJ271" s="131">
        <f>'Sta. Meteorologi pnk'!W164</f>
        <v>10.5</v>
      </c>
      <c r="AK271" s="131">
        <f>'Sta. Meteorologi pnk'!X164</f>
        <v>20.5</v>
      </c>
      <c r="AL271" s="131">
        <f>'Sta. Meteorologi pnk'!Y164</f>
        <v>0</v>
      </c>
      <c r="AM271" s="131">
        <f>'Sta. Meteorologi pnk'!Z164</f>
        <v>4.4000000000000004</v>
      </c>
      <c r="AN271" s="131">
        <f>'Sta. Meteorologi pnk'!AA164</f>
        <v>1.9</v>
      </c>
      <c r="AO271" s="131">
        <f>'Sta. Meteorologi pnk'!AB164</f>
        <v>12.6</v>
      </c>
      <c r="AQ271" s="130">
        <v>22</v>
      </c>
      <c r="AR271" s="131">
        <f>'Sta. Meteorologi Supadio'!Q29</f>
        <v>0</v>
      </c>
      <c r="AS271" s="131">
        <f>'Sta. Meteorologi Supadio'!R29</f>
        <v>0</v>
      </c>
      <c r="AT271" s="131">
        <f>'Sta. Meteorologi Supadio'!S29</f>
        <v>0</v>
      </c>
      <c r="AU271" s="131">
        <f>'Sta. Meteorologi Supadio'!T29</f>
        <v>0.4</v>
      </c>
      <c r="AV271" s="131">
        <f>'Sta. Meteorologi Supadio'!U29</f>
        <v>0</v>
      </c>
      <c r="AW271" s="131">
        <f>'Sta. Meteorologi Supadio'!V29</f>
        <v>0</v>
      </c>
      <c r="AX271" s="131">
        <f>'Sta. Meteorologi Supadio'!W29</f>
        <v>0</v>
      </c>
      <c r="AY271" s="131">
        <f>'Sta. Meteorologi Supadio'!X29</f>
        <v>45.2</v>
      </c>
      <c r="AZ271" s="131">
        <f>'Sta. Meteorologi Supadio'!Y29</f>
        <v>0</v>
      </c>
      <c r="BA271" s="131">
        <f>'Sta. Meteorologi Supadio'!Z29</f>
        <v>32.799999999999997</v>
      </c>
      <c r="BB271" s="131">
        <f>'Sta. Meteorologi Supadio'!AA29</f>
        <v>2.8</v>
      </c>
      <c r="BC271" s="131">
        <f>'Sta. Meteorologi Supadio'!AB29</f>
        <v>130.6</v>
      </c>
    </row>
    <row r="272" spans="1:55">
      <c r="A272" s="130">
        <v>23</v>
      </c>
      <c r="B272" s="131">
        <f>'Sta. Klimatologi Kalbar'!Q30</f>
        <v>12.3</v>
      </c>
      <c r="C272" s="131">
        <f>'Sta. Klimatologi Kalbar'!R30</f>
        <v>0</v>
      </c>
      <c r="D272" s="131">
        <f>'Sta. Klimatologi Kalbar'!S30</f>
        <v>0</v>
      </c>
      <c r="E272" s="131">
        <f>'Sta. Klimatologi Kalbar'!T30</f>
        <v>85.5</v>
      </c>
      <c r="F272" s="131">
        <f>'Sta. Klimatologi Kalbar'!U30</f>
        <v>0</v>
      </c>
      <c r="G272" s="131">
        <f>'Sta. Klimatologi Kalbar'!V30</f>
        <v>20</v>
      </c>
      <c r="H272" s="131">
        <f>'Sta. Klimatologi Kalbar'!W30</f>
        <v>0</v>
      </c>
      <c r="I272" s="131">
        <f>'Sta. Klimatologi Kalbar'!X30</f>
        <v>11.5</v>
      </c>
      <c r="J272" s="131">
        <f>'Sta. Klimatologi Kalbar'!Y30</f>
        <v>63</v>
      </c>
      <c r="K272" s="131">
        <f>'Sta. Klimatologi Kalbar'!Z30</f>
        <v>2.8</v>
      </c>
      <c r="L272" s="131">
        <f>'Sta. Klimatologi Kalbar'!AA30</f>
        <v>0</v>
      </c>
      <c r="M272" s="131">
        <f>'Sta. Klimatologi Kalbar'!AB30</f>
        <v>95.3</v>
      </c>
      <c r="O272" s="130">
        <v>23</v>
      </c>
      <c r="P272" s="131">
        <f t="shared" si="185"/>
        <v>2.8714572879212326</v>
      </c>
      <c r="Q272" s="131">
        <f t="shared" si="185"/>
        <v>0</v>
      </c>
      <c r="R272" s="131">
        <f t="shared" si="185"/>
        <v>0</v>
      </c>
      <c r="S272" s="131">
        <f t="shared" si="185"/>
        <v>19.03915464624745</v>
      </c>
      <c r="T272" s="131">
        <f t="shared" si="185"/>
        <v>0.42572273481758033</v>
      </c>
      <c r="U272" s="131">
        <f t="shared" si="185"/>
        <v>48.688118897599729</v>
      </c>
      <c r="V272" s="131">
        <f t="shared" si="185"/>
        <v>0</v>
      </c>
      <c r="W272" s="131">
        <f t="shared" si="185"/>
        <v>2.5255206690107763</v>
      </c>
      <c r="X272" s="131">
        <f t="shared" si="185"/>
        <v>54.427194042723343</v>
      </c>
      <c r="Y272" s="131">
        <f t="shared" si="185"/>
        <v>4.8066333255867164</v>
      </c>
      <c r="Z272" s="131">
        <f t="shared" si="185"/>
        <v>0</v>
      </c>
      <c r="AA272" s="131">
        <f t="shared" si="185"/>
        <v>93.095559998168255</v>
      </c>
      <c r="AC272" s="130">
        <v>23</v>
      </c>
      <c r="AD272" s="131">
        <f>'Sta. Meteorologi pnk'!Q165</f>
        <v>0.2</v>
      </c>
      <c r="AE272" s="131">
        <f>'Sta. Meteorologi pnk'!R165</f>
        <v>0</v>
      </c>
      <c r="AF272" s="131">
        <f>'Sta. Meteorologi pnk'!S165</f>
        <v>0</v>
      </c>
      <c r="AG272" s="131">
        <f>'Sta. Meteorologi pnk'!T165</f>
        <v>0.3</v>
      </c>
      <c r="AH272" s="131">
        <f>'Sta. Meteorologi pnk'!U165</f>
        <v>0.6</v>
      </c>
      <c r="AI272" s="131">
        <f>'Sta. Meteorologi pnk'!V165</f>
        <v>61.9</v>
      </c>
      <c r="AJ272" s="131">
        <f>'Sta. Meteorologi pnk'!W165</f>
        <v>0</v>
      </c>
      <c r="AK272" s="131">
        <f>'Sta. Meteorologi pnk'!X165</f>
        <v>0</v>
      </c>
      <c r="AL272" s="131">
        <f>'Sta. Meteorologi pnk'!Y165</f>
        <v>56.3</v>
      </c>
      <c r="AM272" s="131">
        <f>'Sta. Meteorologi pnk'!Z165</f>
        <v>4.3</v>
      </c>
      <c r="AN272" s="131">
        <f>'Sta. Meteorologi pnk'!AA165</f>
        <v>0</v>
      </c>
      <c r="AO272" s="131">
        <f>'Sta. Meteorologi pnk'!AB165</f>
        <v>101.3</v>
      </c>
      <c r="AQ272" s="130">
        <v>23</v>
      </c>
      <c r="AR272" s="131">
        <f>'Sta. Meteorologi Supadio'!Q30</f>
        <v>0.4</v>
      </c>
      <c r="AS272" s="131">
        <f>'Sta. Meteorologi Supadio'!R30</f>
        <v>0</v>
      </c>
      <c r="AT272" s="131">
        <f>'Sta. Meteorologi Supadio'!S30</f>
        <v>0</v>
      </c>
      <c r="AU272" s="131">
        <f>'Sta. Meteorologi Supadio'!T30</f>
        <v>0.7</v>
      </c>
      <c r="AV272" s="131">
        <f>'Sta. Meteorologi Supadio'!U30</f>
        <v>0</v>
      </c>
      <c r="AW272" s="131">
        <f>'Sta. Meteorologi Supadio'!V30</f>
        <v>5.3</v>
      </c>
      <c r="AX272" s="131">
        <f>'Sta. Meteorologi Supadio'!W30</f>
        <v>0</v>
      </c>
      <c r="AY272" s="131">
        <f>'Sta. Meteorologi Supadio'!X30</f>
        <v>0</v>
      </c>
      <c r="AZ272" s="131">
        <f>'Sta. Meteorologi Supadio'!Y30</f>
        <v>9.1</v>
      </c>
      <c r="BA272" s="131">
        <f>'Sta. Meteorologi Supadio'!Z30</f>
        <v>16.100000000000001</v>
      </c>
      <c r="BB272" s="131">
        <f>'Sta. Meteorologi Supadio'!AA30</f>
        <v>0</v>
      </c>
      <c r="BC272" s="131">
        <f>'Sta. Meteorologi Supadio'!AB30</f>
        <v>4.0999999999999996</v>
      </c>
    </row>
    <row r="273" spans="1:55">
      <c r="A273" s="130">
        <v>24</v>
      </c>
      <c r="B273" s="131">
        <f>'Sta. Klimatologi Kalbar'!Q31</f>
        <v>0</v>
      </c>
      <c r="C273" s="131">
        <f>'Sta. Klimatologi Kalbar'!R31</f>
        <v>0</v>
      </c>
      <c r="D273" s="131">
        <f>'Sta. Klimatologi Kalbar'!S31</f>
        <v>0</v>
      </c>
      <c r="E273" s="131">
        <f>'Sta. Klimatologi Kalbar'!T31</f>
        <v>2.2999999999999998</v>
      </c>
      <c r="F273" s="131">
        <f>'Sta. Klimatologi Kalbar'!U31</f>
        <v>0</v>
      </c>
      <c r="G273" s="131">
        <f>'Sta. Klimatologi Kalbar'!V31</f>
        <v>10.8</v>
      </c>
      <c r="H273" s="131">
        <f>'Sta. Klimatologi Kalbar'!W31</f>
        <v>4.5</v>
      </c>
      <c r="I273" s="131">
        <f>'Sta. Klimatologi Kalbar'!X31</f>
        <v>26.9</v>
      </c>
      <c r="J273" s="131">
        <f>'Sta. Klimatologi Kalbar'!Y31</f>
        <v>0</v>
      </c>
      <c r="K273" s="131">
        <f>'Sta. Klimatologi Kalbar'!Z31</f>
        <v>23.5</v>
      </c>
      <c r="L273" s="131">
        <f>'Sta. Klimatologi Kalbar'!AA31</f>
        <v>17.7</v>
      </c>
      <c r="M273" s="131">
        <f>'Sta. Klimatologi Kalbar'!AB31</f>
        <v>7.2</v>
      </c>
      <c r="O273" s="130">
        <v>24</v>
      </c>
      <c r="P273" s="131">
        <f t="shared" si="185"/>
        <v>2.9625170965273258</v>
      </c>
      <c r="Q273" s="131">
        <f t="shared" si="185"/>
        <v>0</v>
      </c>
      <c r="R273" s="131">
        <f t="shared" si="185"/>
        <v>0</v>
      </c>
      <c r="S273" s="131">
        <f t="shared" si="185"/>
        <v>39.64921634429566</v>
      </c>
      <c r="T273" s="131">
        <f t="shared" si="185"/>
        <v>4.6119962938571213</v>
      </c>
      <c r="U273" s="131">
        <f t="shared" si="185"/>
        <v>21.079272967519433</v>
      </c>
      <c r="V273" s="131">
        <f t="shared" si="185"/>
        <v>18.839239699811415</v>
      </c>
      <c r="W273" s="131">
        <f t="shared" si="185"/>
        <v>14.43532989239238</v>
      </c>
      <c r="X273" s="131">
        <f t="shared" si="185"/>
        <v>5.6681292543925746E-2</v>
      </c>
      <c r="Y273" s="131">
        <f t="shared" si="185"/>
        <v>26.598565594708138</v>
      </c>
      <c r="Z273" s="131">
        <f t="shared" si="185"/>
        <v>8.8247129309626455</v>
      </c>
      <c r="AA273" s="131">
        <f t="shared" si="185"/>
        <v>3.2840864885640242</v>
      </c>
      <c r="AC273" s="130">
        <v>24</v>
      </c>
      <c r="AD273" s="131">
        <f>'Sta. Meteorologi pnk'!Q166</f>
        <v>0.9</v>
      </c>
      <c r="AE273" s="131">
        <f>'Sta. Meteorologi pnk'!R166</f>
        <v>0</v>
      </c>
      <c r="AF273" s="131">
        <f>'Sta. Meteorologi pnk'!S166</f>
        <v>0</v>
      </c>
      <c r="AG273" s="131">
        <f>'Sta. Meteorologi pnk'!T166</f>
        <v>54.1</v>
      </c>
      <c r="AH273" s="131">
        <f>'Sta. Meteorologi pnk'!U166</f>
        <v>6.5</v>
      </c>
      <c r="AI273" s="131">
        <f>'Sta. Meteorologi pnk'!V166</f>
        <v>23.4</v>
      </c>
      <c r="AJ273" s="131">
        <f>'Sta. Meteorologi pnk'!W166</f>
        <v>24.2</v>
      </c>
      <c r="AK273" s="131">
        <f>'Sta. Meteorologi pnk'!X166</f>
        <v>11.2</v>
      </c>
      <c r="AL273" s="131">
        <f>'Sta. Meteorologi pnk'!Y166</f>
        <v>0</v>
      </c>
      <c r="AM273" s="131">
        <f>'Sta. Meteorologi pnk'!Z166</f>
        <v>25.8</v>
      </c>
      <c r="AN273" s="131">
        <f>'Sta. Meteorologi pnk'!AA166</f>
        <v>6.2</v>
      </c>
      <c r="AO273" s="131">
        <f>'Sta. Meteorologi pnk'!AB166</f>
        <v>2.4</v>
      </c>
      <c r="AQ273" s="130">
        <v>24</v>
      </c>
      <c r="AR273" s="131">
        <f>'Sta. Meteorologi Supadio'!Q31</f>
        <v>32.799999999999997</v>
      </c>
      <c r="AS273" s="131">
        <f>'Sta. Meteorologi Supadio'!R31</f>
        <v>0</v>
      </c>
      <c r="AT273" s="131">
        <f>'Sta. Meteorologi Supadio'!S31</f>
        <v>0</v>
      </c>
      <c r="AU273" s="131">
        <f>'Sta. Meteorologi Supadio'!T31</f>
        <v>10.7</v>
      </c>
      <c r="AV273" s="131">
        <f>'Sta. Meteorologi Supadio'!U31</f>
        <v>0</v>
      </c>
      <c r="AW273" s="131">
        <f>'Sta. Meteorologi Supadio'!V31</f>
        <v>29.7</v>
      </c>
      <c r="AX273" s="131">
        <f>'Sta. Meteorologi Supadio'!W31</f>
        <v>9.6</v>
      </c>
      <c r="AY273" s="131">
        <f>'Sta. Meteorologi Supadio'!X31</f>
        <v>8.1999999999999993</v>
      </c>
      <c r="AZ273" s="131">
        <f>'Sta. Meteorologi Supadio'!Y31</f>
        <v>0.8</v>
      </c>
      <c r="BA273" s="131">
        <f>'Sta. Meteorologi Supadio'!Z31</f>
        <v>44.2</v>
      </c>
      <c r="BB273" s="131">
        <f>'Sta. Meteorologi Supadio'!AA31</f>
        <v>7.6</v>
      </c>
      <c r="BC273" s="131">
        <f>'Sta. Meteorologi Supadio'!AB31</f>
        <v>0</v>
      </c>
    </row>
    <row r="274" spans="1:55">
      <c r="A274" s="130">
        <v>25</v>
      </c>
      <c r="B274" s="131">
        <f>'Sta. Klimatologi Kalbar'!Q32</f>
        <v>0</v>
      </c>
      <c r="C274" s="131">
        <f>'Sta. Klimatologi Kalbar'!R32</f>
        <v>22.5</v>
      </c>
      <c r="D274" s="131">
        <f>'Sta. Klimatologi Kalbar'!S32</f>
        <v>0</v>
      </c>
      <c r="E274" s="131">
        <f>'Sta. Klimatologi Kalbar'!T32</f>
        <v>11.3</v>
      </c>
      <c r="F274" s="131">
        <f>'Sta. Klimatologi Kalbar'!U32</f>
        <v>24.2</v>
      </c>
      <c r="G274" s="131">
        <f>'Sta. Klimatologi Kalbar'!V32</f>
        <v>21.5</v>
      </c>
      <c r="H274" s="131">
        <f>'Sta. Klimatologi Kalbar'!W32</f>
        <v>4.5</v>
      </c>
      <c r="I274" s="131">
        <f>'Sta. Klimatologi Kalbar'!X32</f>
        <v>1.2</v>
      </c>
      <c r="J274" s="131">
        <f>'Sta. Klimatologi Kalbar'!Y32</f>
        <v>0</v>
      </c>
      <c r="K274" s="131">
        <f>'Sta. Klimatologi Kalbar'!Z32</f>
        <v>32</v>
      </c>
      <c r="L274" s="131">
        <f>'Sta. Klimatologi Kalbar'!AA32</f>
        <v>0</v>
      </c>
      <c r="M274" s="131">
        <f>'Sta. Klimatologi Kalbar'!AB32</f>
        <v>0</v>
      </c>
      <c r="O274" s="130">
        <v>25</v>
      </c>
      <c r="P274" s="131">
        <f t="shared" si="185"/>
        <v>0</v>
      </c>
      <c r="Q274" s="131">
        <f t="shared" si="185"/>
        <v>22.395868219063619</v>
      </c>
      <c r="R274" s="131">
        <f t="shared" si="185"/>
        <v>0.49667652395384376</v>
      </c>
      <c r="S274" s="131">
        <f t="shared" si="185"/>
        <v>33.630209827782558</v>
      </c>
      <c r="T274" s="131">
        <f t="shared" si="185"/>
        <v>5.3145739295705026</v>
      </c>
      <c r="U274" s="131">
        <f t="shared" si="185"/>
        <v>27.161519767026952</v>
      </c>
      <c r="V274" s="131">
        <f t="shared" si="185"/>
        <v>31.704698813103814</v>
      </c>
      <c r="W274" s="131">
        <f t="shared" si="185"/>
        <v>1.8882824066586616</v>
      </c>
      <c r="X274" s="131">
        <f t="shared" si="185"/>
        <v>1.419075782725268</v>
      </c>
      <c r="Y274" s="131">
        <f t="shared" si="185"/>
        <v>17.41431224715425</v>
      </c>
      <c r="Z274" s="131">
        <f t="shared" si="185"/>
        <v>0</v>
      </c>
      <c r="AA274" s="131">
        <f t="shared" si="185"/>
        <v>0</v>
      </c>
      <c r="AC274" s="130">
        <v>25</v>
      </c>
      <c r="AD274" s="131">
        <f>'Sta. Meteorologi pnk'!Q167</f>
        <v>0</v>
      </c>
      <c r="AE274" s="131">
        <f>'Sta. Meteorologi pnk'!R167</f>
        <v>24.6</v>
      </c>
      <c r="AF274" s="131">
        <f>'Sta. Meteorologi pnk'!S167</f>
        <v>0.7</v>
      </c>
      <c r="AG274" s="131">
        <f>'Sta. Meteorologi pnk'!T167</f>
        <v>43.8</v>
      </c>
      <c r="AH274" s="131">
        <f>'Sta. Meteorologi pnk'!U167</f>
        <v>0</v>
      </c>
      <c r="AI274" s="131">
        <f>'Sta. Meteorologi pnk'!V167</f>
        <v>28.9</v>
      </c>
      <c r="AJ274" s="131">
        <f>'Sta. Meteorologi pnk'!W167</f>
        <v>36.9</v>
      </c>
      <c r="AK274" s="131">
        <f>'Sta. Meteorologi pnk'!X167</f>
        <v>2.2000000000000002</v>
      </c>
      <c r="AL274" s="131">
        <f>'Sta. Meteorologi pnk'!Y167</f>
        <v>2</v>
      </c>
      <c r="AM274" s="131">
        <f>'Sta. Meteorologi pnk'!Z167</f>
        <v>13.8</v>
      </c>
      <c r="AN274" s="131">
        <f>'Sta. Meteorologi pnk'!AA167</f>
        <v>0</v>
      </c>
      <c r="AO274" s="131">
        <f>'Sta. Meteorologi pnk'!AB167</f>
        <v>0</v>
      </c>
      <c r="AQ274" s="130">
        <v>25</v>
      </c>
      <c r="AR274" s="131">
        <f>'Sta. Meteorologi Supadio'!Q32</f>
        <v>0</v>
      </c>
      <c r="AS274" s="131">
        <f>'Sta. Meteorologi Supadio'!R32</f>
        <v>0</v>
      </c>
      <c r="AT274" s="131">
        <f>'Sta. Meteorologi Supadio'!S32</f>
        <v>0</v>
      </c>
      <c r="AU274" s="131">
        <f>'Sta. Meteorologi Supadio'!T32</f>
        <v>1</v>
      </c>
      <c r="AV274" s="131">
        <f>'Sta. Meteorologi Supadio'!U32</f>
        <v>0</v>
      </c>
      <c r="AW274" s="131">
        <f>'Sta. Meteorologi Supadio'!V32</f>
        <v>27.3</v>
      </c>
      <c r="AX274" s="131">
        <f>'Sta. Meteorologi Supadio'!W32</f>
        <v>64</v>
      </c>
      <c r="AY274" s="131">
        <f>'Sta. Meteorologi Supadio'!X32</f>
        <v>0.9</v>
      </c>
      <c r="AZ274" s="131">
        <f>'Sta. Meteorologi Supadio'!Y32</f>
        <v>0</v>
      </c>
      <c r="BA274" s="131">
        <f>'Sta. Meteorologi Supadio'!Z32</f>
        <v>8.4</v>
      </c>
      <c r="BB274" s="131">
        <f>'Sta. Meteorologi Supadio'!AA32</f>
        <v>0</v>
      </c>
      <c r="BC274" s="131">
        <f>'Sta. Meteorologi Supadio'!AB32</f>
        <v>0</v>
      </c>
    </row>
    <row r="275" spans="1:55">
      <c r="A275" s="130">
        <v>26</v>
      </c>
      <c r="B275" s="131">
        <f>'Sta. Klimatologi Kalbar'!Q33</f>
        <v>0</v>
      </c>
      <c r="C275" s="131">
        <f>'Sta. Klimatologi Kalbar'!R33</f>
        <v>0</v>
      </c>
      <c r="D275" s="131">
        <f>'Sta. Klimatologi Kalbar'!S33</f>
        <v>0</v>
      </c>
      <c r="E275" s="131">
        <f>'Sta. Klimatologi Kalbar'!T33</f>
        <v>0</v>
      </c>
      <c r="F275" s="131">
        <f>'Sta. Klimatologi Kalbar'!U33</f>
        <v>16.5</v>
      </c>
      <c r="G275" s="131">
        <f>'Sta. Klimatologi Kalbar'!V33</f>
        <v>11</v>
      </c>
      <c r="H275" s="131">
        <f>'Sta. Klimatologi Kalbar'!W33</f>
        <v>2.2000000000000002</v>
      </c>
      <c r="I275" s="131">
        <f>'Sta. Klimatologi Kalbar'!X33</f>
        <v>0</v>
      </c>
      <c r="J275" s="131">
        <f>'Sta. Klimatologi Kalbar'!Y33</f>
        <v>23.9</v>
      </c>
      <c r="K275" s="131">
        <f>'Sta. Klimatologi Kalbar'!Z33</f>
        <v>25.3</v>
      </c>
      <c r="L275" s="131">
        <f>'Sta. Klimatologi Kalbar'!AA33</f>
        <v>4</v>
      </c>
      <c r="M275" s="131">
        <f>'Sta. Klimatologi Kalbar'!AB33</f>
        <v>0</v>
      </c>
      <c r="O275" s="130">
        <v>26</v>
      </c>
      <c r="P275" s="131">
        <f t="shared" si="185"/>
        <v>1.8872073134944365</v>
      </c>
      <c r="Q275" s="131">
        <f t="shared" si="185"/>
        <v>0</v>
      </c>
      <c r="R275" s="131">
        <f t="shared" si="185"/>
        <v>11.67184722618715</v>
      </c>
      <c r="S275" s="131">
        <f t="shared" si="185"/>
        <v>6.3691163627188185</v>
      </c>
      <c r="T275" s="131">
        <f t="shared" si="185"/>
        <v>25.661350041622246</v>
      </c>
      <c r="U275" s="131">
        <f t="shared" si="185"/>
        <v>24.766159000455016</v>
      </c>
      <c r="V275" s="131">
        <f t="shared" si="185"/>
        <v>1.4335764691807278</v>
      </c>
      <c r="W275" s="131">
        <f t="shared" si="185"/>
        <v>0</v>
      </c>
      <c r="X275" s="131">
        <f t="shared" si="185"/>
        <v>12.202162117037078</v>
      </c>
      <c r="Y275" s="131">
        <f t="shared" si="185"/>
        <v>12.132979336054094</v>
      </c>
      <c r="Z275" s="131">
        <f t="shared" si="185"/>
        <v>4.851751990004229</v>
      </c>
      <c r="AA275" s="131">
        <f t="shared" si="185"/>
        <v>0</v>
      </c>
      <c r="AC275" s="130">
        <v>26</v>
      </c>
      <c r="AD275" s="131">
        <f>'Sta. Meteorologi pnk'!Q168</f>
        <v>2.5</v>
      </c>
      <c r="AE275" s="131">
        <f>'Sta. Meteorologi pnk'!R168</f>
        <v>0</v>
      </c>
      <c r="AF275" s="131">
        <f>'Sta. Meteorologi pnk'!S168</f>
        <v>16.399999999999999</v>
      </c>
      <c r="AG275" s="131">
        <f>'Sta. Meteorologi pnk'!T168</f>
        <v>6.5</v>
      </c>
      <c r="AH275" s="131">
        <f>'Sta. Meteorologi pnk'!U168</f>
        <v>30.6</v>
      </c>
      <c r="AI275" s="131">
        <f>'Sta. Meteorologi pnk'!V168</f>
        <v>31.5</v>
      </c>
      <c r="AJ275" s="131">
        <f>'Sta. Meteorologi pnk'!W168</f>
        <v>1</v>
      </c>
      <c r="AK275" s="131">
        <f>'Sta. Meteorologi pnk'!X168</f>
        <v>0</v>
      </c>
      <c r="AL275" s="131">
        <f>'Sta. Meteorologi pnk'!Y168</f>
        <v>9.8000000000000007</v>
      </c>
      <c r="AM275" s="131">
        <f>'Sta. Meteorologi pnk'!Z168</f>
        <v>8.6999999999999993</v>
      </c>
      <c r="AN275" s="131">
        <f>'Sta. Meteorologi pnk'!AA168</f>
        <v>5.5</v>
      </c>
      <c r="AO275" s="131">
        <f>'Sta. Meteorologi pnk'!AB168</f>
        <v>0</v>
      </c>
      <c r="AQ275" s="130">
        <v>26</v>
      </c>
      <c r="AR275" s="131">
        <f>'Sta. Meteorologi Supadio'!Q33</f>
        <v>1.6</v>
      </c>
      <c r="AS275" s="131">
        <f>'Sta. Meteorologi Supadio'!R33</f>
        <v>0</v>
      </c>
      <c r="AT275" s="131">
        <f>'Sta. Meteorologi Supadio'!S33</f>
        <v>0.5</v>
      </c>
      <c r="AU275" s="131">
        <f>'Sta. Meteorologi Supadio'!T33</f>
        <v>24.8</v>
      </c>
      <c r="AV275" s="131">
        <f>'Sta. Meteorologi Supadio'!U33</f>
        <v>4.5999999999999996</v>
      </c>
      <c r="AW275" s="131">
        <f>'Sta. Meteorologi Supadio'!V33</f>
        <v>0</v>
      </c>
      <c r="AX275" s="131">
        <f>'Sta. Meteorologi Supadio'!W33</f>
        <v>3.4</v>
      </c>
      <c r="AY275" s="131">
        <f>'Sta. Meteorologi Supadio'!X33</f>
        <v>0</v>
      </c>
      <c r="AZ275" s="131">
        <f>'Sta. Meteorologi Supadio'!Y33</f>
        <v>0</v>
      </c>
      <c r="BA275" s="131">
        <f>'Sta. Meteorologi Supadio'!Z33</f>
        <v>5.7</v>
      </c>
      <c r="BB275" s="131">
        <f>'Sta. Meteorologi Supadio'!AA33</f>
        <v>1</v>
      </c>
      <c r="BC275" s="131">
        <f>'Sta. Meteorologi Supadio'!AB33</f>
        <v>0</v>
      </c>
    </row>
    <row r="276" spans="1:55">
      <c r="A276" s="130">
        <v>27</v>
      </c>
      <c r="B276" s="131">
        <f>'Sta. Klimatologi Kalbar'!Q34</f>
        <v>0</v>
      </c>
      <c r="C276" s="131">
        <f>'Sta. Klimatologi Kalbar'!R34</f>
        <v>0</v>
      </c>
      <c r="D276" s="131">
        <f>'Sta. Klimatologi Kalbar'!S34</f>
        <v>0</v>
      </c>
      <c r="E276" s="131">
        <f>'Sta. Klimatologi Kalbar'!T34</f>
        <v>0</v>
      </c>
      <c r="F276" s="131">
        <f>'Sta. Klimatologi Kalbar'!U34</f>
        <v>0</v>
      </c>
      <c r="G276" s="131">
        <f>'Sta. Klimatologi Kalbar'!V34</f>
        <v>0</v>
      </c>
      <c r="H276" s="131">
        <f>'Sta. Klimatologi Kalbar'!W34</f>
        <v>41.2</v>
      </c>
      <c r="I276" s="131">
        <f>'Sta. Klimatologi Kalbar'!X34</f>
        <v>40.9</v>
      </c>
      <c r="J276" s="131">
        <f>'Sta. Klimatologi Kalbar'!Y34</f>
        <v>44.5</v>
      </c>
      <c r="K276" s="131">
        <f>'Sta. Klimatologi Kalbar'!Z34</f>
        <v>9.1999999999999993</v>
      </c>
      <c r="L276" s="131">
        <f>'Sta. Klimatologi Kalbar'!AA34</f>
        <v>21.5</v>
      </c>
      <c r="M276" s="131">
        <f>'Sta. Klimatologi Kalbar'!AB34</f>
        <v>0</v>
      </c>
      <c r="O276" s="130">
        <v>27</v>
      </c>
      <c r="P276" s="131">
        <f t="shared" si="185"/>
        <v>4.9510623145571122</v>
      </c>
      <c r="Q276" s="131">
        <f t="shared" si="185"/>
        <v>0</v>
      </c>
      <c r="R276" s="131">
        <f t="shared" si="185"/>
        <v>0</v>
      </c>
      <c r="S276" s="131">
        <f t="shared" si="185"/>
        <v>16.574743838157318</v>
      </c>
      <c r="T276" s="131">
        <f t="shared" si="185"/>
        <v>0</v>
      </c>
      <c r="U276" s="131">
        <f t="shared" si="185"/>
        <v>0</v>
      </c>
      <c r="V276" s="131">
        <f t="shared" si="185"/>
        <v>33.604435471824289</v>
      </c>
      <c r="W276" s="131">
        <f t="shared" si="185"/>
        <v>23.085761581269733</v>
      </c>
      <c r="X276" s="131">
        <f t="shared" si="185"/>
        <v>69.090034654523109</v>
      </c>
      <c r="Y276" s="131">
        <f t="shared" si="185"/>
        <v>7.462194120171505</v>
      </c>
      <c r="Z276" s="131">
        <f t="shared" si="185"/>
        <v>7.9854998988534796</v>
      </c>
      <c r="AA276" s="131">
        <f t="shared" si="185"/>
        <v>0</v>
      </c>
      <c r="AC276" s="130">
        <v>27</v>
      </c>
      <c r="AD276" s="131">
        <f>'Sta. Meteorologi pnk'!Q169</f>
        <v>5.5</v>
      </c>
      <c r="AE276" s="131">
        <f>'Sta. Meteorologi pnk'!R169</f>
        <v>0</v>
      </c>
      <c r="AF276" s="131">
        <f>'Sta. Meteorologi pnk'!S169</f>
        <v>0</v>
      </c>
      <c r="AG276" s="131">
        <f>'Sta. Meteorologi pnk'!T169</f>
        <v>23.3</v>
      </c>
      <c r="AH276" s="131">
        <f>'Sta. Meteorologi pnk'!U169</f>
        <v>0</v>
      </c>
      <c r="AI276" s="131">
        <f>'Sta. Meteorologi pnk'!V169</f>
        <v>0</v>
      </c>
      <c r="AJ276" s="131">
        <f>'Sta. Meteorologi pnk'!W169</f>
        <v>34</v>
      </c>
      <c r="AK276" s="131">
        <f>'Sta. Meteorologi pnk'!X169</f>
        <v>18</v>
      </c>
      <c r="AL276" s="131">
        <f>'Sta. Meteorologi pnk'!Y169</f>
        <v>83.6</v>
      </c>
      <c r="AM276" s="131">
        <f>'Sta. Meteorologi pnk'!Z169</f>
        <v>7.3</v>
      </c>
      <c r="AN276" s="131">
        <f>'Sta. Meteorologi pnk'!AA169</f>
        <v>4.5999999999999996</v>
      </c>
      <c r="AO276" s="131">
        <f>'Sta. Meteorologi pnk'!AB169</f>
        <v>0</v>
      </c>
      <c r="AQ276" s="130">
        <v>27</v>
      </c>
      <c r="AR276" s="131">
        <f>'Sta. Meteorologi Supadio'!Q34</f>
        <v>14.8</v>
      </c>
      <c r="AS276" s="131">
        <f>'Sta. Meteorologi Supadio'!R34</f>
        <v>0</v>
      </c>
      <c r="AT276" s="131">
        <f>'Sta. Meteorologi Supadio'!S34</f>
        <v>0</v>
      </c>
      <c r="AU276" s="131">
        <f>'Sta. Meteorologi Supadio'!T34</f>
        <v>0.6</v>
      </c>
      <c r="AV276" s="131">
        <f>'Sta. Meteorologi Supadio'!U34</f>
        <v>0</v>
      </c>
      <c r="AW276" s="131">
        <f>'Sta. Meteorologi Supadio'!V34</f>
        <v>0</v>
      </c>
      <c r="AX276" s="131">
        <f>'Sta. Meteorologi Supadio'!W34</f>
        <v>6.1</v>
      </c>
      <c r="AY276" s="131">
        <f>'Sta. Meteorologi Supadio'!X34</f>
        <v>18.8</v>
      </c>
      <c r="AZ276" s="131">
        <f>'Sta. Meteorologi Supadio'!Y34</f>
        <v>0</v>
      </c>
      <c r="BA276" s="131">
        <f>'Sta. Meteorologi Supadio'!Z34</f>
        <v>3.7</v>
      </c>
      <c r="BB276" s="131">
        <f>'Sta. Meteorologi Supadio'!AA34</f>
        <v>0</v>
      </c>
      <c r="BC276" s="131">
        <f>'Sta. Meteorologi Supadio'!AB34</f>
        <v>0</v>
      </c>
    </row>
    <row r="277" spans="1:55">
      <c r="A277" s="130">
        <v>28</v>
      </c>
      <c r="B277" s="131">
        <f>'Sta. Klimatologi Kalbar'!Q35</f>
        <v>0</v>
      </c>
      <c r="C277" s="131">
        <f>'Sta. Klimatologi Kalbar'!R35</f>
        <v>0</v>
      </c>
      <c r="D277" s="131">
        <f>'Sta. Klimatologi Kalbar'!S35</f>
        <v>0</v>
      </c>
      <c r="E277" s="131">
        <f>'Sta. Klimatologi Kalbar'!T35</f>
        <v>8.5</v>
      </c>
      <c r="F277" s="131">
        <f>'Sta. Klimatologi Kalbar'!U35</f>
        <v>0</v>
      </c>
      <c r="G277" s="131">
        <f>'Sta. Klimatologi Kalbar'!V35</f>
        <v>0</v>
      </c>
      <c r="H277" s="131">
        <f>'Sta. Klimatologi Kalbar'!W35</f>
        <v>0</v>
      </c>
      <c r="I277" s="131">
        <f>'Sta. Klimatologi Kalbar'!X35</f>
        <v>35.299999999999997</v>
      </c>
      <c r="J277" s="131">
        <f>'Sta. Klimatologi Kalbar'!Y35</f>
        <v>5</v>
      </c>
      <c r="K277" s="131">
        <f>'Sta. Klimatologi Kalbar'!Z35</f>
        <v>12.8</v>
      </c>
      <c r="L277" s="131">
        <f>'Sta. Klimatologi Kalbar'!AA35</f>
        <v>0</v>
      </c>
      <c r="M277" s="131">
        <f>'Sta. Klimatologi Kalbar'!AB35</f>
        <v>0</v>
      </c>
      <c r="O277" s="130">
        <v>28</v>
      </c>
      <c r="P277" s="131">
        <f t="shared" si="185"/>
        <v>1.531723153618626</v>
      </c>
      <c r="Q277" s="131">
        <f t="shared" si="185"/>
        <v>0</v>
      </c>
      <c r="R277" s="131">
        <f t="shared" si="185"/>
        <v>0</v>
      </c>
      <c r="S277" s="131">
        <f t="shared" si="185"/>
        <v>1.8666891901383997</v>
      </c>
      <c r="T277" s="131">
        <f t="shared" si="185"/>
        <v>10.799146271848016</v>
      </c>
      <c r="U277" s="131">
        <f t="shared" si="185"/>
        <v>0</v>
      </c>
      <c r="V277" s="131">
        <f t="shared" si="185"/>
        <v>0</v>
      </c>
      <c r="W277" s="131">
        <f t="shared" si="185"/>
        <v>34.2188663299548</v>
      </c>
      <c r="X277" s="131">
        <f t="shared" si="185"/>
        <v>1.098052464787294</v>
      </c>
      <c r="Y277" s="131">
        <f t="shared" si="185"/>
        <v>7.0324071563658972</v>
      </c>
      <c r="Z277" s="131">
        <f t="shared" si="185"/>
        <v>0.56763031309010725</v>
      </c>
      <c r="AA277" s="131">
        <f t="shared" si="185"/>
        <v>0</v>
      </c>
      <c r="AC277" s="130">
        <v>28</v>
      </c>
      <c r="AD277" s="131">
        <f>'Sta. Meteorologi pnk'!Q170</f>
        <v>1.3</v>
      </c>
      <c r="AE277" s="131">
        <f>'Sta. Meteorologi pnk'!R170</f>
        <v>0</v>
      </c>
      <c r="AF277" s="131">
        <f>'Sta. Meteorologi pnk'!S170</f>
        <v>0</v>
      </c>
      <c r="AG277" s="131">
        <f>'Sta. Meteorologi pnk'!T170</f>
        <v>0</v>
      </c>
      <c r="AH277" s="131">
        <f>'Sta. Meteorologi pnk'!U170</f>
        <v>15.2</v>
      </c>
      <c r="AI277" s="131">
        <f>'Sta. Meteorologi pnk'!V170</f>
        <v>0</v>
      </c>
      <c r="AJ277" s="131">
        <f>'Sta. Meteorologi pnk'!W170</f>
        <v>0</v>
      </c>
      <c r="AK277" s="131">
        <f>'Sta. Meteorologi pnk'!X170</f>
        <v>31.2</v>
      </c>
      <c r="AL277" s="131">
        <f>'Sta. Meteorologi pnk'!Y170</f>
        <v>0</v>
      </c>
      <c r="AM277" s="131">
        <f>'Sta. Meteorologi pnk'!Z170</f>
        <v>5.6</v>
      </c>
      <c r="AN277" s="131">
        <f>'Sta. Meteorologi pnk'!AA170</f>
        <v>0.8</v>
      </c>
      <c r="AO277" s="131">
        <f>'Sta. Meteorologi pnk'!AB170</f>
        <v>0</v>
      </c>
      <c r="AQ277" s="130">
        <v>28</v>
      </c>
      <c r="AR277" s="131">
        <f>'Sta. Meteorologi Supadio'!Q35</f>
        <v>8.6</v>
      </c>
      <c r="AS277" s="131">
        <f>'Sta. Meteorologi Supadio'!R35</f>
        <v>0</v>
      </c>
      <c r="AT277" s="131">
        <f>'Sta. Meteorologi Supadio'!S35</f>
        <v>0</v>
      </c>
      <c r="AU277" s="131">
        <f>'Sta. Meteorologi Supadio'!T35</f>
        <v>0</v>
      </c>
      <c r="AV277" s="131">
        <f>'Sta. Meteorologi Supadio'!U35</f>
        <v>0.2</v>
      </c>
      <c r="AW277" s="131">
        <f>'Sta. Meteorologi Supadio'!V35</f>
        <v>0</v>
      </c>
      <c r="AX277" s="131">
        <f>'Sta. Meteorologi Supadio'!W35</f>
        <v>0</v>
      </c>
      <c r="AY277" s="131">
        <f>'Sta. Meteorologi Supadio'!X35</f>
        <v>61.1</v>
      </c>
      <c r="AZ277" s="131">
        <f>'Sta. Meteorologi Supadio'!Y35</f>
        <v>0</v>
      </c>
      <c r="BA277" s="131">
        <f>'Sta. Meteorologi Supadio'!Z35</f>
        <v>3.5</v>
      </c>
      <c r="BB277" s="131">
        <f>'Sta. Meteorologi Supadio'!AA35</f>
        <v>0</v>
      </c>
      <c r="BC277" s="131">
        <f>'Sta. Meteorologi Supadio'!AB35</f>
        <v>0</v>
      </c>
    </row>
    <row r="278" spans="1:55">
      <c r="A278" s="130">
        <v>29</v>
      </c>
      <c r="B278" s="131">
        <f>'Sta. Klimatologi Kalbar'!Q36</f>
        <v>0</v>
      </c>
      <c r="C278" s="131">
        <f>'Sta. Klimatologi Kalbar'!R36</f>
        <v>0</v>
      </c>
      <c r="D278" s="131">
        <f>'Sta. Klimatologi Kalbar'!S36</f>
        <v>0</v>
      </c>
      <c r="E278" s="131">
        <f>'Sta. Klimatologi Kalbar'!T36</f>
        <v>0</v>
      </c>
      <c r="F278" s="131">
        <f>'Sta. Klimatologi Kalbar'!U36</f>
        <v>0</v>
      </c>
      <c r="G278" s="131">
        <f>'Sta. Klimatologi Kalbar'!V36</f>
        <v>0</v>
      </c>
      <c r="H278" s="131">
        <f>'Sta. Klimatologi Kalbar'!W36</f>
        <v>3.7</v>
      </c>
      <c r="I278" s="131">
        <f>'Sta. Klimatologi Kalbar'!X36</f>
        <v>23.3</v>
      </c>
      <c r="J278" s="131">
        <f>'Sta. Klimatologi Kalbar'!Y36</f>
        <v>3.1</v>
      </c>
      <c r="K278" s="131">
        <f>'Sta. Klimatologi Kalbar'!Z36</f>
        <v>7.7</v>
      </c>
      <c r="L278" s="131">
        <f>'Sta. Klimatologi Kalbar'!AA36</f>
        <v>1</v>
      </c>
      <c r="M278" s="131">
        <f>'Sta. Klimatologi Kalbar'!AB36</f>
        <v>0</v>
      </c>
      <c r="O278" s="130">
        <v>29</v>
      </c>
      <c r="P278" s="131">
        <f t="shared" si="185"/>
        <v>0</v>
      </c>
      <c r="Q278" s="131">
        <f t="shared" si="185"/>
        <v>0</v>
      </c>
      <c r="R278" s="131">
        <f t="shared" si="185"/>
        <v>0</v>
      </c>
      <c r="S278" s="131">
        <f t="shared" si="185"/>
        <v>0</v>
      </c>
      <c r="T278" s="131">
        <f t="shared" si="185"/>
        <v>0.552642602303276</v>
      </c>
      <c r="U278" s="131">
        <f t="shared" si="185"/>
        <v>24.272259311606508</v>
      </c>
      <c r="V278" s="131">
        <f t="shared" si="185"/>
        <v>1.5220967153052316</v>
      </c>
      <c r="W278" s="131">
        <f t="shared" si="185"/>
        <v>5.1169244859087906</v>
      </c>
      <c r="X278" s="131">
        <f t="shared" si="185"/>
        <v>2.0288123483007703</v>
      </c>
      <c r="Y278" s="131">
        <f t="shared" si="185"/>
        <v>11.935563169646406</v>
      </c>
      <c r="Z278" s="131">
        <f t="shared" si="185"/>
        <v>0.2196104929574588</v>
      </c>
      <c r="AA278" s="131">
        <f t="shared" si="185"/>
        <v>0</v>
      </c>
      <c r="AC278" s="130">
        <v>29</v>
      </c>
      <c r="AD278" s="131">
        <f>'Sta. Meteorologi pnk'!Q171</f>
        <v>0</v>
      </c>
      <c r="AE278" s="131">
        <f>'Sta. Meteorologi pnk'!R171</f>
        <v>0</v>
      </c>
      <c r="AF278" s="131">
        <f>'Sta. Meteorologi pnk'!S171</f>
        <v>0</v>
      </c>
      <c r="AG278" s="131">
        <f>'Sta. Meteorologi pnk'!T171</f>
        <v>0</v>
      </c>
      <c r="AH278" s="131">
        <f>'Sta. Meteorologi pnk'!U171</f>
        <v>0</v>
      </c>
      <c r="AI278" s="131">
        <f>'Sta. Meteorologi pnk'!V171</f>
        <v>33.200000000000003</v>
      </c>
      <c r="AJ278" s="131">
        <f>'Sta. Meteorologi pnk'!W171</f>
        <v>1</v>
      </c>
      <c r="AK278" s="131">
        <f>'Sta. Meteorologi pnk'!X171</f>
        <v>0</v>
      </c>
      <c r="AL278" s="131">
        <f>'Sta. Meteorologi pnk'!Y171</f>
        <v>1.8</v>
      </c>
      <c r="AM278" s="131">
        <f>'Sta. Meteorologi pnk'!Z171</f>
        <v>13.3</v>
      </c>
      <c r="AN278" s="131">
        <f>'Sta. Meteorologi pnk'!AA171</f>
        <v>0</v>
      </c>
      <c r="AO278" s="131">
        <f>'Sta. Meteorologi pnk'!AB171</f>
        <v>0</v>
      </c>
      <c r="AQ278" s="130">
        <v>29</v>
      </c>
      <c r="AR278" s="131">
        <f>'Sta. Meteorologi Supadio'!Q36</f>
        <v>0</v>
      </c>
      <c r="AS278" s="131">
        <f>'Sta. Meteorologi Supadio'!R36</f>
        <v>0</v>
      </c>
      <c r="AT278" s="131">
        <f>'Sta. Meteorologi Supadio'!S36</f>
        <v>0</v>
      </c>
      <c r="AU278" s="131">
        <f>'Sta. Meteorologi Supadio'!T36</f>
        <v>0</v>
      </c>
      <c r="AV278" s="131">
        <f>'Sta. Meteorologi Supadio'!U36</f>
        <v>7.8</v>
      </c>
      <c r="AW278" s="131">
        <f>'Sta. Meteorologi Supadio'!V36</f>
        <v>10.1</v>
      </c>
      <c r="AX278" s="131">
        <f>'Sta. Meteorologi Supadio'!W36</f>
        <v>0</v>
      </c>
      <c r="AY278" s="131">
        <f>'Sta. Meteorologi Supadio'!X36</f>
        <v>0</v>
      </c>
      <c r="AZ278" s="131">
        <f>'Sta. Meteorologi Supadio'!Y36</f>
        <v>1</v>
      </c>
      <c r="BA278" s="131">
        <f>'Sta. Meteorologi Supadio'!Z36</f>
        <v>11.4</v>
      </c>
      <c r="BB278" s="131">
        <f>'Sta. Meteorologi Supadio'!AA36</f>
        <v>0</v>
      </c>
      <c r="BC278" s="131">
        <f>'Sta. Meteorologi Supadio'!AB36</f>
        <v>0</v>
      </c>
    </row>
    <row r="279" spans="1:55">
      <c r="A279" s="130">
        <v>30</v>
      </c>
      <c r="B279" s="131">
        <f>'Sta. Klimatologi Kalbar'!Q37</f>
        <v>0</v>
      </c>
      <c r="C279" s="131">
        <f>'Sta. Klimatologi Kalbar'!R37</f>
        <v>0</v>
      </c>
      <c r="D279" s="131">
        <f>'Sta. Klimatologi Kalbar'!S37</f>
        <v>0</v>
      </c>
      <c r="E279" s="131">
        <f>'Sta. Klimatologi Kalbar'!T37</f>
        <v>0</v>
      </c>
      <c r="F279" s="131">
        <f>'Sta. Klimatologi Kalbar'!U37</f>
        <v>0</v>
      </c>
      <c r="G279" s="131">
        <f>'Sta. Klimatologi Kalbar'!V37</f>
        <v>1.5</v>
      </c>
      <c r="H279" s="131">
        <f>'Sta. Klimatologi Kalbar'!W37</f>
        <v>5.4</v>
      </c>
      <c r="I279" s="131">
        <f>'Sta. Klimatologi Kalbar'!X37</f>
        <v>27.2</v>
      </c>
      <c r="J279" s="131">
        <f>'Sta. Klimatologi Kalbar'!Y37</f>
        <v>0.1</v>
      </c>
      <c r="K279" s="131">
        <f>'Sta. Klimatologi Kalbar'!Z37</f>
        <v>6</v>
      </c>
      <c r="L279" s="131">
        <f>'Sta. Klimatologi Kalbar'!AA37</f>
        <v>1.6</v>
      </c>
      <c r="M279" s="131">
        <f>'Sta. Klimatologi Kalbar'!AB37</f>
        <v>0</v>
      </c>
      <c r="O279" s="130">
        <v>30</v>
      </c>
      <c r="P279" s="131">
        <f t="shared" si="185"/>
        <v>0</v>
      </c>
      <c r="Q279" s="131">
        <f t="shared" si="185"/>
        <v>0</v>
      </c>
      <c r="R279" s="131">
        <f t="shared" si="185"/>
        <v>0</v>
      </c>
      <c r="S279" s="131">
        <f t="shared" si="185"/>
        <v>0</v>
      </c>
      <c r="T279" s="131">
        <f t="shared" si="185"/>
        <v>0</v>
      </c>
      <c r="U279" s="131">
        <f t="shared" si="185"/>
        <v>5.2106481728769563</v>
      </c>
      <c r="V279" s="131">
        <f t="shared" si="185"/>
        <v>2.789390992376017</v>
      </c>
      <c r="W279" s="131">
        <f t="shared" si="185"/>
        <v>16.48638653424965</v>
      </c>
      <c r="X279" s="131">
        <f t="shared" si="185"/>
        <v>0.58959136238585308</v>
      </c>
      <c r="Y279" s="131">
        <f t="shared" si="185"/>
        <v>3.8010455775139715</v>
      </c>
      <c r="Z279" s="131">
        <f t="shared" si="185"/>
        <v>4.9700495503316207</v>
      </c>
      <c r="AA279" s="131">
        <f t="shared" si="185"/>
        <v>0</v>
      </c>
      <c r="AC279" s="130">
        <v>30</v>
      </c>
      <c r="AD279" s="131">
        <f>'Sta. Meteorologi pnk'!Q172</f>
        <v>0</v>
      </c>
      <c r="AE279" s="131">
        <f>'Sta. Meteorologi pnk'!R172</f>
        <v>0</v>
      </c>
      <c r="AF279" s="131">
        <f>'Sta. Meteorologi pnk'!S172</f>
        <v>0</v>
      </c>
      <c r="AG279" s="131">
        <f>'Sta. Meteorologi pnk'!T172</f>
        <v>0</v>
      </c>
      <c r="AH279" s="131">
        <f>'Sta. Meteorologi pnk'!U172</f>
        <v>0</v>
      </c>
      <c r="AI279" s="131">
        <f>'Sta. Meteorologi pnk'!V172</f>
        <v>6.5</v>
      </c>
      <c r="AJ279" s="131">
        <f>'Sta. Meteorologi pnk'!W172</f>
        <v>2.2000000000000002</v>
      </c>
      <c r="AK279" s="131">
        <f>'Sta. Meteorologi pnk'!X172</f>
        <v>12.5</v>
      </c>
      <c r="AL279" s="131">
        <f>'Sta. Meteorologi pnk'!Y172</f>
        <v>0.8</v>
      </c>
      <c r="AM279" s="131">
        <f>'Sta. Meteorologi pnk'!Z172</f>
        <v>3.5</v>
      </c>
      <c r="AN279" s="131">
        <f>'Sta. Meteorologi pnk'!AA172</f>
        <v>6.1</v>
      </c>
      <c r="AO279" s="131">
        <f>'Sta. Meteorologi pnk'!AB172</f>
        <v>0</v>
      </c>
      <c r="AQ279" s="130">
        <v>30</v>
      </c>
      <c r="AR279" s="131">
        <f>'Sta. Meteorologi Supadio'!Q37</f>
        <v>0</v>
      </c>
      <c r="AS279" s="131">
        <f>'Sta. Meteorologi Supadio'!R37</f>
        <v>0</v>
      </c>
      <c r="AT279" s="131">
        <f>'Sta. Meteorologi Supadio'!S37</f>
        <v>0</v>
      </c>
      <c r="AU279" s="131">
        <f>'Sta. Meteorologi Supadio'!T37</f>
        <v>0</v>
      </c>
      <c r="AV279" s="131">
        <f>'Sta. Meteorologi Supadio'!U37</f>
        <v>0</v>
      </c>
      <c r="AW279" s="131">
        <f>'Sta. Meteorologi Supadio'!V37</f>
        <v>3.8</v>
      </c>
      <c r="AX279" s="131">
        <f>'Sta. Meteorologi Supadio'!W37</f>
        <v>0.6</v>
      </c>
      <c r="AY279" s="131">
        <f>'Sta. Meteorologi Supadio'!X37</f>
        <v>23.2</v>
      </c>
      <c r="AZ279" s="131">
        <f>'Sta. Meteorologi Supadio'!Y37</f>
        <v>0</v>
      </c>
      <c r="BA279" s="131">
        <f>'Sta. Meteorologi Supadio'!Z37</f>
        <v>0</v>
      </c>
      <c r="BB279" s="131">
        <f>'Sta. Meteorologi Supadio'!AA37</f>
        <v>4.0999999999999996</v>
      </c>
      <c r="BC279" s="131">
        <f>'Sta. Meteorologi Supadio'!AB37</f>
        <v>0</v>
      </c>
    </row>
    <row r="280" spans="1:55" ht="15.75" thickBot="1">
      <c r="A280" s="133">
        <v>31</v>
      </c>
      <c r="B280" s="131">
        <f>'Sta. Klimatologi Kalbar'!Q38</f>
        <v>0</v>
      </c>
      <c r="C280" s="131">
        <f>'Sta. Klimatologi Kalbar'!R38</f>
        <v>0</v>
      </c>
      <c r="D280" s="131">
        <f>'Sta. Klimatologi Kalbar'!S38</f>
        <v>0</v>
      </c>
      <c r="E280" s="131">
        <f>'Sta. Klimatologi Kalbar'!T38</f>
        <v>0</v>
      </c>
      <c r="F280" s="131">
        <f>'Sta. Klimatologi Kalbar'!U38</f>
        <v>0</v>
      </c>
      <c r="G280" s="131">
        <f>'Sta. Klimatologi Kalbar'!V38</f>
        <v>0</v>
      </c>
      <c r="H280" s="131">
        <f>'Sta. Klimatologi Kalbar'!W38</f>
        <v>0.2</v>
      </c>
      <c r="I280" s="131">
        <f>'Sta. Klimatologi Kalbar'!X38</f>
        <v>33.9</v>
      </c>
      <c r="J280" s="131">
        <f>'Sta. Klimatologi Kalbar'!Y38</f>
        <v>0</v>
      </c>
      <c r="K280" s="131">
        <f>'Sta. Klimatologi Kalbar'!Z38</f>
        <v>0</v>
      </c>
      <c r="L280" s="131">
        <f>'Sta. Klimatologi Kalbar'!AA38</f>
        <v>0</v>
      </c>
      <c r="M280" s="131">
        <f>'Sta. Klimatologi Kalbar'!AB38</f>
        <v>0</v>
      </c>
      <c r="O280" s="133">
        <v>31</v>
      </c>
      <c r="P280" s="131">
        <f t="shared" si="185"/>
        <v>0</v>
      </c>
      <c r="Q280" s="131">
        <f t="shared" si="185"/>
        <v>0</v>
      </c>
      <c r="R280" s="131">
        <f t="shared" si="185"/>
        <v>0</v>
      </c>
      <c r="S280" s="131">
        <f t="shared" si="185"/>
        <v>0</v>
      </c>
      <c r="T280" s="131">
        <f t="shared" si="185"/>
        <v>0</v>
      </c>
      <c r="U280" s="131">
        <f t="shared" si="185"/>
        <v>0</v>
      </c>
      <c r="V280" s="131">
        <f t="shared" si="185"/>
        <v>0.81722644406604217</v>
      </c>
      <c r="W280" s="131">
        <f t="shared" si="185"/>
        <v>44.571715537080536</v>
      </c>
      <c r="X280" s="131">
        <f t="shared" si="185"/>
        <v>0</v>
      </c>
      <c r="Y280" s="131">
        <f t="shared" si="185"/>
        <v>0.56763031309010725</v>
      </c>
      <c r="Z280" s="131">
        <f t="shared" si="185"/>
        <v>0</v>
      </c>
      <c r="AA280" s="131">
        <f t="shared" si="185"/>
        <v>0</v>
      </c>
      <c r="AC280" s="133">
        <v>31</v>
      </c>
      <c r="AD280" s="131">
        <f>'Sta. Meteorologi pnk'!Q173</f>
        <v>0</v>
      </c>
      <c r="AE280" s="131">
        <f>'Sta. Meteorologi pnk'!R173</f>
        <v>0</v>
      </c>
      <c r="AF280" s="131">
        <f>'Sta. Meteorologi pnk'!S173</f>
        <v>0</v>
      </c>
      <c r="AG280" s="131">
        <f>'Sta. Meteorologi pnk'!T173</f>
        <v>0</v>
      </c>
      <c r="AH280" s="131">
        <f>'Sta. Meteorologi pnk'!U173</f>
        <v>0</v>
      </c>
      <c r="AI280" s="131">
        <f>'Sta. Meteorologi pnk'!V173</f>
        <v>0</v>
      </c>
      <c r="AJ280" s="131">
        <f>'Sta. Meteorologi pnk'!W173</f>
        <v>1</v>
      </c>
      <c r="AK280" s="131">
        <f>'Sta. Meteorologi pnk'!X173</f>
        <v>49.2</v>
      </c>
      <c r="AL280" s="131">
        <f>'Sta. Meteorologi pnk'!Y173</f>
        <v>0</v>
      </c>
      <c r="AM280" s="131">
        <f>'Sta. Meteorologi pnk'!Z173</f>
        <v>0.8</v>
      </c>
      <c r="AN280" s="131">
        <f>'Sta. Meteorologi pnk'!AA173</f>
        <v>0</v>
      </c>
      <c r="AO280" s="131">
        <f>'Sta. Meteorologi pnk'!AB173</f>
        <v>0</v>
      </c>
      <c r="AQ280" s="133">
        <v>31</v>
      </c>
      <c r="AR280" s="131">
        <f>'Sta. Meteorologi Supadio'!Q38</f>
        <v>0</v>
      </c>
      <c r="AS280" s="131">
        <f>'Sta. Meteorologi Supadio'!R38</f>
        <v>0</v>
      </c>
      <c r="AT280" s="131">
        <f>'Sta. Meteorologi Supadio'!S38</f>
        <v>0</v>
      </c>
      <c r="AU280" s="131">
        <f>'Sta. Meteorologi Supadio'!T38</f>
        <v>0</v>
      </c>
      <c r="AV280" s="131">
        <f>'Sta. Meteorologi Supadio'!U38</f>
        <v>0</v>
      </c>
      <c r="AW280" s="131">
        <f>'Sta. Meteorologi Supadio'!V38</f>
        <v>0</v>
      </c>
      <c r="AX280" s="131">
        <f>'Sta. Meteorologi Supadio'!W38</f>
        <v>0.9</v>
      </c>
      <c r="AY280" s="131">
        <f>'Sta. Meteorologi Supadio'!X38</f>
        <v>31.3</v>
      </c>
      <c r="AZ280" s="131">
        <f>'Sta. Meteorologi Supadio'!Y38</f>
        <v>0</v>
      </c>
      <c r="BA280" s="131">
        <f>'Sta. Meteorologi Supadio'!Z38</f>
        <v>0</v>
      </c>
      <c r="BB280" s="131">
        <f>'Sta. Meteorologi Supadio'!AA38</f>
        <v>0</v>
      </c>
      <c r="BC280" s="131">
        <f>'Sta. Meteorologi Supadio'!AB38</f>
        <v>0</v>
      </c>
    </row>
    <row r="281" spans="1:55">
      <c r="A281" s="135" t="s">
        <v>28</v>
      </c>
      <c r="B281" s="136">
        <f>SUM(B250:B280)</f>
        <v>102.39999999999999</v>
      </c>
      <c r="C281" s="136">
        <f t="shared" ref="C281:M281" si="186">SUM(C250:C280)</f>
        <v>134.5</v>
      </c>
      <c r="D281" s="136">
        <f t="shared" si="186"/>
        <v>72.7</v>
      </c>
      <c r="E281" s="136">
        <f t="shared" si="186"/>
        <v>328.40000000000003</v>
      </c>
      <c r="F281" s="136">
        <f t="shared" si="186"/>
        <v>206.79999999999998</v>
      </c>
      <c r="G281" s="136">
        <f t="shared" si="186"/>
        <v>351.90000000000003</v>
      </c>
      <c r="H281" s="136">
        <f t="shared" si="186"/>
        <v>159.9</v>
      </c>
      <c r="I281" s="136">
        <f t="shared" si="186"/>
        <v>446.59999999999997</v>
      </c>
      <c r="J281" s="136">
        <f t="shared" si="186"/>
        <v>294.80000000000007</v>
      </c>
      <c r="K281" s="136">
        <f t="shared" si="186"/>
        <v>411.2</v>
      </c>
      <c r="L281" s="136">
        <f t="shared" si="186"/>
        <v>244.40000000000003</v>
      </c>
      <c r="M281" s="136">
        <f t="shared" si="186"/>
        <v>287</v>
      </c>
      <c r="O281" s="135" t="s">
        <v>28</v>
      </c>
      <c r="P281" s="136">
        <f>SUM(P250:P280)</f>
        <v>124.845957595446</v>
      </c>
      <c r="Q281" s="136">
        <f t="shared" ref="Q281:AA281" si="187">SUM(Q250:Q280)</f>
        <v>148.63601783037953</v>
      </c>
      <c r="R281" s="136">
        <f t="shared" si="187"/>
        <v>133.42826962413295</v>
      </c>
      <c r="S281" s="136">
        <f t="shared" si="187"/>
        <v>362.12375926406793</v>
      </c>
      <c r="T281" s="136">
        <f t="shared" si="187"/>
        <v>219.85927761895769</v>
      </c>
      <c r="U281" s="136">
        <f t="shared" si="187"/>
        <v>427.52743802894639</v>
      </c>
      <c r="V281" s="136">
        <f t="shared" si="187"/>
        <v>177.1370707811196</v>
      </c>
      <c r="W281" s="136">
        <f t="shared" si="187"/>
        <v>344.8537285942848</v>
      </c>
      <c r="X281" s="136">
        <f t="shared" si="187"/>
        <v>330.10351075373768</v>
      </c>
      <c r="Y281" s="136">
        <f t="shared" si="187"/>
        <v>376.67463093726496</v>
      </c>
      <c r="Z281" s="136">
        <f t="shared" si="187"/>
        <v>225.814398531466</v>
      </c>
      <c r="AA281" s="136">
        <f t="shared" si="187"/>
        <v>302.92406807500146</v>
      </c>
      <c r="AC281" s="135" t="s">
        <v>28</v>
      </c>
      <c r="AD281" s="136">
        <f>SUM(AD250:AD280)</f>
        <v>130.30000000000001</v>
      </c>
      <c r="AE281" s="136">
        <f t="shared" ref="AE281:AO281" si="188">SUM(AE250:AE280)</f>
        <v>156.4</v>
      </c>
      <c r="AF281" s="136">
        <f t="shared" si="188"/>
        <v>150.29999999999998</v>
      </c>
      <c r="AG281" s="136">
        <f t="shared" si="188"/>
        <v>382.30000000000007</v>
      </c>
      <c r="AH281" s="136">
        <f t="shared" si="188"/>
        <v>228.89999999999998</v>
      </c>
      <c r="AI281" s="136">
        <f t="shared" si="188"/>
        <v>470.19999999999993</v>
      </c>
      <c r="AJ281" s="136">
        <f t="shared" si="188"/>
        <v>179.6</v>
      </c>
      <c r="AK281" s="136">
        <f t="shared" si="188"/>
        <v>318.5</v>
      </c>
      <c r="AL281" s="136">
        <f t="shared" si="188"/>
        <v>355.40000000000009</v>
      </c>
      <c r="AM281" s="136">
        <f t="shared" si="188"/>
        <v>349.40000000000003</v>
      </c>
      <c r="AN281" s="136">
        <f t="shared" si="188"/>
        <v>222.4</v>
      </c>
      <c r="AO281" s="136">
        <f t="shared" si="188"/>
        <v>304.5</v>
      </c>
      <c r="AQ281" s="135" t="s">
        <v>28</v>
      </c>
      <c r="AR281" s="136">
        <f>SUM(AR250:AR280)</f>
        <v>139.80000000000001</v>
      </c>
      <c r="AS281" s="136">
        <f t="shared" ref="AS281:BC281" si="189">SUM(AS250:AS280)</f>
        <v>114.70000000000002</v>
      </c>
      <c r="AT281" s="136">
        <f t="shared" si="189"/>
        <v>152.69999999999999</v>
      </c>
      <c r="AU281" s="136">
        <f t="shared" si="189"/>
        <v>264.60000000000002</v>
      </c>
      <c r="AV281" s="136">
        <f t="shared" si="189"/>
        <v>169.8</v>
      </c>
      <c r="AW281" s="136">
        <f t="shared" si="189"/>
        <v>234.60000000000002</v>
      </c>
      <c r="AX281" s="136">
        <f t="shared" si="189"/>
        <v>205.89999999999998</v>
      </c>
      <c r="AY281" s="136">
        <f t="shared" si="189"/>
        <v>293.40000000000003</v>
      </c>
      <c r="AZ281" s="136">
        <f t="shared" si="189"/>
        <v>186.20000000000002</v>
      </c>
      <c r="BA281" s="136">
        <f t="shared" si="189"/>
        <v>542.80000000000007</v>
      </c>
      <c r="BB281" s="136">
        <f t="shared" si="189"/>
        <v>202.4</v>
      </c>
      <c r="BC281" s="136">
        <f t="shared" si="189"/>
        <v>336.5</v>
      </c>
    </row>
    <row r="282" spans="1:55">
      <c r="A282" s="138" t="s">
        <v>29</v>
      </c>
      <c r="B282" s="139">
        <f>MAX(B250:B280)</f>
        <v>51.5</v>
      </c>
      <c r="C282" s="139">
        <f t="shared" ref="C282:M282" si="190">MAX(C250:C280)</f>
        <v>46.3</v>
      </c>
      <c r="D282" s="139">
        <f t="shared" si="190"/>
        <v>23</v>
      </c>
      <c r="E282" s="139">
        <f t="shared" si="190"/>
        <v>106</v>
      </c>
      <c r="F282" s="139">
        <f t="shared" si="190"/>
        <v>38.700000000000003</v>
      </c>
      <c r="G282" s="139">
        <f t="shared" si="190"/>
        <v>76.3</v>
      </c>
      <c r="H282" s="139">
        <f t="shared" si="190"/>
        <v>46</v>
      </c>
      <c r="I282" s="139">
        <f t="shared" si="190"/>
        <v>104.5</v>
      </c>
      <c r="J282" s="139">
        <f t="shared" si="190"/>
        <v>63</v>
      </c>
      <c r="K282" s="139">
        <f t="shared" si="190"/>
        <v>78.900000000000006</v>
      </c>
      <c r="L282" s="139">
        <f t="shared" si="190"/>
        <v>52.8</v>
      </c>
      <c r="M282" s="139">
        <f t="shared" si="190"/>
        <v>95.3</v>
      </c>
      <c r="O282" s="138" t="s">
        <v>29</v>
      </c>
      <c r="P282" s="139">
        <f>MAX(P250:P280)</f>
        <v>24.059345212569003</v>
      </c>
      <c r="Q282" s="139">
        <f t="shared" ref="Q282:AA282" si="191">MAX(Q250:Q280)</f>
        <v>25.191103512874722</v>
      </c>
      <c r="R282" s="139">
        <f t="shared" si="191"/>
        <v>37.616369287386426</v>
      </c>
      <c r="S282" s="139">
        <f t="shared" si="191"/>
        <v>111.99264804542868</v>
      </c>
      <c r="T282" s="139">
        <f t="shared" si="191"/>
        <v>69.982718459873311</v>
      </c>
      <c r="U282" s="139">
        <f t="shared" si="191"/>
        <v>90.16847036834416</v>
      </c>
      <c r="V282" s="139">
        <f t="shared" si="191"/>
        <v>33.604435471824289</v>
      </c>
      <c r="W282" s="139">
        <f t="shared" si="191"/>
        <v>64.105879526718866</v>
      </c>
      <c r="X282" s="139">
        <f t="shared" si="191"/>
        <v>69.090034654523109</v>
      </c>
      <c r="Y282" s="139">
        <f t="shared" si="191"/>
        <v>76.398564465753253</v>
      </c>
      <c r="Z282" s="139">
        <f t="shared" si="191"/>
        <v>36.719644552352683</v>
      </c>
      <c r="AA282" s="139">
        <f t="shared" si="191"/>
        <v>93.095559998168255</v>
      </c>
      <c r="AC282" s="138" t="s">
        <v>29</v>
      </c>
      <c r="AD282" s="139">
        <f>MAX(AD250:AD280)</f>
        <v>29.5</v>
      </c>
      <c r="AE282" s="139">
        <f t="shared" ref="AE282:AO282" si="192">MAX(AE250:AE280)</f>
        <v>32</v>
      </c>
      <c r="AF282" s="139">
        <f t="shared" si="192"/>
        <v>50</v>
      </c>
      <c r="AG282" s="139">
        <f t="shared" si="192"/>
        <v>118.5</v>
      </c>
      <c r="AH282" s="139">
        <f t="shared" si="192"/>
        <v>82</v>
      </c>
      <c r="AI282" s="139">
        <f t="shared" si="192"/>
        <v>106.9</v>
      </c>
      <c r="AJ282" s="139">
        <f t="shared" si="192"/>
        <v>36.9</v>
      </c>
      <c r="AK282" s="139">
        <f t="shared" si="192"/>
        <v>66</v>
      </c>
      <c r="AL282" s="139">
        <f t="shared" si="192"/>
        <v>83.6</v>
      </c>
      <c r="AM282" s="139">
        <f t="shared" si="192"/>
        <v>71.599999999999994</v>
      </c>
      <c r="AN282" s="139">
        <f t="shared" si="192"/>
        <v>33.799999999999997</v>
      </c>
      <c r="AO282" s="139">
        <f t="shared" si="192"/>
        <v>101.3</v>
      </c>
      <c r="AQ282" s="138" t="s">
        <v>29</v>
      </c>
      <c r="AR282" s="139">
        <f>MAX(AR250:AR280)</f>
        <v>32.799999999999997</v>
      </c>
      <c r="AS282" s="139">
        <f t="shared" ref="AS282:BC282" si="193">MAX(AS250:AS280)</f>
        <v>44</v>
      </c>
      <c r="AT282" s="139">
        <f t="shared" si="193"/>
        <v>81.7</v>
      </c>
      <c r="AU282" s="139">
        <f t="shared" si="193"/>
        <v>65.400000000000006</v>
      </c>
      <c r="AV282" s="139">
        <f t="shared" si="193"/>
        <v>46.6</v>
      </c>
      <c r="AW282" s="139">
        <f t="shared" si="193"/>
        <v>29.7</v>
      </c>
      <c r="AX282" s="139">
        <f t="shared" si="193"/>
        <v>64</v>
      </c>
      <c r="AY282" s="139">
        <f t="shared" si="193"/>
        <v>61.1</v>
      </c>
      <c r="AZ282" s="139">
        <f t="shared" si="193"/>
        <v>32.6</v>
      </c>
      <c r="BA282" s="139">
        <f t="shared" si="193"/>
        <v>116.7</v>
      </c>
      <c r="BB282" s="139">
        <f t="shared" si="193"/>
        <v>59.2</v>
      </c>
      <c r="BC282" s="139">
        <f t="shared" si="193"/>
        <v>130.6</v>
      </c>
    </row>
    <row r="283" spans="1:55">
      <c r="A283" s="130" t="s">
        <v>30</v>
      </c>
      <c r="B283" s="131">
        <f>SUM(B250:B264)</f>
        <v>38.599999999999994</v>
      </c>
      <c r="C283" s="131">
        <f t="shared" ref="C283:M283" si="194">SUM(C250:C264)</f>
        <v>108.60000000000001</v>
      </c>
      <c r="D283" s="131">
        <f t="shared" si="194"/>
        <v>62.5</v>
      </c>
      <c r="E283" s="131">
        <f t="shared" si="194"/>
        <v>169.10000000000002</v>
      </c>
      <c r="F283" s="131">
        <f t="shared" si="194"/>
        <v>118.9</v>
      </c>
      <c r="G283" s="131">
        <f t="shared" si="194"/>
        <v>245.8</v>
      </c>
      <c r="H283" s="131">
        <f t="shared" si="194"/>
        <v>85.4</v>
      </c>
      <c r="I283" s="131">
        <f t="shared" si="194"/>
        <v>192.4</v>
      </c>
      <c r="J283" s="131">
        <f t="shared" si="194"/>
        <v>101.99999999999999</v>
      </c>
      <c r="K283" s="131">
        <f t="shared" si="194"/>
        <v>242.8</v>
      </c>
      <c r="L283" s="131">
        <f t="shared" si="194"/>
        <v>171.60000000000002</v>
      </c>
      <c r="M283" s="131">
        <f t="shared" si="194"/>
        <v>174.70000000000002</v>
      </c>
      <c r="O283" s="130" t="s">
        <v>30</v>
      </c>
      <c r="P283" s="131">
        <f>SUM(P250:P264)</f>
        <v>81.800605045269378</v>
      </c>
      <c r="Q283" s="131">
        <f t="shared" ref="Q283:AA283" si="195">SUM(Q250:Q264)</f>
        <v>117.4841091793634</v>
      </c>
      <c r="R283" s="131">
        <f t="shared" si="195"/>
        <v>33.834464842036866</v>
      </c>
      <c r="S283" s="131">
        <f t="shared" si="195"/>
        <v>199.6167036228795</v>
      </c>
      <c r="T283" s="131">
        <f t="shared" si="195"/>
        <v>125.67480969430871</v>
      </c>
      <c r="U283" s="131">
        <f t="shared" si="195"/>
        <v>227.79841179065241</v>
      </c>
      <c r="V283" s="131">
        <f t="shared" si="195"/>
        <v>71.972600499875909</v>
      </c>
      <c r="W283" s="131">
        <f t="shared" si="195"/>
        <v>150.55967558962598</v>
      </c>
      <c r="X283" s="131">
        <f t="shared" si="195"/>
        <v>122.02910011311033</v>
      </c>
      <c r="Y283" s="131">
        <f t="shared" si="195"/>
        <v>247.9528889486794</v>
      </c>
      <c r="Z283" s="131">
        <f t="shared" si="195"/>
        <v>169.30226200938753</v>
      </c>
      <c r="AA283" s="131">
        <f t="shared" si="195"/>
        <v>178.18126649283599</v>
      </c>
      <c r="AC283" s="130" t="s">
        <v>30</v>
      </c>
      <c r="AD283" s="131">
        <f>SUM(AD250:AD264)</f>
        <v>96.399999999999991</v>
      </c>
      <c r="AE283" s="131">
        <f t="shared" ref="AE283:AO283" si="196">SUM(AE250:AE264)</f>
        <v>121.80000000000001</v>
      </c>
      <c r="AF283" s="131">
        <f t="shared" si="196"/>
        <v>21.9</v>
      </c>
      <c r="AG283" s="131">
        <f t="shared" si="196"/>
        <v>211.60000000000002</v>
      </c>
      <c r="AH283" s="131">
        <f t="shared" si="196"/>
        <v>127.19999999999999</v>
      </c>
      <c r="AI283" s="131">
        <f t="shared" si="196"/>
        <v>233.70000000000002</v>
      </c>
      <c r="AJ283" s="131">
        <f t="shared" si="196"/>
        <v>63.600000000000009</v>
      </c>
      <c r="AK283" s="131">
        <f t="shared" si="196"/>
        <v>148.40000000000003</v>
      </c>
      <c r="AL283" s="131">
        <f t="shared" si="196"/>
        <v>129.10000000000002</v>
      </c>
      <c r="AM283" s="131">
        <f t="shared" si="196"/>
        <v>237.79999999999995</v>
      </c>
      <c r="AN283" s="131">
        <f t="shared" si="196"/>
        <v>169.5</v>
      </c>
      <c r="AO283" s="131">
        <f t="shared" si="196"/>
        <v>177.10000000000002</v>
      </c>
      <c r="AQ283" s="130" t="s">
        <v>30</v>
      </c>
      <c r="AR283" s="131">
        <f>SUM(AR250:AR264)</f>
        <v>69.5</v>
      </c>
      <c r="AS283" s="131">
        <f t="shared" ref="AS283:BC283" si="197">SUM(AS250:AS264)</f>
        <v>101.80000000000001</v>
      </c>
      <c r="AT283" s="131">
        <f t="shared" si="197"/>
        <v>64.5</v>
      </c>
      <c r="AU283" s="131">
        <f t="shared" si="197"/>
        <v>174.20000000000005</v>
      </c>
      <c r="AV283" s="131">
        <f t="shared" si="197"/>
        <v>131.4</v>
      </c>
      <c r="AW283" s="131">
        <f t="shared" si="197"/>
        <v>112.89999999999999</v>
      </c>
      <c r="AX283" s="131">
        <f t="shared" si="197"/>
        <v>114.19999999999999</v>
      </c>
      <c r="AY283" s="131">
        <f t="shared" si="197"/>
        <v>42.5</v>
      </c>
      <c r="AZ283" s="131">
        <f t="shared" si="197"/>
        <v>113.30000000000001</v>
      </c>
      <c r="BA283" s="131">
        <f t="shared" si="197"/>
        <v>365.6</v>
      </c>
      <c r="BB283" s="131">
        <f t="shared" si="197"/>
        <v>160.19999999999999</v>
      </c>
      <c r="BC283" s="131">
        <f t="shared" si="197"/>
        <v>199.8</v>
      </c>
    </row>
    <row r="284" spans="1:55">
      <c r="A284" s="140" t="s">
        <v>31</v>
      </c>
      <c r="B284" s="141">
        <f>SUM(B265:B280)</f>
        <v>63.8</v>
      </c>
      <c r="C284" s="141">
        <f t="shared" ref="C284:M284" si="198">SUM(C265:C280)</f>
        <v>25.9</v>
      </c>
      <c r="D284" s="141">
        <f t="shared" si="198"/>
        <v>10.199999999999999</v>
      </c>
      <c r="E284" s="141">
        <f t="shared" si="198"/>
        <v>159.30000000000001</v>
      </c>
      <c r="F284" s="141">
        <f t="shared" si="198"/>
        <v>87.899999999999991</v>
      </c>
      <c r="G284" s="141">
        <f t="shared" si="198"/>
        <v>106.1</v>
      </c>
      <c r="H284" s="141">
        <f t="shared" si="198"/>
        <v>74.500000000000014</v>
      </c>
      <c r="I284" s="141">
        <f t="shared" si="198"/>
        <v>254.20000000000002</v>
      </c>
      <c r="J284" s="141">
        <f t="shared" si="198"/>
        <v>192.79999999999998</v>
      </c>
      <c r="K284" s="141">
        <f t="shared" si="198"/>
        <v>168.4</v>
      </c>
      <c r="L284" s="141">
        <f t="shared" si="198"/>
        <v>72.8</v>
      </c>
      <c r="M284" s="141">
        <f t="shared" si="198"/>
        <v>112.3</v>
      </c>
      <c r="O284" s="140" t="s">
        <v>31</v>
      </c>
      <c r="P284" s="141">
        <f>SUM(P265:P280)</f>
        <v>43.045352550176638</v>
      </c>
      <c r="Q284" s="141">
        <f t="shared" ref="Q284:AA284" si="199">SUM(Q265:Q280)</f>
        <v>31.151908651016122</v>
      </c>
      <c r="R284" s="141">
        <f t="shared" si="199"/>
        <v>99.593804782096086</v>
      </c>
      <c r="S284" s="141">
        <f t="shared" si="199"/>
        <v>162.5070556411884</v>
      </c>
      <c r="T284" s="141">
        <f t="shared" si="199"/>
        <v>94.184467924648942</v>
      </c>
      <c r="U284" s="141">
        <f t="shared" si="199"/>
        <v>199.72902623829401</v>
      </c>
      <c r="V284" s="141">
        <f t="shared" si="199"/>
        <v>105.16447028124369</v>
      </c>
      <c r="W284" s="141">
        <f t="shared" si="199"/>
        <v>194.29405300465876</v>
      </c>
      <c r="X284" s="141">
        <f t="shared" si="199"/>
        <v>208.07441064062735</v>
      </c>
      <c r="Y284" s="141">
        <f t="shared" si="199"/>
        <v>128.72174198858556</v>
      </c>
      <c r="Z284" s="141">
        <f t="shared" si="199"/>
        <v>56.512136522078421</v>
      </c>
      <c r="AA284" s="141">
        <f t="shared" si="199"/>
        <v>124.74280158216548</v>
      </c>
      <c r="AC284" s="140" t="s">
        <v>31</v>
      </c>
      <c r="AD284" s="141">
        <f>SUM(AD265:AD280)</f>
        <v>33.899999999999991</v>
      </c>
      <c r="AE284" s="141">
        <f t="shared" ref="AE284:AO284" si="200">SUM(AE265:AE280)</f>
        <v>34.6</v>
      </c>
      <c r="AF284" s="141">
        <f t="shared" si="200"/>
        <v>128.4</v>
      </c>
      <c r="AG284" s="141">
        <f t="shared" si="200"/>
        <v>170.7</v>
      </c>
      <c r="AH284" s="141">
        <f t="shared" si="200"/>
        <v>101.7</v>
      </c>
      <c r="AI284" s="141">
        <f t="shared" si="200"/>
        <v>236.5</v>
      </c>
      <c r="AJ284" s="141">
        <f t="shared" si="200"/>
        <v>116</v>
      </c>
      <c r="AK284" s="141">
        <f t="shared" si="200"/>
        <v>170.10000000000002</v>
      </c>
      <c r="AL284" s="141">
        <f t="shared" si="200"/>
        <v>226.30000000000004</v>
      </c>
      <c r="AM284" s="141">
        <f t="shared" si="200"/>
        <v>111.59999999999998</v>
      </c>
      <c r="AN284" s="141">
        <f t="shared" si="200"/>
        <v>52.9</v>
      </c>
      <c r="AO284" s="141">
        <f t="shared" si="200"/>
        <v>127.4</v>
      </c>
      <c r="AQ284" s="140" t="s">
        <v>31</v>
      </c>
      <c r="AR284" s="141">
        <f>SUM(AR265:AR280)</f>
        <v>70.3</v>
      </c>
      <c r="AS284" s="141">
        <f t="shared" ref="AS284:BC284" si="201">SUM(AS265:AS280)</f>
        <v>12.9</v>
      </c>
      <c r="AT284" s="141">
        <f t="shared" si="201"/>
        <v>88.2</v>
      </c>
      <c r="AU284" s="141">
        <f t="shared" si="201"/>
        <v>90.399999999999991</v>
      </c>
      <c r="AV284" s="141">
        <f t="shared" si="201"/>
        <v>38.4</v>
      </c>
      <c r="AW284" s="141">
        <f t="shared" si="201"/>
        <v>121.69999999999999</v>
      </c>
      <c r="AX284" s="141">
        <f t="shared" si="201"/>
        <v>91.7</v>
      </c>
      <c r="AY284" s="141">
        <f t="shared" si="201"/>
        <v>250.9</v>
      </c>
      <c r="AZ284" s="141">
        <f t="shared" si="201"/>
        <v>72.899999999999991</v>
      </c>
      <c r="BA284" s="141">
        <f t="shared" si="201"/>
        <v>177.2</v>
      </c>
      <c r="BB284" s="141">
        <f t="shared" si="201"/>
        <v>42.2</v>
      </c>
      <c r="BC284" s="141">
        <f t="shared" si="201"/>
        <v>136.69999999999999</v>
      </c>
    </row>
    <row r="285" spans="1:55" ht="15.75" thickBot="1">
      <c r="A285" s="133" t="s">
        <v>32</v>
      </c>
      <c r="B285" s="134">
        <f>COUNTIF(B252:B282,"&gt;0")</f>
        <v>10</v>
      </c>
      <c r="C285" s="134">
        <f t="shared" ref="C285:M285" si="202">COUNTIF(C252:C282,"&gt;0")</f>
        <v>15</v>
      </c>
      <c r="D285" s="134">
        <f t="shared" si="202"/>
        <v>11</v>
      </c>
      <c r="E285" s="134">
        <f t="shared" si="202"/>
        <v>20</v>
      </c>
      <c r="F285" s="134">
        <f t="shared" si="202"/>
        <v>17</v>
      </c>
      <c r="G285" s="134">
        <f t="shared" si="202"/>
        <v>23</v>
      </c>
      <c r="H285" s="134">
        <f t="shared" si="202"/>
        <v>16</v>
      </c>
      <c r="I285" s="134">
        <f t="shared" si="202"/>
        <v>22</v>
      </c>
      <c r="J285" s="134">
        <f t="shared" si="202"/>
        <v>20</v>
      </c>
      <c r="K285" s="134">
        <f t="shared" si="202"/>
        <v>25</v>
      </c>
      <c r="L285" s="134">
        <f t="shared" si="202"/>
        <v>22</v>
      </c>
      <c r="M285" s="134">
        <f t="shared" si="202"/>
        <v>15</v>
      </c>
      <c r="O285" s="133" t="s">
        <v>32</v>
      </c>
      <c r="P285" s="134">
        <f>COUNTIF(P252:P282,"&gt;0")</f>
        <v>24</v>
      </c>
      <c r="Q285" s="134">
        <f t="shared" ref="Q285:AA285" si="203">COUNTIF(Q252:Q282,"&gt;0")</f>
        <v>19</v>
      </c>
      <c r="R285" s="134">
        <f t="shared" si="203"/>
        <v>19</v>
      </c>
      <c r="S285" s="134">
        <f t="shared" si="203"/>
        <v>25</v>
      </c>
      <c r="T285" s="134">
        <f t="shared" si="203"/>
        <v>23</v>
      </c>
      <c r="U285" s="134">
        <f t="shared" si="203"/>
        <v>26</v>
      </c>
      <c r="V285" s="134">
        <f t="shared" si="203"/>
        <v>20</v>
      </c>
      <c r="W285" s="134">
        <f t="shared" si="203"/>
        <v>26</v>
      </c>
      <c r="X285" s="134">
        <f t="shared" si="203"/>
        <v>28</v>
      </c>
      <c r="Y285" s="134">
        <f t="shared" si="203"/>
        <v>29</v>
      </c>
      <c r="Z285" s="134">
        <f t="shared" si="203"/>
        <v>27</v>
      </c>
      <c r="AA285" s="134">
        <f t="shared" si="203"/>
        <v>20</v>
      </c>
      <c r="AC285" s="133" t="s">
        <v>32</v>
      </c>
      <c r="AD285" s="134">
        <f>COUNTIF(AD252:AD282,"&gt;0")</f>
        <v>19</v>
      </c>
      <c r="AE285" s="134">
        <f t="shared" ref="AE285:AO285" si="204">COUNTIF(AE252:AE282,"&gt;0")</f>
        <v>16</v>
      </c>
      <c r="AF285" s="134">
        <f t="shared" si="204"/>
        <v>17</v>
      </c>
      <c r="AG285" s="134">
        <f t="shared" si="204"/>
        <v>21</v>
      </c>
      <c r="AH285" s="134">
        <f t="shared" si="204"/>
        <v>20</v>
      </c>
      <c r="AI285" s="134">
        <f t="shared" si="204"/>
        <v>25</v>
      </c>
      <c r="AJ285" s="134">
        <f t="shared" si="204"/>
        <v>18</v>
      </c>
      <c r="AK285" s="134">
        <f t="shared" si="204"/>
        <v>22</v>
      </c>
      <c r="AL285" s="134">
        <f t="shared" si="204"/>
        <v>25</v>
      </c>
      <c r="AM285" s="134">
        <f t="shared" si="204"/>
        <v>27</v>
      </c>
      <c r="AN285" s="134">
        <f t="shared" si="204"/>
        <v>26</v>
      </c>
      <c r="AO285" s="134">
        <f t="shared" si="204"/>
        <v>16</v>
      </c>
      <c r="AQ285" s="133" t="s">
        <v>32</v>
      </c>
      <c r="AR285" s="134">
        <f>COUNTIF(AR252:AR282,"&gt;0")</f>
        <v>20</v>
      </c>
      <c r="AS285" s="134">
        <f t="shared" ref="AS285:BC285" si="205">COUNTIF(AS252:AS282,"&gt;0")</f>
        <v>12</v>
      </c>
      <c r="AT285" s="134">
        <f t="shared" si="205"/>
        <v>13</v>
      </c>
      <c r="AU285" s="134">
        <f t="shared" si="205"/>
        <v>23</v>
      </c>
      <c r="AV285" s="134">
        <f t="shared" si="205"/>
        <v>18</v>
      </c>
      <c r="AW285" s="134">
        <f t="shared" si="205"/>
        <v>20</v>
      </c>
      <c r="AX285" s="134">
        <f t="shared" si="205"/>
        <v>16</v>
      </c>
      <c r="AY285" s="134">
        <f t="shared" si="205"/>
        <v>20</v>
      </c>
      <c r="AZ285" s="134">
        <f t="shared" si="205"/>
        <v>19</v>
      </c>
      <c r="BA285" s="134">
        <f t="shared" si="205"/>
        <v>27</v>
      </c>
      <c r="BB285" s="134">
        <f t="shared" si="205"/>
        <v>22</v>
      </c>
      <c r="BC285" s="134">
        <f t="shared" si="205"/>
        <v>17</v>
      </c>
    </row>
    <row r="286" spans="1:55" ht="15.75" thickBot="1"/>
    <row r="287" spans="1:55">
      <c r="A287" s="147" t="s">
        <v>39</v>
      </c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9"/>
      <c r="O287" s="147" t="s">
        <v>39</v>
      </c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9"/>
      <c r="AC287" s="147" t="s">
        <v>39</v>
      </c>
      <c r="AD287" s="148"/>
      <c r="AE287" s="148"/>
      <c r="AF287" s="148"/>
      <c r="AG287" s="148"/>
      <c r="AH287" s="148"/>
      <c r="AI287" s="148"/>
      <c r="AJ287" s="148"/>
      <c r="AK287" s="148"/>
      <c r="AL287" s="148"/>
      <c r="AM287" s="148"/>
      <c r="AN287" s="148"/>
      <c r="AO287" s="149"/>
      <c r="AQ287" s="147" t="s">
        <v>39</v>
      </c>
      <c r="AR287" s="148"/>
      <c r="AS287" s="148"/>
      <c r="AT287" s="148"/>
      <c r="AU287" s="148"/>
      <c r="AV287" s="148"/>
      <c r="AW287" s="148"/>
      <c r="AX287" s="148"/>
      <c r="AY287" s="148"/>
      <c r="AZ287" s="148"/>
      <c r="BA287" s="148"/>
      <c r="BB287" s="148"/>
      <c r="BC287" s="149"/>
    </row>
    <row r="288" spans="1:55">
      <c r="A288" s="144"/>
      <c r="B288" s="145" t="s">
        <v>15</v>
      </c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6"/>
      <c r="O288" s="144"/>
      <c r="P288" s="145" t="s">
        <v>15</v>
      </c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  <c r="AA288" s="146"/>
      <c r="AC288" s="144"/>
      <c r="AD288" s="145" t="s">
        <v>15</v>
      </c>
      <c r="AE288" s="145"/>
      <c r="AF288" s="145"/>
      <c r="AG288" s="145"/>
      <c r="AH288" s="145"/>
      <c r="AI288" s="145"/>
      <c r="AJ288" s="145"/>
      <c r="AK288" s="145"/>
      <c r="AL288" s="145"/>
      <c r="AM288" s="145"/>
      <c r="AN288" s="145"/>
      <c r="AO288" s="146"/>
      <c r="AQ288" s="144"/>
      <c r="AR288" s="145" t="s">
        <v>15</v>
      </c>
      <c r="AS288" s="145"/>
      <c r="AT288" s="145"/>
      <c r="AU288" s="145"/>
      <c r="AV288" s="145"/>
      <c r="AW288" s="145"/>
      <c r="AX288" s="145"/>
      <c r="AY288" s="145"/>
      <c r="AZ288" s="145"/>
      <c r="BA288" s="145"/>
      <c r="BB288" s="145"/>
      <c r="BC288" s="146"/>
    </row>
    <row r="289" spans="1:55">
      <c r="A289" s="144"/>
      <c r="B289" s="131" t="s">
        <v>16</v>
      </c>
      <c r="C289" s="131" t="s">
        <v>17</v>
      </c>
      <c r="D289" s="131" t="s">
        <v>18</v>
      </c>
      <c r="E289" s="131" t="s">
        <v>19</v>
      </c>
      <c r="F289" s="131" t="s">
        <v>20</v>
      </c>
      <c r="G289" s="131" t="s">
        <v>21</v>
      </c>
      <c r="H289" s="131" t="s">
        <v>22</v>
      </c>
      <c r="I289" s="131" t="s">
        <v>23</v>
      </c>
      <c r="J289" s="131" t="s">
        <v>24</v>
      </c>
      <c r="K289" s="131" t="s">
        <v>25</v>
      </c>
      <c r="L289" s="131" t="s">
        <v>26</v>
      </c>
      <c r="M289" s="132" t="s">
        <v>27</v>
      </c>
      <c r="O289" s="144"/>
      <c r="P289" s="131" t="s">
        <v>16</v>
      </c>
      <c r="Q289" s="131" t="s">
        <v>17</v>
      </c>
      <c r="R289" s="131" t="s">
        <v>18</v>
      </c>
      <c r="S289" s="131" t="s">
        <v>19</v>
      </c>
      <c r="T289" s="131" t="s">
        <v>20</v>
      </c>
      <c r="U289" s="131" t="s">
        <v>21</v>
      </c>
      <c r="V289" s="131" t="s">
        <v>22</v>
      </c>
      <c r="W289" s="131" t="s">
        <v>23</v>
      </c>
      <c r="X289" s="131" t="s">
        <v>24</v>
      </c>
      <c r="Y289" s="131" t="s">
        <v>25</v>
      </c>
      <c r="Z289" s="131" t="s">
        <v>26</v>
      </c>
      <c r="AA289" s="132" t="s">
        <v>27</v>
      </c>
      <c r="AC289" s="144"/>
      <c r="AD289" s="131" t="s">
        <v>16</v>
      </c>
      <c r="AE289" s="131" t="s">
        <v>17</v>
      </c>
      <c r="AF289" s="131" t="s">
        <v>18</v>
      </c>
      <c r="AG289" s="131" t="s">
        <v>19</v>
      </c>
      <c r="AH289" s="131" t="s">
        <v>20</v>
      </c>
      <c r="AI289" s="131" t="s">
        <v>21</v>
      </c>
      <c r="AJ289" s="131" t="s">
        <v>22</v>
      </c>
      <c r="AK289" s="131" t="s">
        <v>23</v>
      </c>
      <c r="AL289" s="131" t="s">
        <v>24</v>
      </c>
      <c r="AM289" s="131" t="s">
        <v>25</v>
      </c>
      <c r="AN289" s="131" t="s">
        <v>26</v>
      </c>
      <c r="AO289" s="132" t="s">
        <v>27</v>
      </c>
      <c r="AQ289" s="144"/>
      <c r="AR289" s="131" t="s">
        <v>16</v>
      </c>
      <c r="AS289" s="131" t="s">
        <v>17</v>
      </c>
      <c r="AT289" s="131" t="s">
        <v>18</v>
      </c>
      <c r="AU289" s="131" t="s">
        <v>19</v>
      </c>
      <c r="AV289" s="131" t="s">
        <v>20</v>
      </c>
      <c r="AW289" s="131" t="s">
        <v>21</v>
      </c>
      <c r="AX289" s="131" t="s">
        <v>22</v>
      </c>
      <c r="AY289" s="131" t="s">
        <v>23</v>
      </c>
      <c r="AZ289" s="131" t="s">
        <v>24</v>
      </c>
      <c r="BA289" s="131" t="s">
        <v>25</v>
      </c>
      <c r="BB289" s="131" t="s">
        <v>26</v>
      </c>
      <c r="BC289" s="132" t="s">
        <v>27</v>
      </c>
    </row>
    <row r="290" spans="1:55">
      <c r="A290" s="130">
        <v>1</v>
      </c>
      <c r="B290" s="131">
        <f>'Sta. Klimatologi Kalbar'!Q53</f>
        <v>0</v>
      </c>
      <c r="C290" s="131">
        <f>'Sta. Klimatologi Kalbar'!R53</f>
        <v>11.9</v>
      </c>
      <c r="D290" s="131">
        <f>'Sta. Klimatologi Kalbar'!S53</f>
        <v>5.3</v>
      </c>
      <c r="E290" s="131">
        <f>'Sta. Klimatologi Kalbar'!T53</f>
        <v>4.5</v>
      </c>
      <c r="F290" s="131">
        <f>'Sta. Klimatologi Kalbar'!U53</f>
        <v>0</v>
      </c>
      <c r="G290" s="131">
        <f>'Sta. Klimatologi Kalbar'!V53</f>
        <v>0</v>
      </c>
      <c r="H290" s="131">
        <f>'Sta. Klimatologi Kalbar'!W53</f>
        <v>0.9</v>
      </c>
      <c r="I290" s="131">
        <f>'Sta. Klimatologi Kalbar'!X53</f>
        <v>0</v>
      </c>
      <c r="J290" s="131">
        <f>'Sta. Klimatologi Kalbar'!Y53</f>
        <v>0.1</v>
      </c>
      <c r="K290" s="131">
        <f>'Sta. Klimatologi Kalbar'!Z53</f>
        <v>0</v>
      </c>
      <c r="L290" s="131">
        <f>'Sta. Klimatologi Kalbar'!AA53</f>
        <v>2.9</v>
      </c>
      <c r="M290" s="131">
        <f>'Sta. Klimatologi Kalbar'!AB53</f>
        <v>16.600000000000001</v>
      </c>
      <c r="O290" s="130">
        <v>1</v>
      </c>
      <c r="P290" s="131">
        <f>((B290/($T$1^2))+(AD290/($T$2^2))+(AR290/($T$3^2)))/((1/($T$1^2))+(1/($T$2^2))+(1/($T$3^2)))</f>
        <v>0</v>
      </c>
      <c r="Q290" s="131">
        <f t="shared" ref="Q290:AA313" si="206">((C290/($T$1^2))+(AE290/($T$2^2))+(AS290/($T$3^2)))/((1/($T$1^2))+(1/($T$2^2))+(1/($T$3^2)))</f>
        <v>10.332340171259638</v>
      </c>
      <c r="R290" s="131">
        <f t="shared" si="206"/>
        <v>3.8591578652889784</v>
      </c>
      <c r="S290" s="131">
        <f t="shared" si="206"/>
        <v>2.27239841087294</v>
      </c>
      <c r="T290" s="131">
        <f t="shared" si="206"/>
        <v>7.8758705941252369</v>
      </c>
      <c r="U290" s="131">
        <f t="shared" si="206"/>
        <v>7.0851615679907182E-3</v>
      </c>
      <c r="V290" s="131">
        <f t="shared" si="206"/>
        <v>7.8988783546191428</v>
      </c>
      <c r="W290" s="131">
        <f t="shared" si="206"/>
        <v>0</v>
      </c>
      <c r="X290" s="131">
        <f t="shared" si="206"/>
        <v>27.906800179847256</v>
      </c>
      <c r="Y290" s="131">
        <f t="shared" si="206"/>
        <v>21.41366964910285</v>
      </c>
      <c r="Z290" s="131">
        <f t="shared" si="206"/>
        <v>1.3953914111770622</v>
      </c>
      <c r="AA290" s="131">
        <f t="shared" si="206"/>
        <v>35.268033877861619</v>
      </c>
      <c r="AC290" s="130">
        <v>1</v>
      </c>
      <c r="AD290" s="131">
        <f>'Sta. Meteorologi pnk'!Q188</f>
        <v>0</v>
      </c>
      <c r="AE290" s="131">
        <f>'Sta. Meteorologi pnk'!R188</f>
        <v>10.1</v>
      </c>
      <c r="AF290" s="131">
        <f>'Sta. Meteorologi pnk'!S188</f>
        <v>2.8</v>
      </c>
      <c r="AG290" s="131">
        <f>'Sta. Meteorologi pnk'!T188</f>
        <v>1.7</v>
      </c>
      <c r="AH290" s="131">
        <f>'Sta. Meteorologi pnk'!U188</f>
        <v>11.1</v>
      </c>
      <c r="AI290" s="131">
        <f>'Sta. Meteorologi pnk'!V188</f>
        <v>0</v>
      </c>
      <c r="AJ290" s="131">
        <f>'Sta. Meteorologi pnk'!W188</f>
        <v>6.6</v>
      </c>
      <c r="AK290" s="131">
        <f>'Sta. Meteorologi pnk'!X188</f>
        <v>0</v>
      </c>
      <c r="AL290" s="131">
        <f>'Sta. Meteorologi pnk'!Y188</f>
        <v>39.299999999999997</v>
      </c>
      <c r="AM290" s="131">
        <f>'Sta. Meteorologi pnk'!Z188</f>
        <v>30</v>
      </c>
      <c r="AN290" s="131">
        <f>'Sta. Meteorologi pnk'!AA188</f>
        <v>0.4</v>
      </c>
      <c r="AO290" s="131">
        <f>'Sta. Meteorologi pnk'!AB188</f>
        <v>43</v>
      </c>
      <c r="AQ290" s="130">
        <v>1</v>
      </c>
      <c r="AR290" s="131">
        <f>'Sta. Meteorologi Supadio'!Q53</f>
        <v>0</v>
      </c>
      <c r="AS290" s="131">
        <f>'Sta. Meteorologi Supadio'!R53</f>
        <v>7.8</v>
      </c>
      <c r="AT290" s="131">
        <f>'Sta. Meteorologi Supadio'!S53</f>
        <v>10</v>
      </c>
      <c r="AU290" s="131">
        <f>'Sta. Meteorologi Supadio'!T53</f>
        <v>1.1000000000000001</v>
      </c>
      <c r="AV290" s="131">
        <f>'Sta. Meteorologi Supadio'!U53</f>
        <v>0</v>
      </c>
      <c r="AW290" s="131">
        <f>'Sta. Meteorologi Supadio'!V53</f>
        <v>0.1</v>
      </c>
      <c r="AX290" s="131">
        <f>'Sta. Meteorologi Supadio'!W53</f>
        <v>42.6</v>
      </c>
      <c r="AY290" s="131">
        <f>'Sta. Meteorologi Supadio'!X53</f>
        <v>0</v>
      </c>
      <c r="AZ290" s="131">
        <f>'Sta. Meteorologi Supadio'!Y53</f>
        <v>0</v>
      </c>
      <c r="BA290" s="131">
        <f>'Sta. Meteorologi Supadio'!Z53</f>
        <v>1.8</v>
      </c>
      <c r="BB290" s="131">
        <f>'Sta. Meteorologi Supadio'!AA53</f>
        <v>6.7</v>
      </c>
      <c r="BC290" s="131">
        <f>'Sta. Meteorologi Supadio'!AB53</f>
        <v>15.7</v>
      </c>
    </row>
    <row r="291" spans="1:55">
      <c r="A291" s="130">
        <v>2</v>
      </c>
      <c r="B291" s="131">
        <f>'Sta. Klimatologi Kalbar'!Q54</f>
        <v>0</v>
      </c>
      <c r="C291" s="131">
        <f>'Sta. Klimatologi Kalbar'!R54</f>
        <v>5</v>
      </c>
      <c r="D291" s="131">
        <f>'Sta. Klimatologi Kalbar'!S54</f>
        <v>0.6</v>
      </c>
      <c r="E291" s="131">
        <f>'Sta. Klimatologi Kalbar'!T54</f>
        <v>0</v>
      </c>
      <c r="F291" s="131">
        <f>'Sta. Klimatologi Kalbar'!U54</f>
        <v>0</v>
      </c>
      <c r="G291" s="131">
        <f>'Sta. Klimatologi Kalbar'!V54</f>
        <v>0</v>
      </c>
      <c r="H291" s="131">
        <f>'Sta. Klimatologi Kalbar'!W54</f>
        <v>25.4</v>
      </c>
      <c r="I291" s="131">
        <f>'Sta. Klimatologi Kalbar'!X54</f>
        <v>24</v>
      </c>
      <c r="J291" s="131">
        <f>'Sta. Klimatologi Kalbar'!Y54</f>
        <v>0</v>
      </c>
      <c r="K291" s="131">
        <f>'Sta. Klimatologi Kalbar'!Z54</f>
        <v>0</v>
      </c>
      <c r="L291" s="131">
        <f>'Sta. Klimatologi Kalbar'!AA54</f>
        <v>0</v>
      </c>
      <c r="M291" s="131">
        <f>'Sta. Klimatologi Kalbar'!AB54</f>
        <v>5.5</v>
      </c>
      <c r="O291" s="130">
        <v>2</v>
      </c>
      <c r="P291" s="131">
        <f t="shared" ref="P291:R320" si="207">((B291/($T$1^2))+(AD291/($T$2^2))+(AR291/($T$3^2)))/((1/($T$1^2))+(1/($T$2^2))+(1/($T$3^2)))</f>
        <v>0</v>
      </c>
      <c r="Q291" s="131">
        <f t="shared" si="206"/>
        <v>8.9022540555817748</v>
      </c>
      <c r="R291" s="131">
        <f t="shared" si="206"/>
        <v>0.56457419216004634</v>
      </c>
      <c r="S291" s="131">
        <f t="shared" si="206"/>
        <v>0</v>
      </c>
      <c r="T291" s="131">
        <f t="shared" si="206"/>
        <v>18.022262440610902</v>
      </c>
      <c r="U291" s="131">
        <f t="shared" si="206"/>
        <v>2.2846915754964106</v>
      </c>
      <c r="V291" s="131">
        <f t="shared" si="206"/>
        <v>36.517161154756742</v>
      </c>
      <c r="W291" s="131">
        <f t="shared" si="206"/>
        <v>13.919724597122441</v>
      </c>
      <c r="X291" s="131">
        <f t="shared" si="206"/>
        <v>0</v>
      </c>
      <c r="Y291" s="131">
        <f t="shared" si="206"/>
        <v>0</v>
      </c>
      <c r="Z291" s="131">
        <f t="shared" si="206"/>
        <v>2.8340646271962873E-2</v>
      </c>
      <c r="AA291" s="131">
        <f t="shared" si="206"/>
        <v>7.3642148800324083</v>
      </c>
      <c r="AC291" s="130">
        <v>2</v>
      </c>
      <c r="AD291" s="131">
        <f>'Sta. Meteorologi pnk'!Q189</f>
        <v>0</v>
      </c>
      <c r="AE291" s="131">
        <f>'Sta. Meteorologi pnk'!R189</f>
        <v>10.3</v>
      </c>
      <c r="AF291" s="131">
        <f>'Sta. Meteorologi pnk'!S189</f>
        <v>0.6</v>
      </c>
      <c r="AG291" s="131">
        <f>'Sta. Meteorologi pnk'!T189</f>
        <v>0</v>
      </c>
      <c r="AH291" s="131">
        <f>'Sta. Meteorologi pnk'!U189</f>
        <v>25.4</v>
      </c>
      <c r="AI291" s="131">
        <f>'Sta. Meteorologi pnk'!V189</f>
        <v>3.2</v>
      </c>
      <c r="AJ291" s="131">
        <f>'Sta. Meteorologi pnk'!W189</f>
        <v>39.799999999999997</v>
      </c>
      <c r="AK291" s="131">
        <f>'Sta. Meteorologi pnk'!X189</f>
        <v>12</v>
      </c>
      <c r="AL291" s="131">
        <f>'Sta. Meteorologi pnk'!Y189</f>
        <v>0</v>
      </c>
      <c r="AM291" s="131">
        <f>'Sta. Meteorologi pnk'!Z189</f>
        <v>0</v>
      </c>
      <c r="AN291" s="131">
        <f>'Sta. Meteorologi pnk'!AA189</f>
        <v>0</v>
      </c>
      <c r="AO291" s="131">
        <f>'Sta. Meteorologi pnk'!AB189</f>
        <v>6.3</v>
      </c>
      <c r="AQ291" s="130">
        <v>2</v>
      </c>
      <c r="AR291" s="131">
        <f>'Sta. Meteorologi Supadio'!Q54</f>
        <v>0</v>
      </c>
      <c r="AS291" s="131">
        <f>'Sta. Meteorologi Supadio'!R54</f>
        <v>7</v>
      </c>
      <c r="AT291" s="131">
        <f>'Sta. Meteorologi Supadio'!S54</f>
        <v>0.1</v>
      </c>
      <c r="AU291" s="131">
        <f>'Sta. Meteorologi Supadio'!T54</f>
        <v>0</v>
      </c>
      <c r="AV291" s="131">
        <f>'Sta. Meteorologi Supadio'!U54</f>
        <v>0</v>
      </c>
      <c r="AW291" s="131">
        <f>'Sta. Meteorologi Supadio'!V54</f>
        <v>0.2</v>
      </c>
      <c r="AX291" s="131">
        <f>'Sta. Meteorologi Supadio'!W54</f>
        <v>38.1</v>
      </c>
      <c r="AY291" s="131">
        <f>'Sta. Meteorologi Supadio'!X54</f>
        <v>1.9</v>
      </c>
      <c r="AZ291" s="131">
        <f>'Sta. Meteorologi Supadio'!Y54</f>
        <v>0</v>
      </c>
      <c r="BA291" s="131">
        <f>'Sta. Meteorologi Supadio'!Z54</f>
        <v>0</v>
      </c>
      <c r="BB291" s="131">
        <f>'Sta. Meteorologi Supadio'!AA54</f>
        <v>0.4</v>
      </c>
      <c r="BC291" s="131">
        <f>'Sta. Meteorologi Supadio'!AB54</f>
        <v>23.8</v>
      </c>
    </row>
    <row r="292" spans="1:55">
      <c r="A292" s="130">
        <v>3</v>
      </c>
      <c r="B292" s="131">
        <f>'Sta. Klimatologi Kalbar'!Q55</f>
        <v>0</v>
      </c>
      <c r="C292" s="131">
        <f>'Sta. Klimatologi Kalbar'!R55</f>
        <v>9.6999999999999993</v>
      </c>
      <c r="D292" s="131">
        <f>'Sta. Klimatologi Kalbar'!S55</f>
        <v>0</v>
      </c>
      <c r="E292" s="131">
        <f>'Sta. Klimatologi Kalbar'!T55</f>
        <v>0</v>
      </c>
      <c r="F292" s="131">
        <f>'Sta. Klimatologi Kalbar'!U55</f>
        <v>0</v>
      </c>
      <c r="G292" s="131">
        <f>'Sta. Klimatologi Kalbar'!V55</f>
        <v>10.7</v>
      </c>
      <c r="H292" s="131">
        <f>'Sta. Klimatologi Kalbar'!W55</f>
        <v>0</v>
      </c>
      <c r="I292" s="131">
        <f>'Sta. Klimatologi Kalbar'!X55</f>
        <v>0.9</v>
      </c>
      <c r="J292" s="131">
        <f>'Sta. Klimatologi Kalbar'!Y55</f>
        <v>0</v>
      </c>
      <c r="K292" s="131">
        <f>'Sta. Klimatologi Kalbar'!Z55</f>
        <v>0</v>
      </c>
      <c r="L292" s="131">
        <f>'Sta. Klimatologi Kalbar'!AA55</f>
        <v>2.8</v>
      </c>
      <c r="M292" s="131">
        <f>'Sta. Klimatologi Kalbar'!AB55</f>
        <v>0</v>
      </c>
      <c r="O292" s="130">
        <v>3</v>
      </c>
      <c r="P292" s="131">
        <f t="shared" si="207"/>
        <v>0</v>
      </c>
      <c r="Q292" s="131">
        <f t="shared" si="206"/>
        <v>18.406264925969136</v>
      </c>
      <c r="R292" s="131">
        <f t="shared" si="206"/>
        <v>2.4124288306329555</v>
      </c>
      <c r="S292" s="131">
        <f t="shared" si="206"/>
        <v>0</v>
      </c>
      <c r="T292" s="131">
        <f t="shared" si="206"/>
        <v>0</v>
      </c>
      <c r="U292" s="131">
        <f t="shared" si="206"/>
        <v>10.764788188675478</v>
      </c>
      <c r="V292" s="131">
        <f t="shared" si="206"/>
        <v>7.0953789136263407E-2</v>
      </c>
      <c r="W292" s="131">
        <f t="shared" si="206"/>
        <v>1.9428470054272666</v>
      </c>
      <c r="X292" s="131">
        <f t="shared" si="206"/>
        <v>0</v>
      </c>
      <c r="Y292" s="131">
        <f t="shared" si="206"/>
        <v>0</v>
      </c>
      <c r="Z292" s="131">
        <f t="shared" si="206"/>
        <v>12.929667186940778</v>
      </c>
      <c r="AA292" s="131">
        <f t="shared" si="206"/>
        <v>12.204051731437303</v>
      </c>
      <c r="AC292" s="130">
        <v>3</v>
      </c>
      <c r="AD292" s="131">
        <f>'Sta. Meteorologi pnk'!Q190</f>
        <v>0</v>
      </c>
      <c r="AE292" s="131">
        <f>'Sta. Meteorologi pnk'!R190</f>
        <v>22.2</v>
      </c>
      <c r="AF292" s="131">
        <f>'Sta. Meteorologi pnk'!S190</f>
        <v>3.4</v>
      </c>
      <c r="AG292" s="131">
        <f>'Sta. Meteorologi pnk'!T190</f>
        <v>0</v>
      </c>
      <c r="AH292" s="131">
        <f>'Sta. Meteorologi pnk'!U190</f>
        <v>0</v>
      </c>
      <c r="AI292" s="131">
        <f>'Sta. Meteorologi pnk'!V190</f>
        <v>11.7</v>
      </c>
      <c r="AJ292" s="131">
        <f>'Sta. Meteorologi pnk'!W190</f>
        <v>0.1</v>
      </c>
      <c r="AK292" s="131">
        <f>'Sta. Meteorologi pnk'!X190</f>
        <v>2.2000000000000002</v>
      </c>
      <c r="AL292" s="131">
        <f>'Sta. Meteorologi pnk'!Y190</f>
        <v>0</v>
      </c>
      <c r="AM292" s="131">
        <f>'Sta. Meteorologi pnk'!Z190</f>
        <v>0</v>
      </c>
      <c r="AN292" s="131">
        <f>'Sta. Meteorologi pnk'!AA190</f>
        <v>14.6</v>
      </c>
      <c r="AO292" s="131">
        <f>'Sta. Meteorologi pnk'!AB190</f>
        <v>17.2</v>
      </c>
      <c r="AQ292" s="130">
        <v>3</v>
      </c>
      <c r="AR292" s="131">
        <f>'Sta. Meteorologi Supadio'!Q55</f>
        <v>0</v>
      </c>
      <c r="AS292" s="131">
        <f>'Sta. Meteorologi Supadio'!R55</f>
        <v>7.4</v>
      </c>
      <c r="AT292" s="131">
        <f>'Sta. Meteorologi Supadio'!S55</f>
        <v>0</v>
      </c>
      <c r="AU292" s="131">
        <f>'Sta. Meteorologi Supadio'!T55</f>
        <v>0</v>
      </c>
      <c r="AV292" s="131">
        <f>'Sta. Meteorologi Supadio'!U55</f>
        <v>0</v>
      </c>
      <c r="AW292" s="131">
        <f>'Sta. Meteorologi Supadio'!V55</f>
        <v>1.6</v>
      </c>
      <c r="AX292" s="131">
        <f>'Sta. Meteorologi Supadio'!W55</f>
        <v>0</v>
      </c>
      <c r="AY292" s="131">
        <f>'Sta. Meteorologi Supadio'!X55</f>
        <v>2.6</v>
      </c>
      <c r="AZ292" s="131">
        <f>'Sta. Meteorologi Supadio'!Y55</f>
        <v>0</v>
      </c>
      <c r="BA292" s="131">
        <f>'Sta. Meteorologi Supadio'!Z55</f>
        <v>0</v>
      </c>
      <c r="BB292" s="131">
        <f>'Sta. Meteorologi Supadio'!AA55</f>
        <v>27.6</v>
      </c>
      <c r="BC292" s="131">
        <f>'Sta. Meteorologi Supadio'!AB55</f>
        <v>0</v>
      </c>
    </row>
    <row r="293" spans="1:55">
      <c r="A293" s="130">
        <v>4</v>
      </c>
      <c r="B293" s="131">
        <f>'Sta. Klimatologi Kalbar'!Q56</f>
        <v>0</v>
      </c>
      <c r="C293" s="131">
        <f>'Sta. Klimatologi Kalbar'!R56</f>
        <v>1.7</v>
      </c>
      <c r="D293" s="131">
        <f>'Sta. Klimatologi Kalbar'!S56</f>
        <v>6.6</v>
      </c>
      <c r="E293" s="131">
        <f>'Sta. Klimatologi Kalbar'!T56</f>
        <v>1.8</v>
      </c>
      <c r="F293" s="131">
        <f>'Sta. Klimatologi Kalbar'!U56</f>
        <v>0.4</v>
      </c>
      <c r="G293" s="131">
        <f>'Sta. Klimatologi Kalbar'!V56</f>
        <v>18.5</v>
      </c>
      <c r="H293" s="131">
        <f>'Sta. Klimatologi Kalbar'!W56</f>
        <v>0</v>
      </c>
      <c r="I293" s="131">
        <f>'Sta. Klimatologi Kalbar'!X56</f>
        <v>0</v>
      </c>
      <c r="J293" s="131">
        <f>'Sta. Klimatologi Kalbar'!Y56</f>
        <v>0</v>
      </c>
      <c r="K293" s="131">
        <f>'Sta. Klimatologi Kalbar'!Z56</f>
        <v>0</v>
      </c>
      <c r="L293" s="131">
        <f>'Sta. Klimatologi Kalbar'!AA56</f>
        <v>87.4</v>
      </c>
      <c r="M293" s="131">
        <f>'Sta. Klimatologi Kalbar'!AB56</f>
        <v>7.1</v>
      </c>
      <c r="O293" s="130">
        <v>4</v>
      </c>
      <c r="P293" s="131">
        <f t="shared" si="207"/>
        <v>0</v>
      </c>
      <c r="Q293" s="131">
        <f t="shared" si="206"/>
        <v>0.66403380922801181</v>
      </c>
      <c r="R293" s="131">
        <f t="shared" si="206"/>
        <v>10.382419349664069</v>
      </c>
      <c r="S293" s="131">
        <f t="shared" si="206"/>
        <v>1.6013089557271909</v>
      </c>
      <c r="T293" s="131">
        <f t="shared" si="206"/>
        <v>12.143040555315537</v>
      </c>
      <c r="U293" s="131">
        <f t="shared" si="206"/>
        <v>17.329722259805258</v>
      </c>
      <c r="V293" s="131">
        <f t="shared" si="206"/>
        <v>0</v>
      </c>
      <c r="W293" s="131">
        <f t="shared" si="206"/>
        <v>0</v>
      </c>
      <c r="X293" s="131">
        <f t="shared" si="206"/>
        <v>0</v>
      </c>
      <c r="Y293" s="131">
        <f t="shared" si="206"/>
        <v>2.1286136740879016</v>
      </c>
      <c r="Z293" s="131">
        <f t="shared" si="206"/>
        <v>50.631971251192283</v>
      </c>
      <c r="AA293" s="131">
        <f t="shared" si="206"/>
        <v>11.648878073562752</v>
      </c>
      <c r="AC293" s="130">
        <v>4</v>
      </c>
      <c r="AD293" s="131">
        <f>'Sta. Meteorologi pnk'!Q191</f>
        <v>0</v>
      </c>
      <c r="AE293" s="131">
        <f>'Sta. Meteorologi pnk'!R191</f>
        <v>0.2</v>
      </c>
      <c r="AF293" s="131">
        <f>'Sta. Meteorologi pnk'!S191</f>
        <v>12.5</v>
      </c>
      <c r="AG293" s="131">
        <f>'Sta. Meteorologi pnk'!T191</f>
        <v>1.5</v>
      </c>
      <c r="AH293" s="131">
        <f>'Sta. Meteorologi pnk'!U191</f>
        <v>10.199999999999999</v>
      </c>
      <c r="AI293" s="131">
        <f>'Sta. Meteorologi pnk'!V191</f>
        <v>17.3</v>
      </c>
      <c r="AJ293" s="131">
        <f>'Sta. Meteorologi pnk'!W191</f>
        <v>0</v>
      </c>
      <c r="AK293" s="131">
        <f>'Sta. Meteorologi pnk'!X191</f>
        <v>0</v>
      </c>
      <c r="AL293" s="131">
        <f>'Sta. Meteorologi pnk'!Y191</f>
        <v>0</v>
      </c>
      <c r="AM293" s="131">
        <f>'Sta. Meteorologi pnk'!Z191</f>
        <v>3</v>
      </c>
      <c r="AN293" s="131">
        <f>'Sta. Meteorologi pnk'!AA191</f>
        <v>35.799999999999997</v>
      </c>
      <c r="AO293" s="131">
        <f>'Sta. Meteorologi pnk'!AB191</f>
        <v>7.3</v>
      </c>
      <c r="AQ293" s="130">
        <v>4</v>
      </c>
      <c r="AR293" s="131">
        <f>'Sta. Meteorologi Supadio'!Q56</f>
        <v>0</v>
      </c>
      <c r="AS293" s="131">
        <f>'Sta. Meteorologi Supadio'!R56</f>
        <v>2.1</v>
      </c>
      <c r="AT293" s="131">
        <f>'Sta. Meteorologi Supadio'!S56</f>
        <v>0.9</v>
      </c>
      <c r="AU293" s="131">
        <f>'Sta. Meteorologi Supadio'!T56</f>
        <v>2</v>
      </c>
      <c r="AV293" s="131">
        <f>'Sta. Meteorologi Supadio'!U56</f>
        <v>68</v>
      </c>
      <c r="AW293" s="131">
        <f>'Sta. Meteorologi Supadio'!V56</f>
        <v>14</v>
      </c>
      <c r="AX293" s="131">
        <f>'Sta. Meteorologi Supadio'!W56</f>
        <v>0</v>
      </c>
      <c r="AY293" s="131">
        <f>'Sta. Meteorologi Supadio'!X56</f>
        <v>0</v>
      </c>
      <c r="AZ293" s="131">
        <f>'Sta. Meteorologi Supadio'!Y56</f>
        <v>0</v>
      </c>
      <c r="BA293" s="131">
        <f>'Sta. Meteorologi Supadio'!Z56</f>
        <v>0</v>
      </c>
      <c r="BB293" s="131">
        <f>'Sta. Meteorologi Supadio'!AA56</f>
        <v>85.2</v>
      </c>
      <c r="BC293" s="131">
        <f>'Sta. Meteorologi Supadio'!AB56</f>
        <v>69.3</v>
      </c>
    </row>
    <row r="294" spans="1:55">
      <c r="A294" s="130">
        <v>5</v>
      </c>
      <c r="B294" s="131">
        <f>'Sta. Klimatologi Kalbar'!Q57</f>
        <v>35.200000000000003</v>
      </c>
      <c r="C294" s="131">
        <f>'Sta. Klimatologi Kalbar'!R57</f>
        <v>0</v>
      </c>
      <c r="D294" s="131">
        <f>'Sta. Klimatologi Kalbar'!S57</f>
        <v>14.2</v>
      </c>
      <c r="E294" s="131">
        <f>'Sta. Klimatologi Kalbar'!T57</f>
        <v>0</v>
      </c>
      <c r="F294" s="131">
        <f>'Sta. Klimatologi Kalbar'!U57</f>
        <v>0.5</v>
      </c>
      <c r="G294" s="131">
        <f>'Sta. Klimatologi Kalbar'!V57</f>
        <v>3.8</v>
      </c>
      <c r="H294" s="131">
        <f>'Sta. Klimatologi Kalbar'!W57</f>
        <v>30.9</v>
      </c>
      <c r="I294" s="131">
        <f>'Sta. Klimatologi Kalbar'!X57</f>
        <v>0</v>
      </c>
      <c r="J294" s="131">
        <f>'Sta. Klimatologi Kalbar'!Y57</f>
        <v>0</v>
      </c>
      <c r="K294" s="131">
        <f>'Sta. Klimatologi Kalbar'!Z57</f>
        <v>0</v>
      </c>
      <c r="L294" s="131">
        <f>'Sta. Klimatologi Kalbar'!AA57</f>
        <v>0</v>
      </c>
      <c r="M294" s="131">
        <f>'Sta. Klimatologi Kalbar'!AB57</f>
        <v>24.4</v>
      </c>
      <c r="O294" s="130">
        <v>5</v>
      </c>
      <c r="P294" s="131">
        <f t="shared" si="207"/>
        <v>18.010584054185543</v>
      </c>
      <c r="Q294" s="131">
        <f t="shared" si="206"/>
        <v>0</v>
      </c>
      <c r="R294" s="131">
        <f t="shared" si="206"/>
        <v>7.3678959724092339</v>
      </c>
      <c r="S294" s="131">
        <f t="shared" si="206"/>
        <v>0</v>
      </c>
      <c r="T294" s="131">
        <f t="shared" si="206"/>
        <v>0.1098052464787294</v>
      </c>
      <c r="U294" s="131">
        <f t="shared" si="206"/>
        <v>17.940650828994961</v>
      </c>
      <c r="V294" s="131">
        <f t="shared" si="206"/>
        <v>22.167948764167804</v>
      </c>
      <c r="W294" s="131">
        <f t="shared" si="206"/>
        <v>0</v>
      </c>
      <c r="X294" s="131">
        <f t="shared" si="206"/>
        <v>0</v>
      </c>
      <c r="Y294" s="131">
        <f t="shared" si="206"/>
        <v>0</v>
      </c>
      <c r="Z294" s="131">
        <f t="shared" si="206"/>
        <v>0</v>
      </c>
      <c r="AA294" s="131">
        <f t="shared" si="206"/>
        <v>33.045394521714606</v>
      </c>
      <c r="AC294" s="130">
        <v>5</v>
      </c>
      <c r="AD294" s="131">
        <f>'Sta. Meteorologi pnk'!Q192</f>
        <v>13.6</v>
      </c>
      <c r="AE294" s="131">
        <f>'Sta. Meteorologi pnk'!R192</f>
        <v>0</v>
      </c>
      <c r="AF294" s="131">
        <f>'Sta. Meteorologi pnk'!S192</f>
        <v>5.3</v>
      </c>
      <c r="AG294" s="131">
        <f>'Sta. Meteorologi pnk'!T192</f>
        <v>0</v>
      </c>
      <c r="AH294" s="131">
        <f>'Sta. Meteorologi pnk'!U192</f>
        <v>0</v>
      </c>
      <c r="AI294" s="131">
        <f>'Sta. Meteorologi pnk'!V192</f>
        <v>23.3</v>
      </c>
      <c r="AJ294" s="131">
        <f>'Sta. Meteorologi pnk'!W192</f>
        <v>20.9</v>
      </c>
      <c r="AK294" s="131">
        <f>'Sta. Meteorologi pnk'!X192</f>
        <v>0</v>
      </c>
      <c r="AL294" s="131">
        <f>'Sta. Meteorologi pnk'!Y192</f>
        <v>0</v>
      </c>
      <c r="AM294" s="131">
        <f>'Sta. Meteorologi pnk'!Z192</f>
        <v>0</v>
      </c>
      <c r="AN294" s="131">
        <f>'Sta. Meteorologi pnk'!AA192</f>
        <v>0</v>
      </c>
      <c r="AO294" s="131">
        <f>'Sta. Meteorologi pnk'!AB192</f>
        <v>32.799999999999997</v>
      </c>
      <c r="AQ294" s="130">
        <v>5</v>
      </c>
      <c r="AR294" s="131">
        <f>'Sta. Meteorologi Supadio'!Q57</f>
        <v>8.9</v>
      </c>
      <c r="AS294" s="131">
        <f>'Sta. Meteorologi Supadio'!R57</f>
        <v>0</v>
      </c>
      <c r="AT294" s="131">
        <f>'Sta. Meteorologi Supadio'!S57</f>
        <v>6.9</v>
      </c>
      <c r="AU294" s="131">
        <f>'Sta. Meteorologi Supadio'!T57</f>
        <v>0</v>
      </c>
      <c r="AV294" s="131">
        <f>'Sta. Meteorologi Supadio'!U57</f>
        <v>0</v>
      </c>
      <c r="AW294" s="131">
        <f>'Sta. Meteorologi Supadio'!V57</f>
        <v>8.1</v>
      </c>
      <c r="AX294" s="131">
        <f>'Sta. Meteorologi Supadio'!W57</f>
        <v>7.8</v>
      </c>
      <c r="AY294" s="131">
        <f>'Sta. Meteorologi Supadio'!X57</f>
        <v>0</v>
      </c>
      <c r="AZ294" s="131">
        <f>'Sta. Meteorologi Supadio'!Y57</f>
        <v>0</v>
      </c>
      <c r="BA294" s="131">
        <f>'Sta. Meteorologi Supadio'!Z57</f>
        <v>0</v>
      </c>
      <c r="BB294" s="131">
        <f>'Sta. Meteorologi Supadio'!AA57</f>
        <v>0</v>
      </c>
      <c r="BC294" s="131">
        <f>'Sta. Meteorologi Supadio'!AB57</f>
        <v>62.3</v>
      </c>
    </row>
    <row r="295" spans="1:55">
      <c r="A295" s="130">
        <v>6</v>
      </c>
      <c r="B295" s="131">
        <f>'Sta. Klimatologi Kalbar'!Q58</f>
        <v>0.3</v>
      </c>
      <c r="C295" s="131">
        <f>'Sta. Klimatologi Kalbar'!R58</f>
        <v>0</v>
      </c>
      <c r="D295" s="131">
        <f>'Sta. Klimatologi Kalbar'!S58</f>
        <v>5</v>
      </c>
      <c r="E295" s="131">
        <f>'Sta. Klimatologi Kalbar'!T58</f>
        <v>0</v>
      </c>
      <c r="F295" s="131">
        <f>'Sta. Klimatologi Kalbar'!U58</f>
        <v>12.3</v>
      </c>
      <c r="G295" s="131">
        <f>'Sta. Klimatologi Kalbar'!V58</f>
        <v>0</v>
      </c>
      <c r="H295" s="131">
        <f>'Sta. Klimatologi Kalbar'!W58</f>
        <v>55.3</v>
      </c>
      <c r="I295" s="131">
        <f>'Sta. Klimatologi Kalbar'!X58</f>
        <v>0</v>
      </c>
      <c r="J295" s="131">
        <f>'Sta. Klimatologi Kalbar'!Y58</f>
        <v>3.9</v>
      </c>
      <c r="K295" s="131">
        <f>'Sta. Klimatologi Kalbar'!Z58</f>
        <v>0.1</v>
      </c>
      <c r="L295" s="131">
        <f>'Sta. Klimatologi Kalbar'!AA58</f>
        <v>0.8</v>
      </c>
      <c r="M295" s="131">
        <f>'Sta. Klimatologi Kalbar'!AB58</f>
        <v>0</v>
      </c>
      <c r="O295" s="130">
        <v>6</v>
      </c>
      <c r="P295" s="131">
        <f t="shared" si="207"/>
        <v>0.88837493051229821</v>
      </c>
      <c r="Q295" s="131">
        <f t="shared" si="206"/>
        <v>0</v>
      </c>
      <c r="R295" s="131">
        <f t="shared" si="206"/>
        <v>1.8145733442615621</v>
      </c>
      <c r="S295" s="131">
        <f t="shared" si="206"/>
        <v>0</v>
      </c>
      <c r="T295" s="131">
        <f t="shared" si="206"/>
        <v>2.7012090633767434</v>
      </c>
      <c r="U295" s="131">
        <f t="shared" si="206"/>
        <v>0.92239925877142426</v>
      </c>
      <c r="V295" s="131">
        <f t="shared" si="206"/>
        <v>27.288445348875495</v>
      </c>
      <c r="W295" s="131">
        <f t="shared" si="206"/>
        <v>0</v>
      </c>
      <c r="X295" s="131">
        <f t="shared" si="206"/>
        <v>3.2614158977736292</v>
      </c>
      <c r="Y295" s="131">
        <f t="shared" si="206"/>
        <v>26.654533917229784</v>
      </c>
      <c r="Z295" s="131">
        <f t="shared" si="206"/>
        <v>15.558388140342787</v>
      </c>
      <c r="AA295" s="131">
        <f t="shared" si="206"/>
        <v>0.14170323135981436</v>
      </c>
      <c r="AC295" s="130">
        <v>6</v>
      </c>
      <c r="AD295" s="131">
        <f>'Sta. Meteorologi pnk'!Q193</f>
        <v>0.6</v>
      </c>
      <c r="AE295" s="131">
        <f>'Sta. Meteorologi pnk'!R193</f>
        <v>0</v>
      </c>
      <c r="AF295" s="131">
        <f>'Sta. Meteorologi pnk'!S193</f>
        <v>0.9</v>
      </c>
      <c r="AG295" s="131">
        <f>'Sta. Meteorologi pnk'!T193</f>
        <v>0</v>
      </c>
      <c r="AH295" s="131">
        <f>'Sta. Meteorologi pnk'!U193</f>
        <v>0</v>
      </c>
      <c r="AI295" s="131">
        <f>'Sta. Meteorologi pnk'!V193</f>
        <v>1.3</v>
      </c>
      <c r="AJ295" s="131">
        <f>'Sta. Meteorologi pnk'!W193</f>
        <v>16.8</v>
      </c>
      <c r="AK295" s="131">
        <f>'Sta. Meteorologi pnk'!X193</f>
        <v>0</v>
      </c>
      <c r="AL295" s="131">
        <f>'Sta. Meteorologi pnk'!Y193</f>
        <v>3</v>
      </c>
      <c r="AM295" s="131">
        <f>'Sta. Meteorologi pnk'!Z193</f>
        <v>27.2</v>
      </c>
      <c r="AN295" s="131">
        <f>'Sta. Meteorologi pnk'!AA193</f>
        <v>21.6</v>
      </c>
      <c r="AO295" s="131">
        <f>'Sta. Meteorologi pnk'!AB193</f>
        <v>0</v>
      </c>
      <c r="AQ295" s="130">
        <v>6</v>
      </c>
      <c r="AR295" s="131">
        <f>'Sta. Meteorologi Supadio'!Q58</f>
        <v>5.6</v>
      </c>
      <c r="AS295" s="131">
        <f>'Sta. Meteorologi Supadio'!R58</f>
        <v>0</v>
      </c>
      <c r="AT295" s="131">
        <f>'Sta. Meteorologi Supadio'!S58</f>
        <v>1.1000000000000001</v>
      </c>
      <c r="AU295" s="131">
        <f>'Sta. Meteorologi Supadio'!T58</f>
        <v>0</v>
      </c>
      <c r="AV295" s="131">
        <f>'Sta. Meteorologi Supadio'!U58</f>
        <v>0</v>
      </c>
      <c r="AW295" s="131">
        <f>'Sta. Meteorologi Supadio'!V58</f>
        <v>0</v>
      </c>
      <c r="AX295" s="131">
        <f>'Sta. Meteorologi Supadio'!W58</f>
        <v>45.5</v>
      </c>
      <c r="AY295" s="131">
        <f>'Sta. Meteorologi Supadio'!X58</f>
        <v>0</v>
      </c>
      <c r="AZ295" s="131">
        <f>'Sta. Meteorologi Supadio'!Y58</f>
        <v>3.9</v>
      </c>
      <c r="BA295" s="131">
        <f>'Sta. Meteorologi Supadio'!Z58</f>
        <v>103.5</v>
      </c>
      <c r="BB295" s="131">
        <f>'Sta. Meteorologi Supadio'!AA58</f>
        <v>0.8</v>
      </c>
      <c r="BC295" s="131">
        <f>'Sta. Meteorologi Supadio'!AB58</f>
        <v>2</v>
      </c>
    </row>
    <row r="296" spans="1:55">
      <c r="A296" s="130">
        <v>7</v>
      </c>
      <c r="B296" s="131">
        <f>'Sta. Klimatologi Kalbar'!Q59</f>
        <v>3.5</v>
      </c>
      <c r="C296" s="131">
        <f>'Sta. Klimatologi Kalbar'!R59</f>
        <v>0</v>
      </c>
      <c r="D296" s="131">
        <f>'Sta. Klimatologi Kalbar'!S59</f>
        <v>4.5</v>
      </c>
      <c r="E296" s="131">
        <f>'Sta. Klimatologi Kalbar'!T59</f>
        <v>1.5</v>
      </c>
      <c r="F296" s="131">
        <f>'Sta. Klimatologi Kalbar'!U59</f>
        <v>1</v>
      </c>
      <c r="G296" s="131">
        <f>'Sta. Klimatologi Kalbar'!V59</f>
        <v>0.9</v>
      </c>
      <c r="H296" s="131">
        <f>'Sta. Klimatologi Kalbar'!W59</f>
        <v>26.3</v>
      </c>
      <c r="I296" s="131">
        <f>'Sta. Klimatologi Kalbar'!X59</f>
        <v>0</v>
      </c>
      <c r="J296" s="131">
        <f>'Sta. Klimatologi Kalbar'!Y59</f>
        <v>21.4</v>
      </c>
      <c r="K296" s="131">
        <f>'Sta. Klimatologi Kalbar'!Z59</f>
        <v>0</v>
      </c>
      <c r="L296" s="131">
        <f>'Sta. Klimatologi Kalbar'!AA59</f>
        <v>9</v>
      </c>
      <c r="M296" s="131">
        <f>'Sta. Klimatologi Kalbar'!AB59</f>
        <v>1</v>
      </c>
      <c r="O296" s="130">
        <v>7</v>
      </c>
      <c r="P296" s="131">
        <f t="shared" si="207"/>
        <v>2.2940921050525906</v>
      </c>
      <c r="Q296" s="131">
        <f t="shared" si="206"/>
        <v>0</v>
      </c>
      <c r="R296" s="131">
        <f t="shared" si="206"/>
        <v>2.8330457358514129</v>
      </c>
      <c r="S296" s="131">
        <f t="shared" si="206"/>
        <v>11.027428453661569</v>
      </c>
      <c r="T296" s="131">
        <f t="shared" si="206"/>
        <v>7.3149894065837984</v>
      </c>
      <c r="U296" s="131">
        <f t="shared" si="206"/>
        <v>5.4337529962401545</v>
      </c>
      <c r="V296" s="131">
        <f t="shared" si="206"/>
        <v>17.318742027811854</v>
      </c>
      <c r="W296" s="131">
        <f t="shared" si="206"/>
        <v>9.011131220305451</v>
      </c>
      <c r="X296" s="131">
        <f t="shared" si="206"/>
        <v>10.600342860870201</v>
      </c>
      <c r="Y296" s="131">
        <f t="shared" si="206"/>
        <v>0</v>
      </c>
      <c r="Z296" s="131">
        <f t="shared" si="206"/>
        <v>10.050443034277038</v>
      </c>
      <c r="AA296" s="131">
        <f t="shared" si="206"/>
        <v>5.5827360864779507</v>
      </c>
      <c r="AC296" s="130">
        <v>7</v>
      </c>
      <c r="AD296" s="131">
        <f>'Sta. Meteorologi pnk'!Q194</f>
        <v>2.1</v>
      </c>
      <c r="AE296" s="131">
        <f>'Sta. Meteorologi pnk'!R194</f>
        <v>0</v>
      </c>
      <c r="AF296" s="131">
        <f>'Sta. Meteorologi pnk'!S194</f>
        <v>2.6</v>
      </c>
      <c r="AG296" s="131">
        <f>'Sta. Meteorologi pnk'!T194</f>
        <v>13.3</v>
      </c>
      <c r="AH296" s="131">
        <f>'Sta. Meteorologi pnk'!U194</f>
        <v>10</v>
      </c>
      <c r="AI296" s="131">
        <f>'Sta. Meteorologi pnk'!V194</f>
        <v>7.1</v>
      </c>
      <c r="AJ296" s="131">
        <f>'Sta. Meteorologi pnk'!W194</f>
        <v>15.1</v>
      </c>
      <c r="AK296" s="131">
        <f>'Sta. Meteorologi pnk'!X194</f>
        <v>12.7</v>
      </c>
      <c r="AL296" s="131">
        <f>'Sta. Meteorologi pnk'!Y194</f>
        <v>5.7</v>
      </c>
      <c r="AM296" s="131">
        <f>'Sta. Meteorologi pnk'!Z194</f>
        <v>0</v>
      </c>
      <c r="AN296" s="131">
        <f>'Sta. Meteorologi pnk'!AA194</f>
        <v>10.8</v>
      </c>
      <c r="AO296" s="131">
        <f>'Sta. Meteorologi pnk'!AB194</f>
        <v>6.6</v>
      </c>
      <c r="AQ296" s="130">
        <v>7</v>
      </c>
      <c r="AR296" s="131">
        <f>'Sta. Meteorologi Supadio'!Q59</f>
        <v>0.5</v>
      </c>
      <c r="AS296" s="131">
        <f>'Sta. Meteorologi Supadio'!R59</f>
        <v>0</v>
      </c>
      <c r="AT296" s="131">
        <f>'Sta. Meteorologi Supadio'!S59</f>
        <v>0</v>
      </c>
      <c r="AU296" s="131">
        <f>'Sta. Meteorologi Supadio'!T59</f>
        <v>17.8</v>
      </c>
      <c r="AV296" s="131">
        <f>'Sta. Meteorologi Supadio'!U59</f>
        <v>0</v>
      </c>
      <c r="AW296" s="131">
        <f>'Sta. Meteorologi Supadio'!V59</f>
        <v>2.8</v>
      </c>
      <c r="AX296" s="131">
        <f>'Sta. Meteorologi Supadio'!W59</f>
        <v>11.7</v>
      </c>
      <c r="AY296" s="131">
        <f>'Sta. Meteorologi Supadio'!X59</f>
        <v>0</v>
      </c>
      <c r="AZ296" s="131">
        <f>'Sta. Meteorologi Supadio'!Y59</f>
        <v>26.2</v>
      </c>
      <c r="BA296" s="131">
        <f>'Sta. Meteorologi Supadio'!Z59</f>
        <v>0</v>
      </c>
      <c r="BB296" s="131">
        <f>'Sta. Meteorologi Supadio'!AA59</f>
        <v>5.8</v>
      </c>
      <c r="BC296" s="131">
        <f>'Sta. Meteorologi Supadio'!AB59</f>
        <v>9.6</v>
      </c>
    </row>
    <row r="297" spans="1:55">
      <c r="A297" s="130">
        <v>8</v>
      </c>
      <c r="B297" s="131">
        <f>'Sta. Klimatologi Kalbar'!Q60</f>
        <v>8.8000000000000007</v>
      </c>
      <c r="C297" s="131">
        <f>'Sta. Klimatologi Kalbar'!R60</f>
        <v>0</v>
      </c>
      <c r="D297" s="131">
        <f>'Sta. Klimatologi Kalbar'!S60</f>
        <v>0</v>
      </c>
      <c r="E297" s="131">
        <f>'Sta. Klimatologi Kalbar'!T60</f>
        <v>0.3</v>
      </c>
      <c r="F297" s="131">
        <f>'Sta. Klimatologi Kalbar'!U60</f>
        <v>0</v>
      </c>
      <c r="G297" s="131">
        <f>'Sta. Klimatologi Kalbar'!V60</f>
        <v>0</v>
      </c>
      <c r="H297" s="131">
        <f>'Sta. Klimatologi Kalbar'!W60</f>
        <v>0</v>
      </c>
      <c r="I297" s="131">
        <f>'Sta. Klimatologi Kalbar'!X60</f>
        <v>31.5</v>
      </c>
      <c r="J297" s="131">
        <f>'Sta. Klimatologi Kalbar'!Y60</f>
        <v>0</v>
      </c>
      <c r="K297" s="131">
        <f>'Sta. Klimatologi Kalbar'!Z60</f>
        <v>0</v>
      </c>
      <c r="L297" s="131">
        <f>'Sta. Klimatologi Kalbar'!AA60</f>
        <v>24.1</v>
      </c>
      <c r="M297" s="131">
        <f>'Sta. Klimatologi Kalbar'!AB60</f>
        <v>1.6</v>
      </c>
      <c r="O297" s="130">
        <v>8</v>
      </c>
      <c r="P297" s="131">
        <f t="shared" si="207"/>
        <v>4.0170402674038961</v>
      </c>
      <c r="Q297" s="131">
        <f t="shared" si="206"/>
        <v>0</v>
      </c>
      <c r="R297" s="131">
        <f t="shared" si="206"/>
        <v>0</v>
      </c>
      <c r="S297" s="131">
        <f t="shared" si="206"/>
        <v>2.3768719005284864</v>
      </c>
      <c r="T297" s="131">
        <f t="shared" si="206"/>
        <v>0.57471547465809791</v>
      </c>
      <c r="U297" s="131">
        <f t="shared" si="206"/>
        <v>0.32591743212757301</v>
      </c>
      <c r="V297" s="131">
        <f t="shared" si="206"/>
        <v>0.35476894568131701</v>
      </c>
      <c r="W297" s="131">
        <f t="shared" si="206"/>
        <v>10.323512406700594</v>
      </c>
      <c r="X297" s="131">
        <f t="shared" si="206"/>
        <v>0.14190757827252681</v>
      </c>
      <c r="Y297" s="131">
        <f t="shared" si="206"/>
        <v>0</v>
      </c>
      <c r="Z297" s="131">
        <f t="shared" si="206"/>
        <v>15.637593597576874</v>
      </c>
      <c r="AA297" s="131">
        <f t="shared" si="206"/>
        <v>2.5506377315870306</v>
      </c>
      <c r="AC297" s="130">
        <v>8</v>
      </c>
      <c r="AD297" s="131">
        <f>'Sta. Meteorologi pnk'!Q195</f>
        <v>1.4</v>
      </c>
      <c r="AE297" s="131">
        <f>'Sta. Meteorologi pnk'!R195</f>
        <v>0</v>
      </c>
      <c r="AF297" s="131">
        <f>'Sta. Meteorologi pnk'!S195</f>
        <v>0</v>
      </c>
      <c r="AG297" s="131">
        <f>'Sta. Meteorologi pnk'!T195</f>
        <v>1.2</v>
      </c>
      <c r="AH297" s="131">
        <f>'Sta. Meteorologi pnk'!U195</f>
        <v>0.8</v>
      </c>
      <c r="AI297" s="131">
        <f>'Sta. Meteorologi pnk'!V195</f>
        <v>0</v>
      </c>
      <c r="AJ297" s="131">
        <f>'Sta. Meteorologi pnk'!W195</f>
        <v>0.5</v>
      </c>
      <c r="AK297" s="131">
        <f>'Sta. Meteorologi pnk'!X195</f>
        <v>4.8</v>
      </c>
      <c r="AL297" s="131">
        <f>'Sta. Meteorologi pnk'!Y195</f>
        <v>0.2</v>
      </c>
      <c r="AM297" s="131">
        <f>'Sta. Meteorologi pnk'!Z195</f>
        <v>0</v>
      </c>
      <c r="AN297" s="131">
        <f>'Sta. Meteorologi pnk'!AA195</f>
        <v>14.5</v>
      </c>
      <c r="AO297" s="131">
        <f>'Sta. Meteorologi pnk'!AB195</f>
        <v>2.8</v>
      </c>
      <c r="AQ297" s="130">
        <v>8</v>
      </c>
      <c r="AR297" s="131">
        <f>'Sta. Meteorologi Supadio'!Q60</f>
        <v>15.4</v>
      </c>
      <c r="AS297" s="131">
        <f>'Sta. Meteorologi Supadio'!R60</f>
        <v>0</v>
      </c>
      <c r="AT297" s="131">
        <f>'Sta. Meteorologi Supadio'!S60</f>
        <v>0</v>
      </c>
      <c r="AU297" s="131">
        <f>'Sta. Meteorologi Supadio'!T60</f>
        <v>20.6</v>
      </c>
      <c r="AV297" s="131">
        <f>'Sta. Meteorologi Supadio'!U60</f>
        <v>0.1</v>
      </c>
      <c r="AW297" s="131">
        <f>'Sta. Meteorologi Supadio'!V60</f>
        <v>4.5999999999999996</v>
      </c>
      <c r="AX297" s="131">
        <f>'Sta. Meteorologi Supadio'!W60</f>
        <v>0</v>
      </c>
      <c r="AY297" s="131">
        <f>'Sta. Meteorologi Supadio'!X60</f>
        <v>0</v>
      </c>
      <c r="AZ297" s="131">
        <f>'Sta. Meteorologi Supadio'!Y60</f>
        <v>0</v>
      </c>
      <c r="BA297" s="131">
        <f>'Sta. Meteorologi Supadio'!Z60</f>
        <v>0</v>
      </c>
      <c r="BB297" s="131">
        <f>'Sta. Meteorologi Supadio'!AA60</f>
        <v>0.8</v>
      </c>
      <c r="BC297" s="131">
        <f>'Sta. Meteorologi Supadio'!AB60</f>
        <v>3</v>
      </c>
    </row>
    <row r="298" spans="1:55">
      <c r="A298" s="130">
        <v>9</v>
      </c>
      <c r="B298" s="131">
        <f>'Sta. Klimatologi Kalbar'!Q61</f>
        <v>16.5</v>
      </c>
      <c r="C298" s="131">
        <f>'Sta. Klimatologi Kalbar'!R61</f>
        <v>0</v>
      </c>
      <c r="D298" s="131">
        <f>'Sta. Klimatologi Kalbar'!S61</f>
        <v>0</v>
      </c>
      <c r="E298" s="131">
        <f>'Sta. Klimatologi Kalbar'!T61</f>
        <v>0</v>
      </c>
      <c r="F298" s="131">
        <f>'Sta. Klimatologi Kalbar'!U61</f>
        <v>16.5</v>
      </c>
      <c r="G298" s="131">
        <f>'Sta. Klimatologi Kalbar'!V61</f>
        <v>107.3</v>
      </c>
      <c r="H298" s="131">
        <f>'Sta. Klimatologi Kalbar'!W61</f>
        <v>33.200000000000003</v>
      </c>
      <c r="I298" s="131">
        <f>'Sta. Klimatologi Kalbar'!X61</f>
        <v>0</v>
      </c>
      <c r="J298" s="131">
        <f>'Sta. Klimatologi Kalbar'!Y61</f>
        <v>0</v>
      </c>
      <c r="K298" s="131">
        <f>'Sta. Klimatologi Kalbar'!Z61</f>
        <v>8.5</v>
      </c>
      <c r="L298" s="131">
        <f>'Sta. Klimatologi Kalbar'!AA61</f>
        <v>4.5</v>
      </c>
      <c r="M298" s="131">
        <f>'Sta. Klimatologi Kalbar'!AB61</f>
        <v>0</v>
      </c>
      <c r="O298" s="130">
        <v>9</v>
      </c>
      <c r="P298" s="131">
        <f t="shared" si="207"/>
        <v>5.1697731309217456</v>
      </c>
      <c r="Q298" s="131">
        <f t="shared" si="206"/>
        <v>0</v>
      </c>
      <c r="R298" s="131">
        <f t="shared" si="206"/>
        <v>1.773844728406585</v>
      </c>
      <c r="S298" s="131">
        <f t="shared" si="206"/>
        <v>0</v>
      </c>
      <c r="T298" s="131">
        <f t="shared" si="206"/>
        <v>33.424164571028697</v>
      </c>
      <c r="U298" s="131">
        <f t="shared" si="206"/>
        <v>73.823266636625164</v>
      </c>
      <c r="V298" s="131">
        <f t="shared" si="206"/>
        <v>7.2910683661876323</v>
      </c>
      <c r="W298" s="131">
        <f t="shared" si="206"/>
        <v>0</v>
      </c>
      <c r="X298" s="131">
        <f t="shared" si="206"/>
        <v>0</v>
      </c>
      <c r="Y298" s="131">
        <f t="shared" si="206"/>
        <v>3.3070204575676394</v>
      </c>
      <c r="Z298" s="131">
        <f t="shared" si="206"/>
        <v>8.7859097078962467</v>
      </c>
      <c r="AA298" s="131">
        <f t="shared" si="206"/>
        <v>0</v>
      </c>
      <c r="AC298" s="130">
        <v>9</v>
      </c>
      <c r="AD298" s="131">
        <f>'Sta. Meteorologi pnk'!Q196</f>
        <v>1.6</v>
      </c>
      <c r="AE298" s="131">
        <f>'Sta. Meteorologi pnk'!R196</f>
        <v>0</v>
      </c>
      <c r="AF298" s="131">
        <f>'Sta. Meteorologi pnk'!S196</f>
        <v>2.5</v>
      </c>
      <c r="AG298" s="131">
        <f>'Sta. Meteorologi pnk'!T196</f>
        <v>0</v>
      </c>
      <c r="AH298" s="131">
        <f>'Sta. Meteorologi pnk'!U196</f>
        <v>42</v>
      </c>
      <c r="AI298" s="131">
        <f>'Sta. Meteorologi pnk'!V196</f>
        <v>59.4</v>
      </c>
      <c r="AJ298" s="131">
        <f>'Sta. Meteorologi pnk'!W196</f>
        <v>0</v>
      </c>
      <c r="AK298" s="131">
        <f>'Sta. Meteorologi pnk'!X196</f>
        <v>0</v>
      </c>
      <c r="AL298" s="131">
        <f>'Sta. Meteorologi pnk'!Y196</f>
        <v>0</v>
      </c>
      <c r="AM298" s="131">
        <f>'Sta. Meteorologi pnk'!Z196</f>
        <v>2</v>
      </c>
      <c r="AN298" s="131">
        <f>'Sta. Meteorologi pnk'!AA196</f>
        <v>3.9</v>
      </c>
      <c r="AO298" s="131">
        <f>'Sta. Meteorologi pnk'!AB196</f>
        <v>0</v>
      </c>
      <c r="AQ298" s="130">
        <v>9</v>
      </c>
      <c r="AR298" s="131">
        <f>'Sta. Meteorologi Supadio'!Q61</f>
        <v>5.8</v>
      </c>
      <c r="AS298" s="131">
        <f>'Sta. Meteorologi Supadio'!R61</f>
        <v>0</v>
      </c>
      <c r="AT298" s="131">
        <f>'Sta. Meteorologi Supadio'!S61</f>
        <v>0</v>
      </c>
      <c r="AU298" s="131">
        <f>'Sta. Meteorologi Supadio'!T61</f>
        <v>0</v>
      </c>
      <c r="AV298" s="131">
        <f>'Sta. Meteorologi Supadio'!U61</f>
        <v>0</v>
      </c>
      <c r="AW298" s="131">
        <f>'Sta. Meteorologi Supadio'!V61</f>
        <v>114.5</v>
      </c>
      <c r="AX298" s="131">
        <f>'Sta. Meteorologi Supadio'!W61</f>
        <v>0</v>
      </c>
      <c r="AY298" s="131">
        <f>'Sta. Meteorologi Supadio'!X61</f>
        <v>0</v>
      </c>
      <c r="AZ298" s="131">
        <f>'Sta. Meteorologi Supadio'!Y61</f>
        <v>0</v>
      </c>
      <c r="BA298" s="131">
        <f>'Sta. Meteorologi Supadio'!Z61</f>
        <v>0.3</v>
      </c>
      <c r="BB298" s="131">
        <f>'Sta. Meteorologi Supadio'!AA61</f>
        <v>71</v>
      </c>
      <c r="BC298" s="131">
        <f>'Sta. Meteorologi Supadio'!AB61</f>
        <v>0</v>
      </c>
    </row>
    <row r="299" spans="1:55">
      <c r="A299" s="130">
        <v>10</v>
      </c>
      <c r="B299" s="131">
        <f>'Sta. Klimatologi Kalbar'!Q62</f>
        <v>1.4</v>
      </c>
      <c r="C299" s="131">
        <f>'Sta. Klimatologi Kalbar'!R62</f>
        <v>0</v>
      </c>
      <c r="D299" s="131">
        <f>'Sta. Klimatologi Kalbar'!S62</f>
        <v>1</v>
      </c>
      <c r="E299" s="131">
        <f>'Sta. Klimatologi Kalbar'!T62</f>
        <v>0</v>
      </c>
      <c r="F299" s="131">
        <f>'Sta. Klimatologi Kalbar'!U62</f>
        <v>2.8</v>
      </c>
      <c r="G299" s="131">
        <f>'Sta. Klimatologi Kalbar'!V62</f>
        <v>0</v>
      </c>
      <c r="H299" s="131">
        <f>'Sta. Klimatologi Kalbar'!W62</f>
        <v>58.5</v>
      </c>
      <c r="I299" s="131">
        <f>'Sta. Klimatologi Kalbar'!X62</f>
        <v>0</v>
      </c>
      <c r="J299" s="131">
        <f>'Sta. Klimatologi Kalbar'!Y62</f>
        <v>0</v>
      </c>
      <c r="K299" s="131">
        <f>'Sta. Klimatologi Kalbar'!Z62</f>
        <v>10.5</v>
      </c>
      <c r="L299" s="131">
        <f>'Sta. Klimatologi Kalbar'!AA62</f>
        <v>29.5</v>
      </c>
      <c r="M299" s="131">
        <f>'Sta. Klimatologi Kalbar'!AB62</f>
        <v>78.2</v>
      </c>
      <c r="O299" s="130">
        <v>10</v>
      </c>
      <c r="P299" s="131">
        <f t="shared" si="207"/>
        <v>1.4991922619518701</v>
      </c>
      <c r="Q299" s="131">
        <f t="shared" si="206"/>
        <v>0</v>
      </c>
      <c r="R299" s="131">
        <f t="shared" si="206"/>
        <v>0.57437943863877572</v>
      </c>
      <c r="S299" s="131">
        <f t="shared" si="206"/>
        <v>0.21286136740879016</v>
      </c>
      <c r="T299" s="131">
        <f t="shared" si="206"/>
        <v>6.7878890351357999</v>
      </c>
      <c r="U299" s="131">
        <f t="shared" si="206"/>
        <v>0</v>
      </c>
      <c r="V299" s="131">
        <f t="shared" si="206"/>
        <v>38.161844480842753</v>
      </c>
      <c r="W299" s="131">
        <f t="shared" si="206"/>
        <v>0</v>
      </c>
      <c r="X299" s="131">
        <f t="shared" si="206"/>
        <v>0</v>
      </c>
      <c r="Y299" s="131">
        <f t="shared" si="206"/>
        <v>14.43870159798529</v>
      </c>
      <c r="Z299" s="131">
        <f t="shared" si="206"/>
        <v>22.471452744176261</v>
      </c>
      <c r="AA299" s="131">
        <f t="shared" si="206"/>
        <v>41.868150871637617</v>
      </c>
      <c r="AC299" s="130">
        <v>10</v>
      </c>
      <c r="AD299" s="131">
        <f>'Sta. Meteorologi pnk'!Q197</f>
        <v>1.4</v>
      </c>
      <c r="AE299" s="131">
        <f>'Sta. Meteorologi pnk'!R197</f>
        <v>0</v>
      </c>
      <c r="AF299" s="131">
        <f>'Sta. Meteorologi pnk'!S197</f>
        <v>0.5</v>
      </c>
      <c r="AG299" s="131">
        <f>'Sta. Meteorologi pnk'!T197</f>
        <v>0.3</v>
      </c>
      <c r="AH299" s="131">
        <f>'Sta. Meteorologi pnk'!U197</f>
        <v>8.6999999999999993</v>
      </c>
      <c r="AI299" s="131">
        <f>'Sta. Meteorologi pnk'!V197</f>
        <v>0</v>
      </c>
      <c r="AJ299" s="131">
        <f>'Sta. Meteorologi pnk'!W197</f>
        <v>27.1</v>
      </c>
      <c r="AK299" s="131">
        <f>'Sta. Meteorologi pnk'!X197</f>
        <v>0</v>
      </c>
      <c r="AL299" s="131">
        <f>'Sta. Meteorologi pnk'!Y197</f>
        <v>0</v>
      </c>
      <c r="AM299" s="131">
        <f>'Sta. Meteorologi pnk'!Z197</f>
        <v>16.8</v>
      </c>
      <c r="AN299" s="131">
        <f>'Sta. Meteorologi pnk'!AA197</f>
        <v>22.5</v>
      </c>
      <c r="AO299" s="131">
        <f>'Sta. Meteorologi pnk'!AB197</f>
        <v>30.5</v>
      </c>
      <c r="AQ299" s="130">
        <v>10</v>
      </c>
      <c r="AR299" s="131">
        <f>'Sta. Meteorologi Supadio'!Q62</f>
        <v>2.8</v>
      </c>
      <c r="AS299" s="131">
        <f>'Sta. Meteorologi Supadio'!R62</f>
        <v>0</v>
      </c>
      <c r="AT299" s="131">
        <f>'Sta. Meteorologi Supadio'!S62</f>
        <v>0</v>
      </c>
      <c r="AU299" s="131">
        <f>'Sta. Meteorologi Supadio'!T62</f>
        <v>0</v>
      </c>
      <c r="AV299" s="131">
        <f>'Sta. Meteorologi Supadio'!U62</f>
        <v>0</v>
      </c>
      <c r="AW299" s="131">
        <f>'Sta. Meteorologi Supadio'!V62</f>
        <v>0</v>
      </c>
      <c r="AX299" s="131">
        <f>'Sta. Meteorologi Supadio'!W62</f>
        <v>85.9</v>
      </c>
      <c r="AY299" s="131">
        <f>'Sta. Meteorologi Supadio'!X62</f>
        <v>0</v>
      </c>
      <c r="AZ299" s="131">
        <f>'Sta. Meteorologi Supadio'!Y62</f>
        <v>0</v>
      </c>
      <c r="BA299" s="131">
        <f>'Sta. Meteorologi Supadio'!Z62</f>
        <v>3</v>
      </c>
      <c r="BB299" s="131">
        <f>'Sta. Meteorologi Supadio'!AA62</f>
        <v>0.4</v>
      </c>
      <c r="BC299" s="131">
        <f>'Sta. Meteorologi Supadio'!AB62</f>
        <v>43.1</v>
      </c>
    </row>
    <row r="300" spans="1:55">
      <c r="A300" s="130">
        <v>11</v>
      </c>
      <c r="B300" s="131">
        <f>'Sta. Klimatologi Kalbar'!Q63</f>
        <v>0</v>
      </c>
      <c r="C300" s="131">
        <f>'Sta. Klimatologi Kalbar'!R63</f>
        <v>0</v>
      </c>
      <c r="D300" s="131">
        <f>'Sta. Klimatologi Kalbar'!S63</f>
        <v>66.400000000000006</v>
      </c>
      <c r="E300" s="131">
        <f>'Sta. Klimatologi Kalbar'!T63</f>
        <v>0</v>
      </c>
      <c r="F300" s="131">
        <f>'Sta. Klimatologi Kalbar'!U63</f>
        <v>0</v>
      </c>
      <c r="G300" s="131">
        <f>'Sta. Klimatologi Kalbar'!V63</f>
        <v>0</v>
      </c>
      <c r="H300" s="131">
        <f>'Sta. Klimatologi Kalbar'!W63</f>
        <v>14.7</v>
      </c>
      <c r="I300" s="131">
        <f>'Sta. Klimatologi Kalbar'!X63</f>
        <v>0</v>
      </c>
      <c r="J300" s="131">
        <f>'Sta. Klimatologi Kalbar'!Y63</f>
        <v>0</v>
      </c>
      <c r="K300" s="131">
        <f>'Sta. Klimatologi Kalbar'!Z63</f>
        <v>0</v>
      </c>
      <c r="L300" s="131">
        <f>'Sta. Klimatologi Kalbar'!AA63</f>
        <v>9.1999999999999993</v>
      </c>
      <c r="M300" s="131">
        <f>'Sta. Klimatologi Kalbar'!AB63</f>
        <v>0</v>
      </c>
      <c r="O300" s="130">
        <v>11</v>
      </c>
      <c r="P300" s="131">
        <f t="shared" si="207"/>
        <v>0</v>
      </c>
      <c r="Q300" s="131">
        <f t="shared" si="206"/>
        <v>0</v>
      </c>
      <c r="R300" s="131">
        <f t="shared" si="206"/>
        <v>17.001139857294429</v>
      </c>
      <c r="S300" s="131">
        <f t="shared" si="206"/>
        <v>0</v>
      </c>
      <c r="T300" s="131">
        <f t="shared" si="206"/>
        <v>0</v>
      </c>
      <c r="U300" s="131">
        <f t="shared" si="206"/>
        <v>4.6829500829933837</v>
      </c>
      <c r="V300" s="131">
        <f t="shared" si="206"/>
        <v>36.71458012744943</v>
      </c>
      <c r="W300" s="131">
        <f t="shared" si="206"/>
        <v>7.0851615679907182E-3</v>
      </c>
      <c r="X300" s="131">
        <f t="shared" si="206"/>
        <v>0</v>
      </c>
      <c r="Y300" s="131">
        <f t="shared" si="206"/>
        <v>2.7169886046001999</v>
      </c>
      <c r="Z300" s="131">
        <f t="shared" si="206"/>
        <v>11.535207267579549</v>
      </c>
      <c r="AA300" s="131">
        <f t="shared" si="206"/>
        <v>12.175608911708988</v>
      </c>
      <c r="AC300" s="130">
        <v>11</v>
      </c>
      <c r="AD300" s="131">
        <f>'Sta. Meteorologi pnk'!Q198</f>
        <v>0</v>
      </c>
      <c r="AE300" s="131">
        <f>'Sta. Meteorologi pnk'!R198</f>
        <v>0</v>
      </c>
      <c r="AF300" s="131">
        <f>'Sta. Meteorologi pnk'!S198</f>
        <v>2.9</v>
      </c>
      <c r="AG300" s="131">
        <f>'Sta. Meteorologi pnk'!T198</f>
        <v>0</v>
      </c>
      <c r="AH300" s="131">
        <f>'Sta. Meteorologi pnk'!U198</f>
        <v>0</v>
      </c>
      <c r="AI300" s="131">
        <f>'Sta. Meteorologi pnk'!V198</f>
        <v>6.6</v>
      </c>
      <c r="AJ300" s="131">
        <f>'Sta. Meteorologi pnk'!W198</f>
        <v>43.4</v>
      </c>
      <c r="AK300" s="131">
        <f>'Sta. Meteorologi pnk'!X198</f>
        <v>0</v>
      </c>
      <c r="AL300" s="131">
        <f>'Sta. Meteorologi pnk'!Y198</f>
        <v>0</v>
      </c>
      <c r="AM300" s="131">
        <f>'Sta. Meteorologi pnk'!Z198</f>
        <v>3.3</v>
      </c>
      <c r="AN300" s="131">
        <f>'Sta. Meteorologi pnk'!AA198</f>
        <v>13.3</v>
      </c>
      <c r="AO300" s="131">
        <f>'Sta. Meteorologi pnk'!AB198</f>
        <v>17.100000000000001</v>
      </c>
      <c r="AQ300" s="130">
        <v>11</v>
      </c>
      <c r="AR300" s="131">
        <f>'Sta. Meteorologi Supadio'!Q63</f>
        <v>0</v>
      </c>
      <c r="AS300" s="131">
        <f>'Sta. Meteorologi Supadio'!R63</f>
        <v>0</v>
      </c>
      <c r="AT300" s="131">
        <f>'Sta. Meteorologi Supadio'!S63</f>
        <v>5.0999999999999996</v>
      </c>
      <c r="AU300" s="131">
        <f>'Sta. Meteorologi Supadio'!T63</f>
        <v>0</v>
      </c>
      <c r="AV300" s="131">
        <f>'Sta. Meteorologi Supadio'!U63</f>
        <v>0</v>
      </c>
      <c r="AW300" s="131">
        <f>'Sta. Meteorologi Supadio'!V63</f>
        <v>0</v>
      </c>
      <c r="AX300" s="131">
        <f>'Sta. Meteorologi Supadio'!W63</f>
        <v>38</v>
      </c>
      <c r="AY300" s="131">
        <f>'Sta. Meteorologi Supadio'!X63</f>
        <v>0.1</v>
      </c>
      <c r="AZ300" s="131">
        <f>'Sta. Meteorologi Supadio'!Y63</f>
        <v>0</v>
      </c>
      <c r="BA300" s="131">
        <f>'Sta. Meteorologi Supadio'!Z63</f>
        <v>5.3</v>
      </c>
      <c r="BB300" s="131">
        <f>'Sta. Meteorologi Supadio'!AA63</f>
        <v>1.1000000000000001</v>
      </c>
      <c r="BC300" s="131">
        <f>'Sta. Meteorologi Supadio'!AB63</f>
        <v>0.6</v>
      </c>
    </row>
    <row r="301" spans="1:55">
      <c r="A301" s="130">
        <v>12</v>
      </c>
      <c r="B301" s="131">
        <f>'Sta. Klimatologi Kalbar'!Q64</f>
        <v>0</v>
      </c>
      <c r="C301" s="131">
        <f>'Sta. Klimatologi Kalbar'!R64</f>
        <v>0</v>
      </c>
      <c r="D301" s="131">
        <f>'Sta. Klimatologi Kalbar'!S64</f>
        <v>0</v>
      </c>
      <c r="E301" s="131">
        <f>'Sta. Klimatologi Kalbar'!T64</f>
        <v>0</v>
      </c>
      <c r="F301" s="131">
        <f>'Sta. Klimatologi Kalbar'!U64</f>
        <v>0</v>
      </c>
      <c r="G301" s="131">
        <f>'Sta. Klimatologi Kalbar'!V64</f>
        <v>3</v>
      </c>
      <c r="H301" s="131">
        <f>'Sta. Klimatologi Kalbar'!W64</f>
        <v>0</v>
      </c>
      <c r="I301" s="131">
        <f>'Sta. Klimatologi Kalbar'!X64</f>
        <v>0</v>
      </c>
      <c r="J301" s="131">
        <f>'Sta. Klimatologi Kalbar'!Y64</f>
        <v>0</v>
      </c>
      <c r="K301" s="131">
        <f>'Sta. Klimatologi Kalbar'!Z64</f>
        <v>0</v>
      </c>
      <c r="L301" s="131">
        <f>'Sta. Klimatologi Kalbar'!AA64</f>
        <v>1.5</v>
      </c>
      <c r="M301" s="131">
        <f>'Sta. Klimatologi Kalbar'!AB64</f>
        <v>25</v>
      </c>
      <c r="O301" s="130">
        <v>12</v>
      </c>
      <c r="P301" s="131">
        <f t="shared" si="207"/>
        <v>7.0953789136263407E-2</v>
      </c>
      <c r="Q301" s="131">
        <f t="shared" si="206"/>
        <v>0</v>
      </c>
      <c r="R301" s="131">
        <f t="shared" si="206"/>
        <v>1.5960004750123236</v>
      </c>
      <c r="S301" s="131">
        <f t="shared" si="206"/>
        <v>0</v>
      </c>
      <c r="T301" s="131">
        <f t="shared" si="206"/>
        <v>0</v>
      </c>
      <c r="U301" s="131">
        <f t="shared" si="206"/>
        <v>4.0051733815474755</v>
      </c>
      <c r="V301" s="131">
        <f t="shared" si="206"/>
        <v>0</v>
      </c>
      <c r="W301" s="131">
        <f t="shared" si="206"/>
        <v>0</v>
      </c>
      <c r="X301" s="131">
        <f t="shared" si="206"/>
        <v>0</v>
      </c>
      <c r="Y301" s="131">
        <f t="shared" si="206"/>
        <v>6.2405617199314234</v>
      </c>
      <c r="Z301" s="131">
        <f t="shared" si="206"/>
        <v>6.5856803843489367</v>
      </c>
      <c r="AA301" s="131">
        <f t="shared" si="206"/>
        <v>14.366366780624672</v>
      </c>
      <c r="AC301" s="130">
        <v>12</v>
      </c>
      <c r="AD301" s="131">
        <f>'Sta. Meteorologi pnk'!Q199</f>
        <v>0.1</v>
      </c>
      <c r="AE301" s="131">
        <f>'Sta. Meteorologi pnk'!R199</f>
        <v>0</v>
      </c>
      <c r="AF301" s="131">
        <f>'Sta. Meteorologi pnk'!S199</f>
        <v>1.8</v>
      </c>
      <c r="AG301" s="131">
        <f>'Sta. Meteorologi pnk'!T199</f>
        <v>0</v>
      </c>
      <c r="AH301" s="131">
        <f>'Sta. Meteorologi pnk'!U199</f>
        <v>0</v>
      </c>
      <c r="AI301" s="131">
        <f>'Sta. Meteorologi pnk'!V199</f>
        <v>2.1</v>
      </c>
      <c r="AJ301" s="131">
        <f>'Sta. Meteorologi pnk'!W199</f>
        <v>0</v>
      </c>
      <c r="AK301" s="131">
        <f>'Sta. Meteorologi pnk'!X199</f>
        <v>0</v>
      </c>
      <c r="AL301" s="131">
        <f>'Sta. Meteorologi pnk'!Y199</f>
        <v>0</v>
      </c>
      <c r="AM301" s="131">
        <f>'Sta. Meteorologi pnk'!Z199</f>
        <v>5.5</v>
      </c>
      <c r="AN301" s="131">
        <f>'Sta. Meteorologi pnk'!AA199</f>
        <v>7</v>
      </c>
      <c r="AO301" s="131">
        <f>'Sta. Meteorologi pnk'!AB199</f>
        <v>12.3</v>
      </c>
      <c r="AQ301" s="130">
        <v>12</v>
      </c>
      <c r="AR301" s="131">
        <f>'Sta. Meteorologi Supadio'!Q64</f>
        <v>0</v>
      </c>
      <c r="AS301" s="131">
        <f>'Sta. Meteorologi Supadio'!R64</f>
        <v>0</v>
      </c>
      <c r="AT301" s="131">
        <f>'Sta. Meteorologi Supadio'!S64</f>
        <v>4.5</v>
      </c>
      <c r="AU301" s="131">
        <f>'Sta. Meteorologi Supadio'!T64</f>
        <v>0</v>
      </c>
      <c r="AV301" s="131">
        <f>'Sta. Meteorologi Supadio'!U64</f>
        <v>0</v>
      </c>
      <c r="AW301" s="131">
        <f>'Sta. Meteorologi Supadio'!V64</f>
        <v>26.2</v>
      </c>
      <c r="AX301" s="131">
        <f>'Sta. Meteorologi Supadio'!W64</f>
        <v>0</v>
      </c>
      <c r="AY301" s="131">
        <f>'Sta. Meteorologi Supadio'!X64</f>
        <v>0</v>
      </c>
      <c r="AZ301" s="131">
        <f>'Sta. Meteorologi Supadio'!Y64</f>
        <v>0</v>
      </c>
      <c r="BA301" s="131">
        <f>'Sta. Meteorologi Supadio'!Z64</f>
        <v>33</v>
      </c>
      <c r="BB301" s="131">
        <f>'Sta. Meteorologi Supadio'!AA64</f>
        <v>18.2</v>
      </c>
      <c r="BC301" s="131">
        <f>'Sta. Meteorologi Supadio'!AB64</f>
        <v>2.1</v>
      </c>
    </row>
    <row r="302" spans="1:55">
      <c r="A302" s="130">
        <v>13</v>
      </c>
      <c r="B302" s="131">
        <f>'Sta. Klimatologi Kalbar'!Q65</f>
        <v>0</v>
      </c>
      <c r="C302" s="131">
        <f>'Sta. Klimatologi Kalbar'!R65</f>
        <v>36</v>
      </c>
      <c r="D302" s="131">
        <f>'Sta. Klimatologi Kalbar'!S65</f>
        <v>1.5</v>
      </c>
      <c r="E302" s="131">
        <f>'Sta. Klimatologi Kalbar'!T65</f>
        <v>0</v>
      </c>
      <c r="F302" s="131">
        <f>'Sta. Klimatologi Kalbar'!U65</f>
        <v>18.5</v>
      </c>
      <c r="G302" s="131">
        <f>'Sta. Klimatologi Kalbar'!V65</f>
        <v>0</v>
      </c>
      <c r="H302" s="131">
        <f>'Sta. Klimatologi Kalbar'!W65</f>
        <v>0</v>
      </c>
      <c r="I302" s="131">
        <f>'Sta. Klimatologi Kalbar'!X65</f>
        <v>0</v>
      </c>
      <c r="J302" s="131">
        <f>'Sta. Klimatologi Kalbar'!Y65</f>
        <v>0</v>
      </c>
      <c r="K302" s="131">
        <f>'Sta. Klimatologi Kalbar'!Z65</f>
        <v>16</v>
      </c>
      <c r="L302" s="131">
        <f>'Sta. Klimatologi Kalbar'!AA65</f>
        <v>2.9</v>
      </c>
      <c r="M302" s="131">
        <f>'Sta. Klimatologi Kalbar'!AB65</f>
        <v>6</v>
      </c>
      <c r="O302" s="130">
        <v>13</v>
      </c>
      <c r="P302" s="131">
        <f t="shared" si="207"/>
        <v>8.2873208323504794</v>
      </c>
      <c r="Q302" s="131">
        <f t="shared" si="206"/>
        <v>37.612112093819071</v>
      </c>
      <c r="R302" s="131">
        <f t="shared" si="206"/>
        <v>4.9656657413110237</v>
      </c>
      <c r="S302" s="131">
        <f t="shared" si="206"/>
        <v>0</v>
      </c>
      <c r="T302" s="131">
        <f t="shared" si="206"/>
        <v>12.867331746526789</v>
      </c>
      <c r="U302" s="131">
        <f t="shared" si="206"/>
        <v>0</v>
      </c>
      <c r="V302" s="131">
        <f t="shared" si="206"/>
        <v>0</v>
      </c>
      <c r="W302" s="131">
        <f t="shared" si="206"/>
        <v>0</v>
      </c>
      <c r="X302" s="131">
        <f t="shared" si="206"/>
        <v>0</v>
      </c>
      <c r="Y302" s="131">
        <f t="shared" si="206"/>
        <v>3.5137678873193408</v>
      </c>
      <c r="Z302" s="131">
        <f t="shared" si="206"/>
        <v>9.5688739842373209</v>
      </c>
      <c r="AA302" s="131">
        <f t="shared" si="206"/>
        <v>2.4383445669635608</v>
      </c>
      <c r="AC302" s="130">
        <v>13</v>
      </c>
      <c r="AD302" s="131">
        <f>'Sta. Meteorologi pnk'!Q200</f>
        <v>11.6</v>
      </c>
      <c r="AE302" s="131">
        <f>'Sta. Meteorologi pnk'!R200</f>
        <v>39.700000000000003</v>
      </c>
      <c r="AF302" s="131">
        <f>'Sta. Meteorologi pnk'!S200</f>
        <v>2.5</v>
      </c>
      <c r="AG302" s="131">
        <f>'Sta. Meteorologi pnk'!T200</f>
        <v>0</v>
      </c>
      <c r="AH302" s="131">
        <f>'Sta. Meteorologi pnk'!U200</f>
        <v>11.6</v>
      </c>
      <c r="AI302" s="131">
        <f>'Sta. Meteorologi pnk'!V200</f>
        <v>0</v>
      </c>
      <c r="AJ302" s="131">
        <f>'Sta. Meteorologi pnk'!W200</f>
        <v>0</v>
      </c>
      <c r="AK302" s="131">
        <f>'Sta. Meteorologi pnk'!X200</f>
        <v>0</v>
      </c>
      <c r="AL302" s="131">
        <f>'Sta. Meteorologi pnk'!Y200</f>
        <v>0</v>
      </c>
      <c r="AM302" s="131">
        <f>'Sta. Meteorologi pnk'!Z200</f>
        <v>0</v>
      </c>
      <c r="AN302" s="131">
        <f>'Sta. Meteorologi pnk'!AA200</f>
        <v>4.5999999999999996</v>
      </c>
      <c r="AO302" s="131">
        <f>'Sta. Meteorologi pnk'!AB200</f>
        <v>1.2</v>
      </c>
      <c r="AQ302" s="130">
        <v>13</v>
      </c>
      <c r="AR302" s="131">
        <f>'Sta. Meteorologi Supadio'!Q65</f>
        <v>0.8</v>
      </c>
      <c r="AS302" s="131">
        <f>'Sta. Meteorologi Supadio'!R65</f>
        <v>21.7</v>
      </c>
      <c r="AT302" s="131">
        <f>'Sta. Meteorologi Supadio'!S65</f>
        <v>40.4</v>
      </c>
      <c r="AU302" s="131">
        <f>'Sta. Meteorologi Supadio'!T65</f>
        <v>0</v>
      </c>
      <c r="AV302" s="131">
        <f>'Sta. Meteorologi Supadio'!U65</f>
        <v>8.1</v>
      </c>
      <c r="AW302" s="131">
        <f>'Sta. Meteorologi Supadio'!V65</f>
        <v>0</v>
      </c>
      <c r="AX302" s="131">
        <f>'Sta. Meteorologi Supadio'!W65</f>
        <v>0</v>
      </c>
      <c r="AY302" s="131">
        <f>'Sta. Meteorologi Supadio'!X65</f>
        <v>0</v>
      </c>
      <c r="AZ302" s="131">
        <f>'Sta. Meteorologi Supadio'!Y65</f>
        <v>0</v>
      </c>
      <c r="BA302" s="131">
        <f>'Sta. Meteorologi Supadio'!Z65</f>
        <v>0</v>
      </c>
      <c r="BB302" s="131">
        <f>'Sta. Meteorologi Supadio'!AA65</f>
        <v>80</v>
      </c>
      <c r="BC302" s="131">
        <f>'Sta. Meteorologi Supadio'!AB65</f>
        <v>3.8</v>
      </c>
    </row>
    <row r="303" spans="1:55">
      <c r="A303" s="130">
        <v>14</v>
      </c>
      <c r="B303" s="131">
        <f>'Sta. Klimatologi Kalbar'!Q66</f>
        <v>0</v>
      </c>
      <c r="C303" s="131">
        <f>'Sta. Klimatologi Kalbar'!R66</f>
        <v>2.5</v>
      </c>
      <c r="D303" s="131">
        <f>'Sta. Klimatologi Kalbar'!S66</f>
        <v>28.1</v>
      </c>
      <c r="E303" s="131">
        <f>'Sta. Klimatologi Kalbar'!T66</f>
        <v>0</v>
      </c>
      <c r="F303" s="131">
        <f>'Sta. Klimatologi Kalbar'!U66</f>
        <v>8.5</v>
      </c>
      <c r="G303" s="131">
        <f>'Sta. Klimatologi Kalbar'!V66</f>
        <v>3.3</v>
      </c>
      <c r="H303" s="131">
        <f>'Sta. Klimatologi Kalbar'!W66</f>
        <v>0</v>
      </c>
      <c r="I303" s="131">
        <f>'Sta. Klimatologi Kalbar'!X66</f>
        <v>0</v>
      </c>
      <c r="J303" s="131">
        <f>'Sta. Klimatologi Kalbar'!Y66</f>
        <v>0</v>
      </c>
      <c r="K303" s="131">
        <f>'Sta. Klimatologi Kalbar'!Z66</f>
        <v>0</v>
      </c>
      <c r="L303" s="131">
        <f>'Sta. Klimatologi Kalbar'!AA66</f>
        <v>0</v>
      </c>
      <c r="M303" s="131">
        <f>'Sta. Klimatologi Kalbar'!AB66</f>
        <v>0</v>
      </c>
      <c r="O303" s="130">
        <v>14</v>
      </c>
      <c r="P303" s="131">
        <f t="shared" si="207"/>
        <v>0.38968388623948952</v>
      </c>
      <c r="Q303" s="131">
        <f t="shared" si="206"/>
        <v>9.2123714951294158</v>
      </c>
      <c r="R303" s="131">
        <f t="shared" si="206"/>
        <v>24.132855582286389</v>
      </c>
      <c r="S303" s="131">
        <f t="shared" si="206"/>
        <v>15.396972242569158</v>
      </c>
      <c r="T303" s="131">
        <f t="shared" si="206"/>
        <v>4.8313519292492062</v>
      </c>
      <c r="U303" s="131">
        <f t="shared" si="206"/>
        <v>0.72471462675961407</v>
      </c>
      <c r="V303" s="131">
        <f t="shared" si="206"/>
        <v>0</v>
      </c>
      <c r="W303" s="131">
        <f t="shared" si="206"/>
        <v>0</v>
      </c>
      <c r="X303" s="131">
        <f t="shared" si="206"/>
        <v>0</v>
      </c>
      <c r="Y303" s="131">
        <f t="shared" si="206"/>
        <v>8.3267665980677368</v>
      </c>
      <c r="Z303" s="131">
        <f t="shared" si="206"/>
        <v>0</v>
      </c>
      <c r="AA303" s="131">
        <f t="shared" si="206"/>
        <v>12.835039804813904</v>
      </c>
      <c r="AC303" s="130">
        <v>14</v>
      </c>
      <c r="AD303" s="131">
        <f>'Sta. Meteorologi pnk'!Q201</f>
        <v>0</v>
      </c>
      <c r="AE303" s="131">
        <f>'Sta. Meteorologi pnk'!R201</f>
        <v>12.1</v>
      </c>
      <c r="AF303" s="131">
        <f>'Sta. Meteorologi pnk'!S201</f>
        <v>21.7</v>
      </c>
      <c r="AG303" s="131">
        <f>'Sta. Meteorologi pnk'!T201</f>
        <v>21.7</v>
      </c>
      <c r="AH303" s="131">
        <f>'Sta. Meteorologi pnk'!U201</f>
        <v>3</v>
      </c>
      <c r="AI303" s="131">
        <f>'Sta. Meteorologi pnk'!V201</f>
        <v>0</v>
      </c>
      <c r="AJ303" s="131">
        <f>'Sta. Meteorologi pnk'!W201</f>
        <v>0</v>
      </c>
      <c r="AK303" s="131">
        <f>'Sta. Meteorologi pnk'!X201</f>
        <v>0</v>
      </c>
      <c r="AL303" s="131">
        <f>'Sta. Meteorologi pnk'!Y201</f>
        <v>0</v>
      </c>
      <c r="AM303" s="131">
        <f>'Sta. Meteorologi pnk'!Z201</f>
        <v>8.6</v>
      </c>
      <c r="AN303" s="131">
        <f>'Sta. Meteorologi pnk'!AA201</f>
        <v>0</v>
      </c>
      <c r="AO303" s="131">
        <f>'Sta. Meteorologi pnk'!AB201</f>
        <v>17.600000000000001</v>
      </c>
      <c r="AQ303" s="130">
        <v>14</v>
      </c>
      <c r="AR303" s="131">
        <f>'Sta. Meteorologi Supadio'!Q66</f>
        <v>5.5</v>
      </c>
      <c r="AS303" s="131">
        <f>'Sta. Meteorologi Supadio'!R66</f>
        <v>1.1000000000000001</v>
      </c>
      <c r="AT303" s="131">
        <f>'Sta. Meteorologi Supadio'!S66</f>
        <v>36.200000000000003</v>
      </c>
      <c r="AU303" s="131">
        <f>'Sta. Meteorologi Supadio'!T66</f>
        <v>0</v>
      </c>
      <c r="AV303" s="131">
        <f>'Sta. Meteorologi Supadio'!U66</f>
        <v>11.8</v>
      </c>
      <c r="AW303" s="131">
        <f>'Sta. Meteorologi Supadio'!V66</f>
        <v>0</v>
      </c>
      <c r="AX303" s="131">
        <f>'Sta. Meteorologi Supadio'!W66</f>
        <v>0</v>
      </c>
      <c r="AY303" s="131">
        <f>'Sta. Meteorologi Supadio'!X66</f>
        <v>0</v>
      </c>
      <c r="AZ303" s="131">
        <f>'Sta. Meteorologi Supadio'!Y66</f>
        <v>0</v>
      </c>
      <c r="BA303" s="131">
        <f>'Sta. Meteorologi Supadio'!Z66</f>
        <v>31.4</v>
      </c>
      <c r="BB303" s="131">
        <f>'Sta. Meteorologi Supadio'!AA66</f>
        <v>0</v>
      </c>
      <c r="BC303" s="131">
        <f>'Sta. Meteorologi Supadio'!AB66</f>
        <v>4.9000000000000004</v>
      </c>
    </row>
    <row r="304" spans="1:55">
      <c r="A304" s="130">
        <v>15</v>
      </c>
      <c r="B304" s="131">
        <f>'Sta. Klimatologi Kalbar'!Q67</f>
        <v>0</v>
      </c>
      <c r="C304" s="131">
        <f>'Sta. Klimatologi Kalbar'!R67</f>
        <v>0</v>
      </c>
      <c r="D304" s="131">
        <f>'Sta. Klimatologi Kalbar'!S67</f>
        <v>0</v>
      </c>
      <c r="E304" s="131">
        <f>'Sta. Klimatologi Kalbar'!T67</f>
        <v>0</v>
      </c>
      <c r="F304" s="131">
        <f>'Sta. Klimatologi Kalbar'!U67</f>
        <v>0</v>
      </c>
      <c r="G304" s="131">
        <f>'Sta. Klimatologi Kalbar'!V67</f>
        <v>0.5</v>
      </c>
      <c r="H304" s="131">
        <f>'Sta. Klimatologi Kalbar'!W67</f>
        <v>8.6</v>
      </c>
      <c r="I304" s="131">
        <f>'Sta. Klimatologi Kalbar'!X67</f>
        <v>0</v>
      </c>
      <c r="J304" s="131">
        <f>'Sta. Klimatologi Kalbar'!Y67</f>
        <v>4</v>
      </c>
      <c r="K304" s="131">
        <f>'Sta. Klimatologi Kalbar'!Z67</f>
        <v>0</v>
      </c>
      <c r="L304" s="131">
        <f>'Sta. Klimatologi Kalbar'!AA67</f>
        <v>21</v>
      </c>
      <c r="M304" s="131">
        <f>'Sta. Klimatologi Kalbar'!AB67</f>
        <v>8.5</v>
      </c>
      <c r="O304" s="130">
        <v>15</v>
      </c>
      <c r="P304" s="131">
        <f t="shared" si="207"/>
        <v>0</v>
      </c>
      <c r="Q304" s="131">
        <f t="shared" si="206"/>
        <v>0</v>
      </c>
      <c r="R304" s="131">
        <f t="shared" si="206"/>
        <v>0</v>
      </c>
      <c r="S304" s="131">
        <f t="shared" si="206"/>
        <v>0</v>
      </c>
      <c r="T304" s="131">
        <f t="shared" si="206"/>
        <v>0</v>
      </c>
      <c r="U304" s="131">
        <f t="shared" si="206"/>
        <v>2.7349932710641185</v>
      </c>
      <c r="V304" s="131">
        <f t="shared" si="206"/>
        <v>14.731286073097822</v>
      </c>
      <c r="W304" s="131">
        <f t="shared" si="206"/>
        <v>0</v>
      </c>
      <c r="X304" s="131">
        <f t="shared" si="206"/>
        <v>3.0637369384616626</v>
      </c>
      <c r="Y304" s="131">
        <f t="shared" si="206"/>
        <v>1.4170323135981436E-2</v>
      </c>
      <c r="Z304" s="131">
        <f t="shared" si="206"/>
        <v>4.6118203521066343</v>
      </c>
      <c r="AA304" s="131">
        <f t="shared" si="206"/>
        <v>29.173849815797485</v>
      </c>
      <c r="AC304" s="130">
        <v>15</v>
      </c>
      <c r="AD304" s="131">
        <f>'Sta. Meteorologi pnk'!Q202</f>
        <v>0</v>
      </c>
      <c r="AE304" s="131">
        <f>'Sta. Meteorologi pnk'!R202</f>
        <v>0</v>
      </c>
      <c r="AF304" s="131">
        <f>'Sta. Meteorologi pnk'!S202</f>
        <v>0</v>
      </c>
      <c r="AG304" s="131">
        <f>'Sta. Meteorologi pnk'!T202</f>
        <v>0</v>
      </c>
      <c r="AH304" s="131">
        <f>'Sta. Meteorologi pnk'!U202</f>
        <v>0</v>
      </c>
      <c r="AI304" s="131">
        <f>'Sta. Meteorologi pnk'!V202</f>
        <v>3.6</v>
      </c>
      <c r="AJ304" s="131">
        <f>'Sta. Meteorologi pnk'!W202</f>
        <v>18.100000000000001</v>
      </c>
      <c r="AK304" s="131">
        <f>'Sta. Meteorologi pnk'!X202</f>
        <v>0</v>
      </c>
      <c r="AL304" s="131">
        <f>'Sta. Meteorologi pnk'!Y202</f>
        <v>3</v>
      </c>
      <c r="AM304" s="131">
        <f>'Sta. Meteorologi pnk'!Z202</f>
        <v>0</v>
      </c>
      <c r="AN304" s="131">
        <f>'Sta. Meteorologi pnk'!AA202</f>
        <v>0</v>
      </c>
      <c r="AO304" s="131">
        <f>'Sta. Meteorologi pnk'!AB202</f>
        <v>35.6</v>
      </c>
      <c r="AQ304" s="130">
        <v>15</v>
      </c>
      <c r="AR304" s="131">
        <f>'Sta. Meteorologi Supadio'!Q67</f>
        <v>0</v>
      </c>
      <c r="AS304" s="131">
        <f>'Sta. Meteorologi Supadio'!R67</f>
        <v>0</v>
      </c>
      <c r="AT304" s="131">
        <f>'Sta. Meteorologi Supadio'!S67</f>
        <v>0</v>
      </c>
      <c r="AU304" s="131">
        <f>'Sta. Meteorologi Supadio'!T67</f>
        <v>0</v>
      </c>
      <c r="AV304" s="131">
        <f>'Sta. Meteorologi Supadio'!U67</f>
        <v>0</v>
      </c>
      <c r="AW304" s="131">
        <f>'Sta. Meteorologi Supadio'!V67</f>
        <v>1</v>
      </c>
      <c r="AX304" s="131">
        <f>'Sta. Meteorologi Supadio'!W67</f>
        <v>0</v>
      </c>
      <c r="AY304" s="131">
        <f>'Sta. Meteorologi Supadio'!X67</f>
        <v>0</v>
      </c>
      <c r="AZ304" s="131">
        <f>'Sta. Meteorologi Supadio'!Y67</f>
        <v>0.8</v>
      </c>
      <c r="BA304" s="131">
        <f>'Sta. Meteorologi Supadio'!Z67</f>
        <v>0.2</v>
      </c>
      <c r="BB304" s="131">
        <f>'Sta. Meteorologi Supadio'!AA67</f>
        <v>0</v>
      </c>
      <c r="BC304" s="131">
        <f>'Sta. Meteorologi Supadio'!AB67</f>
        <v>28.9</v>
      </c>
    </row>
    <row r="305" spans="1:55">
      <c r="A305" s="130">
        <v>16</v>
      </c>
      <c r="B305" s="131">
        <f>'Sta. Klimatologi Kalbar'!Q68</f>
        <v>0</v>
      </c>
      <c r="C305" s="131">
        <f>'Sta. Klimatologi Kalbar'!R68</f>
        <v>0.7</v>
      </c>
      <c r="D305" s="131">
        <f>'Sta. Klimatologi Kalbar'!S68</f>
        <v>67.8</v>
      </c>
      <c r="E305" s="131">
        <f>'Sta. Klimatologi Kalbar'!T68</f>
        <v>0</v>
      </c>
      <c r="F305" s="131">
        <f>'Sta. Klimatologi Kalbar'!U68</f>
        <v>0</v>
      </c>
      <c r="G305" s="131">
        <f>'Sta. Klimatologi Kalbar'!V68</f>
        <v>10.9</v>
      </c>
      <c r="H305" s="131">
        <f>'Sta. Klimatologi Kalbar'!W68</f>
        <v>0</v>
      </c>
      <c r="I305" s="131">
        <f>'Sta. Klimatologi Kalbar'!X68</f>
        <v>0</v>
      </c>
      <c r="J305" s="131">
        <f>'Sta. Klimatologi Kalbar'!Y68</f>
        <v>18.3</v>
      </c>
      <c r="K305" s="131">
        <f>'Sta. Klimatologi Kalbar'!Z68</f>
        <v>2.6</v>
      </c>
      <c r="L305" s="131">
        <f>'Sta. Klimatologi Kalbar'!AA68</f>
        <v>0.8</v>
      </c>
      <c r="M305" s="131">
        <f>'Sta. Klimatologi Kalbar'!AB68</f>
        <v>0</v>
      </c>
      <c r="O305" s="130">
        <v>16</v>
      </c>
      <c r="P305" s="131">
        <f t="shared" si="207"/>
        <v>0</v>
      </c>
      <c r="Q305" s="131">
        <f t="shared" si="206"/>
        <v>0.53663259011078857</v>
      </c>
      <c r="R305" s="131">
        <f t="shared" si="206"/>
        <v>19.792488034485871</v>
      </c>
      <c r="S305" s="131">
        <f t="shared" si="206"/>
        <v>0</v>
      </c>
      <c r="T305" s="131">
        <f t="shared" si="206"/>
        <v>0</v>
      </c>
      <c r="U305" s="131">
        <f t="shared" si="206"/>
        <v>18.931641975164677</v>
      </c>
      <c r="V305" s="131">
        <f t="shared" si="206"/>
        <v>0</v>
      </c>
      <c r="W305" s="131">
        <f t="shared" si="206"/>
        <v>0</v>
      </c>
      <c r="X305" s="131">
        <f t="shared" si="206"/>
        <v>32.080124976678292</v>
      </c>
      <c r="Y305" s="131">
        <f t="shared" si="206"/>
        <v>0.57098728168939294</v>
      </c>
      <c r="Z305" s="131">
        <f t="shared" si="206"/>
        <v>7.1716706991277244</v>
      </c>
      <c r="AA305" s="131">
        <f t="shared" si="206"/>
        <v>0.38968388623948952</v>
      </c>
      <c r="AC305" s="130">
        <v>16</v>
      </c>
      <c r="AD305" s="131">
        <f>'Sta. Meteorologi pnk'!Q203</f>
        <v>0</v>
      </c>
      <c r="AE305" s="131">
        <f>'Sta. Meteorologi pnk'!R203</f>
        <v>0.3</v>
      </c>
      <c r="AF305" s="131">
        <f>'Sta. Meteorologi pnk'!S203</f>
        <v>6.9</v>
      </c>
      <c r="AG305" s="131">
        <f>'Sta. Meteorologi pnk'!T203</f>
        <v>0</v>
      </c>
      <c r="AH305" s="131">
        <f>'Sta. Meteorologi pnk'!U203</f>
        <v>0</v>
      </c>
      <c r="AI305" s="131">
        <f>'Sta. Meteorologi pnk'!V203</f>
        <v>21.9</v>
      </c>
      <c r="AJ305" s="131">
        <f>'Sta. Meteorologi pnk'!W203</f>
        <v>0</v>
      </c>
      <c r="AK305" s="131">
        <f>'Sta. Meteorologi pnk'!X203</f>
        <v>0</v>
      </c>
      <c r="AL305" s="131">
        <f>'Sta. Meteorologi pnk'!Y203</f>
        <v>38.6</v>
      </c>
      <c r="AM305" s="131">
        <f>'Sta. Meteorologi pnk'!Z203</f>
        <v>0</v>
      </c>
      <c r="AN305" s="131">
        <f>'Sta. Meteorologi pnk'!AA203</f>
        <v>9.8000000000000007</v>
      </c>
      <c r="AO305" s="131">
        <f>'Sta. Meteorologi pnk'!AB203</f>
        <v>0</v>
      </c>
      <c r="AQ305" s="130">
        <v>16</v>
      </c>
      <c r="AR305" s="131">
        <f>'Sta. Meteorologi Supadio'!Q68</f>
        <v>0</v>
      </c>
      <c r="AS305" s="131">
        <f>'Sta. Meteorologi Supadio'!R68</f>
        <v>2.4</v>
      </c>
      <c r="AT305" s="131">
        <f>'Sta. Meteorologi Supadio'!S68</f>
        <v>0.1</v>
      </c>
      <c r="AU305" s="131">
        <f>'Sta. Meteorologi Supadio'!T68</f>
        <v>0</v>
      </c>
      <c r="AV305" s="131">
        <f>'Sta. Meteorologi Supadio'!U68</f>
        <v>0</v>
      </c>
      <c r="AW305" s="131">
        <f>'Sta. Meteorologi Supadio'!V68</f>
        <v>14.1</v>
      </c>
      <c r="AX305" s="131">
        <f>'Sta. Meteorologi Supadio'!W68</f>
        <v>0</v>
      </c>
      <c r="AY305" s="131">
        <f>'Sta. Meteorologi Supadio'!X68</f>
        <v>0</v>
      </c>
      <c r="AZ305" s="131">
        <f>'Sta. Meteorologi Supadio'!Y68</f>
        <v>9.5</v>
      </c>
      <c r="BA305" s="131">
        <f>'Sta. Meteorologi Supadio'!Z68</f>
        <v>0</v>
      </c>
      <c r="BB305" s="131">
        <f>'Sta. Meteorologi Supadio'!AA68</f>
        <v>0.6</v>
      </c>
      <c r="BC305" s="131">
        <f>'Sta. Meteorologi Supadio'!AB68</f>
        <v>5.5</v>
      </c>
    </row>
    <row r="306" spans="1:55">
      <c r="A306" s="130">
        <v>17</v>
      </c>
      <c r="B306" s="131">
        <f>'Sta. Klimatologi Kalbar'!Q69</f>
        <v>0</v>
      </c>
      <c r="C306" s="131">
        <f>'Sta. Klimatologi Kalbar'!R69</f>
        <v>0</v>
      </c>
      <c r="D306" s="131">
        <f>'Sta. Klimatologi Kalbar'!S69</f>
        <v>13</v>
      </c>
      <c r="E306" s="131">
        <f>'Sta. Klimatologi Kalbar'!T69</f>
        <v>0</v>
      </c>
      <c r="F306" s="131">
        <f>'Sta. Klimatologi Kalbar'!U69</f>
        <v>0</v>
      </c>
      <c r="G306" s="131">
        <f>'Sta. Klimatologi Kalbar'!V69</f>
        <v>0</v>
      </c>
      <c r="H306" s="131">
        <f>'Sta. Klimatologi Kalbar'!W69</f>
        <v>0</v>
      </c>
      <c r="I306" s="131">
        <f>'Sta. Klimatologi Kalbar'!X69</f>
        <v>0</v>
      </c>
      <c r="J306" s="131">
        <f>'Sta. Klimatologi Kalbar'!Y69</f>
        <v>5.3</v>
      </c>
      <c r="K306" s="131">
        <f>'Sta. Klimatologi Kalbar'!Z69</f>
        <v>45.5</v>
      </c>
      <c r="L306" s="131">
        <f>'Sta. Klimatologi Kalbar'!AA69</f>
        <v>2.5</v>
      </c>
      <c r="M306" s="131">
        <f>'Sta. Klimatologi Kalbar'!AB69</f>
        <v>0</v>
      </c>
      <c r="O306" s="130">
        <v>17</v>
      </c>
      <c r="P306" s="131">
        <f t="shared" si="207"/>
        <v>0</v>
      </c>
      <c r="Q306" s="131">
        <f t="shared" si="206"/>
        <v>0</v>
      </c>
      <c r="R306" s="131">
        <f t="shared" si="206"/>
        <v>6.047856919578817</v>
      </c>
      <c r="S306" s="131">
        <f t="shared" si="206"/>
        <v>0</v>
      </c>
      <c r="T306" s="131">
        <f t="shared" si="206"/>
        <v>0</v>
      </c>
      <c r="U306" s="131">
        <f t="shared" si="206"/>
        <v>0</v>
      </c>
      <c r="V306" s="131">
        <f t="shared" si="206"/>
        <v>0</v>
      </c>
      <c r="W306" s="131">
        <f t="shared" si="206"/>
        <v>0</v>
      </c>
      <c r="X306" s="131">
        <f t="shared" si="206"/>
        <v>2.284821568806052</v>
      </c>
      <c r="Y306" s="131">
        <f t="shared" si="206"/>
        <v>15.567549176299167</v>
      </c>
      <c r="Z306" s="131">
        <f t="shared" si="206"/>
        <v>5.278405069215923</v>
      </c>
      <c r="AA306" s="131">
        <f t="shared" si="206"/>
        <v>0.15587355449579579</v>
      </c>
      <c r="AC306" s="130">
        <v>17</v>
      </c>
      <c r="AD306" s="131">
        <f>'Sta. Meteorologi pnk'!Q204</f>
        <v>0</v>
      </c>
      <c r="AE306" s="131">
        <f>'Sta. Meteorologi pnk'!R204</f>
        <v>0</v>
      </c>
      <c r="AF306" s="131">
        <f>'Sta. Meteorologi pnk'!S204</f>
        <v>4.5</v>
      </c>
      <c r="AG306" s="131">
        <f>'Sta. Meteorologi pnk'!T204</f>
        <v>0</v>
      </c>
      <c r="AH306" s="131">
        <f>'Sta. Meteorologi pnk'!U204</f>
        <v>0</v>
      </c>
      <c r="AI306" s="131">
        <f>'Sta. Meteorologi pnk'!V204</f>
        <v>0</v>
      </c>
      <c r="AJ306" s="131">
        <f>'Sta. Meteorologi pnk'!W204</f>
        <v>0</v>
      </c>
      <c r="AK306" s="131">
        <f>'Sta. Meteorologi pnk'!X204</f>
        <v>0</v>
      </c>
      <c r="AL306" s="131">
        <f>'Sta. Meteorologi pnk'!Y204</f>
        <v>1.4</v>
      </c>
      <c r="AM306" s="131">
        <f>'Sta. Meteorologi pnk'!Z204</f>
        <v>6.2</v>
      </c>
      <c r="AN306" s="131">
        <f>'Sta. Meteorologi pnk'!AA204</f>
        <v>3.5</v>
      </c>
      <c r="AO306" s="131">
        <f>'Sta. Meteorologi pnk'!AB204</f>
        <v>0</v>
      </c>
      <c r="AQ306" s="130">
        <v>17</v>
      </c>
      <c r="AR306" s="131">
        <f>'Sta. Meteorologi Supadio'!Q69</f>
        <v>0</v>
      </c>
      <c r="AS306" s="131">
        <f>'Sta. Meteorologi Supadio'!R69</f>
        <v>0</v>
      </c>
      <c r="AT306" s="131">
        <f>'Sta. Meteorologi Supadio'!S69</f>
        <v>0</v>
      </c>
      <c r="AU306" s="131">
        <f>'Sta. Meteorologi Supadio'!T69</f>
        <v>0</v>
      </c>
      <c r="AV306" s="131">
        <f>'Sta. Meteorologi Supadio'!U69</f>
        <v>0</v>
      </c>
      <c r="AW306" s="131">
        <f>'Sta. Meteorologi Supadio'!V69</f>
        <v>0</v>
      </c>
      <c r="AX306" s="131">
        <f>'Sta. Meteorologi Supadio'!W69</f>
        <v>0</v>
      </c>
      <c r="AY306" s="131">
        <f>'Sta. Meteorologi Supadio'!X69</f>
        <v>0</v>
      </c>
      <c r="AZ306" s="131">
        <f>'Sta. Meteorologi Supadio'!Y69</f>
        <v>1.8</v>
      </c>
      <c r="BA306" s="131">
        <f>'Sta. Meteorologi Supadio'!Z69</f>
        <v>16.600000000000001</v>
      </c>
      <c r="BB306" s="131">
        <f>'Sta. Meteorologi Supadio'!AA69</f>
        <v>31.7</v>
      </c>
      <c r="BC306" s="131">
        <f>'Sta. Meteorologi Supadio'!AB69</f>
        <v>2.2000000000000002</v>
      </c>
    </row>
    <row r="307" spans="1:55">
      <c r="A307" s="130">
        <v>18</v>
      </c>
      <c r="B307" s="131">
        <f>'Sta. Klimatologi Kalbar'!Q70</f>
        <v>0</v>
      </c>
      <c r="C307" s="131">
        <f>'Sta. Klimatologi Kalbar'!R70</f>
        <v>0</v>
      </c>
      <c r="D307" s="131">
        <f>'Sta. Klimatologi Kalbar'!S70</f>
        <v>1.2</v>
      </c>
      <c r="E307" s="131">
        <f>'Sta. Klimatologi Kalbar'!T70</f>
        <v>0</v>
      </c>
      <c r="F307" s="131">
        <f>'Sta. Klimatologi Kalbar'!U70</f>
        <v>0</v>
      </c>
      <c r="G307" s="131">
        <f>'Sta. Klimatologi Kalbar'!V70</f>
        <v>0</v>
      </c>
      <c r="H307" s="131">
        <f>'Sta. Klimatologi Kalbar'!W70</f>
        <v>0</v>
      </c>
      <c r="I307" s="131">
        <f>'Sta. Klimatologi Kalbar'!X70</f>
        <v>0</v>
      </c>
      <c r="J307" s="131">
        <f>'Sta. Klimatologi Kalbar'!Y70</f>
        <v>3.7</v>
      </c>
      <c r="K307" s="131">
        <f>'Sta. Klimatologi Kalbar'!Z70</f>
        <v>15.4</v>
      </c>
      <c r="L307" s="131">
        <f>'Sta. Klimatologi Kalbar'!AA70</f>
        <v>3.1</v>
      </c>
      <c r="M307" s="131">
        <f>'Sta. Klimatologi Kalbar'!AB70</f>
        <v>0</v>
      </c>
      <c r="O307" s="130">
        <v>18</v>
      </c>
      <c r="P307" s="131">
        <f t="shared" si="207"/>
        <v>0</v>
      </c>
      <c r="Q307" s="131">
        <f t="shared" si="206"/>
        <v>0</v>
      </c>
      <c r="R307" s="131">
        <f t="shared" si="206"/>
        <v>0.54734774809400411</v>
      </c>
      <c r="S307" s="131">
        <f t="shared" si="206"/>
        <v>0.24089549331168439</v>
      </c>
      <c r="T307" s="131">
        <f t="shared" si="206"/>
        <v>0</v>
      </c>
      <c r="U307" s="131">
        <f t="shared" si="206"/>
        <v>2.4124288306329555</v>
      </c>
      <c r="V307" s="131">
        <f t="shared" si="206"/>
        <v>0</v>
      </c>
      <c r="W307" s="131">
        <f t="shared" si="206"/>
        <v>0.70953789136263401</v>
      </c>
      <c r="X307" s="131">
        <f t="shared" si="206"/>
        <v>53.978100198251497</v>
      </c>
      <c r="Y307" s="131">
        <f t="shared" si="206"/>
        <v>5.0139387416789241</v>
      </c>
      <c r="Z307" s="131">
        <f t="shared" si="206"/>
        <v>1.3397125539912591</v>
      </c>
      <c r="AA307" s="131">
        <f t="shared" si="206"/>
        <v>1.7571200688616981</v>
      </c>
      <c r="AC307" s="130">
        <v>18</v>
      </c>
      <c r="AD307" s="131">
        <f>'Sta. Meteorologi pnk'!Q205</f>
        <v>0</v>
      </c>
      <c r="AE307" s="131">
        <f>'Sta. Meteorologi pnk'!R205</f>
        <v>0</v>
      </c>
      <c r="AF307" s="131">
        <f>'Sta. Meteorologi pnk'!S205</f>
        <v>0.4</v>
      </c>
      <c r="AG307" s="131">
        <f>'Sta. Meteorologi pnk'!T205</f>
        <v>0</v>
      </c>
      <c r="AH307" s="131">
        <f>'Sta. Meteorologi pnk'!U205</f>
        <v>0</v>
      </c>
      <c r="AI307" s="131">
        <f>'Sta. Meteorologi pnk'!V205</f>
        <v>3.4</v>
      </c>
      <c r="AJ307" s="131">
        <f>'Sta. Meteorologi pnk'!W205</f>
        <v>0</v>
      </c>
      <c r="AK307" s="131">
        <f>'Sta. Meteorologi pnk'!X205</f>
        <v>1</v>
      </c>
      <c r="AL307" s="131">
        <f>'Sta. Meteorologi pnk'!Y205</f>
        <v>74.8</v>
      </c>
      <c r="AM307" s="131">
        <f>'Sta. Meteorologi pnk'!Z205</f>
        <v>2.2999999999999998</v>
      </c>
      <c r="AN307" s="131">
        <f>'Sta. Meteorologi pnk'!AA205</f>
        <v>0</v>
      </c>
      <c r="AO307" s="131">
        <f>'Sta. Meteorologi pnk'!AB205</f>
        <v>0</v>
      </c>
      <c r="AQ307" s="130">
        <v>18</v>
      </c>
      <c r="AR307" s="131">
        <f>'Sta. Meteorologi Supadio'!Q70</f>
        <v>0</v>
      </c>
      <c r="AS307" s="131">
        <f>'Sta. Meteorologi Supadio'!R70</f>
        <v>0</v>
      </c>
      <c r="AT307" s="131">
        <f>'Sta. Meteorologi Supadio'!S70</f>
        <v>0</v>
      </c>
      <c r="AU307" s="131">
        <f>'Sta. Meteorologi Supadio'!T70</f>
        <v>3.4</v>
      </c>
      <c r="AV307" s="131">
        <f>'Sta. Meteorologi Supadio'!U70</f>
        <v>0</v>
      </c>
      <c r="AW307" s="131">
        <f>'Sta. Meteorologi Supadio'!V70</f>
        <v>0</v>
      </c>
      <c r="AX307" s="131">
        <f>'Sta. Meteorologi Supadio'!W70</f>
        <v>0</v>
      </c>
      <c r="AY307" s="131">
        <f>'Sta. Meteorologi Supadio'!X70</f>
        <v>0</v>
      </c>
      <c r="AZ307" s="131">
        <f>'Sta. Meteorologi Supadio'!Y70</f>
        <v>1.3</v>
      </c>
      <c r="BA307" s="131">
        <f>'Sta. Meteorologi Supadio'!Z70</f>
        <v>0</v>
      </c>
      <c r="BB307" s="131">
        <f>'Sta. Meteorologi Supadio'!AA70</f>
        <v>9.3000000000000007</v>
      </c>
      <c r="BC307" s="131">
        <f>'Sta. Meteorologi Supadio'!AB70</f>
        <v>24.8</v>
      </c>
    </row>
    <row r="308" spans="1:55">
      <c r="A308" s="130">
        <v>19</v>
      </c>
      <c r="B308" s="131">
        <f>'Sta. Klimatologi Kalbar'!Q71</f>
        <v>0</v>
      </c>
      <c r="C308" s="131">
        <f>'Sta. Klimatologi Kalbar'!R71</f>
        <v>0</v>
      </c>
      <c r="D308" s="131">
        <f>'Sta. Klimatologi Kalbar'!S71</f>
        <v>25.2</v>
      </c>
      <c r="E308" s="131">
        <f>'Sta. Klimatologi Kalbar'!T71</f>
        <v>0</v>
      </c>
      <c r="F308" s="131">
        <f>'Sta. Klimatologi Kalbar'!U71</f>
        <v>1</v>
      </c>
      <c r="G308" s="131">
        <f>'Sta. Klimatologi Kalbar'!V71</f>
        <v>0</v>
      </c>
      <c r="H308" s="131">
        <f>'Sta. Klimatologi Kalbar'!W71</f>
        <v>0</v>
      </c>
      <c r="I308" s="131">
        <f>'Sta. Klimatologi Kalbar'!X71</f>
        <v>0</v>
      </c>
      <c r="J308" s="131">
        <f>'Sta. Klimatologi Kalbar'!Y71</f>
        <v>6.6</v>
      </c>
      <c r="K308" s="131">
        <f>'Sta. Klimatologi Kalbar'!Z71</f>
        <v>1.3</v>
      </c>
      <c r="L308" s="131">
        <f>'Sta. Klimatologi Kalbar'!AA71</f>
        <v>2.9</v>
      </c>
      <c r="M308" s="131">
        <f>'Sta. Klimatologi Kalbar'!AB71</f>
        <v>1.2</v>
      </c>
      <c r="O308" s="130">
        <v>19</v>
      </c>
      <c r="P308" s="131">
        <f t="shared" si="207"/>
        <v>5.8748250213405795</v>
      </c>
      <c r="Q308" s="131">
        <f t="shared" si="206"/>
        <v>0</v>
      </c>
      <c r="R308" s="131">
        <f t="shared" si="206"/>
        <v>7.3080291509345461</v>
      </c>
      <c r="S308" s="131">
        <f t="shared" si="206"/>
        <v>26.706863188050647</v>
      </c>
      <c r="T308" s="131">
        <f t="shared" si="206"/>
        <v>0.2196104929574588</v>
      </c>
      <c r="U308" s="131">
        <f t="shared" si="206"/>
        <v>0</v>
      </c>
      <c r="V308" s="131">
        <f t="shared" si="206"/>
        <v>0</v>
      </c>
      <c r="W308" s="131">
        <f t="shared" si="206"/>
        <v>2.2276015891270595</v>
      </c>
      <c r="X308" s="131">
        <f t="shared" si="206"/>
        <v>30.879242299718143</v>
      </c>
      <c r="Y308" s="131">
        <f t="shared" si="206"/>
        <v>33.309731418054746</v>
      </c>
      <c r="Z308" s="131">
        <f t="shared" si="206"/>
        <v>37.247697368955912</v>
      </c>
      <c r="AA308" s="131">
        <f t="shared" si="206"/>
        <v>0.53276873113259782</v>
      </c>
      <c r="AC308" s="130">
        <v>19</v>
      </c>
      <c r="AD308" s="131">
        <f>'Sta. Meteorologi pnk'!Q206</f>
        <v>1.2</v>
      </c>
      <c r="AE308" s="131">
        <f>'Sta. Meteorologi pnk'!R206</f>
        <v>0</v>
      </c>
      <c r="AF308" s="131">
        <f>'Sta. Meteorologi pnk'!S206</f>
        <v>2.5</v>
      </c>
      <c r="AG308" s="131">
        <f>'Sta. Meteorologi pnk'!T206</f>
        <v>37.5</v>
      </c>
      <c r="AH308" s="131">
        <f>'Sta. Meteorologi pnk'!U206</f>
        <v>0</v>
      </c>
      <c r="AI308" s="131">
        <f>'Sta. Meteorologi pnk'!V206</f>
        <v>0</v>
      </c>
      <c r="AJ308" s="131">
        <f>'Sta. Meteorologi pnk'!W206</f>
        <v>0</v>
      </c>
      <c r="AK308" s="131">
        <f>'Sta. Meteorologi pnk'!X206</f>
        <v>2.8</v>
      </c>
      <c r="AL308" s="131">
        <f>'Sta. Meteorologi pnk'!Y206</f>
        <v>39.700000000000003</v>
      </c>
      <c r="AM308" s="131">
        <f>'Sta. Meteorologi pnk'!Z206</f>
        <v>41.9</v>
      </c>
      <c r="AN308" s="131">
        <f>'Sta. Meteorologi pnk'!AA206</f>
        <v>50.3</v>
      </c>
      <c r="AO308" s="131">
        <f>'Sta. Meteorologi pnk'!AB206</f>
        <v>0</v>
      </c>
      <c r="AQ308" s="130">
        <v>19</v>
      </c>
      <c r="AR308" s="131">
        <f>'Sta. Meteorologi Supadio'!Q71</f>
        <v>70.900000000000006</v>
      </c>
      <c r="AS308" s="131">
        <f>'Sta. Meteorologi Supadio'!R71</f>
        <v>0</v>
      </c>
      <c r="AT308" s="131">
        <f>'Sta. Meteorologi Supadio'!S71</f>
        <v>0</v>
      </c>
      <c r="AU308" s="131">
        <f>'Sta. Meteorologi Supadio'!T71</f>
        <v>1.4</v>
      </c>
      <c r="AV308" s="131">
        <f>'Sta. Meteorologi Supadio'!U71</f>
        <v>0</v>
      </c>
      <c r="AW308" s="131">
        <f>'Sta. Meteorologi Supadio'!V71</f>
        <v>0</v>
      </c>
      <c r="AX308" s="131">
        <f>'Sta. Meteorologi Supadio'!W71</f>
        <v>0</v>
      </c>
      <c r="AY308" s="131">
        <f>'Sta. Meteorologi Supadio'!X71</f>
        <v>3.4</v>
      </c>
      <c r="AZ308" s="131">
        <f>'Sta. Meteorologi Supadio'!Y71</f>
        <v>17.8</v>
      </c>
      <c r="BA308" s="131">
        <f>'Sta. Meteorologi Supadio'!Z71</f>
        <v>46.5</v>
      </c>
      <c r="BB308" s="131">
        <f>'Sta. Meteorologi Supadio'!AA71</f>
        <v>13</v>
      </c>
      <c r="BC308" s="131">
        <f>'Sta. Meteorologi Supadio'!AB71</f>
        <v>3.8</v>
      </c>
    </row>
    <row r="309" spans="1:55">
      <c r="A309" s="130">
        <v>20</v>
      </c>
      <c r="B309" s="131">
        <f>'Sta. Klimatologi Kalbar'!Q72</f>
        <v>6.5</v>
      </c>
      <c r="C309" s="131">
        <f>'Sta. Klimatologi Kalbar'!R72</f>
        <v>0</v>
      </c>
      <c r="D309" s="131">
        <f>'Sta. Klimatologi Kalbar'!S72</f>
        <v>35.299999999999997</v>
      </c>
      <c r="E309" s="131">
        <f>'Sta. Klimatologi Kalbar'!T72</f>
        <v>0</v>
      </c>
      <c r="F309" s="131">
        <f>'Sta. Klimatologi Kalbar'!U72</f>
        <v>36.4</v>
      </c>
      <c r="G309" s="131">
        <f>'Sta. Klimatologi Kalbar'!V72</f>
        <v>0.2</v>
      </c>
      <c r="H309" s="131">
        <f>'Sta. Klimatologi Kalbar'!W72</f>
        <v>58.5</v>
      </c>
      <c r="I309" s="131">
        <f>'Sta. Klimatologi Kalbar'!X72</f>
        <v>0</v>
      </c>
      <c r="J309" s="131">
        <f>'Sta. Klimatologi Kalbar'!Y72</f>
        <v>30.1</v>
      </c>
      <c r="K309" s="131">
        <f>'Sta. Klimatologi Kalbar'!Z72</f>
        <v>0</v>
      </c>
      <c r="L309" s="131">
        <f>'Sta. Klimatologi Kalbar'!AA72</f>
        <v>26.8</v>
      </c>
      <c r="M309" s="131">
        <f>'Sta. Klimatologi Kalbar'!AB72</f>
        <v>0</v>
      </c>
      <c r="O309" s="130">
        <v>20</v>
      </c>
      <c r="P309" s="131">
        <f t="shared" si="207"/>
        <v>4.3577268700578973</v>
      </c>
      <c r="Q309" s="131">
        <f t="shared" si="206"/>
        <v>0</v>
      </c>
      <c r="R309" s="131">
        <f t="shared" si="206"/>
        <v>7.9506349253020359</v>
      </c>
      <c r="S309" s="131">
        <f t="shared" si="206"/>
        <v>7.0953789136263407E-2</v>
      </c>
      <c r="T309" s="131">
        <f t="shared" si="206"/>
        <v>24.928887287212781</v>
      </c>
      <c r="U309" s="131">
        <f t="shared" si="206"/>
        <v>0.98038950704254091</v>
      </c>
      <c r="V309" s="131">
        <f t="shared" si="206"/>
        <v>88.501121603717834</v>
      </c>
      <c r="W309" s="131">
        <f t="shared" si="206"/>
        <v>0</v>
      </c>
      <c r="X309" s="131">
        <f t="shared" si="206"/>
        <v>13.448238945701991</v>
      </c>
      <c r="Y309" s="131">
        <f t="shared" si="206"/>
        <v>1.0985065634076301</v>
      </c>
      <c r="Z309" s="131">
        <f t="shared" si="206"/>
        <v>13.12264335624605</v>
      </c>
      <c r="AA309" s="131">
        <f t="shared" si="206"/>
        <v>4.6329452581920236</v>
      </c>
      <c r="AC309" s="130">
        <v>20</v>
      </c>
      <c r="AD309" s="131">
        <f>'Sta. Meteorologi pnk'!Q207</f>
        <v>4</v>
      </c>
      <c r="AE309" s="131">
        <f>'Sta. Meteorologi pnk'!R207</f>
        <v>0</v>
      </c>
      <c r="AF309" s="131">
        <f>'Sta. Meteorologi pnk'!S207</f>
        <v>0</v>
      </c>
      <c r="AG309" s="131">
        <f>'Sta. Meteorologi pnk'!T207</f>
        <v>0.1</v>
      </c>
      <c r="AH309" s="131">
        <f>'Sta. Meteorologi pnk'!U207</f>
        <v>22.3</v>
      </c>
      <c r="AI309" s="131">
        <f>'Sta. Meteorologi pnk'!V207</f>
        <v>1.2</v>
      </c>
      <c r="AJ309" s="131">
        <f>'Sta. Meteorologi pnk'!W207</f>
        <v>102.6</v>
      </c>
      <c r="AK309" s="131">
        <f>'Sta. Meteorologi pnk'!X207</f>
        <v>0</v>
      </c>
      <c r="AL309" s="131">
        <f>'Sta. Meteorologi pnk'!Y207</f>
        <v>7.7</v>
      </c>
      <c r="AM309" s="131">
        <f>'Sta. Meteorologi pnk'!Z207</f>
        <v>0.3</v>
      </c>
      <c r="AN309" s="131">
        <f>'Sta. Meteorologi pnk'!AA207</f>
        <v>10</v>
      </c>
      <c r="AO309" s="131">
        <f>'Sta. Meteorologi pnk'!AB207</f>
        <v>6.2</v>
      </c>
      <c r="AQ309" s="130">
        <v>20</v>
      </c>
      <c r="AR309" s="131">
        <f>'Sta. Meteorologi Supadio'!Q72</f>
        <v>1.3</v>
      </c>
      <c r="AS309" s="131">
        <f>'Sta. Meteorologi Supadio'!R72</f>
        <v>0</v>
      </c>
      <c r="AT309" s="131">
        <f>'Sta. Meteorologi Supadio'!S72</f>
        <v>2.8</v>
      </c>
      <c r="AU309" s="131">
        <f>'Sta. Meteorologi Supadio'!T72</f>
        <v>0</v>
      </c>
      <c r="AV309" s="131">
        <f>'Sta. Meteorologi Supadio'!U72</f>
        <v>15.7</v>
      </c>
      <c r="AW309" s="131">
        <f>'Sta. Meteorologi Supadio'!V72</f>
        <v>1.2</v>
      </c>
      <c r="AX309" s="131">
        <f>'Sta. Meteorologi Supadio'!W72</f>
        <v>40.299999999999997</v>
      </c>
      <c r="AY309" s="131">
        <f>'Sta. Meteorologi Supadio'!X72</f>
        <v>0</v>
      </c>
      <c r="AZ309" s="131">
        <f>'Sta. Meteorologi Supadio'!Y72</f>
        <v>19.399999999999999</v>
      </c>
      <c r="BA309" s="131">
        <f>'Sta. Meteorologi Supadio'!Z72</f>
        <v>12.5</v>
      </c>
      <c r="BB309" s="131">
        <f>'Sta. Meteorologi Supadio'!AA72</f>
        <v>2</v>
      </c>
      <c r="BC309" s="131">
        <f>'Sta. Meteorologi Supadio'!AB72</f>
        <v>3.3</v>
      </c>
    </row>
    <row r="310" spans="1:55">
      <c r="A310" s="130">
        <v>21</v>
      </c>
      <c r="B310" s="131">
        <f>'Sta. Klimatologi Kalbar'!Q73</f>
        <v>25.5</v>
      </c>
      <c r="C310" s="131">
        <f>'Sta. Klimatologi Kalbar'!R73</f>
        <v>0</v>
      </c>
      <c r="D310" s="131">
        <f>'Sta. Klimatologi Kalbar'!S73</f>
        <v>6</v>
      </c>
      <c r="E310" s="131">
        <f>'Sta. Klimatologi Kalbar'!T73</f>
        <v>0</v>
      </c>
      <c r="F310" s="131">
        <f>'Sta. Klimatologi Kalbar'!U73</f>
        <v>0</v>
      </c>
      <c r="G310" s="131">
        <f>'Sta. Klimatologi Kalbar'!V73</f>
        <v>0</v>
      </c>
      <c r="H310" s="131">
        <f>'Sta. Klimatologi Kalbar'!W73</f>
        <v>8.6</v>
      </c>
      <c r="I310" s="131">
        <f>'Sta. Klimatologi Kalbar'!X73</f>
        <v>0</v>
      </c>
      <c r="J310" s="131">
        <f>'Sta. Klimatologi Kalbar'!Y73</f>
        <v>3.6</v>
      </c>
      <c r="K310" s="131">
        <f>'Sta. Klimatologi Kalbar'!Z73</f>
        <v>11.6</v>
      </c>
      <c r="L310" s="131">
        <f>'Sta. Klimatologi Kalbar'!AA73</f>
        <v>0</v>
      </c>
      <c r="M310" s="131">
        <f>'Sta. Klimatologi Kalbar'!AB73</f>
        <v>4.0999999999999996</v>
      </c>
      <c r="O310" s="130">
        <v>21</v>
      </c>
      <c r="P310" s="131">
        <f t="shared" si="207"/>
        <v>16.820134424632055</v>
      </c>
      <c r="Q310" s="131">
        <f t="shared" si="206"/>
        <v>0</v>
      </c>
      <c r="R310" s="131">
        <f t="shared" si="206"/>
        <v>3.1608266999859014</v>
      </c>
      <c r="S310" s="131">
        <f t="shared" si="206"/>
        <v>0</v>
      </c>
      <c r="T310" s="131">
        <f t="shared" si="206"/>
        <v>0</v>
      </c>
      <c r="U310" s="131">
        <f t="shared" si="206"/>
        <v>0</v>
      </c>
      <c r="V310" s="131">
        <f t="shared" si="206"/>
        <v>11.349451382205823</v>
      </c>
      <c r="W310" s="131">
        <f t="shared" si="206"/>
        <v>0</v>
      </c>
      <c r="X310" s="131">
        <f t="shared" si="206"/>
        <v>11.872639641932716</v>
      </c>
      <c r="Y310" s="131">
        <f t="shared" si="206"/>
        <v>24.614007966228083</v>
      </c>
      <c r="Z310" s="131">
        <f t="shared" si="206"/>
        <v>4.9667652395384376</v>
      </c>
      <c r="AA310" s="131">
        <f t="shared" si="206"/>
        <v>23.022997520852932</v>
      </c>
      <c r="AC310" s="130">
        <v>21</v>
      </c>
      <c r="AD310" s="131">
        <f>'Sta. Meteorologi pnk'!Q208</f>
        <v>11.1</v>
      </c>
      <c r="AE310" s="131">
        <f>'Sta. Meteorologi pnk'!R208</f>
        <v>0</v>
      </c>
      <c r="AF310" s="131">
        <f>'Sta. Meteorologi pnk'!S208</f>
        <v>1</v>
      </c>
      <c r="AG310" s="131">
        <f>'Sta. Meteorologi pnk'!T208</f>
        <v>0</v>
      </c>
      <c r="AH310" s="131">
        <f>'Sta. Meteorologi pnk'!U208</f>
        <v>0</v>
      </c>
      <c r="AI310" s="131">
        <f>'Sta. Meteorologi pnk'!V208</f>
        <v>0</v>
      </c>
      <c r="AJ310" s="131">
        <f>'Sta. Meteorologi pnk'!W208</f>
        <v>9</v>
      </c>
      <c r="AK310" s="131">
        <f>'Sta. Meteorologi pnk'!X208</f>
        <v>0</v>
      </c>
      <c r="AL310" s="131">
        <f>'Sta. Meteorologi pnk'!Y208</f>
        <v>14.7</v>
      </c>
      <c r="AM310" s="131">
        <f>'Sta. Meteorologi pnk'!Z208</f>
        <v>31</v>
      </c>
      <c r="AN310" s="131">
        <f>'Sta. Meteorologi pnk'!AA208</f>
        <v>7</v>
      </c>
      <c r="AO310" s="131">
        <f>'Sta. Meteorologi pnk'!AB208</f>
        <v>30.4</v>
      </c>
      <c r="AQ310" s="130">
        <v>21</v>
      </c>
      <c r="AR310" s="131">
        <f>'Sta. Meteorologi Supadio'!Q73</f>
        <v>47.2</v>
      </c>
      <c r="AS310" s="131">
        <f>'Sta. Meteorologi Supadio'!R73</f>
        <v>0</v>
      </c>
      <c r="AT310" s="131">
        <f>'Sta. Meteorologi Supadio'!S73</f>
        <v>16</v>
      </c>
      <c r="AU310" s="131">
        <f>'Sta. Meteorologi Supadio'!T73</f>
        <v>0</v>
      </c>
      <c r="AV310" s="131">
        <f>'Sta. Meteorologi Supadio'!U73</f>
        <v>0</v>
      </c>
      <c r="AW310" s="131">
        <f>'Sta. Meteorologi Supadio'!V73</f>
        <v>0</v>
      </c>
      <c r="AX310" s="131">
        <f>'Sta. Meteorologi Supadio'!W73</f>
        <v>43.4</v>
      </c>
      <c r="AY310" s="131">
        <f>'Sta. Meteorologi Supadio'!X73</f>
        <v>0</v>
      </c>
      <c r="AZ310" s="131">
        <f>'Sta. Meteorologi Supadio'!Y73</f>
        <v>9.1999999999999993</v>
      </c>
      <c r="BA310" s="131">
        <f>'Sta. Meteorologi Supadio'!Z73</f>
        <v>1</v>
      </c>
      <c r="BB310" s="131">
        <f>'Sta. Meteorologi Supadio'!AA73</f>
        <v>0</v>
      </c>
      <c r="BC310" s="131">
        <f>'Sta. Meteorologi Supadio'!AB73</f>
        <v>7.8</v>
      </c>
    </row>
    <row r="311" spans="1:55">
      <c r="A311" s="130">
        <v>22</v>
      </c>
      <c r="B311" s="131">
        <f>'Sta. Klimatologi Kalbar'!Q74</f>
        <v>2.6</v>
      </c>
      <c r="C311" s="131">
        <f>'Sta. Klimatologi Kalbar'!R74</f>
        <v>0</v>
      </c>
      <c r="D311" s="131">
        <f>'Sta. Klimatologi Kalbar'!S74</f>
        <v>0</v>
      </c>
      <c r="E311" s="131">
        <f>'Sta. Klimatologi Kalbar'!T74</f>
        <v>12</v>
      </c>
      <c r="F311" s="131">
        <f>'Sta. Klimatologi Kalbar'!U74</f>
        <v>0</v>
      </c>
      <c r="G311" s="131">
        <f>'Sta. Klimatologi Kalbar'!V74</f>
        <v>0</v>
      </c>
      <c r="H311" s="131">
        <f>'Sta. Klimatologi Kalbar'!W74</f>
        <v>0</v>
      </c>
      <c r="I311" s="131">
        <f>'Sta. Klimatologi Kalbar'!X74</f>
        <v>0</v>
      </c>
      <c r="J311" s="131">
        <f>'Sta. Klimatologi Kalbar'!Y74</f>
        <v>0</v>
      </c>
      <c r="K311" s="131">
        <f>'Sta. Klimatologi Kalbar'!Z74</f>
        <v>7</v>
      </c>
      <c r="L311" s="131">
        <f>'Sta. Klimatologi Kalbar'!AA74</f>
        <v>15</v>
      </c>
      <c r="M311" s="131">
        <f>'Sta. Klimatologi Kalbar'!AB74</f>
        <v>63.9</v>
      </c>
      <c r="O311" s="130">
        <v>22</v>
      </c>
      <c r="P311" s="131">
        <f t="shared" si="207"/>
        <v>1.8481554861421341</v>
      </c>
      <c r="Q311" s="131">
        <f t="shared" si="206"/>
        <v>0</v>
      </c>
      <c r="R311" s="131">
        <f t="shared" si="206"/>
        <v>0.70953789136263401</v>
      </c>
      <c r="S311" s="131">
        <f t="shared" si="206"/>
        <v>28.249439446767873</v>
      </c>
      <c r="T311" s="131">
        <f t="shared" si="206"/>
        <v>1.4170323135981436E-2</v>
      </c>
      <c r="U311" s="131">
        <f t="shared" si="206"/>
        <v>0.72278865339140952</v>
      </c>
      <c r="V311" s="131">
        <f t="shared" si="206"/>
        <v>9.2107100383879342E-2</v>
      </c>
      <c r="W311" s="131">
        <f t="shared" si="206"/>
        <v>0</v>
      </c>
      <c r="X311" s="131">
        <f t="shared" si="206"/>
        <v>0</v>
      </c>
      <c r="Y311" s="131">
        <f t="shared" si="206"/>
        <v>4.0348263936074114</v>
      </c>
      <c r="Z311" s="131">
        <f t="shared" si="206"/>
        <v>13.850569050683804</v>
      </c>
      <c r="AA311" s="131">
        <f t="shared" si="206"/>
        <v>28.138539868049335</v>
      </c>
      <c r="AC311" s="130">
        <v>22</v>
      </c>
      <c r="AD311" s="131">
        <f>'Sta. Meteorologi pnk'!Q209</f>
        <v>1.8</v>
      </c>
      <c r="AE311" s="131">
        <f>'Sta. Meteorologi pnk'!R209</f>
        <v>0</v>
      </c>
      <c r="AF311" s="131">
        <f>'Sta. Meteorologi pnk'!S209</f>
        <v>1</v>
      </c>
      <c r="AG311" s="131">
        <f>'Sta. Meteorologi pnk'!T209</f>
        <v>35.9</v>
      </c>
      <c r="AH311" s="131">
        <f>'Sta. Meteorologi pnk'!U209</f>
        <v>0</v>
      </c>
      <c r="AI311" s="131">
        <f>'Sta. Meteorologi pnk'!V209</f>
        <v>0.1</v>
      </c>
      <c r="AJ311" s="131">
        <f>'Sta. Meteorologi pnk'!W209</f>
        <v>0</v>
      </c>
      <c r="AK311" s="131">
        <f>'Sta. Meteorologi pnk'!X209</f>
        <v>0</v>
      </c>
      <c r="AL311" s="131">
        <f>'Sta. Meteorologi pnk'!Y209</f>
        <v>0</v>
      </c>
      <c r="AM311" s="131">
        <f>'Sta. Meteorologi pnk'!Z209</f>
        <v>3.5</v>
      </c>
      <c r="AN311" s="131">
        <f>'Sta. Meteorologi pnk'!AA209</f>
        <v>13.4</v>
      </c>
      <c r="AO311" s="131">
        <f>'Sta. Meteorologi pnk'!AB209</f>
        <v>19.7</v>
      </c>
      <c r="AQ311" s="130">
        <v>22</v>
      </c>
      <c r="AR311" s="131">
        <f>'Sta. Meteorologi Supadio'!Q74</f>
        <v>0</v>
      </c>
      <c r="AS311" s="131">
        <f>'Sta. Meteorologi Supadio'!R74</f>
        <v>0</v>
      </c>
      <c r="AT311" s="131">
        <f>'Sta. Meteorologi Supadio'!S74</f>
        <v>0</v>
      </c>
      <c r="AU311" s="131">
        <f>'Sta. Meteorologi Supadio'!T74</f>
        <v>2</v>
      </c>
      <c r="AV311" s="131">
        <f>'Sta. Meteorologi Supadio'!U74</f>
        <v>0.2</v>
      </c>
      <c r="AW311" s="131">
        <f>'Sta. Meteorologi Supadio'!V74</f>
        <v>9.1999999999999993</v>
      </c>
      <c r="AX311" s="131">
        <f>'Sta. Meteorologi Supadio'!W74</f>
        <v>1.3</v>
      </c>
      <c r="AY311" s="131">
        <f>'Sta. Meteorologi Supadio'!X74</f>
        <v>0</v>
      </c>
      <c r="AZ311" s="131">
        <f>'Sta. Meteorologi Supadio'!Y74</f>
        <v>0</v>
      </c>
      <c r="BA311" s="131">
        <f>'Sta. Meteorologi Supadio'!Z74</f>
        <v>0.2</v>
      </c>
      <c r="BB311" s="131">
        <f>'Sta. Meteorologi Supadio'!AA74</f>
        <v>14.8</v>
      </c>
      <c r="BC311" s="131">
        <f>'Sta. Meteorologi Supadio'!AB74</f>
        <v>1.8</v>
      </c>
    </row>
    <row r="312" spans="1:55">
      <c r="A312" s="130">
        <v>23</v>
      </c>
      <c r="B312" s="131">
        <f>'Sta. Klimatologi Kalbar'!Q75</f>
        <v>1</v>
      </c>
      <c r="C312" s="131">
        <f>'Sta. Klimatologi Kalbar'!R75</f>
        <v>0</v>
      </c>
      <c r="D312" s="131">
        <f>'Sta. Klimatologi Kalbar'!S75</f>
        <v>0</v>
      </c>
      <c r="E312" s="131">
        <f>'Sta. Klimatologi Kalbar'!T75</f>
        <v>30</v>
      </c>
      <c r="F312" s="131">
        <f>'Sta. Klimatologi Kalbar'!U75</f>
        <v>1.4</v>
      </c>
      <c r="G312" s="131">
        <f>'Sta. Klimatologi Kalbar'!V75</f>
        <v>0.8</v>
      </c>
      <c r="H312" s="131">
        <f>'Sta. Klimatologi Kalbar'!W75</f>
        <v>0</v>
      </c>
      <c r="I312" s="131">
        <f>'Sta. Klimatologi Kalbar'!X75</f>
        <v>0</v>
      </c>
      <c r="J312" s="131">
        <f>'Sta. Klimatologi Kalbar'!Y75</f>
        <v>0</v>
      </c>
      <c r="K312" s="131">
        <f>'Sta. Klimatologi Kalbar'!Z75</f>
        <v>3.6</v>
      </c>
      <c r="L312" s="131">
        <f>'Sta. Klimatologi Kalbar'!AA75</f>
        <v>5.8</v>
      </c>
      <c r="M312" s="131">
        <f>'Sta. Klimatologi Kalbar'!AB75</f>
        <v>0.8</v>
      </c>
      <c r="O312" s="130">
        <v>23</v>
      </c>
      <c r="P312" s="131">
        <f t="shared" si="207"/>
        <v>1.801849338659226</v>
      </c>
      <c r="Q312" s="131">
        <f t="shared" si="206"/>
        <v>0</v>
      </c>
      <c r="R312" s="131">
        <f t="shared" si="206"/>
        <v>17.02161988422251</v>
      </c>
      <c r="S312" s="131">
        <f t="shared" si="206"/>
        <v>43.35082617088824</v>
      </c>
      <c r="T312" s="131">
        <f t="shared" si="206"/>
        <v>0.34288049798039588</v>
      </c>
      <c r="U312" s="131">
        <f t="shared" si="206"/>
        <v>23.400605068465538</v>
      </c>
      <c r="V312" s="131">
        <f t="shared" si="206"/>
        <v>0</v>
      </c>
      <c r="W312" s="131">
        <f t="shared" si="206"/>
        <v>0</v>
      </c>
      <c r="X312" s="131">
        <f t="shared" si="206"/>
        <v>0</v>
      </c>
      <c r="Y312" s="131">
        <f t="shared" si="206"/>
        <v>18.384583144031268</v>
      </c>
      <c r="Z312" s="131">
        <f t="shared" si="206"/>
        <v>10.262186166365755</v>
      </c>
      <c r="AA312" s="131">
        <f t="shared" si="206"/>
        <v>10.109218873442844</v>
      </c>
      <c r="AC312" s="130">
        <v>23</v>
      </c>
      <c r="AD312" s="131">
        <f>'Sta. Meteorologi pnk'!Q210</f>
        <v>2.2000000000000002</v>
      </c>
      <c r="AE312" s="131">
        <f>'Sta. Meteorologi pnk'!R210</f>
        <v>0</v>
      </c>
      <c r="AF312" s="131">
        <f>'Sta. Meteorologi pnk'!S210</f>
        <v>23.8</v>
      </c>
      <c r="AG312" s="131">
        <f>'Sta. Meteorologi pnk'!T210</f>
        <v>46.2</v>
      </c>
      <c r="AH312" s="131">
        <f>'Sta. Meteorologi pnk'!U210</f>
        <v>0</v>
      </c>
      <c r="AI312" s="131">
        <f>'Sta. Meteorologi pnk'!V210</f>
        <v>27.5</v>
      </c>
      <c r="AJ312" s="131">
        <f>'Sta. Meteorologi pnk'!W210</f>
        <v>0</v>
      </c>
      <c r="AK312" s="131">
        <f>'Sta. Meteorologi pnk'!X210</f>
        <v>0</v>
      </c>
      <c r="AL312" s="131">
        <f>'Sta. Meteorologi pnk'!Y210</f>
        <v>0</v>
      </c>
      <c r="AM312" s="131">
        <f>'Sta. Meteorologi pnk'!Z210</f>
        <v>22.3</v>
      </c>
      <c r="AN312" s="131">
        <f>'Sta. Meteorologi pnk'!AA210</f>
        <v>11.3</v>
      </c>
      <c r="AO312" s="131">
        <f>'Sta. Meteorologi pnk'!AB210</f>
        <v>14</v>
      </c>
      <c r="AQ312" s="130">
        <v>23</v>
      </c>
      <c r="AR312" s="131">
        <f>'Sta. Meteorologi Supadio'!Q75</f>
        <v>0.3</v>
      </c>
      <c r="AS312" s="131">
        <f>'Sta. Meteorologi Supadio'!R75</f>
        <v>0</v>
      </c>
      <c r="AT312" s="131">
        <f>'Sta. Meteorologi Supadio'!S75</f>
        <v>1.9</v>
      </c>
      <c r="AU312" s="131">
        <f>'Sta. Meteorologi Supadio'!T75</f>
        <v>56.2</v>
      </c>
      <c r="AV312" s="131">
        <f>'Sta. Meteorologi Supadio'!U75</f>
        <v>0.5</v>
      </c>
      <c r="AW312" s="131">
        <f>'Sta. Meteorologi Supadio'!V75</f>
        <v>52.4</v>
      </c>
      <c r="AX312" s="131">
        <f>'Sta. Meteorologi Supadio'!W75</f>
        <v>0</v>
      </c>
      <c r="AY312" s="131">
        <f>'Sta. Meteorologi Supadio'!X75</f>
        <v>0</v>
      </c>
      <c r="AZ312" s="131">
        <f>'Sta. Meteorologi Supadio'!Y75</f>
        <v>0</v>
      </c>
      <c r="BA312" s="131">
        <f>'Sta. Meteorologi Supadio'!Z75</f>
        <v>25</v>
      </c>
      <c r="BB312" s="131">
        <f>'Sta. Meteorologi Supadio'!AA75</f>
        <v>13.7</v>
      </c>
      <c r="BC312" s="131">
        <f>'Sta. Meteorologi Supadio'!AB75</f>
        <v>0</v>
      </c>
    </row>
    <row r="313" spans="1:55">
      <c r="A313" s="130">
        <v>24</v>
      </c>
      <c r="B313" s="131">
        <f>'Sta. Klimatologi Kalbar'!Q76</f>
        <v>32.5</v>
      </c>
      <c r="C313" s="131">
        <f>'Sta. Klimatologi Kalbar'!R76</f>
        <v>0</v>
      </c>
      <c r="D313" s="131">
        <f>'Sta. Klimatologi Kalbar'!S76</f>
        <v>2.2000000000000002</v>
      </c>
      <c r="E313" s="131">
        <f>'Sta. Klimatologi Kalbar'!T76</f>
        <v>1</v>
      </c>
      <c r="F313" s="131">
        <f>'Sta. Klimatologi Kalbar'!U76</f>
        <v>2.9</v>
      </c>
      <c r="G313" s="131">
        <f>'Sta. Klimatologi Kalbar'!V76</f>
        <v>0</v>
      </c>
      <c r="H313" s="131">
        <f>'Sta. Klimatologi Kalbar'!W76</f>
        <v>0</v>
      </c>
      <c r="I313" s="131">
        <f>'Sta. Klimatologi Kalbar'!X76</f>
        <v>18.3</v>
      </c>
      <c r="J313" s="131">
        <f>'Sta. Klimatologi Kalbar'!Y76</f>
        <v>0</v>
      </c>
      <c r="K313" s="131">
        <f>'Sta. Klimatologi Kalbar'!Z76</f>
        <v>0</v>
      </c>
      <c r="L313" s="131">
        <f>'Sta. Klimatologi Kalbar'!AA76</f>
        <v>12.8</v>
      </c>
      <c r="M313" s="131">
        <f>'Sta. Klimatologi Kalbar'!AB76</f>
        <v>11.5</v>
      </c>
      <c r="O313" s="130">
        <v>24</v>
      </c>
      <c r="P313" s="131">
        <f t="shared" si="207"/>
        <v>22.562449563045814</v>
      </c>
      <c r="Q313" s="131">
        <f t="shared" si="206"/>
        <v>0</v>
      </c>
      <c r="R313" s="131">
        <f t="shared" si="206"/>
        <v>15.644807586565943</v>
      </c>
      <c r="S313" s="131">
        <f t="shared" ref="S313:AA320" si="208">((E313/($T$1^2))+(AG313/($T$2^2))+(AU313/($T$3^2)))/((1/($T$1^2))+(1/($T$2^2))+(1/($T$3^2)))</f>
        <v>0.47498282977419326</v>
      </c>
      <c r="T313" s="131">
        <f t="shared" si="208"/>
        <v>5.0923801281998182</v>
      </c>
      <c r="U313" s="131">
        <f t="shared" si="208"/>
        <v>0</v>
      </c>
      <c r="V313" s="131">
        <f t="shared" si="208"/>
        <v>0</v>
      </c>
      <c r="W313" s="131">
        <f t="shared" si="208"/>
        <v>25.11824022482385</v>
      </c>
      <c r="X313" s="131">
        <f t="shared" si="208"/>
        <v>0</v>
      </c>
      <c r="Y313" s="131">
        <f t="shared" si="208"/>
        <v>2.8340646271962873E-2</v>
      </c>
      <c r="Z313" s="131">
        <f t="shared" si="208"/>
        <v>40.936533222939424</v>
      </c>
      <c r="AA313" s="131">
        <f t="shared" si="208"/>
        <v>5.1470304491673415</v>
      </c>
      <c r="AC313" s="130">
        <v>24</v>
      </c>
      <c r="AD313" s="131">
        <f>'Sta. Meteorologi pnk'!Q211</f>
        <v>21.5</v>
      </c>
      <c r="AE313" s="131">
        <f>'Sta. Meteorologi pnk'!R211</f>
        <v>0</v>
      </c>
      <c r="AF313" s="131">
        <f>'Sta. Meteorologi pnk'!S211</f>
        <v>13.3</v>
      </c>
      <c r="AG313" s="131">
        <f>'Sta. Meteorologi pnk'!T211</f>
        <v>0.3</v>
      </c>
      <c r="AH313" s="131">
        <f>'Sta. Meteorologi pnk'!U211</f>
        <v>5.9</v>
      </c>
      <c r="AI313" s="131">
        <f>'Sta. Meteorologi pnk'!V211</f>
        <v>0</v>
      </c>
      <c r="AJ313" s="131">
        <f>'Sta. Meteorologi pnk'!W211</f>
        <v>0</v>
      </c>
      <c r="AK313" s="131">
        <f>'Sta. Meteorologi pnk'!X211</f>
        <v>27.5</v>
      </c>
      <c r="AL313" s="131">
        <f>'Sta. Meteorologi pnk'!Y211</f>
        <v>0</v>
      </c>
      <c r="AM313" s="131">
        <f>'Sta. Meteorologi pnk'!Z211</f>
        <v>0</v>
      </c>
      <c r="AN313" s="131">
        <f>'Sta. Meteorologi pnk'!AA211</f>
        <v>48.8</v>
      </c>
      <c r="AO313" s="131">
        <f>'Sta. Meteorologi pnk'!AB211</f>
        <v>0</v>
      </c>
      <c r="AQ313" s="130">
        <v>24</v>
      </c>
      <c r="AR313" s="131">
        <f>'Sta. Meteorologi Supadio'!Q76</f>
        <v>2.4</v>
      </c>
      <c r="AS313" s="131">
        <f>'Sta. Meteorologi Supadio'!R76</f>
        <v>0</v>
      </c>
      <c r="AT313" s="131">
        <f>'Sta. Meteorologi Supadio'!S76</f>
        <v>80.8</v>
      </c>
      <c r="AU313" s="131">
        <f>'Sta. Meteorologi Supadio'!T76</f>
        <v>0.6</v>
      </c>
      <c r="AV313" s="131">
        <f>'Sta. Meteorologi Supadio'!U76</f>
        <v>3.8</v>
      </c>
      <c r="AW313" s="131">
        <f>'Sta. Meteorologi Supadio'!V76</f>
        <v>0</v>
      </c>
      <c r="AX313" s="131">
        <f>'Sta. Meteorologi Supadio'!W76</f>
        <v>0</v>
      </c>
      <c r="AY313" s="131">
        <f>'Sta. Meteorologi Supadio'!X76</f>
        <v>22.4</v>
      </c>
      <c r="AZ313" s="131">
        <f>'Sta. Meteorologi Supadio'!Y76</f>
        <v>0</v>
      </c>
      <c r="BA313" s="131">
        <f>'Sta. Meteorologi Supadio'!Z76</f>
        <v>0.4</v>
      </c>
      <c r="BB313" s="131">
        <f>'Sta. Meteorologi Supadio'!AA76</f>
        <v>49.4</v>
      </c>
      <c r="BC313" s="131">
        <f>'Sta. Meteorologi Supadio'!AB76</f>
        <v>37</v>
      </c>
    </row>
    <row r="314" spans="1:55">
      <c r="A314" s="130">
        <v>25</v>
      </c>
      <c r="B314" s="131">
        <f>'Sta. Klimatologi Kalbar'!Q77</f>
        <v>0</v>
      </c>
      <c r="C314" s="131">
        <f>'Sta. Klimatologi Kalbar'!R77</f>
        <v>1.3</v>
      </c>
      <c r="D314" s="131">
        <f>'Sta. Klimatologi Kalbar'!S77</f>
        <v>12</v>
      </c>
      <c r="E314" s="131">
        <f>'Sta. Klimatologi Kalbar'!T77</f>
        <v>0</v>
      </c>
      <c r="F314" s="131">
        <f>'Sta. Klimatologi Kalbar'!U77</f>
        <v>0</v>
      </c>
      <c r="G314" s="131">
        <f>'Sta. Klimatologi Kalbar'!V77</f>
        <v>0</v>
      </c>
      <c r="H314" s="131">
        <f>'Sta. Klimatologi Kalbar'!W77</f>
        <v>0</v>
      </c>
      <c r="I314" s="131">
        <f>'Sta. Klimatologi Kalbar'!X77</f>
        <v>22.5</v>
      </c>
      <c r="J314" s="131">
        <f>'Sta. Klimatologi Kalbar'!Y77</f>
        <v>0</v>
      </c>
      <c r="K314" s="131">
        <f>'Sta. Klimatologi Kalbar'!Z77</f>
        <v>1</v>
      </c>
      <c r="L314" s="131">
        <f>'Sta. Klimatologi Kalbar'!AA77</f>
        <v>2</v>
      </c>
      <c r="M314" s="131">
        <f>'Sta. Klimatologi Kalbar'!AB77</f>
        <v>1.8</v>
      </c>
      <c r="O314" s="130">
        <v>25</v>
      </c>
      <c r="P314" s="131">
        <f t="shared" si="207"/>
        <v>10.153170487684587</v>
      </c>
      <c r="Q314" s="131">
        <f t="shared" si="207"/>
        <v>1.9174307909787545</v>
      </c>
      <c r="R314" s="131">
        <f t="shared" si="207"/>
        <v>7.8710207742425222</v>
      </c>
      <c r="S314" s="131">
        <f t="shared" si="208"/>
        <v>5.6539237381771823</v>
      </c>
      <c r="T314" s="131">
        <f t="shared" si="208"/>
        <v>1.9157523066791118</v>
      </c>
      <c r="U314" s="131">
        <f t="shared" si="208"/>
        <v>12.062144153164777</v>
      </c>
      <c r="V314" s="131">
        <f t="shared" si="208"/>
        <v>0</v>
      </c>
      <c r="W314" s="131">
        <f t="shared" si="208"/>
        <v>9.5381425011567558</v>
      </c>
      <c r="X314" s="131">
        <f t="shared" si="208"/>
        <v>0</v>
      </c>
      <c r="Y314" s="131">
        <f t="shared" si="208"/>
        <v>12.205385663799094</v>
      </c>
      <c r="Z314" s="131">
        <f t="shared" si="208"/>
        <v>1.1487588772775514</v>
      </c>
      <c r="AA314" s="131">
        <f t="shared" si="208"/>
        <v>5.1207599397247536</v>
      </c>
      <c r="AC314" s="130">
        <v>25</v>
      </c>
      <c r="AD314" s="131">
        <f>'Sta. Meteorologi pnk'!Q212</f>
        <v>14</v>
      </c>
      <c r="AE314" s="131">
        <f>'Sta. Meteorologi pnk'!R212</f>
        <v>2.2999999999999998</v>
      </c>
      <c r="AF314" s="131">
        <f>'Sta. Meteorologi pnk'!S212</f>
        <v>6.7</v>
      </c>
      <c r="AG314" s="131">
        <f>'Sta. Meteorologi pnk'!T212</f>
        <v>6.9</v>
      </c>
      <c r="AH314" s="131">
        <f>'Sta. Meteorologi pnk'!U212</f>
        <v>2.7</v>
      </c>
      <c r="AI314" s="131">
        <f>'Sta. Meteorologi pnk'!V212</f>
        <v>17</v>
      </c>
      <c r="AJ314" s="131">
        <f>'Sta. Meteorologi pnk'!W212</f>
        <v>0</v>
      </c>
      <c r="AK314" s="131">
        <f>'Sta. Meteorologi pnk'!X212</f>
        <v>5.6</v>
      </c>
      <c r="AL314" s="131">
        <f>'Sta. Meteorologi pnk'!Y212</f>
        <v>0</v>
      </c>
      <c r="AM314" s="131">
        <f>'Sta. Meteorologi pnk'!Z212</f>
        <v>11.6</v>
      </c>
      <c r="AN314" s="131">
        <f>'Sta. Meteorologi pnk'!AA212</f>
        <v>1</v>
      </c>
      <c r="AO314" s="131">
        <f>'Sta. Meteorologi pnk'!AB212</f>
        <v>6.6</v>
      </c>
      <c r="AQ314" s="130">
        <v>25</v>
      </c>
      <c r="AR314" s="131">
        <f>'Sta. Meteorologi Supadio'!Q77</f>
        <v>3.1</v>
      </c>
      <c r="AS314" s="131">
        <f>'Sta. Meteorologi Supadio'!R77</f>
        <v>0</v>
      </c>
      <c r="AT314" s="131">
        <f>'Sta. Meteorologi Supadio'!S77</f>
        <v>6.8</v>
      </c>
      <c r="AU314" s="131">
        <f>'Sta. Meteorologi Supadio'!T77</f>
        <v>10.7</v>
      </c>
      <c r="AV314" s="131">
        <f>'Sta. Meteorologi Supadio'!U77</f>
        <v>0</v>
      </c>
      <c r="AW314" s="131">
        <f>'Sta. Meteorologi Supadio'!V77</f>
        <v>0</v>
      </c>
      <c r="AX314" s="131">
        <f>'Sta. Meteorologi Supadio'!W77</f>
        <v>0</v>
      </c>
      <c r="AY314" s="131">
        <f>'Sta. Meteorologi Supadio'!X77</f>
        <v>8.8000000000000007</v>
      </c>
      <c r="AZ314" s="131">
        <f>'Sta. Meteorologi Supadio'!Y77</f>
        <v>0</v>
      </c>
      <c r="BA314" s="131">
        <f>'Sta. Meteorologi Supadio'!Z77</f>
        <v>53</v>
      </c>
      <c r="BB314" s="131">
        <f>'Sta. Meteorologi Supadio'!AA77</f>
        <v>0</v>
      </c>
      <c r="BC314" s="131">
        <f>'Sta. Meteorologi Supadio'!AB77</f>
        <v>0.6</v>
      </c>
    </row>
    <row r="315" spans="1:55">
      <c r="A315" s="130">
        <v>26</v>
      </c>
      <c r="B315" s="131">
        <f>'Sta. Klimatologi Kalbar'!Q78</f>
        <v>5.8</v>
      </c>
      <c r="C315" s="131">
        <f>'Sta. Klimatologi Kalbar'!R78</f>
        <v>23.4</v>
      </c>
      <c r="D315" s="131">
        <f>'Sta. Klimatologi Kalbar'!S78</f>
        <v>1.5</v>
      </c>
      <c r="E315" s="131">
        <f>'Sta. Klimatologi Kalbar'!T78</f>
        <v>9.9</v>
      </c>
      <c r="F315" s="131">
        <f>'Sta. Klimatologi Kalbar'!U78</f>
        <v>0</v>
      </c>
      <c r="G315" s="131">
        <f>'Sta. Klimatologi Kalbar'!V78</f>
        <v>0</v>
      </c>
      <c r="H315" s="131">
        <f>'Sta. Klimatologi Kalbar'!W78</f>
        <v>0</v>
      </c>
      <c r="I315" s="131">
        <f>'Sta. Klimatologi Kalbar'!X78</f>
        <v>13.4</v>
      </c>
      <c r="J315" s="131">
        <f>'Sta. Klimatologi Kalbar'!Y78</f>
        <v>0</v>
      </c>
      <c r="K315" s="131">
        <f>'Sta. Klimatologi Kalbar'!Z78</f>
        <v>0</v>
      </c>
      <c r="L315" s="131">
        <f>'Sta. Klimatologi Kalbar'!AA78</f>
        <v>12.3</v>
      </c>
      <c r="M315" s="131">
        <f>'Sta. Klimatologi Kalbar'!AB78</f>
        <v>16</v>
      </c>
      <c r="O315" s="130">
        <v>26</v>
      </c>
      <c r="P315" s="131">
        <f t="shared" si="207"/>
        <v>1.940461260738882</v>
      </c>
      <c r="Q315" s="131">
        <f t="shared" si="207"/>
        <v>29.350580962925584</v>
      </c>
      <c r="R315" s="131">
        <f t="shared" si="207"/>
        <v>1.2658831478872377</v>
      </c>
      <c r="S315" s="131">
        <f t="shared" si="208"/>
        <v>3.0675894520401656</v>
      </c>
      <c r="T315" s="131">
        <f t="shared" si="208"/>
        <v>0</v>
      </c>
      <c r="U315" s="131">
        <f t="shared" si="208"/>
        <v>1.4332461058612496</v>
      </c>
      <c r="V315" s="131">
        <f t="shared" si="208"/>
        <v>0</v>
      </c>
      <c r="W315" s="131">
        <f t="shared" si="208"/>
        <v>21.672639641932715</v>
      </c>
      <c r="X315" s="131">
        <f t="shared" si="208"/>
        <v>0.70953789136263401</v>
      </c>
      <c r="Y315" s="131">
        <f t="shared" si="208"/>
        <v>3.5476894568131701</v>
      </c>
      <c r="Z315" s="131">
        <f t="shared" si="208"/>
        <v>11.058768470668992</v>
      </c>
      <c r="AA315" s="131">
        <f t="shared" si="208"/>
        <v>5.1097683623316641</v>
      </c>
      <c r="AC315" s="130">
        <v>26</v>
      </c>
      <c r="AD315" s="131">
        <f>'Sta. Meteorologi pnk'!Q213</f>
        <v>0.7</v>
      </c>
      <c r="AE315" s="131">
        <f>'Sta. Meteorologi pnk'!R213</f>
        <v>29.4</v>
      </c>
      <c r="AF315" s="131">
        <f>'Sta. Meteorologi pnk'!S213</f>
        <v>1.2</v>
      </c>
      <c r="AG315" s="131">
        <f>'Sta. Meteorologi pnk'!T213</f>
        <v>0.7</v>
      </c>
      <c r="AH315" s="131">
        <f>'Sta. Meteorologi pnk'!U213</f>
        <v>0</v>
      </c>
      <c r="AI315" s="131">
        <f>'Sta. Meteorologi pnk'!V213</f>
        <v>2</v>
      </c>
      <c r="AJ315" s="131">
        <f>'Sta. Meteorologi pnk'!W213</f>
        <v>0</v>
      </c>
      <c r="AK315" s="131">
        <f>'Sta. Meteorologi pnk'!X213</f>
        <v>24.5</v>
      </c>
      <c r="AL315" s="131">
        <f>'Sta. Meteorologi pnk'!Y213</f>
        <v>1</v>
      </c>
      <c r="AM315" s="131">
        <f>'Sta. Meteorologi pnk'!Z213</f>
        <v>5</v>
      </c>
      <c r="AN315" s="131">
        <f>'Sta. Meteorologi pnk'!AA213</f>
        <v>11</v>
      </c>
      <c r="AO315" s="131">
        <f>'Sta. Meteorologi pnk'!AB213</f>
        <v>1.8</v>
      </c>
      <c r="AQ315" s="130">
        <v>26</v>
      </c>
      <c r="AR315" s="131">
        <f>'Sta. Meteorologi Supadio'!Q78</f>
        <v>2.4</v>
      </c>
      <c r="AS315" s="131">
        <f>'Sta. Meteorologi Supadio'!R78</f>
        <v>47.3</v>
      </c>
      <c r="AT315" s="131">
        <f>'Sta. Meteorologi Supadio'!S78</f>
        <v>1.2</v>
      </c>
      <c r="AU315" s="131">
        <f>'Sta. Meteorologi Supadio'!T78</f>
        <v>5.6</v>
      </c>
      <c r="AV315" s="131">
        <f>'Sta. Meteorologi Supadio'!U78</f>
        <v>0</v>
      </c>
      <c r="AW315" s="131">
        <f>'Sta. Meteorologi Supadio'!V78</f>
        <v>0.2</v>
      </c>
      <c r="AX315" s="131">
        <f>'Sta. Meteorologi Supadio'!W78</f>
        <v>0</v>
      </c>
      <c r="AY315" s="131">
        <f>'Sta. Meteorologi Supadio'!X78</f>
        <v>19</v>
      </c>
      <c r="AZ315" s="131">
        <f>'Sta. Meteorologi Supadio'!Y78</f>
        <v>0</v>
      </c>
      <c r="BA315" s="131">
        <f>'Sta. Meteorologi Supadio'!Z78</f>
        <v>0</v>
      </c>
      <c r="BB315" s="131">
        <f>'Sta. Meteorologi Supadio'!AA78</f>
        <v>7.8</v>
      </c>
      <c r="BC315" s="131">
        <f>'Sta. Meteorologi Supadio'!AB78</f>
        <v>4.5</v>
      </c>
    </row>
    <row r="316" spans="1:55">
      <c r="A316" s="130">
        <v>27</v>
      </c>
      <c r="B316" s="131">
        <f>'Sta. Klimatologi Kalbar'!Q79</f>
        <v>38.5</v>
      </c>
      <c r="C316" s="131">
        <f>'Sta. Klimatologi Kalbar'!R79</f>
        <v>15.2</v>
      </c>
      <c r="D316" s="131">
        <f>'Sta. Klimatologi Kalbar'!S79</f>
        <v>0</v>
      </c>
      <c r="E316" s="131">
        <f>'Sta. Klimatologi Kalbar'!T79</f>
        <v>3</v>
      </c>
      <c r="F316" s="131">
        <f>'Sta. Klimatologi Kalbar'!U79</f>
        <v>0</v>
      </c>
      <c r="G316" s="131">
        <f>'Sta. Klimatologi Kalbar'!V79</f>
        <v>0</v>
      </c>
      <c r="H316" s="131">
        <f>'Sta. Klimatologi Kalbar'!W79</f>
        <v>0</v>
      </c>
      <c r="I316" s="131">
        <f>'Sta. Klimatologi Kalbar'!X79</f>
        <v>0</v>
      </c>
      <c r="J316" s="131">
        <f>'Sta. Klimatologi Kalbar'!Y79</f>
        <v>0</v>
      </c>
      <c r="K316" s="131">
        <f>'Sta. Klimatologi Kalbar'!Z79</f>
        <v>10</v>
      </c>
      <c r="L316" s="131">
        <f>'Sta. Klimatologi Kalbar'!AA79</f>
        <v>6.9</v>
      </c>
      <c r="M316" s="131">
        <f>'Sta. Klimatologi Kalbar'!AB79</f>
        <v>5.5</v>
      </c>
      <c r="O316" s="130">
        <v>27</v>
      </c>
      <c r="P316" s="131">
        <f t="shared" si="207"/>
        <v>27.936809702479156</v>
      </c>
      <c r="Q316" s="131">
        <f t="shared" si="207"/>
        <v>3.3380794929533733</v>
      </c>
      <c r="R316" s="131">
        <f t="shared" si="207"/>
        <v>2.8340646271962873E-2</v>
      </c>
      <c r="S316" s="131">
        <f t="shared" si="208"/>
        <v>6.5881569570939895</v>
      </c>
      <c r="T316" s="131">
        <f t="shared" si="208"/>
        <v>5.1796266069472274</v>
      </c>
      <c r="U316" s="131">
        <f t="shared" si="208"/>
        <v>0</v>
      </c>
      <c r="V316" s="131">
        <f t="shared" si="208"/>
        <v>0</v>
      </c>
      <c r="W316" s="131">
        <f t="shared" si="208"/>
        <v>1.0415187504946355</v>
      </c>
      <c r="X316" s="131">
        <f t="shared" si="208"/>
        <v>0</v>
      </c>
      <c r="Y316" s="131">
        <f t="shared" si="208"/>
        <v>6.5100135702943165</v>
      </c>
      <c r="Z316" s="131">
        <f t="shared" si="208"/>
        <v>11.746010972513526</v>
      </c>
      <c r="AA316" s="131">
        <f t="shared" si="208"/>
        <v>6.6002435121656848</v>
      </c>
      <c r="AC316" s="130">
        <v>27</v>
      </c>
      <c r="AD316" s="131">
        <f>'Sta. Meteorologi pnk'!Q214</f>
        <v>25.4</v>
      </c>
      <c r="AE316" s="131">
        <f>'Sta. Meteorologi pnk'!R214</f>
        <v>0</v>
      </c>
      <c r="AF316" s="131">
        <f>'Sta. Meteorologi pnk'!S214</f>
        <v>0</v>
      </c>
      <c r="AG316" s="131">
        <f>'Sta. Meteorologi pnk'!T214</f>
        <v>6</v>
      </c>
      <c r="AH316" s="131">
        <f>'Sta. Meteorologi pnk'!U214</f>
        <v>7.3</v>
      </c>
      <c r="AI316" s="131">
        <f>'Sta. Meteorologi pnk'!V214</f>
        <v>0</v>
      </c>
      <c r="AJ316" s="131">
        <f>'Sta. Meteorologi pnk'!W214</f>
        <v>0</v>
      </c>
      <c r="AK316" s="131">
        <f>'Sta. Meteorologi pnk'!X214</f>
        <v>0</v>
      </c>
      <c r="AL316" s="131">
        <f>'Sta. Meteorologi pnk'!Y214</f>
        <v>0</v>
      </c>
      <c r="AM316" s="131">
        <f>'Sta. Meteorologi pnk'!Z214</f>
        <v>6</v>
      </c>
      <c r="AN316" s="131">
        <f>'Sta. Meteorologi pnk'!AA214</f>
        <v>13.6</v>
      </c>
      <c r="AO316" s="131">
        <f>'Sta. Meteorologi pnk'!AB214</f>
        <v>7.5</v>
      </c>
      <c r="AQ316" s="130">
        <v>27</v>
      </c>
      <c r="AR316" s="131">
        <f>'Sta. Meteorologi Supadio'!Q79</f>
        <v>20.6</v>
      </c>
      <c r="AS316" s="131">
        <f>'Sta. Meteorologi Supadio'!R79</f>
        <v>0</v>
      </c>
      <c r="AT316" s="131">
        <f>'Sta. Meteorologi Supadio'!S79</f>
        <v>0.4</v>
      </c>
      <c r="AU316" s="131">
        <f>'Sta. Meteorologi Supadio'!T79</f>
        <v>23.6</v>
      </c>
      <c r="AV316" s="131">
        <f>'Sta. Meteorologi Supadio'!U79</f>
        <v>0</v>
      </c>
      <c r="AW316" s="131">
        <f>'Sta. Meteorologi Supadio'!V79</f>
        <v>0</v>
      </c>
      <c r="AX316" s="131">
        <f>'Sta. Meteorologi Supadio'!W79</f>
        <v>0</v>
      </c>
      <c r="AY316" s="131">
        <f>'Sta. Meteorologi Supadio'!X79</f>
        <v>14.7</v>
      </c>
      <c r="AZ316" s="131">
        <f>'Sta. Meteorologi Supadio'!Y79</f>
        <v>0</v>
      </c>
      <c r="BA316" s="131">
        <f>'Sta. Meteorologi Supadio'!Z79</f>
        <v>0.8</v>
      </c>
      <c r="BB316" s="131">
        <f>'Sta. Meteorologi Supadio'!AA79</f>
        <v>8.1999999999999993</v>
      </c>
      <c r="BC316" s="131">
        <f>'Sta. Meteorologi Supadio'!AB79</f>
        <v>1</v>
      </c>
    </row>
    <row r="317" spans="1:55">
      <c r="A317" s="130">
        <v>28</v>
      </c>
      <c r="B317" s="131">
        <f>'Sta. Klimatologi Kalbar'!Q80</f>
        <v>30.4</v>
      </c>
      <c r="C317" s="131">
        <f>'Sta. Klimatologi Kalbar'!R80</f>
        <v>0</v>
      </c>
      <c r="D317" s="131">
        <f>'Sta. Klimatologi Kalbar'!S80</f>
        <v>3.2</v>
      </c>
      <c r="E317" s="131">
        <f>'Sta. Klimatologi Kalbar'!T80</f>
        <v>0</v>
      </c>
      <c r="F317" s="131">
        <f>'Sta. Klimatologi Kalbar'!U80</f>
        <v>0</v>
      </c>
      <c r="G317" s="131">
        <f>'Sta. Klimatologi Kalbar'!V80</f>
        <v>0</v>
      </c>
      <c r="H317" s="131">
        <f>'Sta. Klimatologi Kalbar'!W80</f>
        <v>0</v>
      </c>
      <c r="I317" s="131">
        <f>'Sta. Klimatologi Kalbar'!X80</f>
        <v>0</v>
      </c>
      <c r="J317" s="131">
        <f>'Sta. Klimatologi Kalbar'!Y80</f>
        <v>0</v>
      </c>
      <c r="K317" s="131">
        <f>'Sta. Klimatologi Kalbar'!Z80</f>
        <v>1</v>
      </c>
      <c r="L317" s="131">
        <f>'Sta. Klimatologi Kalbar'!AA80</f>
        <v>10.4</v>
      </c>
      <c r="M317" s="131">
        <f>'Sta. Klimatologi Kalbar'!AB80</f>
        <v>0</v>
      </c>
      <c r="O317" s="130">
        <v>28</v>
      </c>
      <c r="P317" s="131">
        <f t="shared" si="207"/>
        <v>25.668169000225173</v>
      </c>
      <c r="Q317" s="131">
        <f t="shared" si="207"/>
        <v>12.307059604353766</v>
      </c>
      <c r="R317" s="131">
        <f t="shared" si="207"/>
        <v>7.5774707479189338</v>
      </c>
      <c r="S317" s="131">
        <f t="shared" si="208"/>
        <v>13.820898997328177</v>
      </c>
      <c r="T317" s="131">
        <f t="shared" si="208"/>
        <v>7.0953789136263407E-2</v>
      </c>
      <c r="U317" s="131">
        <f t="shared" si="208"/>
        <v>21.428044319151546</v>
      </c>
      <c r="V317" s="131">
        <f t="shared" si="208"/>
        <v>0</v>
      </c>
      <c r="W317" s="131">
        <f t="shared" si="208"/>
        <v>0</v>
      </c>
      <c r="X317" s="131">
        <f t="shared" si="208"/>
        <v>0</v>
      </c>
      <c r="Y317" s="131">
        <f t="shared" si="208"/>
        <v>18.36242285368056</v>
      </c>
      <c r="Z317" s="131">
        <f t="shared" si="208"/>
        <v>10.930058862666673</v>
      </c>
      <c r="AA317" s="131">
        <f t="shared" si="208"/>
        <v>1.2399032743983758</v>
      </c>
      <c r="AC317" s="130">
        <v>28</v>
      </c>
      <c r="AD317" s="131">
        <f>'Sta. Meteorologi pnk'!Q215</f>
        <v>24.5</v>
      </c>
      <c r="AE317" s="131">
        <f>'Sta. Meteorologi pnk'!R215</f>
        <v>14</v>
      </c>
      <c r="AF317" s="131">
        <f>'Sta. Meteorologi pnk'!S215</f>
        <v>9</v>
      </c>
      <c r="AG317" s="131">
        <f>'Sta. Meteorologi pnk'!T215</f>
        <v>18.600000000000001</v>
      </c>
      <c r="AH317" s="131">
        <f>'Sta. Meteorologi pnk'!U215</f>
        <v>0.1</v>
      </c>
      <c r="AI317" s="131">
        <f>'Sta. Meteorologi pnk'!V215</f>
        <v>30.2</v>
      </c>
      <c r="AJ317" s="131">
        <f>'Sta. Meteorologi pnk'!W215</f>
        <v>0</v>
      </c>
      <c r="AK317" s="131">
        <f>'Sta. Meteorologi pnk'!X215</f>
        <v>0</v>
      </c>
      <c r="AL317" s="131">
        <f>'Sta. Meteorologi pnk'!Y215</f>
        <v>0</v>
      </c>
      <c r="AM317" s="131">
        <f>'Sta. Meteorologi pnk'!Z215</f>
        <v>25.5</v>
      </c>
      <c r="AN317" s="131">
        <f>'Sta. Meteorologi pnk'!AA215</f>
        <v>9.1</v>
      </c>
      <c r="AO317" s="131">
        <f>'Sta. Meteorologi pnk'!AB215</f>
        <v>0</v>
      </c>
      <c r="AQ317" s="130">
        <v>28</v>
      </c>
      <c r="AR317" s="131">
        <f>'Sta. Meteorologi Supadio'!Q80</f>
        <v>22.7</v>
      </c>
      <c r="AS317" s="131">
        <f>'Sta. Meteorologi Supadio'!R80</f>
        <v>33.5</v>
      </c>
      <c r="AT317" s="131">
        <f>'Sta. Meteorologi Supadio'!S80</f>
        <v>6.9</v>
      </c>
      <c r="AU317" s="131">
        <f>'Sta. Meteorologi Supadio'!T80</f>
        <v>8.8000000000000007</v>
      </c>
      <c r="AV317" s="131">
        <f>'Sta. Meteorologi Supadio'!U80</f>
        <v>0</v>
      </c>
      <c r="AW317" s="131">
        <f>'Sta. Meteorologi Supadio'!V80</f>
        <v>0</v>
      </c>
      <c r="AX317" s="131">
        <f>'Sta. Meteorologi Supadio'!W80</f>
        <v>0</v>
      </c>
      <c r="AY317" s="131">
        <f>'Sta. Meteorologi Supadio'!X80</f>
        <v>0</v>
      </c>
      <c r="AZ317" s="131">
        <f>'Sta. Meteorologi Supadio'!Y80</f>
        <v>0</v>
      </c>
      <c r="BA317" s="131">
        <f>'Sta. Meteorologi Supadio'!Z80</f>
        <v>0.7</v>
      </c>
      <c r="BB317" s="131">
        <f>'Sta. Meteorologi Supadio'!AA80</f>
        <v>30.9</v>
      </c>
      <c r="BC317" s="131">
        <f>'Sta. Meteorologi Supadio'!AB80</f>
        <v>17.5</v>
      </c>
    </row>
    <row r="318" spans="1:55">
      <c r="A318" s="130">
        <v>29</v>
      </c>
      <c r="B318" s="131">
        <f>'Sta. Klimatologi Kalbar'!Q81</f>
        <v>29.6</v>
      </c>
      <c r="C318" s="131">
        <f>'Sta. Klimatologi Kalbar'!R81</f>
        <v>0</v>
      </c>
      <c r="D318" s="131">
        <f>'Sta. Klimatologi Kalbar'!S81</f>
        <v>0</v>
      </c>
      <c r="E318" s="131">
        <f>'Sta. Klimatologi Kalbar'!T81</f>
        <v>1.4</v>
      </c>
      <c r="F318" s="131">
        <f>'Sta. Klimatologi Kalbar'!U81</f>
        <v>0</v>
      </c>
      <c r="G318" s="131">
        <f>'Sta. Klimatologi Kalbar'!V81</f>
        <v>0</v>
      </c>
      <c r="H318" s="131">
        <f>'Sta. Klimatologi Kalbar'!W81</f>
        <v>0</v>
      </c>
      <c r="I318" s="131">
        <f>'Sta. Klimatologi Kalbar'!X81</f>
        <v>0</v>
      </c>
      <c r="J318" s="131">
        <f>'Sta. Klimatologi Kalbar'!Y81</f>
        <v>24.4</v>
      </c>
      <c r="K318" s="131">
        <f>'Sta. Klimatologi Kalbar'!Z81</f>
        <v>18.2</v>
      </c>
      <c r="L318" s="131">
        <f>'Sta. Klimatologi Kalbar'!AA81</f>
        <v>0</v>
      </c>
      <c r="M318" s="131">
        <f>'Sta. Klimatologi Kalbar'!AB81</f>
        <v>18.100000000000001</v>
      </c>
      <c r="O318" s="130">
        <v>29</v>
      </c>
      <c r="P318" s="131">
        <f t="shared" si="207"/>
        <v>10.267595710048951</v>
      </c>
      <c r="Q318" s="131">
        <f t="shared" si="207"/>
        <v>0</v>
      </c>
      <c r="R318" s="131">
        <f t="shared" si="207"/>
        <v>0.17712903919976797</v>
      </c>
      <c r="S318" s="131">
        <f t="shared" si="208"/>
        <v>20.188277277604751</v>
      </c>
      <c r="T318" s="131">
        <f t="shared" si="208"/>
        <v>0</v>
      </c>
      <c r="U318" s="131">
        <f t="shared" si="208"/>
        <v>0</v>
      </c>
      <c r="V318" s="131">
        <f t="shared" si="208"/>
        <v>0</v>
      </c>
      <c r="W318" s="131">
        <f t="shared" si="208"/>
        <v>1.6176646535417207</v>
      </c>
      <c r="X318" s="131">
        <f t="shared" si="208"/>
        <v>32.358373389611629</v>
      </c>
      <c r="Y318" s="131">
        <f t="shared" si="208"/>
        <v>18.576126603841644</v>
      </c>
      <c r="Z318" s="131">
        <f t="shared" si="208"/>
        <v>0</v>
      </c>
      <c r="AA318" s="131">
        <f t="shared" si="208"/>
        <v>9.7773555332659203</v>
      </c>
      <c r="AC318" s="130">
        <v>29</v>
      </c>
      <c r="AD318" s="131">
        <f>'Sta. Meteorologi pnk'!Q216</f>
        <v>4.8</v>
      </c>
      <c r="AE318" s="131">
        <f>'Sta. Meteorologi pnk'!R216</f>
        <v>0</v>
      </c>
      <c r="AF318" s="131">
        <f>'Sta. Meteorologi pnk'!S216</f>
        <v>0</v>
      </c>
      <c r="AG318" s="131">
        <f>'Sta. Meteorologi pnk'!T216</f>
        <v>27.6</v>
      </c>
      <c r="AH318" s="131">
        <f>'Sta. Meteorologi pnk'!U216</f>
        <v>0</v>
      </c>
      <c r="AI318" s="131">
        <f>'Sta. Meteorologi pnk'!V216</f>
        <v>0</v>
      </c>
      <c r="AJ318" s="131">
        <f>'Sta. Meteorologi pnk'!W216</f>
        <v>0</v>
      </c>
      <c r="AK318" s="131">
        <f>'Sta. Meteorologi pnk'!X216</f>
        <v>2.2000000000000002</v>
      </c>
      <c r="AL318" s="131">
        <f>'Sta. Meteorologi pnk'!Y216</f>
        <v>26.1</v>
      </c>
      <c r="AM318" s="131">
        <f>'Sta. Meteorologi pnk'!Z216</f>
        <v>18.8</v>
      </c>
      <c r="AN318" s="131">
        <f>'Sta. Meteorologi pnk'!AA216</f>
        <v>0</v>
      </c>
      <c r="AO318" s="131">
        <f>'Sta. Meteorologi pnk'!AB216</f>
        <v>6.6</v>
      </c>
      <c r="AQ318" s="130">
        <v>29</v>
      </c>
      <c r="AR318" s="131">
        <f>'Sta. Meteorologi Supadio'!Q81</f>
        <v>5.0999999999999996</v>
      </c>
      <c r="AS318" s="131">
        <f>'Sta. Meteorologi Supadio'!R81</f>
        <v>0</v>
      </c>
      <c r="AT318" s="131">
        <f>'Sta. Meteorologi Supadio'!S81</f>
        <v>2.5</v>
      </c>
      <c r="AU318" s="131">
        <f>'Sta. Meteorologi Supadio'!T81</f>
        <v>4.2</v>
      </c>
      <c r="AV318" s="131">
        <f>'Sta. Meteorologi Supadio'!U81</f>
        <v>0</v>
      </c>
      <c r="AW318" s="131">
        <f>'Sta. Meteorologi Supadio'!V81</f>
        <v>0</v>
      </c>
      <c r="AX318" s="131">
        <f>'Sta. Meteorologi Supadio'!W81</f>
        <v>0</v>
      </c>
      <c r="AY318" s="131">
        <f>'Sta. Meteorologi Supadio'!X81</f>
        <v>0.8</v>
      </c>
      <c r="AZ318" s="131">
        <f>'Sta. Meteorologi Supadio'!Y81</f>
        <v>119.7</v>
      </c>
      <c r="BA318" s="131">
        <f>'Sta. Meteorologi Supadio'!Z81</f>
        <v>17.5</v>
      </c>
      <c r="BB318" s="131">
        <f>'Sta. Meteorologi Supadio'!AA81</f>
        <v>0</v>
      </c>
      <c r="BC318" s="131">
        <f>'Sta. Meteorologi Supadio'!AB81</f>
        <v>15.8</v>
      </c>
    </row>
    <row r="319" spans="1:55">
      <c r="A319" s="130">
        <v>30</v>
      </c>
      <c r="B319" s="131">
        <f>'Sta. Klimatologi Kalbar'!Q82</f>
        <v>13</v>
      </c>
      <c r="C319" s="131">
        <f>'Sta. Klimatologi Kalbar'!R82</f>
        <v>0</v>
      </c>
      <c r="D319" s="131">
        <f>'Sta. Klimatologi Kalbar'!S82</f>
        <v>0</v>
      </c>
      <c r="E319" s="131">
        <f>'Sta. Klimatologi Kalbar'!T82</f>
        <v>0</v>
      </c>
      <c r="F319" s="131">
        <f>'Sta. Klimatologi Kalbar'!U82</f>
        <v>0</v>
      </c>
      <c r="G319" s="131">
        <f>'Sta. Klimatologi Kalbar'!V82</f>
        <v>0</v>
      </c>
      <c r="H319" s="131">
        <f>'Sta. Klimatologi Kalbar'!W82</f>
        <v>0</v>
      </c>
      <c r="I319" s="131">
        <f>'Sta. Klimatologi Kalbar'!X82</f>
        <v>0</v>
      </c>
      <c r="J319" s="131">
        <f>'Sta. Klimatologi Kalbar'!Y82</f>
        <v>48.5</v>
      </c>
      <c r="K319" s="131">
        <f>'Sta. Klimatologi Kalbar'!Z82</f>
        <v>21.4</v>
      </c>
      <c r="L319" s="131">
        <f>'Sta. Klimatologi Kalbar'!AA82</f>
        <v>0</v>
      </c>
      <c r="M319" s="131">
        <f>'Sta. Klimatologi Kalbar'!AB82</f>
        <v>5</v>
      </c>
      <c r="O319" s="130">
        <v>30</v>
      </c>
      <c r="P319" s="131">
        <f t="shared" si="207"/>
        <v>9.7914787373431782</v>
      </c>
      <c r="Q319" s="131">
        <f t="shared" si="207"/>
        <v>0</v>
      </c>
      <c r="R319" s="131">
        <f t="shared" si="207"/>
        <v>0.21255484703972152</v>
      </c>
      <c r="S319" s="131">
        <f t="shared" si="208"/>
        <v>0.46823370422552468</v>
      </c>
      <c r="T319" s="131">
        <f t="shared" si="208"/>
        <v>0.42572273481758033</v>
      </c>
      <c r="U319" s="131">
        <f t="shared" si="208"/>
        <v>0</v>
      </c>
      <c r="V319" s="131">
        <f t="shared" si="208"/>
        <v>0</v>
      </c>
      <c r="W319" s="131">
        <f t="shared" si="208"/>
        <v>0</v>
      </c>
      <c r="X319" s="131">
        <f t="shared" si="208"/>
        <v>13.786837259742898</v>
      </c>
      <c r="Y319" s="131">
        <f t="shared" si="208"/>
        <v>7.5661567610121168</v>
      </c>
      <c r="Z319" s="131">
        <f t="shared" si="208"/>
        <v>0.43219485564743376</v>
      </c>
      <c r="AA319" s="131">
        <f t="shared" si="208"/>
        <v>14.577841972288352</v>
      </c>
      <c r="AC319" s="130">
        <v>30</v>
      </c>
      <c r="AD319" s="131">
        <f>'Sta. Meteorologi pnk'!Q217</f>
        <v>7.1</v>
      </c>
      <c r="AE319" s="131">
        <f>'Sta. Meteorologi pnk'!R217</f>
        <v>0</v>
      </c>
      <c r="AF319" s="131">
        <f>'Sta. Meteorologi pnk'!S217</f>
        <v>0</v>
      </c>
      <c r="AG319" s="131">
        <f>'Sta. Meteorologi pnk'!T217</f>
        <v>0.6</v>
      </c>
      <c r="AH319" s="131">
        <f>'Sta. Meteorologi pnk'!U217</f>
        <v>0.6</v>
      </c>
      <c r="AI319" s="131">
        <f>'Sta. Meteorologi pnk'!V217</f>
        <v>0</v>
      </c>
      <c r="AJ319" s="131">
        <f>'Sta. Meteorologi pnk'!W217</f>
        <v>0</v>
      </c>
      <c r="AK319" s="131">
        <f>'Sta. Meteorologi pnk'!X217</f>
        <v>0</v>
      </c>
      <c r="AL319" s="131">
        <f>'Sta. Meteorologi pnk'!Y217</f>
        <v>4</v>
      </c>
      <c r="AM319" s="131">
        <f>'Sta. Meteorologi pnk'!Z217</f>
        <v>4</v>
      </c>
      <c r="AN319" s="131">
        <f>'Sta. Meteorologi pnk'!AA217</f>
        <v>0</v>
      </c>
      <c r="AO319" s="131">
        <f>'Sta. Meteorologi pnk'!AB217</f>
        <v>17.600000000000001</v>
      </c>
      <c r="AQ319" s="130">
        <v>30</v>
      </c>
      <c r="AR319" s="131">
        <f>'Sta. Meteorologi Supadio'!Q82</f>
        <v>26.8</v>
      </c>
      <c r="AS319" s="131">
        <f>'Sta. Meteorologi Supadio'!R82</f>
        <v>0</v>
      </c>
      <c r="AT319" s="131">
        <f>'Sta. Meteorologi Supadio'!S82</f>
        <v>3</v>
      </c>
      <c r="AU319" s="131">
        <f>'Sta. Meteorologi Supadio'!T82</f>
        <v>0.6</v>
      </c>
      <c r="AV319" s="131">
        <f>'Sta. Meteorologi Supadio'!U82</f>
        <v>0</v>
      </c>
      <c r="AW319" s="131">
        <f>'Sta. Meteorologi Supadio'!V82</f>
        <v>0</v>
      </c>
      <c r="AX319" s="131">
        <f>'Sta. Meteorologi Supadio'!W82</f>
        <v>0</v>
      </c>
      <c r="AY319" s="131">
        <f>'Sta. Meteorologi Supadio'!X82</f>
        <v>0</v>
      </c>
      <c r="AZ319" s="131">
        <f>'Sta. Meteorologi Supadio'!Y82</f>
        <v>4.2</v>
      </c>
      <c r="BA319" s="131">
        <f>'Sta. Meteorologi Supadio'!Z82</f>
        <v>0.4</v>
      </c>
      <c r="BB319" s="131">
        <f>'Sta. Meteorologi Supadio'!AA82</f>
        <v>6.1</v>
      </c>
      <c r="BC319" s="131">
        <f>'Sta. Meteorologi Supadio'!AB82</f>
        <v>14</v>
      </c>
    </row>
    <row r="320" spans="1:55" ht="15.75" thickBot="1">
      <c r="A320" s="133">
        <v>31</v>
      </c>
      <c r="B320" s="131">
        <f>'Sta. Klimatologi Kalbar'!Q83</f>
        <v>48.3</v>
      </c>
      <c r="C320" s="131">
        <f>'Sta. Klimatologi Kalbar'!R83</f>
        <v>0</v>
      </c>
      <c r="D320" s="131">
        <f>'Sta. Klimatologi Kalbar'!S83</f>
        <v>0</v>
      </c>
      <c r="E320" s="131">
        <f>'Sta. Klimatologi Kalbar'!T83</f>
        <v>0</v>
      </c>
      <c r="F320" s="131">
        <f>'Sta. Klimatologi Kalbar'!U83</f>
        <v>1.8</v>
      </c>
      <c r="G320" s="131">
        <f>'Sta. Klimatologi Kalbar'!V83</f>
        <v>0</v>
      </c>
      <c r="H320" s="131">
        <f>'Sta. Klimatologi Kalbar'!W83</f>
        <v>0</v>
      </c>
      <c r="I320" s="131">
        <f>'Sta. Klimatologi Kalbar'!X83</f>
        <v>0</v>
      </c>
      <c r="J320" s="131">
        <f>'Sta. Klimatologi Kalbar'!Y83</f>
        <v>0</v>
      </c>
      <c r="K320" s="131">
        <f>'Sta. Klimatologi Kalbar'!Z83</f>
        <v>0</v>
      </c>
      <c r="L320" s="131">
        <f>'Sta. Klimatologi Kalbar'!AA83</f>
        <v>0</v>
      </c>
      <c r="M320" s="131">
        <f>'Sta. Klimatologi Kalbar'!AB83</f>
        <v>20.2</v>
      </c>
      <c r="O320" s="133">
        <v>31</v>
      </c>
      <c r="P320" s="131">
        <f t="shared" si="207"/>
        <v>29.217619834055746</v>
      </c>
      <c r="Q320" s="131">
        <f t="shared" si="207"/>
        <v>0</v>
      </c>
      <c r="R320" s="131">
        <f t="shared" si="207"/>
        <v>18.426867057260274</v>
      </c>
      <c r="S320" s="131">
        <f t="shared" si="208"/>
        <v>0</v>
      </c>
      <c r="T320" s="131">
        <f t="shared" si="208"/>
        <v>50.827944385138096</v>
      </c>
      <c r="U320" s="131">
        <f t="shared" si="208"/>
        <v>0</v>
      </c>
      <c r="V320" s="131">
        <f t="shared" si="208"/>
        <v>0</v>
      </c>
      <c r="W320" s="131">
        <f t="shared" si="208"/>
        <v>0</v>
      </c>
      <c r="X320" s="131">
        <f t="shared" si="208"/>
        <v>0</v>
      </c>
      <c r="Y320" s="131">
        <f t="shared" si="208"/>
        <v>2.2127160517965847</v>
      </c>
      <c r="Z320" s="131">
        <f t="shared" si="208"/>
        <v>0</v>
      </c>
      <c r="AA320" s="131">
        <f t="shared" si="208"/>
        <v>10.254342666914265</v>
      </c>
      <c r="AC320" s="133">
        <v>31</v>
      </c>
      <c r="AD320" s="131">
        <f>'Sta. Meteorologi pnk'!Q218</f>
        <v>25.5</v>
      </c>
      <c r="AE320" s="131">
        <f>'Sta. Meteorologi pnk'!R218</f>
        <v>0</v>
      </c>
      <c r="AF320" s="131">
        <f>'Sta. Meteorologi pnk'!S218</f>
        <v>19.2</v>
      </c>
      <c r="AG320" s="131">
        <f>'Sta. Meteorologi pnk'!T218</f>
        <v>0</v>
      </c>
      <c r="AH320" s="131">
        <f>'Sta. Meteorologi pnk'!U218</f>
        <v>69.8</v>
      </c>
      <c r="AI320" s="131">
        <f>'Sta. Meteorologi pnk'!V218</f>
        <v>0</v>
      </c>
      <c r="AJ320" s="131">
        <f>'Sta. Meteorologi pnk'!W218</f>
        <v>0</v>
      </c>
      <c r="AK320" s="131">
        <f>'Sta. Meteorologi pnk'!X218</f>
        <v>0</v>
      </c>
      <c r="AL320" s="131">
        <f>'Sta. Meteorologi pnk'!Y218</f>
        <v>0</v>
      </c>
      <c r="AM320" s="131">
        <f>'Sta. Meteorologi pnk'!Z218</f>
        <v>2.1</v>
      </c>
      <c r="AN320" s="131">
        <f>'Sta. Meteorologi pnk'!AA218</f>
        <v>0</v>
      </c>
      <c r="AO320" s="131">
        <f>'Sta. Meteorologi pnk'!AB218</f>
        <v>8.1999999999999993</v>
      </c>
      <c r="AQ320" s="133">
        <v>31</v>
      </c>
      <c r="AR320" s="131">
        <f>'Sta. Meteorologi Supadio'!Q83</f>
        <v>7.3</v>
      </c>
      <c r="AS320" s="131">
        <f>'Sta. Meteorologi Supadio'!R83</f>
        <v>0</v>
      </c>
      <c r="AT320" s="131">
        <f>'Sta. Meteorologi Supadio'!S83</f>
        <v>67.8</v>
      </c>
      <c r="AU320" s="131">
        <f>'Sta. Meteorologi Supadio'!T83</f>
        <v>0</v>
      </c>
      <c r="AV320" s="131">
        <f>'Sta. Meteorologi Supadio'!U83</f>
        <v>12.8</v>
      </c>
      <c r="AW320" s="131">
        <f>'Sta. Meteorologi Supadio'!V83</f>
        <v>0</v>
      </c>
      <c r="AX320" s="131">
        <f>'Sta. Meteorologi Supadio'!W83</f>
        <v>0</v>
      </c>
      <c r="AY320" s="131">
        <f>'Sta. Meteorologi Supadio'!X83</f>
        <v>0</v>
      </c>
      <c r="AZ320" s="131">
        <f>'Sta. Meteorologi Supadio'!Y83</f>
        <v>0</v>
      </c>
      <c r="BA320" s="131">
        <f>'Sta. Meteorologi Supadio'!Z83</f>
        <v>10.199999999999999</v>
      </c>
      <c r="BB320" s="131">
        <f>'Sta. Meteorologi Supadio'!AA83</f>
        <v>0</v>
      </c>
      <c r="BC320" s="131">
        <f>'Sta. Meteorologi Supadio'!AB83</f>
        <v>0</v>
      </c>
    </row>
    <row r="321" spans="1:55">
      <c r="A321" s="135" t="s">
        <v>28</v>
      </c>
      <c r="B321" s="136">
        <f>SUM(B290:B320)</f>
        <v>299.40000000000003</v>
      </c>
      <c r="C321" s="136">
        <f t="shared" ref="C321:M321" si="209">SUM(C290:C320)</f>
        <v>107.39999999999999</v>
      </c>
      <c r="D321" s="136">
        <f t="shared" si="209"/>
        <v>300.59999999999997</v>
      </c>
      <c r="E321" s="136">
        <f t="shared" si="209"/>
        <v>65.400000000000006</v>
      </c>
      <c r="F321" s="136">
        <f t="shared" si="209"/>
        <v>104.00000000000001</v>
      </c>
      <c r="G321" s="136">
        <f t="shared" si="209"/>
        <v>159.9</v>
      </c>
      <c r="H321" s="136">
        <f t="shared" si="209"/>
        <v>320.89999999999998</v>
      </c>
      <c r="I321" s="136">
        <f t="shared" si="209"/>
        <v>110.60000000000001</v>
      </c>
      <c r="J321" s="136">
        <f t="shared" si="209"/>
        <v>169.9</v>
      </c>
      <c r="K321" s="136">
        <f t="shared" si="209"/>
        <v>173.7</v>
      </c>
      <c r="L321" s="136">
        <f t="shared" si="209"/>
        <v>296.89999999999998</v>
      </c>
      <c r="M321" s="136">
        <f t="shared" si="209"/>
        <v>322</v>
      </c>
      <c r="O321" s="135" t="s">
        <v>28</v>
      </c>
      <c r="P321" s="136">
        <f>SUM(P290:P320)</f>
        <v>208.86746069420752</v>
      </c>
      <c r="Q321" s="136">
        <f t="shared" ref="Q321:AA321" si="210">SUM(Q290:Q320)</f>
        <v>132.57915999230929</v>
      </c>
      <c r="R321" s="136">
        <f t="shared" si="210"/>
        <v>193.02039621357045</v>
      </c>
      <c r="S321" s="136">
        <f t="shared" si="210"/>
        <v>181.76888237516684</v>
      </c>
      <c r="T321" s="136">
        <f t="shared" si="210"/>
        <v>195.67055861529425</v>
      </c>
      <c r="U321" s="136">
        <f t="shared" si="210"/>
        <v>222.35139431354372</v>
      </c>
      <c r="V321" s="136">
        <f t="shared" si="210"/>
        <v>308.45835751893378</v>
      </c>
      <c r="W321" s="136">
        <f t="shared" si="210"/>
        <v>97.129645643563123</v>
      </c>
      <c r="X321" s="136">
        <f t="shared" si="210"/>
        <v>236.37211962703114</v>
      </c>
      <c r="Y321" s="136">
        <f t="shared" si="210"/>
        <v>260.35777672153421</v>
      </c>
      <c r="Z321" s="136">
        <f t="shared" si="210"/>
        <v>339.28271447396219</v>
      </c>
      <c r="AA321" s="136">
        <f t="shared" si="210"/>
        <v>347.22940435710274</v>
      </c>
      <c r="AC321" s="135" t="s">
        <v>28</v>
      </c>
      <c r="AD321" s="136">
        <f>SUM(AD290:AD320)</f>
        <v>176.20000000000002</v>
      </c>
      <c r="AE321" s="136">
        <f t="shared" ref="AE321:AO321" si="211">SUM(AE290:AE320)</f>
        <v>140.6</v>
      </c>
      <c r="AF321" s="136">
        <f t="shared" si="211"/>
        <v>149.5</v>
      </c>
      <c r="AG321" s="136">
        <f t="shared" si="211"/>
        <v>220.09999999999997</v>
      </c>
      <c r="AH321" s="136">
        <f t="shared" si="211"/>
        <v>231.5</v>
      </c>
      <c r="AI321" s="136">
        <f t="shared" si="211"/>
        <v>238.89999999999998</v>
      </c>
      <c r="AJ321" s="136">
        <f t="shared" si="211"/>
        <v>300</v>
      </c>
      <c r="AK321" s="136">
        <f t="shared" si="211"/>
        <v>95.3</v>
      </c>
      <c r="AL321" s="136">
        <f t="shared" si="211"/>
        <v>259.19999999999993</v>
      </c>
      <c r="AM321" s="136">
        <f t="shared" si="211"/>
        <v>276.90000000000003</v>
      </c>
      <c r="AN321" s="136">
        <f t="shared" si="211"/>
        <v>337.80000000000007</v>
      </c>
      <c r="AO321" s="136">
        <f t="shared" si="211"/>
        <v>348.90000000000003</v>
      </c>
      <c r="AQ321" s="135" t="s">
        <v>28</v>
      </c>
      <c r="AR321" s="136">
        <f>SUM(AR290:AR320)</f>
        <v>255.4</v>
      </c>
      <c r="AS321" s="136">
        <f t="shared" ref="AS321:BC321" si="212">SUM(AS290:AS320)</f>
        <v>130.30000000000001</v>
      </c>
      <c r="AT321" s="136">
        <f t="shared" si="212"/>
        <v>295.40000000000003</v>
      </c>
      <c r="AU321" s="136">
        <f t="shared" si="212"/>
        <v>158.6</v>
      </c>
      <c r="AV321" s="136">
        <f t="shared" si="212"/>
        <v>120.99999999999999</v>
      </c>
      <c r="AW321" s="136">
        <f t="shared" si="212"/>
        <v>250.19999999999996</v>
      </c>
      <c r="AX321" s="136">
        <f t="shared" si="212"/>
        <v>354.6</v>
      </c>
      <c r="AY321" s="136">
        <f t="shared" si="212"/>
        <v>73.7</v>
      </c>
      <c r="AZ321" s="136">
        <f t="shared" si="212"/>
        <v>213.79999999999998</v>
      </c>
      <c r="BA321" s="136">
        <f t="shared" si="212"/>
        <v>363.2999999999999</v>
      </c>
      <c r="BB321" s="136">
        <f t="shared" si="212"/>
        <v>485.5</v>
      </c>
      <c r="BC321" s="136">
        <f t="shared" si="212"/>
        <v>408.70000000000005</v>
      </c>
    </row>
    <row r="322" spans="1:55">
      <c r="A322" s="138" t="s">
        <v>29</v>
      </c>
      <c r="B322" s="139">
        <f>MAX(B290:B320)</f>
        <v>48.3</v>
      </c>
      <c r="C322" s="139">
        <f t="shared" ref="C322:M322" si="213">MAX(C290:C320)</f>
        <v>36</v>
      </c>
      <c r="D322" s="139">
        <f t="shared" si="213"/>
        <v>67.8</v>
      </c>
      <c r="E322" s="139">
        <f t="shared" si="213"/>
        <v>30</v>
      </c>
      <c r="F322" s="139">
        <f t="shared" si="213"/>
        <v>36.4</v>
      </c>
      <c r="G322" s="139">
        <f t="shared" si="213"/>
        <v>107.3</v>
      </c>
      <c r="H322" s="139">
        <f t="shared" si="213"/>
        <v>58.5</v>
      </c>
      <c r="I322" s="139">
        <f t="shared" si="213"/>
        <v>31.5</v>
      </c>
      <c r="J322" s="139">
        <f t="shared" si="213"/>
        <v>48.5</v>
      </c>
      <c r="K322" s="139">
        <f t="shared" si="213"/>
        <v>45.5</v>
      </c>
      <c r="L322" s="139">
        <f t="shared" si="213"/>
        <v>87.4</v>
      </c>
      <c r="M322" s="139">
        <f t="shared" si="213"/>
        <v>78.2</v>
      </c>
      <c r="O322" s="138" t="s">
        <v>29</v>
      </c>
      <c r="P322" s="139">
        <f>MAX(P290:P320)</f>
        <v>29.217619834055746</v>
      </c>
      <c r="Q322" s="139">
        <f t="shared" ref="Q322:AA322" si="214">MAX(Q290:Q320)</f>
        <v>37.612112093819071</v>
      </c>
      <c r="R322" s="139">
        <f t="shared" si="214"/>
        <v>24.132855582286389</v>
      </c>
      <c r="S322" s="139">
        <f t="shared" si="214"/>
        <v>43.35082617088824</v>
      </c>
      <c r="T322" s="139">
        <f t="shared" si="214"/>
        <v>50.827944385138096</v>
      </c>
      <c r="U322" s="139">
        <f t="shared" si="214"/>
        <v>73.823266636625164</v>
      </c>
      <c r="V322" s="139">
        <f t="shared" si="214"/>
        <v>88.501121603717834</v>
      </c>
      <c r="W322" s="139">
        <f t="shared" si="214"/>
        <v>25.11824022482385</v>
      </c>
      <c r="X322" s="139">
        <f t="shared" si="214"/>
        <v>53.978100198251497</v>
      </c>
      <c r="Y322" s="139">
        <f t="shared" si="214"/>
        <v>33.309731418054746</v>
      </c>
      <c r="Z322" s="139">
        <f t="shared" si="214"/>
        <v>50.631971251192283</v>
      </c>
      <c r="AA322" s="139">
        <f t="shared" si="214"/>
        <v>41.868150871637617</v>
      </c>
      <c r="AC322" s="138" t="s">
        <v>29</v>
      </c>
      <c r="AD322" s="139">
        <f>MAX(AD290:AD320)</f>
        <v>25.5</v>
      </c>
      <c r="AE322" s="139">
        <f t="shared" ref="AE322:AO322" si="215">MAX(AE290:AE320)</f>
        <v>39.700000000000003</v>
      </c>
      <c r="AF322" s="139">
        <f t="shared" si="215"/>
        <v>23.8</v>
      </c>
      <c r="AG322" s="139">
        <f t="shared" si="215"/>
        <v>46.2</v>
      </c>
      <c r="AH322" s="139">
        <f t="shared" si="215"/>
        <v>69.8</v>
      </c>
      <c r="AI322" s="139">
        <f t="shared" si="215"/>
        <v>59.4</v>
      </c>
      <c r="AJ322" s="139">
        <f t="shared" si="215"/>
        <v>102.6</v>
      </c>
      <c r="AK322" s="139">
        <f t="shared" si="215"/>
        <v>27.5</v>
      </c>
      <c r="AL322" s="139">
        <f t="shared" si="215"/>
        <v>74.8</v>
      </c>
      <c r="AM322" s="139">
        <f t="shared" si="215"/>
        <v>41.9</v>
      </c>
      <c r="AN322" s="139">
        <f t="shared" si="215"/>
        <v>50.3</v>
      </c>
      <c r="AO322" s="139">
        <f t="shared" si="215"/>
        <v>43</v>
      </c>
      <c r="AQ322" s="138" t="s">
        <v>29</v>
      </c>
      <c r="AR322" s="139">
        <f>MAX(AR290:AR320)</f>
        <v>70.900000000000006</v>
      </c>
      <c r="AS322" s="139">
        <f t="shared" ref="AS322:BC322" si="216">MAX(AS290:AS320)</f>
        <v>47.3</v>
      </c>
      <c r="AT322" s="139">
        <f t="shared" si="216"/>
        <v>80.8</v>
      </c>
      <c r="AU322" s="139">
        <f t="shared" si="216"/>
        <v>56.2</v>
      </c>
      <c r="AV322" s="139">
        <f t="shared" si="216"/>
        <v>68</v>
      </c>
      <c r="AW322" s="139">
        <f t="shared" si="216"/>
        <v>114.5</v>
      </c>
      <c r="AX322" s="139">
        <f t="shared" si="216"/>
        <v>85.9</v>
      </c>
      <c r="AY322" s="139">
        <f t="shared" si="216"/>
        <v>22.4</v>
      </c>
      <c r="AZ322" s="139">
        <f t="shared" si="216"/>
        <v>119.7</v>
      </c>
      <c r="BA322" s="139">
        <f t="shared" si="216"/>
        <v>103.5</v>
      </c>
      <c r="BB322" s="139">
        <f t="shared" si="216"/>
        <v>85.2</v>
      </c>
      <c r="BC322" s="139">
        <f t="shared" si="216"/>
        <v>69.3</v>
      </c>
    </row>
    <row r="323" spans="1:55">
      <c r="A323" s="130" t="s">
        <v>30</v>
      </c>
      <c r="B323" s="131">
        <f>SUM(B290:B304)</f>
        <v>65.7</v>
      </c>
      <c r="C323" s="131">
        <f t="shared" ref="C323:M323" si="217">SUM(C290:C304)</f>
        <v>66.8</v>
      </c>
      <c r="D323" s="131">
        <f t="shared" si="217"/>
        <v>133.20000000000002</v>
      </c>
      <c r="E323" s="131">
        <f t="shared" si="217"/>
        <v>8.1</v>
      </c>
      <c r="F323" s="131">
        <f t="shared" si="217"/>
        <v>60.5</v>
      </c>
      <c r="G323" s="131">
        <f t="shared" si="217"/>
        <v>148</v>
      </c>
      <c r="H323" s="131">
        <f t="shared" si="217"/>
        <v>253.79999999999998</v>
      </c>
      <c r="I323" s="131">
        <f t="shared" si="217"/>
        <v>56.4</v>
      </c>
      <c r="J323" s="131">
        <f t="shared" si="217"/>
        <v>29.4</v>
      </c>
      <c r="K323" s="131">
        <f t="shared" si="217"/>
        <v>35.1</v>
      </c>
      <c r="L323" s="131">
        <f t="shared" si="217"/>
        <v>195.6</v>
      </c>
      <c r="M323" s="131">
        <f t="shared" si="217"/>
        <v>173.9</v>
      </c>
      <c r="O323" s="130" t="s">
        <v>30</v>
      </c>
      <c r="P323" s="131">
        <f>SUM(P290:P304)</f>
        <v>40.627015257754174</v>
      </c>
      <c r="Q323" s="131">
        <f t="shared" ref="Q323:AA323" si="218">SUM(Q290:Q304)</f>
        <v>85.129376550987047</v>
      </c>
      <c r="R323" s="131">
        <f t="shared" si="218"/>
        <v>79.277981113217777</v>
      </c>
      <c r="S323" s="131">
        <f t="shared" si="218"/>
        <v>32.887841330768133</v>
      </c>
      <c r="T323" s="131">
        <f t="shared" si="218"/>
        <v>106.65263006308955</v>
      </c>
      <c r="U323" s="131">
        <f t="shared" si="218"/>
        <v>140.98010570066901</v>
      </c>
      <c r="V323" s="131">
        <f t="shared" si="218"/>
        <v>208.51567743262626</v>
      </c>
      <c r="W323" s="131">
        <f t="shared" si="218"/>
        <v>35.204300391123745</v>
      </c>
      <c r="X323" s="131">
        <f t="shared" si="218"/>
        <v>44.974203455225279</v>
      </c>
      <c r="Y323" s="131">
        <f t="shared" si="218"/>
        <v>88.754794429028152</v>
      </c>
      <c r="Z323" s="131">
        <f t="shared" si="218"/>
        <v>169.79073970812371</v>
      </c>
      <c r="AA323" s="131">
        <f t="shared" si="218"/>
        <v>220.66301088557972</v>
      </c>
      <c r="AC323" s="130" t="s">
        <v>30</v>
      </c>
      <c r="AD323" s="131">
        <f>SUM(AD290:AD304)</f>
        <v>32.4</v>
      </c>
      <c r="AE323" s="131">
        <f t="shared" ref="AE323:AO323" si="219">SUM(AE290:AE304)</f>
        <v>94.6</v>
      </c>
      <c r="AF323" s="131">
        <f t="shared" si="219"/>
        <v>60</v>
      </c>
      <c r="AG323" s="131">
        <f t="shared" si="219"/>
        <v>39.700000000000003</v>
      </c>
      <c r="AH323" s="131">
        <f t="shared" si="219"/>
        <v>122.8</v>
      </c>
      <c r="AI323" s="131">
        <f t="shared" si="219"/>
        <v>135.6</v>
      </c>
      <c r="AJ323" s="131">
        <f t="shared" si="219"/>
        <v>188.4</v>
      </c>
      <c r="AK323" s="131">
        <f t="shared" si="219"/>
        <v>31.7</v>
      </c>
      <c r="AL323" s="131">
        <f t="shared" si="219"/>
        <v>51.2</v>
      </c>
      <c r="AM323" s="131">
        <f t="shared" si="219"/>
        <v>96.399999999999991</v>
      </c>
      <c r="AN323" s="131">
        <f t="shared" si="219"/>
        <v>149</v>
      </c>
      <c r="AO323" s="131">
        <f t="shared" si="219"/>
        <v>230.29999999999998</v>
      </c>
      <c r="AQ323" s="130" t="s">
        <v>30</v>
      </c>
      <c r="AR323" s="131">
        <f>SUM(AR290:AR304)</f>
        <v>45.29999999999999</v>
      </c>
      <c r="AS323" s="131">
        <f t="shared" ref="AS323:BC323" si="220">SUM(AS290:AS304)</f>
        <v>47.1</v>
      </c>
      <c r="AT323" s="131">
        <f t="shared" si="220"/>
        <v>105.2</v>
      </c>
      <c r="AU323" s="131">
        <f t="shared" si="220"/>
        <v>41.5</v>
      </c>
      <c r="AV323" s="131">
        <f t="shared" si="220"/>
        <v>87.999999999999986</v>
      </c>
      <c r="AW323" s="131">
        <f t="shared" si="220"/>
        <v>173.1</v>
      </c>
      <c r="AX323" s="131">
        <f t="shared" si="220"/>
        <v>269.60000000000002</v>
      </c>
      <c r="AY323" s="131">
        <f t="shared" si="220"/>
        <v>4.5999999999999996</v>
      </c>
      <c r="AZ323" s="131">
        <f t="shared" si="220"/>
        <v>30.9</v>
      </c>
      <c r="BA323" s="131">
        <f t="shared" si="220"/>
        <v>178.49999999999997</v>
      </c>
      <c r="BB323" s="131">
        <f t="shared" si="220"/>
        <v>298</v>
      </c>
      <c r="BC323" s="131">
        <f t="shared" si="220"/>
        <v>269.09999999999997</v>
      </c>
    </row>
    <row r="324" spans="1:55">
      <c r="A324" s="140" t="s">
        <v>31</v>
      </c>
      <c r="B324" s="141">
        <f>SUM(B305:B320)</f>
        <v>233.7</v>
      </c>
      <c r="C324" s="141">
        <f t="shared" ref="C324:M324" si="221">SUM(C305:C320)</f>
        <v>40.599999999999994</v>
      </c>
      <c r="D324" s="141">
        <f t="shared" si="221"/>
        <v>167.39999999999998</v>
      </c>
      <c r="E324" s="141">
        <f t="shared" si="221"/>
        <v>57.3</v>
      </c>
      <c r="F324" s="141">
        <f t="shared" si="221"/>
        <v>43.499999999999993</v>
      </c>
      <c r="G324" s="141">
        <f t="shared" si="221"/>
        <v>11.9</v>
      </c>
      <c r="H324" s="141">
        <f t="shared" si="221"/>
        <v>67.099999999999994</v>
      </c>
      <c r="I324" s="141">
        <f t="shared" si="221"/>
        <v>54.199999999999996</v>
      </c>
      <c r="J324" s="141">
        <f t="shared" si="221"/>
        <v>140.5</v>
      </c>
      <c r="K324" s="141">
        <f t="shared" si="221"/>
        <v>138.6</v>
      </c>
      <c r="L324" s="141">
        <f t="shared" si="221"/>
        <v>101.30000000000001</v>
      </c>
      <c r="M324" s="141">
        <f t="shared" si="221"/>
        <v>148.1</v>
      </c>
      <c r="O324" s="140" t="s">
        <v>31</v>
      </c>
      <c r="P324" s="141">
        <f>SUM(P305:P320)</f>
        <v>168.24044543645337</v>
      </c>
      <c r="Q324" s="141">
        <f t="shared" ref="Q324:AA324" si="222">SUM(Q305:Q320)</f>
        <v>47.449783441322268</v>
      </c>
      <c r="R324" s="141">
        <f t="shared" si="222"/>
        <v>113.7424151003527</v>
      </c>
      <c r="S324" s="141">
        <f t="shared" si="222"/>
        <v>148.8810410443987</v>
      </c>
      <c r="T324" s="141">
        <f t="shared" si="222"/>
        <v>89.017928552204722</v>
      </c>
      <c r="U324" s="141">
        <f t="shared" si="222"/>
        <v>81.371288612874693</v>
      </c>
      <c r="V324" s="141">
        <f t="shared" si="222"/>
        <v>99.942680086307547</v>
      </c>
      <c r="W324" s="141">
        <f t="shared" si="222"/>
        <v>61.925345252439378</v>
      </c>
      <c r="X324" s="141">
        <f t="shared" si="222"/>
        <v>191.39791617180586</v>
      </c>
      <c r="Y324" s="141">
        <f t="shared" si="222"/>
        <v>171.60298229250606</v>
      </c>
      <c r="Z324" s="141">
        <f t="shared" si="222"/>
        <v>169.49197476583842</v>
      </c>
      <c r="AA324" s="141">
        <f t="shared" si="222"/>
        <v>126.56639347152309</v>
      </c>
      <c r="AC324" s="140" t="s">
        <v>31</v>
      </c>
      <c r="AD324" s="141">
        <f>SUM(AD305:AD320)</f>
        <v>143.80000000000001</v>
      </c>
      <c r="AE324" s="141">
        <f t="shared" ref="AE324:AO324" si="223">SUM(AE305:AE320)</f>
        <v>46</v>
      </c>
      <c r="AF324" s="141">
        <f t="shared" si="223"/>
        <v>89.500000000000014</v>
      </c>
      <c r="AG324" s="141">
        <f t="shared" si="223"/>
        <v>180.4</v>
      </c>
      <c r="AH324" s="141">
        <f t="shared" si="223"/>
        <v>108.7</v>
      </c>
      <c r="AI324" s="141">
        <f t="shared" si="223"/>
        <v>103.3</v>
      </c>
      <c r="AJ324" s="141">
        <f t="shared" si="223"/>
        <v>111.6</v>
      </c>
      <c r="AK324" s="141">
        <f t="shared" si="223"/>
        <v>63.6</v>
      </c>
      <c r="AL324" s="141">
        <f t="shared" si="223"/>
        <v>207.99999999999997</v>
      </c>
      <c r="AM324" s="141">
        <f t="shared" si="223"/>
        <v>180.49999999999997</v>
      </c>
      <c r="AN324" s="141">
        <f t="shared" si="223"/>
        <v>188.79999999999998</v>
      </c>
      <c r="AO324" s="141">
        <f t="shared" si="223"/>
        <v>118.59999999999998</v>
      </c>
      <c r="AQ324" s="140" t="s">
        <v>31</v>
      </c>
      <c r="AR324" s="141">
        <f>SUM(AR305:AR320)</f>
        <v>210.10000000000002</v>
      </c>
      <c r="AS324" s="141">
        <f t="shared" ref="AS324:BC324" si="224">SUM(AS305:AS320)</f>
        <v>83.199999999999989</v>
      </c>
      <c r="AT324" s="141">
        <f t="shared" si="224"/>
        <v>190.2</v>
      </c>
      <c r="AU324" s="141">
        <f t="shared" si="224"/>
        <v>117.1</v>
      </c>
      <c r="AV324" s="141">
        <f t="shared" si="224"/>
        <v>33</v>
      </c>
      <c r="AW324" s="141">
        <f t="shared" si="224"/>
        <v>77.100000000000009</v>
      </c>
      <c r="AX324" s="141">
        <f t="shared" si="224"/>
        <v>84.999999999999986</v>
      </c>
      <c r="AY324" s="141">
        <f t="shared" si="224"/>
        <v>69.099999999999994</v>
      </c>
      <c r="AZ324" s="141">
        <f t="shared" si="224"/>
        <v>182.89999999999998</v>
      </c>
      <c r="BA324" s="141">
        <f t="shared" si="224"/>
        <v>184.79999999999998</v>
      </c>
      <c r="BB324" s="141">
        <f t="shared" si="224"/>
        <v>187.5</v>
      </c>
      <c r="BC324" s="141">
        <f t="shared" si="224"/>
        <v>139.59999999999997</v>
      </c>
    </row>
    <row r="325" spans="1:55" ht="15.75" thickBot="1">
      <c r="A325" s="133" t="s">
        <v>32</v>
      </c>
      <c r="B325" s="134">
        <f>COUNTIF(B292:B322,"&gt;0")</f>
        <v>19</v>
      </c>
      <c r="C325" s="134">
        <f t="shared" ref="C325:M325" si="225">COUNTIF(C292:C322,"&gt;0")</f>
        <v>10</v>
      </c>
      <c r="D325" s="134">
        <f t="shared" si="225"/>
        <v>20</v>
      </c>
      <c r="E325" s="134">
        <f t="shared" si="225"/>
        <v>11</v>
      </c>
      <c r="F325" s="134">
        <f t="shared" si="225"/>
        <v>15</v>
      </c>
      <c r="G325" s="134">
        <f t="shared" si="225"/>
        <v>13</v>
      </c>
      <c r="H325" s="134">
        <f t="shared" si="225"/>
        <v>11</v>
      </c>
      <c r="I325" s="134">
        <f t="shared" si="225"/>
        <v>7</v>
      </c>
      <c r="J325" s="134">
        <f t="shared" si="225"/>
        <v>13</v>
      </c>
      <c r="K325" s="134">
        <f t="shared" si="225"/>
        <v>18</v>
      </c>
      <c r="L325" s="134">
        <f t="shared" si="225"/>
        <v>25</v>
      </c>
      <c r="M325" s="134">
        <f t="shared" si="225"/>
        <v>21</v>
      </c>
      <c r="O325" s="133" t="s">
        <v>32</v>
      </c>
      <c r="P325" s="134">
        <f>COUNTIF(P292:P322,"&gt;0")</f>
        <v>24</v>
      </c>
      <c r="Q325" s="134">
        <f t="shared" ref="Q325:AA325" si="226">COUNTIF(Q292:Q322,"&gt;0")</f>
        <v>11</v>
      </c>
      <c r="R325" s="134">
        <f t="shared" si="226"/>
        <v>29</v>
      </c>
      <c r="S325" s="134">
        <f t="shared" si="226"/>
        <v>19</v>
      </c>
      <c r="T325" s="134">
        <f t="shared" si="226"/>
        <v>21</v>
      </c>
      <c r="U325" s="134">
        <f t="shared" si="226"/>
        <v>21</v>
      </c>
      <c r="V325" s="134">
        <f t="shared" si="226"/>
        <v>14</v>
      </c>
      <c r="W325" s="134">
        <f t="shared" si="226"/>
        <v>13</v>
      </c>
      <c r="X325" s="134">
        <f t="shared" si="226"/>
        <v>15</v>
      </c>
      <c r="Y325" s="134">
        <f t="shared" si="226"/>
        <v>27</v>
      </c>
      <c r="Z325" s="134">
        <f t="shared" si="226"/>
        <v>27</v>
      </c>
      <c r="AA325" s="134">
        <f t="shared" si="226"/>
        <v>30</v>
      </c>
      <c r="AC325" s="133" t="s">
        <v>32</v>
      </c>
      <c r="AD325" s="134">
        <f>COUNTIF(AD292:AD322,"&gt;0")</f>
        <v>23</v>
      </c>
      <c r="AE325" s="134">
        <f t="shared" ref="AE325:AO325" si="227">COUNTIF(AE292:AE322,"&gt;0")</f>
        <v>10</v>
      </c>
      <c r="AF325" s="134">
        <f t="shared" si="227"/>
        <v>25</v>
      </c>
      <c r="AG325" s="134">
        <f t="shared" si="227"/>
        <v>18</v>
      </c>
      <c r="AH325" s="134">
        <f t="shared" si="227"/>
        <v>16</v>
      </c>
      <c r="AI325" s="134">
        <f t="shared" si="227"/>
        <v>19</v>
      </c>
      <c r="AJ325" s="134">
        <f t="shared" si="227"/>
        <v>12</v>
      </c>
      <c r="AK325" s="134">
        <f t="shared" si="227"/>
        <v>11</v>
      </c>
      <c r="AL325" s="134">
        <f t="shared" si="227"/>
        <v>15</v>
      </c>
      <c r="AM325" s="134">
        <f t="shared" si="227"/>
        <v>23</v>
      </c>
      <c r="AN325" s="134">
        <f t="shared" si="227"/>
        <v>24</v>
      </c>
      <c r="AO325" s="134">
        <f t="shared" si="227"/>
        <v>23</v>
      </c>
      <c r="AQ325" s="133" t="s">
        <v>32</v>
      </c>
      <c r="AR325" s="134">
        <f>COUNTIF(AR292:AR322,"&gt;0")</f>
        <v>22</v>
      </c>
      <c r="AS325" s="134">
        <f t="shared" ref="AS325:BC325" si="228">COUNTIF(AS292:AS322,"&gt;0")</f>
        <v>9</v>
      </c>
      <c r="AT325" s="134">
        <f t="shared" si="228"/>
        <v>21</v>
      </c>
      <c r="AU325" s="134">
        <f t="shared" si="228"/>
        <v>16</v>
      </c>
      <c r="AV325" s="134">
        <f t="shared" si="228"/>
        <v>11</v>
      </c>
      <c r="AW325" s="134">
        <f t="shared" si="228"/>
        <v>15</v>
      </c>
      <c r="AX325" s="134">
        <f t="shared" si="228"/>
        <v>10</v>
      </c>
      <c r="AY325" s="134">
        <f t="shared" si="228"/>
        <v>10</v>
      </c>
      <c r="AZ325" s="134">
        <f t="shared" si="228"/>
        <v>13</v>
      </c>
      <c r="BA325" s="134">
        <f t="shared" si="228"/>
        <v>22</v>
      </c>
      <c r="BB325" s="134">
        <f t="shared" si="228"/>
        <v>24</v>
      </c>
      <c r="BC325" s="134">
        <f t="shared" si="228"/>
        <v>27</v>
      </c>
    </row>
    <row r="326" spans="1:55" ht="15.75" thickBot="1"/>
    <row r="327" spans="1:55">
      <c r="A327" s="147" t="s">
        <v>40</v>
      </c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9"/>
      <c r="O327" s="147" t="s">
        <v>40</v>
      </c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  <c r="AA327" s="149"/>
      <c r="AC327" s="147" t="s">
        <v>40</v>
      </c>
      <c r="AD327" s="148"/>
      <c r="AE327" s="148"/>
      <c r="AF327" s="148"/>
      <c r="AG327" s="148"/>
      <c r="AH327" s="148"/>
      <c r="AI327" s="148"/>
      <c r="AJ327" s="148"/>
      <c r="AK327" s="148"/>
      <c r="AL327" s="148"/>
      <c r="AM327" s="148"/>
      <c r="AN327" s="148"/>
      <c r="AO327" s="149"/>
      <c r="AQ327" s="147" t="s">
        <v>40</v>
      </c>
      <c r="AR327" s="148"/>
      <c r="AS327" s="148"/>
      <c r="AT327" s="148"/>
      <c r="AU327" s="148"/>
      <c r="AV327" s="148"/>
      <c r="AW327" s="148"/>
      <c r="AX327" s="148"/>
      <c r="AY327" s="148"/>
      <c r="AZ327" s="148"/>
      <c r="BA327" s="148"/>
      <c r="BB327" s="148"/>
      <c r="BC327" s="149"/>
    </row>
    <row r="328" spans="1:55">
      <c r="A328" s="144"/>
      <c r="B328" s="145" t="s">
        <v>15</v>
      </c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6"/>
      <c r="O328" s="144"/>
      <c r="P328" s="145" t="s">
        <v>15</v>
      </c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  <c r="AA328" s="146"/>
      <c r="AC328" s="144"/>
      <c r="AD328" s="145" t="s">
        <v>15</v>
      </c>
      <c r="AE328" s="145"/>
      <c r="AF328" s="145"/>
      <c r="AG328" s="145"/>
      <c r="AH328" s="145"/>
      <c r="AI328" s="145"/>
      <c r="AJ328" s="145"/>
      <c r="AK328" s="145"/>
      <c r="AL328" s="145"/>
      <c r="AM328" s="145"/>
      <c r="AN328" s="145"/>
      <c r="AO328" s="146"/>
      <c r="AQ328" s="144"/>
      <c r="AR328" s="145" t="s">
        <v>15</v>
      </c>
      <c r="AS328" s="145"/>
      <c r="AT328" s="145"/>
      <c r="AU328" s="145"/>
      <c r="AV328" s="145"/>
      <c r="AW328" s="145"/>
      <c r="AX328" s="145"/>
      <c r="AY328" s="145"/>
      <c r="AZ328" s="145"/>
      <c r="BA328" s="145"/>
      <c r="BB328" s="145"/>
      <c r="BC328" s="146"/>
    </row>
    <row r="329" spans="1:55">
      <c r="A329" s="144"/>
      <c r="B329" s="131" t="s">
        <v>16</v>
      </c>
      <c r="C329" s="131" t="s">
        <v>17</v>
      </c>
      <c r="D329" s="131" t="s">
        <v>18</v>
      </c>
      <c r="E329" s="131" t="s">
        <v>19</v>
      </c>
      <c r="F329" s="131" t="s">
        <v>20</v>
      </c>
      <c r="G329" s="131" t="s">
        <v>21</v>
      </c>
      <c r="H329" s="131" t="s">
        <v>22</v>
      </c>
      <c r="I329" s="131" t="s">
        <v>23</v>
      </c>
      <c r="J329" s="131" t="s">
        <v>24</v>
      </c>
      <c r="K329" s="131" t="s">
        <v>25</v>
      </c>
      <c r="L329" s="131" t="s">
        <v>26</v>
      </c>
      <c r="M329" s="132" t="s">
        <v>27</v>
      </c>
      <c r="O329" s="144"/>
      <c r="P329" s="131" t="s">
        <v>16</v>
      </c>
      <c r="Q329" s="131" t="s">
        <v>17</v>
      </c>
      <c r="R329" s="131" t="s">
        <v>18</v>
      </c>
      <c r="S329" s="131" t="s">
        <v>19</v>
      </c>
      <c r="T329" s="131" t="s">
        <v>20</v>
      </c>
      <c r="U329" s="131" t="s">
        <v>21</v>
      </c>
      <c r="V329" s="131" t="s">
        <v>22</v>
      </c>
      <c r="W329" s="131" t="s">
        <v>23</v>
      </c>
      <c r="X329" s="131" t="s">
        <v>24</v>
      </c>
      <c r="Y329" s="131" t="s">
        <v>25</v>
      </c>
      <c r="Z329" s="131" t="s">
        <v>26</v>
      </c>
      <c r="AA329" s="132" t="s">
        <v>27</v>
      </c>
      <c r="AC329" s="144"/>
      <c r="AD329" s="131" t="s">
        <v>16</v>
      </c>
      <c r="AE329" s="131" t="s">
        <v>17</v>
      </c>
      <c r="AF329" s="131" t="s">
        <v>18</v>
      </c>
      <c r="AG329" s="131" t="s">
        <v>19</v>
      </c>
      <c r="AH329" s="131" t="s">
        <v>20</v>
      </c>
      <c r="AI329" s="131" t="s">
        <v>21</v>
      </c>
      <c r="AJ329" s="131" t="s">
        <v>22</v>
      </c>
      <c r="AK329" s="131" t="s">
        <v>23</v>
      </c>
      <c r="AL329" s="131" t="s">
        <v>24</v>
      </c>
      <c r="AM329" s="131" t="s">
        <v>25</v>
      </c>
      <c r="AN329" s="131" t="s">
        <v>26</v>
      </c>
      <c r="AO329" s="132" t="s">
        <v>27</v>
      </c>
      <c r="AQ329" s="144"/>
      <c r="AR329" s="131" t="s">
        <v>16</v>
      </c>
      <c r="AS329" s="131" t="s">
        <v>17</v>
      </c>
      <c r="AT329" s="131" t="s">
        <v>18</v>
      </c>
      <c r="AU329" s="131" t="s">
        <v>19</v>
      </c>
      <c r="AV329" s="131" t="s">
        <v>20</v>
      </c>
      <c r="AW329" s="131" t="s">
        <v>21</v>
      </c>
      <c r="AX329" s="131" t="s">
        <v>22</v>
      </c>
      <c r="AY329" s="131" t="s">
        <v>23</v>
      </c>
      <c r="AZ329" s="131" t="s">
        <v>24</v>
      </c>
      <c r="BA329" s="131" t="s">
        <v>25</v>
      </c>
      <c r="BB329" s="131" t="s">
        <v>26</v>
      </c>
      <c r="BC329" s="132" t="s">
        <v>27</v>
      </c>
    </row>
    <row r="330" spans="1:55">
      <c r="A330" s="130">
        <v>1</v>
      </c>
      <c r="B330" s="131">
        <f>'Sta. Klimatologi Kalbar'!Q98</f>
        <v>1.4</v>
      </c>
      <c r="C330" s="131">
        <f>'Sta. Klimatologi Kalbar'!R98</f>
        <v>0.6</v>
      </c>
      <c r="D330" s="131">
        <f>'Sta. Klimatologi Kalbar'!S98</f>
        <v>4.3</v>
      </c>
      <c r="E330" s="131">
        <f>'Sta. Klimatologi Kalbar'!T98</f>
        <v>36.799999999999997</v>
      </c>
      <c r="F330" s="131">
        <f>'Sta. Klimatologi Kalbar'!U98</f>
        <v>0</v>
      </c>
      <c r="G330" s="131">
        <f>'Sta. Klimatologi Kalbar'!V98</f>
        <v>0</v>
      </c>
      <c r="H330" s="131"/>
      <c r="I330" s="131"/>
      <c r="J330" s="131"/>
      <c r="K330" s="131"/>
      <c r="L330" s="131"/>
      <c r="M330" s="131"/>
      <c r="O330" s="130">
        <v>1</v>
      </c>
      <c r="P330" s="131">
        <f>((B330/($T$1^2))+(AD330/($T$2^2))+(AR330/($T$3^2)))/((1/($T$1^2))+(1/($T$2^2))+(1/($T$3^2)))</f>
        <v>7.7990917842924805</v>
      </c>
      <c r="Q330" s="131">
        <f t="shared" ref="Q330:U360" si="229">((C330/($T$1^2))+(AE330/($T$2^2))+(AS330/($T$3^2)))/((1/($T$1^2))+(1/($T$2^2))+(1/($T$3^2)))</f>
        <v>13.523264313856245</v>
      </c>
      <c r="R330" s="131">
        <f t="shared" si="229"/>
        <v>1.1285393204848315</v>
      </c>
      <c r="S330" s="131">
        <f t="shared" si="229"/>
        <v>34.821400800316169</v>
      </c>
      <c r="T330" s="131">
        <f t="shared" si="229"/>
        <v>18.731800331973535</v>
      </c>
      <c r="U330" s="131">
        <f t="shared" si="229"/>
        <v>4.8526874402560924</v>
      </c>
      <c r="V330" s="131"/>
      <c r="W330" s="131"/>
      <c r="X330" s="131"/>
      <c r="Y330" s="131"/>
      <c r="Z330" s="131"/>
      <c r="AA330" s="131"/>
      <c r="AC330" s="130">
        <v>1</v>
      </c>
      <c r="AD330" s="131">
        <f>'Sta. Meteorologi pnk'!Q233</f>
        <v>9.5</v>
      </c>
      <c r="AE330" s="131">
        <f>'Sta. Meteorologi pnk'!R233</f>
        <v>14.4</v>
      </c>
      <c r="AF330" s="131">
        <f>'Sta. Meteorologi pnk'!S233</f>
        <v>0</v>
      </c>
      <c r="AG330" s="131">
        <f>'Sta. Meteorologi pnk'!T233</f>
        <v>35</v>
      </c>
      <c r="AH330" s="131">
        <f>'Sta. Meteorologi pnk'!U233</f>
        <v>26.4</v>
      </c>
      <c r="AI330" s="131">
        <f>'Sta. Meteorologi pnk'!V233</f>
        <v>6.3</v>
      </c>
      <c r="AJ330" s="131"/>
      <c r="AK330" s="131"/>
      <c r="AL330" s="131"/>
      <c r="AM330" s="131"/>
      <c r="AN330" s="131"/>
      <c r="AO330" s="131"/>
      <c r="AQ330" s="130">
        <v>1</v>
      </c>
      <c r="AR330" s="131">
        <f>'Sta. Meteorologi Supadio'!Q98</f>
        <v>10.6</v>
      </c>
      <c r="AS330" s="131">
        <f>'Sta. Meteorologi Supadio'!R98</f>
        <v>44.8</v>
      </c>
      <c r="AT330" s="131">
        <f>'Sta. Meteorologi Supadio'!S98</f>
        <v>2.6</v>
      </c>
      <c r="AU330" s="131">
        <f>'Sta. Meteorologi Supadio'!T98</f>
        <v>26.9</v>
      </c>
      <c r="AV330" s="131">
        <f>'Sta. Meteorologi Supadio'!U98</f>
        <v>0</v>
      </c>
      <c r="AW330" s="131">
        <f>'Sta. Meteorologi Supadio'!V98</f>
        <v>5.4</v>
      </c>
      <c r="AX330" s="131"/>
      <c r="AY330" s="131"/>
      <c r="AZ330" s="131"/>
      <c r="BA330" s="131"/>
      <c r="BB330" s="131"/>
      <c r="BC330" s="131"/>
    </row>
    <row r="331" spans="1:55">
      <c r="A331" s="130">
        <v>2</v>
      </c>
      <c r="B331" s="131">
        <f>'Sta. Klimatologi Kalbar'!Q99</f>
        <v>50</v>
      </c>
      <c r="C331" s="131">
        <f>'Sta. Klimatologi Kalbar'!R99</f>
        <v>15.1</v>
      </c>
      <c r="D331" s="131">
        <f>'Sta. Klimatologi Kalbar'!S99</f>
        <v>10.6</v>
      </c>
      <c r="E331" s="131">
        <f>'Sta. Klimatologi Kalbar'!T99</f>
        <v>7</v>
      </c>
      <c r="F331" s="131">
        <f>'Sta. Klimatologi Kalbar'!U99</f>
        <v>0</v>
      </c>
      <c r="G331" s="131">
        <f>'Sta. Klimatologi Kalbar'!V99</f>
        <v>33.6</v>
      </c>
      <c r="H331" s="131"/>
      <c r="I331" s="131"/>
      <c r="J331" s="131"/>
      <c r="K331" s="131"/>
      <c r="L331" s="131"/>
      <c r="M331" s="131"/>
      <c r="O331" s="130">
        <v>2</v>
      </c>
      <c r="P331" s="131">
        <f t="shared" ref="P331:P360" si="230">((B331/($T$1^2))+(AD331/($T$2^2))+(AR331/($T$3^2)))/((1/($T$1^2))+(1/($T$2^2))+(1/($T$3^2)))</f>
        <v>51.097245288851944</v>
      </c>
      <c r="Q331" s="131">
        <f t="shared" si="229"/>
        <v>10.155205459360028</v>
      </c>
      <c r="R331" s="131">
        <f t="shared" si="229"/>
        <v>22.043895974535172</v>
      </c>
      <c r="S331" s="131">
        <f t="shared" si="229"/>
        <v>21.556631892379293</v>
      </c>
      <c r="T331" s="131">
        <f t="shared" si="229"/>
        <v>25.954609980367351</v>
      </c>
      <c r="U331" s="131">
        <f t="shared" si="229"/>
        <v>29.024451248546395</v>
      </c>
      <c r="V331" s="131"/>
      <c r="W331" s="131"/>
      <c r="X331" s="131"/>
      <c r="Y331" s="131"/>
      <c r="Z331" s="131"/>
      <c r="AA331" s="131"/>
      <c r="AC331" s="130">
        <v>2</v>
      </c>
      <c r="AD331" s="131">
        <f>'Sta. Meteorologi pnk'!Q234</f>
        <v>56</v>
      </c>
      <c r="AE331" s="131">
        <f>'Sta. Meteorologi pnk'!R234</f>
        <v>8.8000000000000007</v>
      </c>
      <c r="AF331" s="131">
        <f>'Sta. Meteorologi pnk'!S234</f>
        <v>25.8</v>
      </c>
      <c r="AG331" s="131">
        <f>'Sta. Meteorologi pnk'!T234</f>
        <v>24.5</v>
      </c>
      <c r="AH331" s="131">
        <f>'Sta. Meteorologi pnk'!U234</f>
        <v>36.299999999999997</v>
      </c>
      <c r="AI331" s="131">
        <f>'Sta. Meteorologi pnk'!V234</f>
        <v>28.1</v>
      </c>
      <c r="AJ331" s="131"/>
      <c r="AK331" s="131"/>
      <c r="AL331" s="131"/>
      <c r="AM331" s="131"/>
      <c r="AN331" s="131"/>
      <c r="AO331" s="131"/>
      <c r="AQ331" s="130">
        <v>2</v>
      </c>
      <c r="AR331" s="131">
        <f>'Sta. Meteorologi Supadio'!Q99</f>
        <v>5.4</v>
      </c>
      <c r="AS331" s="131">
        <f>'Sta. Meteorologi Supadio'!R99</f>
        <v>8.4</v>
      </c>
      <c r="AT331" s="131">
        <f>'Sta. Meteorologi Supadio'!S99</f>
        <v>19.899999999999999</v>
      </c>
      <c r="AU331" s="131">
        <f>'Sta. Meteorologi Supadio'!T99</f>
        <v>37.200000000000003</v>
      </c>
      <c r="AV331" s="131">
        <f>'Sta. Meteorologi Supadio'!U99</f>
        <v>2.8</v>
      </c>
      <c r="AW331" s="131">
        <f>'Sta. Meteorologi Supadio'!V99</f>
        <v>24.1</v>
      </c>
      <c r="AX331" s="131"/>
      <c r="AY331" s="131"/>
      <c r="AZ331" s="131"/>
      <c r="BA331" s="131"/>
      <c r="BB331" s="131"/>
      <c r="BC331" s="131"/>
    </row>
    <row r="332" spans="1:55">
      <c r="A332" s="130">
        <v>3</v>
      </c>
      <c r="B332" s="131">
        <f>'Sta. Klimatologi Kalbar'!Q100</f>
        <v>2.2999999999999998</v>
      </c>
      <c r="C332" s="131">
        <f>'Sta. Klimatologi Kalbar'!R100</f>
        <v>0</v>
      </c>
      <c r="D332" s="131">
        <f>'Sta. Klimatologi Kalbar'!S100</f>
        <v>2.4</v>
      </c>
      <c r="E332" s="131">
        <f>'Sta. Klimatologi Kalbar'!T100</f>
        <v>0</v>
      </c>
      <c r="F332" s="131">
        <f>'Sta. Klimatologi Kalbar'!U100</f>
        <v>1.8</v>
      </c>
      <c r="G332" s="131">
        <f>'Sta. Klimatologi Kalbar'!V100</f>
        <v>1.3</v>
      </c>
      <c r="H332" s="131"/>
      <c r="I332" s="131"/>
      <c r="J332" s="131"/>
      <c r="K332" s="131"/>
      <c r="L332" s="131"/>
      <c r="M332" s="131"/>
      <c r="O332" s="130">
        <v>3</v>
      </c>
      <c r="P332" s="131">
        <f t="shared" si="230"/>
        <v>9.4006249529799177</v>
      </c>
      <c r="Q332" s="131">
        <f t="shared" si="229"/>
        <v>0</v>
      </c>
      <c r="R332" s="131">
        <f t="shared" si="229"/>
        <v>1.4847880762529224</v>
      </c>
      <c r="S332" s="131">
        <f t="shared" si="229"/>
        <v>7.8545129359649088</v>
      </c>
      <c r="T332" s="131">
        <f t="shared" si="229"/>
        <v>4.0414653918939729</v>
      </c>
      <c r="U332" s="131">
        <f t="shared" si="229"/>
        <v>0.28549364084469647</v>
      </c>
      <c r="V332" s="131"/>
      <c r="W332" s="131"/>
      <c r="X332" s="131"/>
      <c r="Y332" s="131"/>
      <c r="Z332" s="131"/>
      <c r="AA332" s="131"/>
      <c r="AC332" s="130">
        <v>3</v>
      </c>
      <c r="AD332" s="131">
        <f>'Sta. Meteorologi pnk'!Q235</f>
        <v>10.5</v>
      </c>
      <c r="AE332" s="131">
        <f>'Sta. Meteorologi pnk'!R235</f>
        <v>0</v>
      </c>
      <c r="AF332" s="131">
        <f>'Sta. Meteorologi pnk'!S235</f>
        <v>1.2</v>
      </c>
      <c r="AG332" s="131">
        <f>'Sta. Meteorologi pnk'!T235</f>
        <v>11</v>
      </c>
      <c r="AH332" s="131">
        <f>'Sta. Meteorologi pnk'!U235</f>
        <v>4.3</v>
      </c>
      <c r="AI332" s="131">
        <f>'Sta. Meteorologi pnk'!V235</f>
        <v>0</v>
      </c>
      <c r="AJ332" s="131"/>
      <c r="AK332" s="131"/>
      <c r="AL332" s="131"/>
      <c r="AM332" s="131"/>
      <c r="AN332" s="131"/>
      <c r="AO332" s="131"/>
      <c r="AQ332" s="130">
        <v>3</v>
      </c>
      <c r="AR332" s="131">
        <f>'Sta. Meteorologi Supadio'!Q100</f>
        <v>20.399999999999999</v>
      </c>
      <c r="AS332" s="131">
        <f>'Sta. Meteorologi Supadio'!R100</f>
        <v>0</v>
      </c>
      <c r="AT332" s="131">
        <f>'Sta. Meteorologi Supadio'!S100</f>
        <v>1.5</v>
      </c>
      <c r="AU332" s="131">
        <f>'Sta. Meteorologi Supadio'!T100</f>
        <v>0.7</v>
      </c>
      <c r="AV332" s="131">
        <f>'Sta. Meteorologi Supadio'!U100</f>
        <v>8.4</v>
      </c>
      <c r="AW332" s="131">
        <f>'Sta. Meteorologi Supadio'!V100</f>
        <v>0</v>
      </c>
      <c r="AX332" s="131"/>
      <c r="AY332" s="131"/>
      <c r="AZ332" s="131"/>
      <c r="BA332" s="131"/>
      <c r="BB332" s="131"/>
      <c r="BC332" s="131"/>
    </row>
    <row r="333" spans="1:55">
      <c r="A333" s="130">
        <v>4</v>
      </c>
      <c r="B333" s="131">
        <f>'Sta. Klimatologi Kalbar'!Q101</f>
        <v>24.5</v>
      </c>
      <c r="C333" s="131">
        <f>'Sta. Klimatologi Kalbar'!R101</f>
        <v>12.5</v>
      </c>
      <c r="D333" s="131">
        <f>'Sta. Klimatologi Kalbar'!S101</f>
        <v>10.7</v>
      </c>
      <c r="E333" s="131">
        <f>'Sta. Klimatologi Kalbar'!T101</f>
        <v>1</v>
      </c>
      <c r="F333" s="131">
        <f>'Sta. Klimatologi Kalbar'!U101</f>
        <v>35.1</v>
      </c>
      <c r="G333" s="131">
        <f>'Sta. Klimatologi Kalbar'!V101</f>
        <v>1.3</v>
      </c>
      <c r="H333" s="131"/>
      <c r="I333" s="131"/>
      <c r="J333" s="131"/>
      <c r="K333" s="131"/>
      <c r="L333" s="131"/>
      <c r="M333" s="131"/>
      <c r="O333" s="130">
        <v>4</v>
      </c>
      <c r="P333" s="131">
        <f t="shared" si="230"/>
        <v>10.815353847765346</v>
      </c>
      <c r="Q333" s="131">
        <f t="shared" si="229"/>
        <v>15.592195647334638</v>
      </c>
      <c r="R333" s="131">
        <f t="shared" si="229"/>
        <v>18.824055595917624</v>
      </c>
      <c r="S333" s="131">
        <f t="shared" si="229"/>
        <v>0.43216533999718032</v>
      </c>
      <c r="T333" s="131">
        <f t="shared" si="229"/>
        <v>7.7083283028068035</v>
      </c>
      <c r="U333" s="131">
        <f t="shared" si="229"/>
        <v>0.28549364084469647</v>
      </c>
      <c r="V333" s="131"/>
      <c r="W333" s="131"/>
      <c r="X333" s="131"/>
      <c r="Y333" s="131"/>
      <c r="Z333" s="131"/>
      <c r="AA333" s="131"/>
      <c r="AC333" s="130">
        <v>4</v>
      </c>
      <c r="AD333" s="131">
        <f>'Sta. Meteorologi pnk'!Q236</f>
        <v>7.5</v>
      </c>
      <c r="AE333" s="131">
        <f>'Sta. Meteorologi pnk'!R236</f>
        <v>15.5</v>
      </c>
      <c r="AF333" s="131">
        <f>'Sta. Meteorologi pnk'!S236</f>
        <v>22</v>
      </c>
      <c r="AG333" s="131">
        <f>'Sta. Meteorologi pnk'!T236</f>
        <v>0</v>
      </c>
      <c r="AH333" s="131">
        <f>'Sta. Meteorologi pnk'!U236</f>
        <v>0</v>
      </c>
      <c r="AI333" s="131">
        <f>'Sta. Meteorologi pnk'!V236</f>
        <v>0</v>
      </c>
      <c r="AJ333" s="131"/>
      <c r="AK333" s="131"/>
      <c r="AL333" s="131"/>
      <c r="AM333" s="131"/>
      <c r="AN333" s="131"/>
      <c r="AO333" s="131"/>
      <c r="AQ333" s="130">
        <v>4</v>
      </c>
      <c r="AR333" s="131">
        <f>'Sta. Meteorologi Supadio'!Q101</f>
        <v>1.6</v>
      </c>
      <c r="AS333" s="131">
        <f>'Sta. Meteorologi Supadio'!R101</f>
        <v>26.1</v>
      </c>
      <c r="AT333" s="131">
        <f>'Sta. Meteorologi Supadio'!S101</f>
        <v>12.2</v>
      </c>
      <c r="AU333" s="131">
        <f>'Sta. Meteorologi Supadio'!T101</f>
        <v>3</v>
      </c>
      <c r="AV333" s="131">
        <f>'Sta. Meteorologi Supadio'!U101</f>
        <v>0</v>
      </c>
      <c r="AW333" s="131">
        <f>'Sta. Meteorologi Supadio'!V101</f>
        <v>0</v>
      </c>
      <c r="AX333" s="131"/>
      <c r="AY333" s="131"/>
      <c r="AZ333" s="131"/>
      <c r="BA333" s="131"/>
      <c r="BB333" s="131"/>
      <c r="BC333" s="131"/>
    </row>
    <row r="334" spans="1:55">
      <c r="A334" s="130">
        <v>5</v>
      </c>
      <c r="B334" s="131">
        <f>'Sta. Klimatologi Kalbar'!Q102</f>
        <v>9.9</v>
      </c>
      <c r="C334" s="131">
        <f>'Sta. Klimatologi Kalbar'!R102</f>
        <v>0</v>
      </c>
      <c r="D334" s="131">
        <f>'Sta. Klimatologi Kalbar'!S102</f>
        <v>38.5</v>
      </c>
      <c r="E334" s="131">
        <f>'Sta. Klimatologi Kalbar'!T102</f>
        <v>0</v>
      </c>
      <c r="F334" s="131">
        <f>'Sta. Klimatologi Kalbar'!U102</f>
        <v>130.4</v>
      </c>
      <c r="G334" s="131">
        <f>'Sta. Klimatologi Kalbar'!V102</f>
        <v>3</v>
      </c>
      <c r="H334" s="131"/>
      <c r="I334" s="131"/>
      <c r="J334" s="131"/>
      <c r="K334" s="131"/>
      <c r="L334" s="131"/>
      <c r="M334" s="131"/>
      <c r="O334" s="130">
        <v>5</v>
      </c>
      <c r="P334" s="131">
        <f t="shared" si="230"/>
        <v>23.556407679419046</v>
      </c>
      <c r="Q334" s="131">
        <f t="shared" si="229"/>
        <v>0</v>
      </c>
      <c r="R334" s="131">
        <f t="shared" si="229"/>
        <v>20.551552205303331</v>
      </c>
      <c r="S334" s="131">
        <f t="shared" si="229"/>
        <v>0</v>
      </c>
      <c r="T334" s="131">
        <f t="shared" si="229"/>
        <v>111.29472957405007</v>
      </c>
      <c r="U334" s="131">
        <f t="shared" si="229"/>
        <v>0.97057858786396789</v>
      </c>
      <c r="V334" s="131"/>
      <c r="W334" s="131"/>
      <c r="X334" s="131"/>
      <c r="Y334" s="131"/>
      <c r="Z334" s="131"/>
      <c r="AA334" s="131"/>
      <c r="AC334" s="130">
        <v>5</v>
      </c>
      <c r="AD334" s="131">
        <f>'Sta. Meteorologi pnk'!Q237</f>
        <v>27</v>
      </c>
      <c r="AE334" s="131">
        <f>'Sta. Meteorologi pnk'!R237</f>
        <v>0</v>
      </c>
      <c r="AF334" s="131">
        <f>'Sta. Meteorologi pnk'!S237</f>
        <v>16</v>
      </c>
      <c r="AG334" s="131">
        <f>'Sta. Meteorologi pnk'!T237</f>
        <v>0</v>
      </c>
      <c r="AH334" s="131">
        <f>'Sta. Meteorologi pnk'!U237</f>
        <v>106</v>
      </c>
      <c r="AI334" s="131">
        <f>'Sta. Meteorologi pnk'!V237</f>
        <v>0</v>
      </c>
      <c r="AJ334" s="131"/>
      <c r="AK334" s="131"/>
      <c r="AL334" s="131"/>
      <c r="AM334" s="131"/>
      <c r="AN334" s="131"/>
      <c r="AO334" s="131"/>
      <c r="AQ334" s="130">
        <v>5</v>
      </c>
      <c r="AR334" s="131">
        <f>'Sta. Meteorologi Supadio'!Q102</f>
        <v>31.4</v>
      </c>
      <c r="AS334" s="131">
        <f>'Sta. Meteorologi Supadio'!R102</f>
        <v>0</v>
      </c>
      <c r="AT334" s="131">
        <f>'Sta. Meteorologi Supadio'!S102</f>
        <v>10.5</v>
      </c>
      <c r="AU334" s="131">
        <f>'Sta. Meteorologi Supadio'!T102</f>
        <v>0</v>
      </c>
      <c r="AV334" s="131">
        <f>'Sta. Meteorologi Supadio'!U102</f>
        <v>105.1</v>
      </c>
      <c r="AW334" s="131">
        <f>'Sta. Meteorologi Supadio'!V102</f>
        <v>4.4000000000000004</v>
      </c>
      <c r="AX334" s="131"/>
      <c r="AY334" s="131"/>
      <c r="AZ334" s="131"/>
      <c r="BA334" s="131"/>
      <c r="BB334" s="131"/>
      <c r="BC334" s="131"/>
    </row>
    <row r="335" spans="1:55">
      <c r="A335" s="130">
        <v>6</v>
      </c>
      <c r="B335" s="131">
        <f>'Sta. Klimatologi Kalbar'!Q103</f>
        <v>0</v>
      </c>
      <c r="C335" s="131">
        <f>'Sta. Klimatologi Kalbar'!R103</f>
        <v>3.1</v>
      </c>
      <c r="D335" s="131">
        <f>'Sta. Klimatologi Kalbar'!S103</f>
        <v>69</v>
      </c>
      <c r="E335" s="131">
        <f>'Sta. Klimatologi Kalbar'!T103</f>
        <v>0</v>
      </c>
      <c r="F335" s="131">
        <f>'Sta. Klimatologi Kalbar'!U103</f>
        <v>0</v>
      </c>
      <c r="G335" s="131">
        <f>'Sta. Klimatologi Kalbar'!V103</f>
        <v>1.6</v>
      </c>
      <c r="H335" s="131"/>
      <c r="I335" s="131"/>
      <c r="J335" s="131"/>
      <c r="K335" s="131"/>
      <c r="L335" s="131"/>
      <c r="M335" s="131"/>
      <c r="O335" s="130">
        <v>6</v>
      </c>
      <c r="P335" s="131">
        <f t="shared" si="230"/>
        <v>0.37551356310350803</v>
      </c>
      <c r="Q335" s="131">
        <f t="shared" si="229"/>
        <v>6.357095659069194</v>
      </c>
      <c r="R335" s="131">
        <f t="shared" si="229"/>
        <v>48.974986825143915</v>
      </c>
      <c r="S335" s="131">
        <f t="shared" si="229"/>
        <v>0</v>
      </c>
      <c r="T335" s="131">
        <f t="shared" si="229"/>
        <v>0</v>
      </c>
      <c r="U335" s="131">
        <f t="shared" si="229"/>
        <v>0.35137678873193406</v>
      </c>
      <c r="V335" s="131"/>
      <c r="W335" s="131"/>
      <c r="X335" s="131"/>
      <c r="Y335" s="131"/>
      <c r="Z335" s="131"/>
      <c r="AA335" s="131"/>
      <c r="AC335" s="130">
        <v>6</v>
      </c>
      <c r="AD335" s="131">
        <f>'Sta. Meteorologi pnk'!Q238</f>
        <v>0</v>
      </c>
      <c r="AE335" s="131">
        <f>'Sta. Meteorologi pnk'!R238</f>
        <v>8</v>
      </c>
      <c r="AF335" s="131">
        <f>'Sta. Meteorologi pnk'!S238</f>
        <v>45.9</v>
      </c>
      <c r="AG335" s="131">
        <f>'Sta. Meteorologi pnk'!T238</f>
        <v>0</v>
      </c>
      <c r="AH335" s="131">
        <f>'Sta. Meteorologi pnk'!U238</f>
        <v>0</v>
      </c>
      <c r="AI335" s="131">
        <f>'Sta. Meteorologi pnk'!V238</f>
        <v>0</v>
      </c>
      <c r="AJ335" s="131"/>
      <c r="AK335" s="131"/>
      <c r="AL335" s="131"/>
      <c r="AM335" s="131"/>
      <c r="AN335" s="131"/>
      <c r="AO335" s="131"/>
      <c r="AQ335" s="130">
        <v>6</v>
      </c>
      <c r="AR335" s="131">
        <f>'Sta. Meteorologi Supadio'!Q103</f>
        <v>5.3</v>
      </c>
      <c r="AS335" s="131">
        <f>'Sta. Meteorologi Supadio'!R103</f>
        <v>0</v>
      </c>
      <c r="AT335" s="131">
        <f>'Sta. Meteorologi Supadio'!S103</f>
        <v>17.7</v>
      </c>
      <c r="AU335" s="131">
        <f>'Sta. Meteorologi Supadio'!T103</f>
        <v>0</v>
      </c>
      <c r="AV335" s="131">
        <f>'Sta. Meteorologi Supadio'!U103</f>
        <v>0</v>
      </c>
      <c r="AW335" s="131">
        <f>'Sta. Meteorologi Supadio'!V103</f>
        <v>0</v>
      </c>
      <c r="AX335" s="131"/>
      <c r="AY335" s="131"/>
      <c r="AZ335" s="131"/>
      <c r="BA335" s="131"/>
      <c r="BB335" s="131"/>
      <c r="BC335" s="131"/>
    </row>
    <row r="336" spans="1:55">
      <c r="A336" s="130">
        <v>7</v>
      </c>
      <c r="B336" s="131">
        <f>'Sta. Klimatologi Kalbar'!Q104</f>
        <v>3.5</v>
      </c>
      <c r="C336" s="131">
        <f>'Sta. Klimatologi Kalbar'!R104</f>
        <v>0</v>
      </c>
      <c r="D336" s="131">
        <f>'Sta. Klimatologi Kalbar'!S104</f>
        <v>6.5</v>
      </c>
      <c r="E336" s="131">
        <f>'Sta. Klimatologi Kalbar'!T104</f>
        <v>0</v>
      </c>
      <c r="F336" s="131">
        <f>'Sta. Klimatologi Kalbar'!U104</f>
        <v>0</v>
      </c>
      <c r="G336" s="131">
        <f>'Sta. Klimatologi Kalbar'!V104</f>
        <v>0</v>
      </c>
      <c r="H336" s="131"/>
      <c r="I336" s="131"/>
      <c r="J336" s="131"/>
      <c r="K336" s="131"/>
      <c r="L336" s="131"/>
      <c r="M336" s="131"/>
      <c r="O336" s="130">
        <v>7</v>
      </c>
      <c r="P336" s="131">
        <f t="shared" si="230"/>
        <v>7.6791883974715489</v>
      </c>
      <c r="Q336" s="131">
        <f t="shared" si="229"/>
        <v>0</v>
      </c>
      <c r="R336" s="131">
        <f t="shared" si="229"/>
        <v>7.2158056652797748</v>
      </c>
      <c r="S336" s="131">
        <f t="shared" si="229"/>
        <v>0</v>
      </c>
      <c r="T336" s="131">
        <f t="shared" si="229"/>
        <v>0</v>
      </c>
      <c r="U336" s="131">
        <f t="shared" si="229"/>
        <v>0</v>
      </c>
      <c r="V336" s="131"/>
      <c r="W336" s="131"/>
      <c r="X336" s="131"/>
      <c r="Y336" s="131"/>
      <c r="Z336" s="131"/>
      <c r="AA336" s="131"/>
      <c r="AC336" s="130">
        <v>7</v>
      </c>
      <c r="AD336" s="131">
        <f>'Sta. Meteorologi pnk'!Q239</f>
        <v>9.4</v>
      </c>
      <c r="AE336" s="131">
        <f>'Sta. Meteorologi pnk'!R239</f>
        <v>0</v>
      </c>
      <c r="AF336" s="131">
        <f>'Sta. Meteorologi pnk'!S239</f>
        <v>6.7</v>
      </c>
      <c r="AG336" s="131">
        <f>'Sta. Meteorologi pnk'!T239</f>
        <v>0</v>
      </c>
      <c r="AH336" s="131">
        <f>'Sta. Meteorologi pnk'!U239</f>
        <v>0</v>
      </c>
      <c r="AI336" s="131">
        <f>'Sta. Meteorologi pnk'!V239</f>
        <v>0</v>
      </c>
      <c r="AJ336" s="131"/>
      <c r="AK336" s="131"/>
      <c r="AL336" s="131"/>
      <c r="AM336" s="131"/>
      <c r="AN336" s="131"/>
      <c r="AO336" s="131"/>
      <c r="AQ336" s="130">
        <v>7</v>
      </c>
      <c r="AR336" s="131">
        <f>'Sta. Meteorologi Supadio'!Q104</f>
        <v>3.4</v>
      </c>
      <c r="AS336" s="131">
        <f>'Sta. Meteorologi Supadio'!R104</f>
        <v>0</v>
      </c>
      <c r="AT336" s="131">
        <f>'Sta. Meteorologi Supadio'!S104</f>
        <v>14.6</v>
      </c>
      <c r="AU336" s="131">
        <f>'Sta. Meteorologi Supadio'!T104</f>
        <v>0</v>
      </c>
      <c r="AV336" s="131">
        <f>'Sta. Meteorologi Supadio'!U104</f>
        <v>0</v>
      </c>
      <c r="AW336" s="131">
        <f>'Sta. Meteorologi Supadio'!V104</f>
        <v>0</v>
      </c>
      <c r="AX336" s="131"/>
      <c r="AY336" s="131"/>
      <c r="AZ336" s="131"/>
      <c r="BA336" s="131"/>
      <c r="BB336" s="131"/>
      <c r="BC336" s="131"/>
    </row>
    <row r="337" spans="1:55">
      <c r="A337" s="130">
        <v>8</v>
      </c>
      <c r="B337" s="131">
        <f>'Sta. Klimatologi Kalbar'!Q105</f>
        <v>1</v>
      </c>
      <c r="C337" s="131">
        <f>'Sta. Klimatologi Kalbar'!R105</f>
        <v>0</v>
      </c>
      <c r="D337" s="131">
        <f>'Sta. Klimatologi Kalbar'!S105</f>
        <v>1.2</v>
      </c>
      <c r="E337" s="131">
        <f>'Sta. Klimatologi Kalbar'!T105</f>
        <v>1</v>
      </c>
      <c r="F337" s="131">
        <f>'Sta. Klimatologi Kalbar'!U105</f>
        <v>18.8</v>
      </c>
      <c r="G337" s="131">
        <f>'Sta. Klimatologi Kalbar'!V105</f>
        <v>0</v>
      </c>
      <c r="H337" s="131"/>
      <c r="I337" s="131"/>
      <c r="J337" s="131"/>
      <c r="K337" s="131"/>
      <c r="L337" s="131"/>
      <c r="M337" s="131"/>
      <c r="O337" s="130">
        <v>8</v>
      </c>
      <c r="P337" s="131">
        <f t="shared" si="230"/>
        <v>3.0577620584079948</v>
      </c>
      <c r="Q337" s="131">
        <f t="shared" si="229"/>
        <v>0</v>
      </c>
      <c r="R337" s="131">
        <f t="shared" si="229"/>
        <v>4.305650756276127</v>
      </c>
      <c r="S337" s="131">
        <f t="shared" si="229"/>
        <v>1.4825062008178624</v>
      </c>
      <c r="T337" s="131">
        <f t="shared" si="229"/>
        <v>4.1286772676002252</v>
      </c>
      <c r="U337" s="131">
        <f t="shared" si="229"/>
        <v>0.12044774665584219</v>
      </c>
      <c r="V337" s="131"/>
      <c r="W337" s="131"/>
      <c r="X337" s="131"/>
      <c r="Y337" s="131"/>
      <c r="Z337" s="131"/>
      <c r="AA337" s="131"/>
      <c r="AC337" s="130">
        <v>8</v>
      </c>
      <c r="AD337" s="131">
        <f>'Sta. Meteorologi pnk'!Q240</f>
        <v>4</v>
      </c>
      <c r="AE337" s="131">
        <f>'Sta. Meteorologi pnk'!R240</f>
        <v>0</v>
      </c>
      <c r="AF337" s="131">
        <f>'Sta. Meteorologi pnk'!S240</f>
        <v>3.5</v>
      </c>
      <c r="AG337" s="131">
        <f>'Sta. Meteorologi pnk'!T240</f>
        <v>1.7</v>
      </c>
      <c r="AH337" s="131">
        <f>'Sta. Meteorologi pnk'!U240</f>
        <v>0</v>
      </c>
      <c r="AI337" s="131">
        <f>'Sta. Meteorologi pnk'!V240</f>
        <v>0</v>
      </c>
      <c r="AJ337" s="131"/>
      <c r="AK337" s="131"/>
      <c r="AL337" s="131"/>
      <c r="AM337" s="131"/>
      <c r="AN337" s="131"/>
      <c r="AO337" s="131"/>
      <c r="AQ337" s="130">
        <v>8</v>
      </c>
      <c r="AR337" s="131">
        <f>'Sta. Meteorologi Supadio'!Q105</f>
        <v>0</v>
      </c>
      <c r="AS337" s="131">
        <f>'Sta. Meteorologi Supadio'!R105</f>
        <v>0</v>
      </c>
      <c r="AT337" s="131">
        <f>'Sta. Meteorologi Supadio'!S105</f>
        <v>22</v>
      </c>
      <c r="AU337" s="131">
        <f>'Sta. Meteorologi Supadio'!T105</f>
        <v>0.8</v>
      </c>
      <c r="AV337" s="131">
        <f>'Sta. Meteorologi Supadio'!U105</f>
        <v>0</v>
      </c>
      <c r="AW337" s="131">
        <f>'Sta. Meteorologi Supadio'!V105</f>
        <v>1.7</v>
      </c>
      <c r="AX337" s="131"/>
      <c r="AY337" s="131"/>
      <c r="AZ337" s="131"/>
      <c r="BA337" s="131"/>
      <c r="BB337" s="131"/>
      <c r="BC337" s="131"/>
    </row>
    <row r="338" spans="1:55">
      <c r="A338" s="130">
        <v>9</v>
      </c>
      <c r="B338" s="131">
        <f>'Sta. Klimatologi Kalbar'!Q106</f>
        <v>1.3</v>
      </c>
      <c r="C338" s="131">
        <f>'Sta. Klimatologi Kalbar'!R106</f>
        <v>0</v>
      </c>
      <c r="D338" s="131">
        <f>'Sta. Klimatologi Kalbar'!S106</f>
        <v>29.9</v>
      </c>
      <c r="E338" s="131">
        <f>'Sta. Klimatologi Kalbar'!T106</f>
        <v>0</v>
      </c>
      <c r="F338" s="131">
        <f>'Sta. Klimatologi Kalbar'!U106</f>
        <v>4.2</v>
      </c>
      <c r="G338" s="131">
        <f>'Sta. Klimatologi Kalbar'!V106</f>
        <v>0</v>
      </c>
      <c r="H338" s="131"/>
      <c r="I338" s="131"/>
      <c r="J338" s="131"/>
      <c r="K338" s="131"/>
      <c r="L338" s="131"/>
      <c r="M338" s="131"/>
      <c r="O338" s="130">
        <v>9</v>
      </c>
      <c r="P338" s="131">
        <f t="shared" si="230"/>
        <v>1.8464770018424912</v>
      </c>
      <c r="Q338" s="131">
        <f t="shared" si="229"/>
        <v>0</v>
      </c>
      <c r="R338" s="131">
        <f t="shared" si="229"/>
        <v>58.447472593882885</v>
      </c>
      <c r="S338" s="131">
        <f t="shared" si="229"/>
        <v>0</v>
      </c>
      <c r="T338" s="131">
        <f t="shared" si="229"/>
        <v>21.844705408380271</v>
      </c>
      <c r="U338" s="131">
        <f t="shared" si="229"/>
        <v>0</v>
      </c>
      <c r="V338" s="131"/>
      <c r="W338" s="131"/>
      <c r="X338" s="131"/>
      <c r="Y338" s="131"/>
      <c r="Z338" s="131"/>
      <c r="AA338" s="131"/>
      <c r="AC338" s="130">
        <v>9</v>
      </c>
      <c r="AD338" s="131">
        <f>'Sta. Meteorologi pnk'!Q241</f>
        <v>2.2000000000000002</v>
      </c>
      <c r="AE338" s="131">
        <f>'Sta. Meteorologi pnk'!R241</f>
        <v>0</v>
      </c>
      <c r="AF338" s="131">
        <f>'Sta. Meteorologi pnk'!S241</f>
        <v>65.900000000000006</v>
      </c>
      <c r="AG338" s="131">
        <f>'Sta. Meteorologi pnk'!T241</f>
        <v>0</v>
      </c>
      <c r="AH338" s="131">
        <f>'Sta. Meteorologi pnk'!U241</f>
        <v>27.6</v>
      </c>
      <c r="AI338" s="131">
        <f>'Sta. Meteorologi pnk'!V241</f>
        <v>0</v>
      </c>
      <c r="AJ338" s="131"/>
      <c r="AK338" s="131"/>
      <c r="AL338" s="131"/>
      <c r="AM338" s="131"/>
      <c r="AN338" s="131"/>
      <c r="AO338" s="131"/>
      <c r="AQ338" s="130">
        <v>9</v>
      </c>
      <c r="AR338" s="131">
        <f>'Sta. Meteorologi Supadio'!Q106</f>
        <v>0</v>
      </c>
      <c r="AS338" s="131">
        <f>'Sta. Meteorologi Supadio'!R106</f>
        <v>0</v>
      </c>
      <c r="AT338" s="131">
        <f>'Sta. Meteorologi Supadio'!S106</f>
        <v>72.3</v>
      </c>
      <c r="AU338" s="131">
        <f>'Sta. Meteorologi Supadio'!T106</f>
        <v>0</v>
      </c>
      <c r="AV338" s="131">
        <f>'Sta. Meteorologi Supadio'!U106</f>
        <v>18.899999999999999</v>
      </c>
      <c r="AW338" s="131">
        <f>'Sta. Meteorologi Supadio'!V106</f>
        <v>0</v>
      </c>
      <c r="AX338" s="131"/>
      <c r="AY338" s="131"/>
      <c r="AZ338" s="131"/>
      <c r="BA338" s="131"/>
      <c r="BB338" s="131"/>
      <c r="BC338" s="131"/>
    </row>
    <row r="339" spans="1:55">
      <c r="A339" s="130">
        <v>10</v>
      </c>
      <c r="B339" s="131">
        <f>'Sta. Klimatologi Kalbar'!Q107</f>
        <v>1</v>
      </c>
      <c r="C339" s="131">
        <f>'Sta. Klimatologi Kalbar'!R107</f>
        <v>0</v>
      </c>
      <c r="D339" s="131">
        <f>'Sta. Klimatologi Kalbar'!S107</f>
        <v>0</v>
      </c>
      <c r="E339" s="131">
        <f>'Sta. Klimatologi Kalbar'!T107</f>
        <v>0</v>
      </c>
      <c r="F339" s="131">
        <f>'Sta. Klimatologi Kalbar'!U107</f>
        <v>0</v>
      </c>
      <c r="G339" s="131">
        <f>'Sta. Klimatologi Kalbar'!V107</f>
        <v>0</v>
      </c>
      <c r="H339" s="131"/>
      <c r="I339" s="131"/>
      <c r="J339" s="131"/>
      <c r="K339" s="131"/>
      <c r="L339" s="131"/>
      <c r="M339" s="131"/>
      <c r="O339" s="130">
        <v>10</v>
      </c>
      <c r="P339" s="131">
        <f t="shared" si="230"/>
        <v>20.583347975065053</v>
      </c>
      <c r="Q339" s="131">
        <f t="shared" si="229"/>
        <v>0.4676206634873874</v>
      </c>
      <c r="R339" s="131">
        <f t="shared" si="229"/>
        <v>0</v>
      </c>
      <c r="S339" s="131">
        <f t="shared" si="229"/>
        <v>31.219667219955895</v>
      </c>
      <c r="T339" s="131">
        <f t="shared" si="229"/>
        <v>0</v>
      </c>
      <c r="U339" s="131">
        <f t="shared" si="229"/>
        <v>3.9946676763347218</v>
      </c>
      <c r="V339" s="131"/>
      <c r="W339" s="131"/>
      <c r="X339" s="131"/>
      <c r="Y339" s="131"/>
      <c r="Z339" s="131"/>
      <c r="AA339" s="131"/>
      <c r="AC339" s="130">
        <v>10</v>
      </c>
      <c r="AD339" s="131">
        <f>'Sta. Meteorologi pnk'!Q242</f>
        <v>28.7</v>
      </c>
      <c r="AE339" s="131">
        <f>'Sta. Meteorologi pnk'!R242</f>
        <v>0</v>
      </c>
      <c r="AF339" s="131">
        <f>'Sta. Meteorologi pnk'!S242</f>
        <v>0</v>
      </c>
      <c r="AG339" s="131">
        <f>'Sta. Meteorologi pnk'!T242</f>
        <v>44</v>
      </c>
      <c r="AH339" s="131">
        <f>'Sta. Meteorologi pnk'!U242</f>
        <v>0</v>
      </c>
      <c r="AI339" s="131">
        <f>'Sta. Meteorologi pnk'!V242</f>
        <v>5.6</v>
      </c>
      <c r="AJ339" s="131"/>
      <c r="AK339" s="131"/>
      <c r="AL339" s="131"/>
      <c r="AM339" s="131"/>
      <c r="AN339" s="131"/>
      <c r="AO339" s="131"/>
      <c r="AQ339" s="130">
        <v>10</v>
      </c>
      <c r="AR339" s="131">
        <f>'Sta. Meteorologi Supadio'!Q107</f>
        <v>0</v>
      </c>
      <c r="AS339" s="131">
        <f>'Sta. Meteorologi Supadio'!R107</f>
        <v>6.6</v>
      </c>
      <c r="AT339" s="131">
        <f>'Sta. Meteorologi Supadio'!S107</f>
        <v>0</v>
      </c>
      <c r="AU339" s="131">
        <f>'Sta. Meteorologi Supadio'!T107</f>
        <v>0</v>
      </c>
      <c r="AV339" s="131">
        <f>'Sta. Meteorologi Supadio'!U107</f>
        <v>0</v>
      </c>
      <c r="AW339" s="131">
        <f>'Sta. Meteorologi Supadio'!V107</f>
        <v>0.3</v>
      </c>
      <c r="AX339" s="131"/>
      <c r="AY339" s="131"/>
      <c r="AZ339" s="131"/>
      <c r="BA339" s="131"/>
      <c r="BB339" s="131"/>
      <c r="BC339" s="131"/>
    </row>
    <row r="340" spans="1:55">
      <c r="A340" s="130">
        <v>11</v>
      </c>
      <c r="B340" s="131">
        <f>'Sta. Klimatologi Kalbar'!Q108</f>
        <v>3.8</v>
      </c>
      <c r="C340" s="131">
        <f>'Sta. Klimatologi Kalbar'!R108</f>
        <v>16.399999999999999</v>
      </c>
      <c r="D340" s="131">
        <f>'Sta. Klimatologi Kalbar'!S108</f>
        <v>0.5</v>
      </c>
      <c r="E340" s="131">
        <f>'Sta. Klimatologi Kalbar'!T108</f>
        <v>4.3</v>
      </c>
      <c r="F340" s="131">
        <f>'Sta. Klimatologi Kalbar'!U108</f>
        <v>12.4</v>
      </c>
      <c r="G340" s="131">
        <f>'Sta. Klimatologi Kalbar'!V108</f>
        <v>10.5</v>
      </c>
      <c r="H340" s="131"/>
      <c r="I340" s="131"/>
      <c r="J340" s="131"/>
      <c r="K340" s="131"/>
      <c r="L340" s="131"/>
      <c r="M340" s="131"/>
      <c r="O340" s="130">
        <v>11</v>
      </c>
      <c r="P340" s="131">
        <f t="shared" si="230"/>
        <v>6.516375563862062</v>
      </c>
      <c r="Q340" s="131">
        <f t="shared" si="229"/>
        <v>9.7165821918806827</v>
      </c>
      <c r="R340" s="131">
        <f t="shared" si="229"/>
        <v>4.5089401729270602</v>
      </c>
      <c r="S340" s="131">
        <f t="shared" si="229"/>
        <v>18.347828514416591</v>
      </c>
      <c r="T340" s="131">
        <f t="shared" si="229"/>
        <v>3.1061775311694126</v>
      </c>
      <c r="U340" s="131">
        <f t="shared" si="229"/>
        <v>29.571172873042599</v>
      </c>
      <c r="V340" s="131"/>
      <c r="W340" s="131"/>
      <c r="X340" s="131"/>
      <c r="Y340" s="131"/>
      <c r="Z340" s="131"/>
      <c r="AA340" s="131"/>
      <c r="AC340" s="130">
        <v>11</v>
      </c>
      <c r="AD340" s="131">
        <f>'Sta. Meteorologi pnk'!Q243</f>
        <v>6.5</v>
      </c>
      <c r="AE340" s="131">
        <f>'Sta. Meteorologi pnk'!R243</f>
        <v>7.4</v>
      </c>
      <c r="AF340" s="131">
        <f>'Sta. Meteorologi pnk'!S243</f>
        <v>6.2</v>
      </c>
      <c r="AG340" s="131">
        <f>'Sta. Meteorologi pnk'!T243</f>
        <v>23.1</v>
      </c>
      <c r="AH340" s="131">
        <f>'Sta. Meteorologi pnk'!U243</f>
        <v>0.4</v>
      </c>
      <c r="AI340" s="131">
        <f>'Sta. Meteorologi pnk'!V243</f>
        <v>36.200000000000003</v>
      </c>
      <c r="AJ340" s="131"/>
      <c r="AK340" s="131"/>
      <c r="AL340" s="131"/>
      <c r="AM340" s="131"/>
      <c r="AN340" s="131"/>
      <c r="AO340" s="131"/>
      <c r="AQ340" s="130">
        <v>11</v>
      </c>
      <c r="AR340" s="131">
        <f>'Sta. Meteorologi Supadio'!Q108</f>
        <v>15.1</v>
      </c>
      <c r="AS340" s="131">
        <f>'Sta. Meteorologi Supadio'!R108</f>
        <v>12.2</v>
      </c>
      <c r="AT340" s="131">
        <f>'Sta. Meteorologi Supadio'!S108</f>
        <v>0</v>
      </c>
      <c r="AU340" s="131">
        <f>'Sta. Meteorologi Supadio'!T108</f>
        <v>14.3</v>
      </c>
      <c r="AV340" s="131">
        <f>'Sta. Meteorologi Supadio'!U108</f>
        <v>1.4</v>
      </c>
      <c r="AW340" s="131">
        <f>'Sta. Meteorologi Supadio'!V108</f>
        <v>22.3</v>
      </c>
      <c r="AX340" s="131"/>
      <c r="AY340" s="131"/>
      <c r="AZ340" s="131"/>
      <c r="BA340" s="131"/>
      <c r="BB340" s="131"/>
      <c r="BC340" s="131"/>
    </row>
    <row r="341" spans="1:55">
      <c r="A341" s="130">
        <v>12</v>
      </c>
      <c r="B341" s="131">
        <f>'Sta. Klimatologi Kalbar'!Q109</f>
        <v>0</v>
      </c>
      <c r="C341" s="131">
        <f>'Sta. Klimatologi Kalbar'!R109</f>
        <v>5.9</v>
      </c>
      <c r="D341" s="131">
        <f>'Sta. Klimatologi Kalbar'!S109</f>
        <v>2.2000000000000002</v>
      </c>
      <c r="E341" s="131">
        <f>'Sta. Klimatologi Kalbar'!T109</f>
        <v>0.2</v>
      </c>
      <c r="F341" s="131">
        <f>'Sta. Klimatologi Kalbar'!U109</f>
        <v>14.3</v>
      </c>
      <c r="G341" s="131">
        <f>'Sta. Klimatologi Kalbar'!V109</f>
        <v>0</v>
      </c>
      <c r="H341" s="131"/>
      <c r="I341" s="131"/>
      <c r="J341" s="131"/>
      <c r="K341" s="131"/>
      <c r="L341" s="131"/>
      <c r="M341" s="131"/>
      <c r="O341" s="130">
        <v>12</v>
      </c>
      <c r="P341" s="131">
        <f t="shared" si="230"/>
        <v>0</v>
      </c>
      <c r="Q341" s="131">
        <f t="shared" si="229"/>
        <v>21.26801855555906</v>
      </c>
      <c r="R341" s="131">
        <f t="shared" si="229"/>
        <v>1.3203160575492325</v>
      </c>
      <c r="S341" s="131">
        <f t="shared" si="229"/>
        <v>16.718062545613389</v>
      </c>
      <c r="T341" s="131">
        <f t="shared" si="229"/>
        <v>56.15319826587487</v>
      </c>
      <c r="U341" s="131">
        <f t="shared" si="229"/>
        <v>0.67390773660996794</v>
      </c>
      <c r="V341" s="131"/>
      <c r="W341" s="131"/>
      <c r="X341" s="131"/>
      <c r="Y341" s="131"/>
      <c r="Z341" s="131"/>
      <c r="AA341" s="131"/>
      <c r="AC341" s="130">
        <v>12</v>
      </c>
      <c r="AD341" s="131">
        <f>'Sta. Meteorologi pnk'!Q244</f>
        <v>0</v>
      </c>
      <c r="AE341" s="131">
        <f>'Sta. Meteorologi pnk'!R244</f>
        <v>27</v>
      </c>
      <c r="AF341" s="131">
        <f>'Sta. Meteorologi pnk'!S244</f>
        <v>1.1000000000000001</v>
      </c>
      <c r="AG341" s="131">
        <f>'Sta. Meteorologi pnk'!T244</f>
        <v>23.5</v>
      </c>
      <c r="AH341" s="131">
        <f>'Sta. Meteorologi pnk'!U244</f>
        <v>70.900000000000006</v>
      </c>
      <c r="AI341" s="131">
        <f>'Sta. Meteorologi pnk'!V244</f>
        <v>0.8</v>
      </c>
      <c r="AJ341" s="131"/>
      <c r="AK341" s="131"/>
      <c r="AL341" s="131"/>
      <c r="AM341" s="131"/>
      <c r="AN341" s="131"/>
      <c r="AO341" s="131"/>
      <c r="AQ341" s="130">
        <v>12</v>
      </c>
      <c r="AR341" s="131">
        <f>'Sta. Meteorologi Supadio'!Q109</f>
        <v>0</v>
      </c>
      <c r="AS341" s="131">
        <f>'Sta. Meteorologi Supadio'!R109</f>
        <v>11.5</v>
      </c>
      <c r="AT341" s="131">
        <f>'Sta. Meteorologi Supadio'!S109</f>
        <v>0.8</v>
      </c>
      <c r="AU341" s="131">
        <f>'Sta. Meteorologi Supadio'!T109</f>
        <v>0</v>
      </c>
      <c r="AV341" s="131">
        <f>'Sta. Meteorologi Supadio'!U109</f>
        <v>38.200000000000003</v>
      </c>
      <c r="AW341" s="131">
        <f>'Sta. Meteorologi Supadio'!V109</f>
        <v>1.5</v>
      </c>
      <c r="AX341" s="131"/>
      <c r="AY341" s="131"/>
      <c r="AZ341" s="131"/>
      <c r="BA341" s="131"/>
      <c r="BB341" s="131"/>
      <c r="BC341" s="131"/>
    </row>
    <row r="342" spans="1:55">
      <c r="A342" s="130">
        <v>13</v>
      </c>
      <c r="B342" s="131">
        <f>'Sta. Klimatologi Kalbar'!Q110</f>
        <v>8.1</v>
      </c>
      <c r="C342" s="131">
        <f>'Sta. Klimatologi Kalbar'!R110</f>
        <v>3.2</v>
      </c>
      <c r="D342" s="131">
        <f>'Sta. Klimatologi Kalbar'!S110</f>
        <v>0</v>
      </c>
      <c r="E342" s="131">
        <f>'Sta. Klimatologi Kalbar'!T110</f>
        <v>15.3</v>
      </c>
      <c r="F342" s="131">
        <f>'Sta. Klimatologi Kalbar'!U110</f>
        <v>8</v>
      </c>
      <c r="G342" s="131">
        <f>'Sta. Klimatologi Kalbar'!V110</f>
        <v>2.5</v>
      </c>
      <c r="H342" s="131"/>
      <c r="I342" s="131"/>
      <c r="J342" s="131"/>
      <c r="K342" s="131"/>
      <c r="L342" s="131"/>
      <c r="M342" s="131"/>
      <c r="O342" s="130">
        <v>13</v>
      </c>
      <c r="P342" s="131">
        <f t="shared" si="230"/>
        <v>17.886718574899252</v>
      </c>
      <c r="Q342" s="131">
        <f t="shared" si="229"/>
        <v>2.1287101748444144</v>
      </c>
      <c r="R342" s="131">
        <f t="shared" si="229"/>
        <v>1.277168204452741</v>
      </c>
      <c r="S342" s="131">
        <f t="shared" si="229"/>
        <v>7.6169613700558552</v>
      </c>
      <c r="T342" s="131">
        <f t="shared" si="229"/>
        <v>1.8420080559319154</v>
      </c>
      <c r="U342" s="131">
        <f t="shared" si="229"/>
        <v>35.812446392378419</v>
      </c>
      <c r="V342" s="131"/>
      <c r="W342" s="131"/>
      <c r="X342" s="131"/>
      <c r="Y342" s="131"/>
      <c r="Z342" s="131"/>
      <c r="AA342" s="131"/>
      <c r="AC342" s="130">
        <v>13</v>
      </c>
      <c r="AD342" s="131">
        <f>'Sta. Meteorologi pnk'!Q245</f>
        <v>17.100000000000001</v>
      </c>
      <c r="AE342" s="131">
        <f>'Sta. Meteorologi pnk'!R245</f>
        <v>1.8</v>
      </c>
      <c r="AF342" s="131">
        <f>'Sta. Meteorologi pnk'!S245</f>
        <v>1.8</v>
      </c>
      <c r="AG342" s="131">
        <f>'Sta. Meteorologi pnk'!T245</f>
        <v>5.7</v>
      </c>
      <c r="AH342" s="131">
        <f>'Sta. Meteorologi pnk'!U245</f>
        <v>0.1</v>
      </c>
      <c r="AI342" s="131">
        <f>'Sta. Meteorologi pnk'!V245</f>
        <v>49.1</v>
      </c>
      <c r="AJ342" s="131"/>
      <c r="AK342" s="131"/>
      <c r="AL342" s="131"/>
      <c r="AM342" s="131"/>
      <c r="AN342" s="131"/>
      <c r="AO342" s="131"/>
      <c r="AQ342" s="130">
        <v>13</v>
      </c>
      <c r="AR342" s="131">
        <f>'Sta. Meteorologi Supadio'!Q110</f>
        <v>56.1</v>
      </c>
      <c r="AS342" s="131">
        <f>'Sta. Meteorologi Supadio'!R110</f>
        <v>2.1</v>
      </c>
      <c r="AT342" s="131">
        <f>'Sta. Meteorologi Supadio'!S110</f>
        <v>0</v>
      </c>
      <c r="AU342" s="131">
        <f>'Sta. Meteorologi Supadio'!T110</f>
        <v>3</v>
      </c>
      <c r="AV342" s="131">
        <f>'Sta. Meteorologi Supadio'!U110</f>
        <v>0.2</v>
      </c>
      <c r="AW342" s="131">
        <f>'Sta. Meteorologi Supadio'!V110</f>
        <v>6</v>
      </c>
      <c r="AX342" s="131"/>
      <c r="AY342" s="131"/>
      <c r="AZ342" s="131"/>
      <c r="BA342" s="131"/>
      <c r="BB342" s="131"/>
      <c r="BC342" s="131"/>
    </row>
    <row r="343" spans="1:55">
      <c r="A343" s="130">
        <v>14</v>
      </c>
      <c r="B343" s="131">
        <f>'Sta. Klimatologi Kalbar'!Q111</f>
        <v>7.4</v>
      </c>
      <c r="C343" s="131">
        <f>'Sta. Klimatologi Kalbar'!R111</f>
        <v>18</v>
      </c>
      <c r="D343" s="131">
        <f>'Sta. Klimatologi Kalbar'!S111</f>
        <v>0</v>
      </c>
      <c r="E343" s="131">
        <f>'Sta. Klimatologi Kalbar'!T111</f>
        <v>1</v>
      </c>
      <c r="F343" s="131">
        <f>'Sta. Klimatologi Kalbar'!U111</f>
        <v>0</v>
      </c>
      <c r="G343" s="131">
        <f>'Sta. Klimatologi Kalbar'!V111</f>
        <v>0</v>
      </c>
      <c r="H343" s="131"/>
      <c r="I343" s="131"/>
      <c r="J343" s="131"/>
      <c r="K343" s="131"/>
      <c r="L343" s="131"/>
      <c r="M343" s="131"/>
      <c r="O343" s="130">
        <v>14</v>
      </c>
      <c r="P343" s="131">
        <f t="shared" si="230"/>
        <v>9.0672607845176554</v>
      </c>
      <c r="Q343" s="131">
        <f t="shared" si="229"/>
        <v>19.099221777602121</v>
      </c>
      <c r="R343" s="131">
        <f t="shared" si="229"/>
        <v>0</v>
      </c>
      <c r="S343" s="131">
        <f t="shared" si="229"/>
        <v>11.641637942050522</v>
      </c>
      <c r="T343" s="131">
        <f t="shared" si="229"/>
        <v>1.8160491774454608</v>
      </c>
      <c r="U343" s="131">
        <f t="shared" si="229"/>
        <v>0</v>
      </c>
      <c r="V343" s="131"/>
      <c r="W343" s="131"/>
      <c r="X343" s="131"/>
      <c r="Y343" s="131"/>
      <c r="Z343" s="131"/>
      <c r="AA343" s="131"/>
      <c r="AC343" s="130">
        <v>14</v>
      </c>
      <c r="AD343" s="131">
        <f>'Sta. Meteorologi pnk'!Q246</f>
        <v>9.6</v>
      </c>
      <c r="AE343" s="131">
        <f>'Sta. Meteorologi pnk'!R246</f>
        <v>19</v>
      </c>
      <c r="AF343" s="131">
        <f>'Sta. Meteorologi pnk'!S246</f>
        <v>0</v>
      </c>
      <c r="AG343" s="131">
        <f>'Sta. Meteorologi pnk'!T246</f>
        <v>14.6</v>
      </c>
      <c r="AH343" s="131">
        <f>'Sta. Meteorologi pnk'!U246</f>
        <v>2.2000000000000002</v>
      </c>
      <c r="AI343" s="131">
        <f>'Sta. Meteorologi pnk'!V246</f>
        <v>0</v>
      </c>
      <c r="AJ343" s="131"/>
      <c r="AK343" s="131"/>
      <c r="AL343" s="131"/>
      <c r="AM343" s="131"/>
      <c r="AN343" s="131"/>
      <c r="AO343" s="131"/>
      <c r="AQ343" s="130">
        <v>14</v>
      </c>
      <c r="AR343" s="131">
        <f>'Sta. Meteorologi Supadio'!Q111</f>
        <v>8.9</v>
      </c>
      <c r="AS343" s="131">
        <f>'Sta. Meteorologi Supadio'!R111</f>
        <v>23.5</v>
      </c>
      <c r="AT343" s="131">
        <f>'Sta. Meteorologi Supadio'!S111</f>
        <v>0</v>
      </c>
      <c r="AU343" s="131">
        <f>'Sta. Meteorologi Supadio'!T111</f>
        <v>15</v>
      </c>
      <c r="AV343" s="131">
        <f>'Sta. Meteorologi Supadio'!U111</f>
        <v>3.6</v>
      </c>
      <c r="AW343" s="131">
        <f>'Sta. Meteorologi Supadio'!V111</f>
        <v>0</v>
      </c>
      <c r="AX343" s="131"/>
      <c r="AY343" s="131"/>
      <c r="AZ343" s="131"/>
      <c r="BA343" s="131"/>
      <c r="BB343" s="131"/>
      <c r="BC343" s="131"/>
    </row>
    <row r="344" spans="1:55">
      <c r="A344" s="130">
        <v>15</v>
      </c>
      <c r="B344" s="131">
        <f>'Sta. Klimatologi Kalbar'!Q112</f>
        <v>22.8</v>
      </c>
      <c r="C344" s="131">
        <f>'Sta. Klimatologi Kalbar'!R112</f>
        <v>3.2</v>
      </c>
      <c r="D344" s="131">
        <f>'Sta. Klimatologi Kalbar'!S112</f>
        <v>0</v>
      </c>
      <c r="E344" s="131">
        <f>'Sta. Klimatologi Kalbar'!T112</f>
        <v>0</v>
      </c>
      <c r="F344" s="131">
        <f>'Sta. Klimatologi Kalbar'!U112</f>
        <v>1</v>
      </c>
      <c r="G344" s="131">
        <f>'Sta. Klimatologi Kalbar'!V112</f>
        <v>0</v>
      </c>
      <c r="H344" s="131"/>
      <c r="I344" s="131"/>
      <c r="J344" s="131"/>
      <c r="K344" s="131"/>
      <c r="L344" s="131"/>
      <c r="M344" s="131"/>
      <c r="O344" s="130">
        <v>15</v>
      </c>
      <c r="P344" s="131">
        <f t="shared" si="230"/>
        <v>10.015782407638305</v>
      </c>
      <c r="Q344" s="131">
        <f t="shared" si="229"/>
        <v>8.7050331717930192</v>
      </c>
      <c r="R344" s="131">
        <f t="shared" si="229"/>
        <v>0</v>
      </c>
      <c r="S344" s="131">
        <f t="shared" si="229"/>
        <v>1.1350562792675019</v>
      </c>
      <c r="T344" s="131">
        <f t="shared" si="229"/>
        <v>9.1597879241266469</v>
      </c>
      <c r="U344" s="131">
        <f t="shared" si="229"/>
        <v>8.2306395398065533</v>
      </c>
      <c r="V344" s="131"/>
      <c r="W344" s="131"/>
      <c r="X344" s="131"/>
      <c r="Y344" s="131"/>
      <c r="Z344" s="131"/>
      <c r="AA344" s="131"/>
      <c r="AC344" s="130">
        <v>15</v>
      </c>
      <c r="AD344" s="131">
        <f>'Sta. Meteorologi pnk'!Q247</f>
        <v>6.4</v>
      </c>
      <c r="AE344" s="131">
        <f>'Sta. Meteorologi pnk'!R247</f>
        <v>10</v>
      </c>
      <c r="AF344" s="131">
        <f>'Sta. Meteorologi pnk'!S247</f>
        <v>0</v>
      </c>
      <c r="AG344" s="131">
        <f>'Sta. Meteorologi pnk'!T247</f>
        <v>1.4</v>
      </c>
      <c r="AH344" s="131">
        <f>'Sta. Meteorologi pnk'!U247</f>
        <v>12.6</v>
      </c>
      <c r="AI344" s="131">
        <f>'Sta. Meteorologi pnk'!V247</f>
        <v>11.6</v>
      </c>
      <c r="AJ344" s="131"/>
      <c r="AK344" s="131"/>
      <c r="AL344" s="131"/>
      <c r="AM344" s="131"/>
      <c r="AN344" s="131"/>
      <c r="AO344" s="131"/>
      <c r="AQ344" s="130">
        <v>15</v>
      </c>
      <c r="AR344" s="131">
        <f>'Sta. Meteorologi Supadio'!Q112</f>
        <v>6.6</v>
      </c>
      <c r="AS344" s="131">
        <f>'Sta. Meteorologi Supadio'!R112</f>
        <v>12.8</v>
      </c>
      <c r="AT344" s="131">
        <f>'Sta. Meteorologi Supadio'!S112</f>
        <v>0</v>
      </c>
      <c r="AU344" s="131">
        <f>'Sta. Meteorologi Supadio'!T112</f>
        <v>2</v>
      </c>
      <c r="AV344" s="131">
        <f>'Sta. Meteorologi Supadio'!U112</f>
        <v>0</v>
      </c>
      <c r="AW344" s="131">
        <f>'Sta. Meteorologi Supadio'!V112</f>
        <v>0</v>
      </c>
      <c r="AX344" s="131"/>
      <c r="AY344" s="131"/>
      <c r="AZ344" s="131"/>
      <c r="BA344" s="131"/>
      <c r="BB344" s="131"/>
      <c r="BC344" s="131"/>
    </row>
    <row r="345" spans="1:55">
      <c r="A345" s="130">
        <v>16</v>
      </c>
      <c r="B345" s="131">
        <f>'Sta. Klimatologi Kalbar'!Q113</f>
        <v>12</v>
      </c>
      <c r="C345" s="131">
        <f>'Sta. Klimatologi Kalbar'!R113</f>
        <v>8.5</v>
      </c>
      <c r="D345" s="131">
        <f>'Sta. Klimatologi Kalbar'!S113</f>
        <v>0</v>
      </c>
      <c r="E345" s="131">
        <f>'Sta. Klimatologi Kalbar'!T113</f>
        <v>0</v>
      </c>
      <c r="F345" s="131">
        <f>'Sta. Klimatologi Kalbar'!U113</f>
        <v>0.2</v>
      </c>
      <c r="G345" s="131">
        <f>'Sta. Klimatologi Kalbar'!V113</f>
        <v>0</v>
      </c>
      <c r="H345" s="131"/>
      <c r="I345" s="131"/>
      <c r="J345" s="131"/>
      <c r="K345" s="131"/>
      <c r="L345" s="131"/>
      <c r="M345" s="131"/>
      <c r="O345" s="130">
        <v>16</v>
      </c>
      <c r="P345" s="131">
        <f t="shared" si="230"/>
        <v>3.0181289870737165</v>
      </c>
      <c r="Q345" s="131">
        <f t="shared" si="229"/>
        <v>9.1722729613082681</v>
      </c>
      <c r="R345" s="131">
        <f t="shared" si="229"/>
        <v>0</v>
      </c>
      <c r="S345" s="131">
        <f t="shared" si="229"/>
        <v>19.597416124744679</v>
      </c>
      <c r="T345" s="131">
        <f t="shared" si="229"/>
        <v>11.607141911762589</v>
      </c>
      <c r="U345" s="131">
        <f t="shared" si="229"/>
        <v>0</v>
      </c>
      <c r="V345" s="131"/>
      <c r="W345" s="131"/>
      <c r="X345" s="131"/>
      <c r="Y345" s="131"/>
      <c r="Z345" s="131"/>
      <c r="AA345" s="131"/>
      <c r="AC345" s="130">
        <v>16</v>
      </c>
      <c r="AD345" s="131">
        <f>'Sta. Meteorologi pnk'!Q248</f>
        <v>0.2</v>
      </c>
      <c r="AE345" s="131">
        <f>'Sta. Meteorologi pnk'!R248</f>
        <v>7.7</v>
      </c>
      <c r="AF345" s="131">
        <f>'Sta. Meteorologi pnk'!S248</f>
        <v>0</v>
      </c>
      <c r="AG345" s="131">
        <f>'Sta. Meteorologi pnk'!T248</f>
        <v>27.6</v>
      </c>
      <c r="AH345" s="131">
        <f>'Sta. Meteorologi pnk'!U248</f>
        <v>14.1</v>
      </c>
      <c r="AI345" s="131">
        <f>'Sta. Meteorologi pnk'!V248</f>
        <v>0</v>
      </c>
      <c r="AJ345" s="131"/>
      <c r="AK345" s="131"/>
      <c r="AL345" s="131"/>
      <c r="AM345" s="131"/>
      <c r="AN345" s="131"/>
      <c r="AO345" s="131"/>
      <c r="AQ345" s="130">
        <v>16</v>
      </c>
      <c r="AR345" s="131">
        <f>'Sta. Meteorologi Supadio'!Q113</f>
        <v>3.4</v>
      </c>
      <c r="AS345" s="131">
        <f>'Sta. Meteorologi Supadio'!R113</f>
        <v>26</v>
      </c>
      <c r="AT345" s="131">
        <f>'Sta. Meteorologi Supadio'!S113</f>
        <v>0</v>
      </c>
      <c r="AU345" s="131">
        <f>'Sta. Meteorologi Supadio'!T113</f>
        <v>0.2</v>
      </c>
      <c r="AV345" s="131">
        <f>'Sta. Meteorologi Supadio'!U113</f>
        <v>22</v>
      </c>
      <c r="AW345" s="131">
        <f>'Sta. Meteorologi Supadio'!V113</f>
        <v>0</v>
      </c>
      <c r="AX345" s="131"/>
      <c r="AY345" s="131"/>
      <c r="AZ345" s="131"/>
      <c r="BA345" s="131"/>
      <c r="BB345" s="131"/>
      <c r="BC345" s="131"/>
    </row>
    <row r="346" spans="1:55">
      <c r="A346" s="130">
        <v>17</v>
      </c>
      <c r="B346" s="131">
        <f>'Sta. Klimatologi Kalbar'!Q114</f>
        <v>1</v>
      </c>
      <c r="C346" s="131">
        <f>'Sta. Klimatologi Kalbar'!R114</f>
        <v>6</v>
      </c>
      <c r="D346" s="131">
        <f>'Sta. Klimatologi Kalbar'!S114</f>
        <v>0</v>
      </c>
      <c r="E346" s="131">
        <f>'Sta. Klimatologi Kalbar'!T114</f>
        <v>32.4</v>
      </c>
      <c r="F346" s="131">
        <f>'Sta. Klimatologi Kalbar'!U114</f>
        <v>10.5</v>
      </c>
      <c r="G346" s="131">
        <f>'Sta. Klimatologi Kalbar'!V114</f>
        <v>0</v>
      </c>
      <c r="H346" s="131"/>
      <c r="I346" s="131"/>
      <c r="J346" s="131"/>
      <c r="K346" s="131"/>
      <c r="L346" s="131"/>
      <c r="M346" s="131"/>
      <c r="O346" s="130">
        <v>17</v>
      </c>
      <c r="P346" s="131">
        <f t="shared" si="230"/>
        <v>22.924823016561746</v>
      </c>
      <c r="Q346" s="131">
        <f t="shared" si="229"/>
        <v>20.119088823921921</v>
      </c>
      <c r="R346" s="131">
        <f t="shared" si="229"/>
        <v>0</v>
      </c>
      <c r="S346" s="131">
        <f t="shared" si="229"/>
        <v>24.269063589427095</v>
      </c>
      <c r="T346" s="131">
        <f t="shared" si="229"/>
        <v>6.634091313365384</v>
      </c>
      <c r="U346" s="131">
        <f t="shared" si="229"/>
        <v>0</v>
      </c>
      <c r="V346" s="131"/>
      <c r="W346" s="131"/>
      <c r="X346" s="131"/>
      <c r="Y346" s="131"/>
      <c r="Z346" s="131"/>
      <c r="AA346" s="131"/>
      <c r="AC346" s="130">
        <v>17</v>
      </c>
      <c r="AD346" s="131">
        <f>'Sta. Meteorologi pnk'!Q249</f>
        <v>32</v>
      </c>
      <c r="AE346" s="131">
        <f>'Sta. Meteorologi pnk'!R249</f>
        <v>25.2</v>
      </c>
      <c r="AF346" s="131">
        <f>'Sta. Meteorologi pnk'!S249</f>
        <v>0</v>
      </c>
      <c r="AG346" s="131">
        <f>'Sta. Meteorologi pnk'!T249</f>
        <v>21.3</v>
      </c>
      <c r="AH346" s="131">
        <f>'Sta. Meteorologi pnk'!U249</f>
        <v>6.1</v>
      </c>
      <c r="AI346" s="131">
        <f>'Sta. Meteorologi pnk'!V249</f>
        <v>0</v>
      </c>
      <c r="AJ346" s="131"/>
      <c r="AK346" s="131"/>
      <c r="AL346" s="131"/>
      <c r="AM346" s="131"/>
      <c r="AN346" s="131"/>
      <c r="AO346" s="131"/>
      <c r="AQ346" s="130">
        <v>17</v>
      </c>
      <c r="AR346" s="131">
        <f>'Sta. Meteorologi Supadio'!Q114</f>
        <v>0</v>
      </c>
      <c r="AS346" s="131">
        <f>'Sta. Meteorologi Supadio'!R114</f>
        <v>13</v>
      </c>
      <c r="AT346" s="131">
        <f>'Sta. Meteorologi Supadio'!S114</f>
        <v>0</v>
      </c>
      <c r="AU346" s="131">
        <f>'Sta. Meteorologi Supadio'!T114</f>
        <v>28.8</v>
      </c>
      <c r="AV346" s="131">
        <f>'Sta. Meteorologi Supadio'!U114</f>
        <v>0</v>
      </c>
      <c r="AW346" s="131">
        <f>'Sta. Meteorologi Supadio'!V114</f>
        <v>0</v>
      </c>
      <c r="AX346" s="131"/>
      <c r="AY346" s="131"/>
      <c r="AZ346" s="131"/>
      <c r="BA346" s="131"/>
      <c r="BB346" s="131"/>
      <c r="BC346" s="131"/>
    </row>
    <row r="347" spans="1:55">
      <c r="A347" s="130">
        <v>18</v>
      </c>
      <c r="B347" s="131">
        <f>'Sta. Klimatologi Kalbar'!Q115</f>
        <v>5.8</v>
      </c>
      <c r="C347" s="131">
        <f>'Sta. Klimatologi Kalbar'!R115</f>
        <v>0</v>
      </c>
      <c r="D347" s="131">
        <f>'Sta. Klimatologi Kalbar'!S115</f>
        <v>0</v>
      </c>
      <c r="E347" s="131">
        <f>'Sta. Klimatologi Kalbar'!T115</f>
        <v>8</v>
      </c>
      <c r="F347" s="131">
        <f>'Sta. Klimatologi Kalbar'!U115</f>
        <v>1</v>
      </c>
      <c r="G347" s="131">
        <f>'Sta. Klimatologi Kalbar'!V115</f>
        <v>1.3</v>
      </c>
      <c r="H347" s="131"/>
      <c r="I347" s="131"/>
      <c r="J347" s="131"/>
      <c r="K347" s="131"/>
      <c r="L347" s="131"/>
      <c r="M347" s="131"/>
      <c r="O347" s="130">
        <v>18</v>
      </c>
      <c r="P347" s="131">
        <f t="shared" si="230"/>
        <v>2.3451328577652029</v>
      </c>
      <c r="Q347" s="131">
        <f t="shared" si="229"/>
        <v>13.871414689411317</v>
      </c>
      <c r="R347" s="131">
        <f t="shared" si="229"/>
        <v>0</v>
      </c>
      <c r="S347" s="131">
        <f t="shared" si="229"/>
        <v>3.4880133557455988</v>
      </c>
      <c r="T347" s="131">
        <f t="shared" si="229"/>
        <v>17.181621247481129</v>
      </c>
      <c r="U347" s="131">
        <f t="shared" si="229"/>
        <v>2.3427448319709101</v>
      </c>
      <c r="V347" s="131"/>
      <c r="W347" s="131"/>
      <c r="X347" s="131"/>
      <c r="Y347" s="131"/>
      <c r="Z347" s="131"/>
      <c r="AA347" s="131"/>
      <c r="AC347" s="130">
        <v>18</v>
      </c>
      <c r="AD347" s="131">
        <f>'Sta. Meteorologi pnk'!Q250</f>
        <v>1.5</v>
      </c>
      <c r="AE347" s="131">
        <f>'Sta. Meteorologi pnk'!R250</f>
        <v>19.5</v>
      </c>
      <c r="AF347" s="131">
        <f>'Sta. Meteorologi pnk'!S250</f>
        <v>0</v>
      </c>
      <c r="AG347" s="131">
        <f>'Sta. Meteorologi pnk'!T250</f>
        <v>2.2999999999999998</v>
      </c>
      <c r="AH347" s="131">
        <f>'Sta. Meteorologi pnk'!U250</f>
        <v>14</v>
      </c>
      <c r="AI347" s="131">
        <f>'Sta. Meteorologi pnk'!V250</f>
        <v>2.5</v>
      </c>
      <c r="AJ347" s="131"/>
      <c r="AK347" s="131"/>
      <c r="AL347" s="131"/>
      <c r="AM347" s="131"/>
      <c r="AN347" s="131"/>
      <c r="AO347" s="131"/>
      <c r="AQ347" s="130">
        <v>18</v>
      </c>
      <c r="AR347" s="131">
        <f>'Sta. Meteorologi Supadio'!Q115</f>
        <v>0.1</v>
      </c>
      <c r="AS347" s="131">
        <f>'Sta. Meteorologi Supadio'!R115</f>
        <v>0.5</v>
      </c>
      <c r="AT347" s="131">
        <f>'Sta. Meteorologi Supadio'!S115</f>
        <v>0</v>
      </c>
      <c r="AU347" s="131">
        <f>'Sta. Meteorologi Supadio'!T115</f>
        <v>1.4</v>
      </c>
      <c r="AV347" s="131">
        <f>'Sta. Meteorologi Supadio'!U115</f>
        <v>99.2</v>
      </c>
      <c r="AW347" s="131">
        <f>'Sta. Meteorologi Supadio'!V115</f>
        <v>4</v>
      </c>
      <c r="AX347" s="131"/>
      <c r="AY347" s="131"/>
      <c r="AZ347" s="131"/>
      <c r="BA347" s="131"/>
      <c r="BB347" s="131"/>
      <c r="BC347" s="131"/>
    </row>
    <row r="348" spans="1:55">
      <c r="A348" s="130">
        <v>19</v>
      </c>
      <c r="B348" s="131">
        <f>'Sta. Klimatologi Kalbar'!Q116</f>
        <v>12.1</v>
      </c>
      <c r="C348" s="131">
        <f>'Sta. Klimatologi Kalbar'!R116</f>
        <v>2.2999999999999998</v>
      </c>
      <c r="D348" s="131">
        <f>'Sta. Klimatologi Kalbar'!S116</f>
        <v>0</v>
      </c>
      <c r="E348" s="131">
        <f>'Sta. Klimatologi Kalbar'!T116</f>
        <v>0</v>
      </c>
      <c r="F348" s="131">
        <f>'Sta. Klimatologi Kalbar'!U116</f>
        <v>5.2</v>
      </c>
      <c r="G348" s="131">
        <f>'Sta. Klimatologi Kalbar'!V116</f>
        <v>0</v>
      </c>
      <c r="H348" s="131"/>
      <c r="I348" s="131"/>
      <c r="J348" s="131"/>
      <c r="K348" s="131"/>
      <c r="L348" s="131"/>
      <c r="M348" s="131"/>
      <c r="O348" s="130">
        <v>19</v>
      </c>
      <c r="P348" s="131">
        <f t="shared" si="230"/>
        <v>10.573318538822241</v>
      </c>
      <c r="Q348" s="131">
        <f t="shared" si="229"/>
        <v>4.7513637290684319</v>
      </c>
      <c r="R348" s="131">
        <f t="shared" si="229"/>
        <v>0</v>
      </c>
      <c r="S348" s="131">
        <f t="shared" si="229"/>
        <v>0.56681292543925743</v>
      </c>
      <c r="T348" s="131">
        <f t="shared" si="229"/>
        <v>5.2272167382520438</v>
      </c>
      <c r="U348" s="131">
        <f t="shared" si="229"/>
        <v>0</v>
      </c>
      <c r="V348" s="131"/>
      <c r="W348" s="131"/>
      <c r="X348" s="131"/>
      <c r="Y348" s="131"/>
      <c r="Z348" s="131"/>
      <c r="AA348" s="131"/>
      <c r="AC348" s="130">
        <v>19</v>
      </c>
      <c r="AD348" s="131">
        <f>'Sta. Meteorologi pnk'!Q251</f>
        <v>8.8000000000000007</v>
      </c>
      <c r="AE348" s="131">
        <f>'Sta. Meteorologi pnk'!R251</f>
        <v>2.2000000000000002</v>
      </c>
      <c r="AF348" s="131">
        <f>'Sta. Meteorologi pnk'!S251</f>
        <v>0</v>
      </c>
      <c r="AG348" s="131">
        <f>'Sta. Meteorologi pnk'!T251</f>
        <v>0</v>
      </c>
      <c r="AH348" s="131">
        <f>'Sta. Meteorologi pnk'!U251</f>
        <v>4.0999999999999996</v>
      </c>
      <c r="AI348" s="131">
        <f>'Sta. Meteorologi pnk'!V251</f>
        <v>0</v>
      </c>
      <c r="AJ348" s="131"/>
      <c r="AK348" s="131"/>
      <c r="AL348" s="131"/>
      <c r="AM348" s="131"/>
      <c r="AN348" s="131"/>
      <c r="AO348" s="131"/>
      <c r="AQ348" s="130">
        <v>19</v>
      </c>
      <c r="AR348" s="131">
        <f>'Sta. Meteorologi Supadio'!Q116</f>
        <v>23.6</v>
      </c>
      <c r="AS348" s="131">
        <f>'Sta. Meteorologi Supadio'!R116</f>
        <v>37.9</v>
      </c>
      <c r="AT348" s="131">
        <f>'Sta. Meteorologi Supadio'!S116</f>
        <v>0</v>
      </c>
      <c r="AU348" s="131">
        <f>'Sta. Meteorologi Supadio'!T116</f>
        <v>8</v>
      </c>
      <c r="AV348" s="131">
        <f>'Sta. Meteorologi Supadio'!U116</f>
        <v>16.600000000000001</v>
      </c>
      <c r="AW348" s="131">
        <f>'Sta. Meteorologi Supadio'!V116</f>
        <v>0</v>
      </c>
      <c r="AX348" s="131"/>
      <c r="AY348" s="131"/>
      <c r="AZ348" s="131"/>
      <c r="BA348" s="131"/>
      <c r="BB348" s="131"/>
      <c r="BC348" s="131"/>
    </row>
    <row r="349" spans="1:55">
      <c r="A349" s="130">
        <v>20</v>
      </c>
      <c r="B349" s="131">
        <f>'Sta. Klimatologi Kalbar'!Q117</f>
        <v>4.2</v>
      </c>
      <c r="C349" s="131">
        <f>'Sta. Klimatologi Kalbar'!R117</f>
        <v>12.5</v>
      </c>
      <c r="D349" s="131">
        <f>'Sta. Klimatologi Kalbar'!S117</f>
        <v>0</v>
      </c>
      <c r="E349" s="131">
        <f>'Sta. Klimatologi Kalbar'!T117</f>
        <v>0</v>
      </c>
      <c r="F349" s="131">
        <f>'Sta. Klimatologi Kalbar'!U117</f>
        <v>0</v>
      </c>
      <c r="G349" s="131">
        <f>'Sta. Klimatologi Kalbar'!V117</f>
        <v>14</v>
      </c>
      <c r="H349" s="131"/>
      <c r="I349" s="131"/>
      <c r="J349" s="131"/>
      <c r="K349" s="131"/>
      <c r="L349" s="131"/>
      <c r="M349" s="131"/>
      <c r="O349" s="130">
        <v>20</v>
      </c>
      <c r="P349" s="131">
        <f t="shared" si="230"/>
        <v>8.8751497072309</v>
      </c>
      <c r="Q349" s="131">
        <f t="shared" si="229"/>
        <v>8.137619136324254</v>
      </c>
      <c r="R349" s="131">
        <f t="shared" si="229"/>
        <v>0</v>
      </c>
      <c r="S349" s="131">
        <f t="shared" si="229"/>
        <v>0</v>
      </c>
      <c r="T349" s="131">
        <f t="shared" si="229"/>
        <v>30.076130543810827</v>
      </c>
      <c r="U349" s="131">
        <f t="shared" si="229"/>
        <v>5.3843095725693972</v>
      </c>
      <c r="V349" s="131"/>
      <c r="W349" s="131"/>
      <c r="X349" s="131"/>
      <c r="Y349" s="131"/>
      <c r="Z349" s="131"/>
      <c r="AA349" s="131"/>
      <c r="AC349" s="130">
        <v>20</v>
      </c>
      <c r="AD349" s="131">
        <f>'Sta. Meteorologi pnk'!Q252</f>
        <v>10.1</v>
      </c>
      <c r="AE349" s="131">
        <f>'Sta. Meteorologi pnk'!R252</f>
        <v>7.6</v>
      </c>
      <c r="AF349" s="131">
        <f>'Sta. Meteorologi pnk'!S252</f>
        <v>0</v>
      </c>
      <c r="AG349" s="131">
        <f>'Sta. Meteorologi pnk'!T252</f>
        <v>0</v>
      </c>
      <c r="AH349" s="131">
        <f>'Sta. Meteorologi pnk'!U252</f>
        <v>34.299999999999997</v>
      </c>
      <c r="AI349" s="131">
        <f>'Sta. Meteorologi pnk'!V252</f>
        <v>0</v>
      </c>
      <c r="AJ349" s="131"/>
      <c r="AK349" s="131"/>
      <c r="AL349" s="131"/>
      <c r="AM349" s="131"/>
      <c r="AN349" s="131"/>
      <c r="AO349" s="131"/>
      <c r="AQ349" s="130">
        <v>20</v>
      </c>
      <c r="AR349" s="131">
        <f>'Sta. Meteorologi Supadio'!Q117</f>
        <v>11.1</v>
      </c>
      <c r="AS349" s="131">
        <f>'Sta. Meteorologi Supadio'!R117</f>
        <v>0</v>
      </c>
      <c r="AT349" s="131">
        <f>'Sta. Meteorologi Supadio'!S117</f>
        <v>0</v>
      </c>
      <c r="AU349" s="131">
        <f>'Sta. Meteorologi Supadio'!T117</f>
        <v>0</v>
      </c>
      <c r="AV349" s="131">
        <f>'Sta. Meteorologi Supadio'!U117</f>
        <v>81</v>
      </c>
      <c r="AW349" s="131">
        <f>'Sta. Meteorologi Supadio'!V117</f>
        <v>32.6</v>
      </c>
      <c r="AX349" s="131"/>
      <c r="AY349" s="131"/>
      <c r="AZ349" s="131"/>
      <c r="BA349" s="131"/>
      <c r="BB349" s="131"/>
      <c r="BC349" s="131"/>
    </row>
    <row r="350" spans="1:55">
      <c r="A350" s="130">
        <v>21</v>
      </c>
      <c r="B350" s="131">
        <f>'Sta. Klimatologi Kalbar'!Q118</f>
        <v>8.3000000000000007</v>
      </c>
      <c r="C350" s="131">
        <f>'Sta. Klimatologi Kalbar'!R118</f>
        <v>0</v>
      </c>
      <c r="D350" s="131">
        <f>'Sta. Klimatologi Kalbar'!S118</f>
        <v>0</v>
      </c>
      <c r="E350" s="131">
        <f>'Sta. Klimatologi Kalbar'!T118</f>
        <v>1</v>
      </c>
      <c r="F350" s="131">
        <f>'Sta. Klimatologi Kalbar'!U118</f>
        <v>13.8</v>
      </c>
      <c r="G350" s="131">
        <f>'Sta. Klimatologi Kalbar'!V118</f>
        <v>10</v>
      </c>
      <c r="H350" s="131"/>
      <c r="I350" s="131"/>
      <c r="J350" s="131"/>
      <c r="K350" s="131"/>
      <c r="L350" s="131"/>
      <c r="M350" s="131"/>
      <c r="O350" s="130">
        <v>21</v>
      </c>
      <c r="P350" s="131">
        <f t="shared" si="230"/>
        <v>26.066072716143321</v>
      </c>
      <c r="Q350" s="131">
        <f t="shared" si="229"/>
        <v>61.10582665636359</v>
      </c>
      <c r="R350" s="131">
        <f t="shared" si="229"/>
        <v>0.12044774665584219</v>
      </c>
      <c r="S350" s="131">
        <f t="shared" si="229"/>
        <v>9.7500371699327673</v>
      </c>
      <c r="T350" s="131">
        <f t="shared" si="229"/>
        <v>22.50946749619559</v>
      </c>
      <c r="U350" s="131">
        <f t="shared" si="229"/>
        <v>27.46818940991864</v>
      </c>
      <c r="V350" s="131"/>
      <c r="W350" s="131"/>
      <c r="X350" s="131"/>
      <c r="Y350" s="131"/>
      <c r="Z350" s="131"/>
      <c r="AA350" s="131"/>
      <c r="AC350" s="130">
        <v>21</v>
      </c>
      <c r="AD350" s="131">
        <f>'Sta. Meteorologi pnk'!Q253</f>
        <v>32.6</v>
      </c>
      <c r="AE350" s="131">
        <f>'Sta. Meteorologi pnk'!R253</f>
        <v>79.599999999999994</v>
      </c>
      <c r="AF350" s="131">
        <f>'Sta. Meteorologi pnk'!S253</f>
        <v>0</v>
      </c>
      <c r="AG350" s="131">
        <f>'Sta. Meteorologi pnk'!T253</f>
        <v>7.8</v>
      </c>
      <c r="AH350" s="131">
        <f>'Sta. Meteorologi pnk'!U253</f>
        <v>22.5</v>
      </c>
      <c r="AI350" s="131">
        <f>'Sta. Meteorologi pnk'!V253</f>
        <v>34</v>
      </c>
      <c r="AJ350" s="131"/>
      <c r="AK350" s="131"/>
      <c r="AL350" s="131"/>
      <c r="AM350" s="131"/>
      <c r="AN350" s="131"/>
      <c r="AO350" s="131"/>
      <c r="AQ350" s="130">
        <v>21</v>
      </c>
      <c r="AR350" s="131">
        <f>'Sta. Meteorologi Supadio'!Q118</f>
        <v>15.7</v>
      </c>
      <c r="AS350" s="131">
        <f>'Sta. Meteorologi Supadio'!R118</f>
        <v>65.3</v>
      </c>
      <c r="AT350" s="131">
        <f>'Sta. Meteorologi Supadio'!S118</f>
        <v>1.7</v>
      </c>
      <c r="AU350" s="131">
        <f>'Sta. Meteorologi Supadio'!T118</f>
        <v>56.4</v>
      </c>
      <c r="AV350" s="131">
        <f>'Sta. Meteorologi Supadio'!U118</f>
        <v>49.6</v>
      </c>
      <c r="AW350" s="131">
        <f>'Sta. Meteorologi Supadio'!V118</f>
        <v>16.2</v>
      </c>
      <c r="AX350" s="131"/>
      <c r="AY350" s="131"/>
      <c r="AZ350" s="131"/>
      <c r="BA350" s="131"/>
      <c r="BB350" s="131"/>
      <c r="BC350" s="131"/>
    </row>
    <row r="351" spans="1:55">
      <c r="A351" s="130">
        <v>22</v>
      </c>
      <c r="B351" s="131">
        <f>'Sta. Klimatologi Kalbar'!Q119</f>
        <v>0</v>
      </c>
      <c r="C351" s="131">
        <f>'Sta. Klimatologi Kalbar'!R119</f>
        <v>2.2999999999999998</v>
      </c>
      <c r="D351" s="131">
        <f>'Sta. Klimatologi Kalbar'!S119</f>
        <v>0</v>
      </c>
      <c r="E351" s="131">
        <f>'Sta. Klimatologi Kalbar'!T119</f>
        <v>1.2</v>
      </c>
      <c r="F351" s="131">
        <f>'Sta. Klimatologi Kalbar'!U119</f>
        <v>10.1</v>
      </c>
      <c r="G351" s="131">
        <f>'Sta. Klimatologi Kalbar'!V119</f>
        <v>108.1</v>
      </c>
      <c r="H351" s="131"/>
      <c r="I351" s="131"/>
      <c r="J351" s="131"/>
      <c r="K351" s="131"/>
      <c r="L351" s="131"/>
      <c r="M351" s="131"/>
      <c r="O351" s="130">
        <v>22</v>
      </c>
      <c r="P351" s="131">
        <f t="shared" si="230"/>
        <v>0.14190757827252681</v>
      </c>
      <c r="Q351" s="131">
        <f t="shared" si="229"/>
        <v>2.7253140409921555</v>
      </c>
      <c r="R351" s="131">
        <f t="shared" si="229"/>
        <v>1.2399032743983758</v>
      </c>
      <c r="S351" s="131">
        <f t="shared" si="229"/>
        <v>14.992251830687144</v>
      </c>
      <c r="T351" s="131">
        <f t="shared" si="229"/>
        <v>45.839965107254557</v>
      </c>
      <c r="U351" s="131">
        <f t="shared" si="229"/>
        <v>105.54174580667356</v>
      </c>
      <c r="V351" s="131"/>
      <c r="W351" s="131"/>
      <c r="X351" s="131"/>
      <c r="Y351" s="131"/>
      <c r="Z351" s="131"/>
      <c r="AA351" s="131"/>
      <c r="AC351" s="130">
        <v>22</v>
      </c>
      <c r="AD351" s="131">
        <f>'Sta. Meteorologi pnk'!Q254</f>
        <v>0.2</v>
      </c>
      <c r="AE351" s="131">
        <f>'Sta. Meteorologi pnk'!R254</f>
        <v>2.5</v>
      </c>
      <c r="AF351" s="131">
        <f>'Sta. Meteorologi pnk'!S254</f>
        <v>0</v>
      </c>
      <c r="AG351" s="131">
        <f>'Sta. Meteorologi pnk'!T254</f>
        <v>19.5</v>
      </c>
      <c r="AH351" s="131">
        <f>'Sta. Meteorologi pnk'!U254</f>
        <v>61</v>
      </c>
      <c r="AI351" s="131">
        <f>'Sta. Meteorologi pnk'!V254</f>
        <v>107.6</v>
      </c>
      <c r="AJ351" s="131"/>
      <c r="AK351" s="131"/>
      <c r="AL351" s="131"/>
      <c r="AM351" s="131"/>
      <c r="AN351" s="131"/>
      <c r="AO351" s="131"/>
      <c r="AQ351" s="130">
        <v>22</v>
      </c>
      <c r="AR351" s="131">
        <f>'Sta. Meteorologi Supadio'!Q119</f>
        <v>0</v>
      </c>
      <c r="AS351" s="131">
        <f>'Sta. Meteorologi Supadio'!R119</f>
        <v>6.3</v>
      </c>
      <c r="AT351" s="131">
        <f>'Sta. Meteorologi Supadio'!S119</f>
        <v>17.5</v>
      </c>
      <c r="AU351" s="131">
        <f>'Sta. Meteorologi Supadio'!T119</f>
        <v>12.6</v>
      </c>
      <c r="AV351" s="131">
        <f>'Sta. Meteorologi Supadio'!U119</f>
        <v>4.8</v>
      </c>
      <c r="AW351" s="131">
        <f>'Sta. Meteorologi Supadio'!V119</f>
        <v>77</v>
      </c>
      <c r="AX351" s="131"/>
      <c r="AY351" s="131"/>
      <c r="AZ351" s="131"/>
      <c r="BA351" s="131"/>
      <c r="BB351" s="131"/>
      <c r="BC351" s="131"/>
    </row>
    <row r="352" spans="1:55">
      <c r="A352" s="130">
        <v>23</v>
      </c>
      <c r="B352" s="131">
        <f>'Sta. Klimatologi Kalbar'!Q120</f>
        <v>0</v>
      </c>
      <c r="C352" s="131">
        <f>'Sta. Klimatologi Kalbar'!R120</f>
        <v>0</v>
      </c>
      <c r="D352" s="131">
        <f>'Sta. Klimatologi Kalbar'!S120</f>
        <v>14.5</v>
      </c>
      <c r="E352" s="131">
        <f>'Sta. Klimatologi Kalbar'!T120</f>
        <v>3.5</v>
      </c>
      <c r="F352" s="131">
        <f>'Sta. Klimatologi Kalbar'!U120</f>
        <v>0</v>
      </c>
      <c r="G352" s="131">
        <f>'Sta. Klimatologi Kalbar'!V120</f>
        <v>0.3</v>
      </c>
      <c r="H352" s="131"/>
      <c r="I352" s="131"/>
      <c r="J352" s="131"/>
      <c r="K352" s="131"/>
      <c r="L352" s="131"/>
      <c r="M352" s="131"/>
      <c r="O352" s="130">
        <v>23</v>
      </c>
      <c r="P352" s="131">
        <f t="shared" si="230"/>
        <v>0</v>
      </c>
      <c r="Q352" s="131">
        <f t="shared" si="229"/>
        <v>0</v>
      </c>
      <c r="R352" s="131">
        <f t="shared" si="229"/>
        <v>9.9981989140836856</v>
      </c>
      <c r="S352" s="131">
        <f t="shared" si="229"/>
        <v>23.224335992230369</v>
      </c>
      <c r="T352" s="131">
        <f t="shared" si="229"/>
        <v>0.56763031309010725</v>
      </c>
      <c r="U352" s="131">
        <f t="shared" si="229"/>
        <v>0.34969830443229122</v>
      </c>
      <c r="V352" s="131"/>
      <c r="W352" s="131"/>
      <c r="X352" s="131"/>
      <c r="Y352" s="131"/>
      <c r="Z352" s="131"/>
      <c r="AA352" s="131"/>
      <c r="AC352" s="130">
        <v>23</v>
      </c>
      <c r="AD352" s="131">
        <f>'Sta. Meteorologi pnk'!Q255</f>
        <v>0</v>
      </c>
      <c r="AE352" s="131">
        <f>'Sta. Meteorologi pnk'!R255</f>
        <v>0</v>
      </c>
      <c r="AF352" s="131">
        <f>'Sta. Meteorologi pnk'!S255</f>
        <v>4.9000000000000004</v>
      </c>
      <c r="AG352" s="131">
        <f>'Sta. Meteorologi pnk'!T255</f>
        <v>30.5</v>
      </c>
      <c r="AH352" s="131">
        <f>'Sta. Meteorologi pnk'!U255</f>
        <v>0.8</v>
      </c>
      <c r="AI352" s="131">
        <f>'Sta. Meteorologi pnk'!V255</f>
        <v>0.4</v>
      </c>
      <c r="AJ352" s="131"/>
      <c r="AK352" s="131"/>
      <c r="AL352" s="131"/>
      <c r="AM352" s="131"/>
      <c r="AN352" s="131"/>
      <c r="AO352" s="131"/>
      <c r="AQ352" s="130">
        <v>23</v>
      </c>
      <c r="AR352" s="131">
        <f>'Sta. Meteorologi Supadio'!Q120</f>
        <v>0</v>
      </c>
      <c r="AS352" s="131">
        <f>'Sta. Meteorologi Supadio'!R120</f>
        <v>0</v>
      </c>
      <c r="AT352" s="131">
        <f>'Sta. Meteorologi Supadio'!S120</f>
        <v>47.1</v>
      </c>
      <c r="AU352" s="131">
        <f>'Sta. Meteorologi Supadio'!T120</f>
        <v>11.5</v>
      </c>
      <c r="AV352" s="131">
        <f>'Sta. Meteorologi Supadio'!U120</f>
        <v>0</v>
      </c>
      <c r="AW352" s="131">
        <f>'Sta. Meteorologi Supadio'!V120</f>
        <v>0</v>
      </c>
      <c r="AX352" s="131"/>
      <c r="AY352" s="131"/>
      <c r="AZ352" s="131"/>
      <c r="BA352" s="131"/>
      <c r="BB352" s="131"/>
      <c r="BC352" s="131"/>
    </row>
    <row r="353" spans="1:55">
      <c r="A353" s="130">
        <v>24</v>
      </c>
      <c r="B353" s="131">
        <f>'Sta. Klimatologi Kalbar'!Q121</f>
        <v>0</v>
      </c>
      <c r="C353" s="131">
        <f>'Sta. Klimatologi Kalbar'!R121</f>
        <v>0</v>
      </c>
      <c r="D353" s="131">
        <f>'Sta. Klimatologi Kalbar'!S121</f>
        <v>12.7</v>
      </c>
      <c r="E353" s="131">
        <f>'Sta. Klimatologi Kalbar'!T121</f>
        <v>1.3</v>
      </c>
      <c r="F353" s="131">
        <f>'Sta. Klimatologi Kalbar'!U121</f>
        <v>1.1000000000000001</v>
      </c>
      <c r="G353" s="131">
        <f>'Sta. Klimatologi Kalbar'!V121</f>
        <v>0.2</v>
      </c>
      <c r="H353" s="131"/>
      <c r="I353" s="131"/>
      <c r="J353" s="131"/>
      <c r="K353" s="131"/>
      <c r="L353" s="131"/>
      <c r="M353" s="131"/>
      <c r="O353" s="130">
        <v>24</v>
      </c>
      <c r="P353" s="131">
        <f t="shared" si="230"/>
        <v>0</v>
      </c>
      <c r="Q353" s="131">
        <f t="shared" si="229"/>
        <v>1.2471927828790788</v>
      </c>
      <c r="R353" s="131">
        <f t="shared" si="229"/>
        <v>16.347801279872247</v>
      </c>
      <c r="S353" s="131">
        <f t="shared" si="229"/>
        <v>19.427824649936269</v>
      </c>
      <c r="T353" s="131">
        <f t="shared" si="229"/>
        <v>44.743461133457259</v>
      </c>
      <c r="U353" s="131">
        <f t="shared" si="229"/>
        <v>4.3922098591491758E-2</v>
      </c>
      <c r="V353" s="131"/>
      <c r="W353" s="131"/>
      <c r="X353" s="131"/>
      <c r="Y353" s="131"/>
      <c r="Z353" s="131"/>
      <c r="AA353" s="131"/>
      <c r="AC353" s="130">
        <v>24</v>
      </c>
      <c r="AD353" s="131">
        <f>'Sta. Meteorologi pnk'!Q256</f>
        <v>0</v>
      </c>
      <c r="AE353" s="131">
        <f>'Sta. Meteorologi pnk'!R256</f>
        <v>0.2</v>
      </c>
      <c r="AF353" s="131">
        <f>'Sta. Meteorologi pnk'!S256</f>
        <v>18.600000000000001</v>
      </c>
      <c r="AG353" s="131">
        <f>'Sta. Meteorologi pnk'!T256</f>
        <v>26</v>
      </c>
      <c r="AH353" s="131">
        <f>'Sta. Meteorologi pnk'!U256</f>
        <v>62.4</v>
      </c>
      <c r="AI353" s="131">
        <f>'Sta. Meteorologi pnk'!V256</f>
        <v>0</v>
      </c>
      <c r="AJ353" s="131"/>
      <c r="AK353" s="131"/>
      <c r="AL353" s="131"/>
      <c r="AM353" s="131"/>
      <c r="AN353" s="131"/>
      <c r="AO353" s="131"/>
      <c r="AQ353" s="130">
        <v>24</v>
      </c>
      <c r="AR353" s="131">
        <f>'Sta. Meteorologi Supadio'!Q121</f>
        <v>0</v>
      </c>
      <c r="AS353" s="131">
        <f>'Sta. Meteorologi Supadio'!R121</f>
        <v>15.6</v>
      </c>
      <c r="AT353" s="131">
        <f>'Sta. Meteorologi Supadio'!S121</f>
        <v>5.0999999999999996</v>
      </c>
      <c r="AU353" s="131">
        <f>'Sta. Meteorologi Supadio'!T121</f>
        <v>9.8000000000000007</v>
      </c>
      <c r="AV353" s="131">
        <f>'Sta. Meteorologi Supadio'!U121</f>
        <v>3.2</v>
      </c>
      <c r="AW353" s="131">
        <f>'Sta. Meteorologi Supadio'!V121</f>
        <v>0</v>
      </c>
      <c r="AX353" s="131"/>
      <c r="AY353" s="131"/>
      <c r="AZ353" s="131"/>
      <c r="BA353" s="131"/>
      <c r="BB353" s="131"/>
      <c r="BC353" s="131"/>
    </row>
    <row r="354" spans="1:55">
      <c r="A354" s="130">
        <v>25</v>
      </c>
      <c r="B354" s="131">
        <f>'Sta. Klimatologi Kalbar'!Q122</f>
        <v>0</v>
      </c>
      <c r="C354" s="131">
        <f>'Sta. Klimatologi Kalbar'!R122</f>
        <v>0</v>
      </c>
      <c r="D354" s="131">
        <f>'Sta. Klimatologi Kalbar'!S122</f>
        <v>2.5</v>
      </c>
      <c r="E354" s="131">
        <f>'Sta. Klimatologi Kalbar'!T122</f>
        <v>0</v>
      </c>
      <c r="F354" s="131">
        <f>'Sta. Klimatologi Kalbar'!U122</f>
        <v>0</v>
      </c>
      <c r="G354" s="131">
        <f>'Sta. Klimatologi Kalbar'!V122</f>
        <v>1</v>
      </c>
      <c r="H354" s="131"/>
      <c r="I354" s="131"/>
      <c r="J354" s="131"/>
      <c r="K354" s="131"/>
      <c r="L354" s="131"/>
      <c r="M354" s="131"/>
      <c r="O354" s="130">
        <v>25</v>
      </c>
      <c r="P354" s="131">
        <f t="shared" si="230"/>
        <v>0</v>
      </c>
      <c r="Q354" s="131">
        <f t="shared" si="229"/>
        <v>0</v>
      </c>
      <c r="R354" s="131">
        <f t="shared" si="229"/>
        <v>33.887871975373258</v>
      </c>
      <c r="S354" s="131">
        <f t="shared" si="229"/>
        <v>29.316246114198353</v>
      </c>
      <c r="T354" s="131">
        <f t="shared" si="229"/>
        <v>0.29049162428761943</v>
      </c>
      <c r="U354" s="131">
        <f t="shared" si="229"/>
        <v>0.2196104929574588</v>
      </c>
      <c r="V354" s="131"/>
      <c r="W354" s="131"/>
      <c r="X354" s="131"/>
      <c r="Y354" s="131"/>
      <c r="Z354" s="131"/>
      <c r="AA354" s="131"/>
      <c r="AC354" s="130">
        <v>25</v>
      </c>
      <c r="AD354" s="131">
        <f>'Sta. Meteorologi pnk'!Q257</f>
        <v>0</v>
      </c>
      <c r="AE354" s="131">
        <f>'Sta. Meteorologi pnk'!R257</f>
        <v>0</v>
      </c>
      <c r="AF354" s="131">
        <f>'Sta. Meteorologi pnk'!S257</f>
        <v>44.7</v>
      </c>
      <c r="AG354" s="131">
        <f>'Sta. Meteorologi pnk'!T257</f>
        <v>39.5</v>
      </c>
      <c r="AH354" s="131">
        <f>'Sta. Meteorologi pnk'!U257</f>
        <v>0</v>
      </c>
      <c r="AI354" s="131">
        <f>'Sta. Meteorologi pnk'!V257</f>
        <v>0</v>
      </c>
      <c r="AJ354" s="131"/>
      <c r="AK354" s="131"/>
      <c r="AL354" s="131"/>
      <c r="AM354" s="131"/>
      <c r="AN354" s="131"/>
      <c r="AO354" s="131"/>
      <c r="AQ354" s="130">
        <v>25</v>
      </c>
      <c r="AR354" s="131">
        <f>'Sta. Meteorologi Supadio'!Q122</f>
        <v>0</v>
      </c>
      <c r="AS354" s="131">
        <f>'Sta. Meteorologi Supadio'!R122</f>
        <v>0</v>
      </c>
      <c r="AT354" s="131">
        <f>'Sta. Meteorologi Supadio'!S122</f>
        <v>22.9</v>
      </c>
      <c r="AU354" s="131">
        <f>'Sta. Meteorologi Supadio'!T122</f>
        <v>18.2</v>
      </c>
      <c r="AV354" s="131">
        <f>'Sta. Meteorologi Supadio'!U122</f>
        <v>4.0999999999999996</v>
      </c>
      <c r="AW354" s="131">
        <f>'Sta. Meteorologi Supadio'!V122</f>
        <v>0</v>
      </c>
      <c r="AX354" s="131"/>
      <c r="AY354" s="131"/>
      <c r="AZ354" s="131"/>
      <c r="BA354" s="131"/>
      <c r="BB354" s="131"/>
      <c r="BC354" s="131"/>
    </row>
    <row r="355" spans="1:55">
      <c r="A355" s="130">
        <v>26</v>
      </c>
      <c r="B355" s="131">
        <f>'Sta. Klimatologi Kalbar'!Q123</f>
        <v>0</v>
      </c>
      <c r="C355" s="131">
        <f>'Sta. Klimatologi Kalbar'!R123</f>
        <v>1.4</v>
      </c>
      <c r="D355" s="131">
        <f>'Sta. Klimatologi Kalbar'!S123</f>
        <v>0</v>
      </c>
      <c r="E355" s="131">
        <f>'Sta. Klimatologi Kalbar'!T123</f>
        <v>0</v>
      </c>
      <c r="F355" s="131">
        <f>'Sta. Klimatologi Kalbar'!U123</f>
        <v>4.2</v>
      </c>
      <c r="G355" s="131">
        <f>'Sta. Klimatologi Kalbar'!V123</f>
        <v>19.600000000000001</v>
      </c>
      <c r="H355" s="131"/>
      <c r="I355" s="131"/>
      <c r="J355" s="131"/>
      <c r="K355" s="131"/>
      <c r="L355" s="131"/>
      <c r="M355" s="131"/>
      <c r="O355" s="130">
        <v>26</v>
      </c>
      <c r="P355" s="131">
        <f t="shared" si="230"/>
        <v>14.239945264403191</v>
      </c>
      <c r="Q355" s="131">
        <f t="shared" si="229"/>
        <v>1.6196400086077121</v>
      </c>
      <c r="R355" s="131">
        <f t="shared" si="229"/>
        <v>10.14271360205684</v>
      </c>
      <c r="S355" s="131">
        <f t="shared" si="229"/>
        <v>2.8340646271962873E-2</v>
      </c>
      <c r="T355" s="131">
        <f t="shared" si="229"/>
        <v>1.4041550570446957</v>
      </c>
      <c r="U355" s="131">
        <f t="shared" si="229"/>
        <v>5.097903757581153</v>
      </c>
      <c r="V355" s="131"/>
      <c r="W355" s="131"/>
      <c r="X355" s="131"/>
      <c r="Y355" s="131"/>
      <c r="Z355" s="131"/>
      <c r="AA355" s="131"/>
      <c r="AC355" s="130">
        <v>26</v>
      </c>
      <c r="AD355" s="131">
        <f>'Sta. Meteorologi pnk'!Q258</f>
        <v>19.600000000000001</v>
      </c>
      <c r="AE355" s="131">
        <f>'Sta. Meteorologi pnk'!R258</f>
        <v>1.4</v>
      </c>
      <c r="AF355" s="131">
        <f>'Sta. Meteorologi pnk'!S258</f>
        <v>10.7</v>
      </c>
      <c r="AG355" s="131">
        <f>'Sta. Meteorologi pnk'!T258</f>
        <v>0</v>
      </c>
      <c r="AH355" s="131">
        <f>'Sta. Meteorologi pnk'!U258</f>
        <v>0</v>
      </c>
      <c r="AI355" s="131">
        <f>'Sta. Meteorologi pnk'!V258</f>
        <v>0</v>
      </c>
      <c r="AJ355" s="131"/>
      <c r="AK355" s="131"/>
      <c r="AL355" s="131"/>
      <c r="AM355" s="131"/>
      <c r="AN355" s="131"/>
      <c r="AO355" s="131"/>
      <c r="AQ355" s="130">
        <v>26</v>
      </c>
      <c r="AR355" s="131">
        <f>'Sta. Meteorologi Supadio'!Q123</f>
        <v>4.7</v>
      </c>
      <c r="AS355" s="131">
        <f>'Sta. Meteorologi Supadio'!R123</f>
        <v>4.5</v>
      </c>
      <c r="AT355" s="131">
        <f>'Sta. Meteorologi Supadio'!S123</f>
        <v>36</v>
      </c>
      <c r="AU355" s="131">
        <f>'Sta. Meteorologi Supadio'!T123</f>
        <v>0.4</v>
      </c>
      <c r="AV355" s="131">
        <f>'Sta. Meteorologi Supadio'!U123</f>
        <v>6.8</v>
      </c>
      <c r="AW355" s="131">
        <f>'Sta. Meteorologi Supadio'!V123</f>
        <v>11.2</v>
      </c>
      <c r="AX355" s="131"/>
      <c r="AY355" s="131"/>
      <c r="AZ355" s="131"/>
      <c r="BA355" s="131"/>
      <c r="BB355" s="131"/>
      <c r="BC355" s="131"/>
    </row>
    <row r="356" spans="1:55">
      <c r="A356" s="130">
        <v>27</v>
      </c>
      <c r="B356" s="131">
        <f>'Sta. Klimatologi Kalbar'!Q124</f>
        <v>0</v>
      </c>
      <c r="C356" s="131">
        <f>'Sta. Klimatologi Kalbar'!R124</f>
        <v>0.8</v>
      </c>
      <c r="D356" s="131">
        <f>'Sta. Klimatologi Kalbar'!S124</f>
        <v>3.1</v>
      </c>
      <c r="E356" s="131">
        <f>'Sta. Klimatologi Kalbar'!T124</f>
        <v>2</v>
      </c>
      <c r="F356" s="131">
        <f>'Sta. Klimatologi Kalbar'!U124</f>
        <v>24.5</v>
      </c>
      <c r="G356" s="131">
        <f>'Sta. Klimatologi Kalbar'!V124</f>
        <v>0</v>
      </c>
      <c r="H356" s="131"/>
      <c r="I356" s="131"/>
      <c r="J356" s="131"/>
      <c r="K356" s="131"/>
      <c r="L356" s="131"/>
      <c r="M356" s="131"/>
      <c r="O356" s="130">
        <v>27</v>
      </c>
      <c r="P356" s="131">
        <f t="shared" si="230"/>
        <v>0.56763031309010725</v>
      </c>
      <c r="Q356" s="131">
        <f t="shared" si="229"/>
        <v>1.2399952314099179</v>
      </c>
      <c r="R356" s="131">
        <f t="shared" si="229"/>
        <v>6.4669843466409338</v>
      </c>
      <c r="S356" s="131">
        <f t="shared" si="229"/>
        <v>17.694140334599343</v>
      </c>
      <c r="T356" s="131">
        <f t="shared" si="229"/>
        <v>15.774727405366724</v>
      </c>
      <c r="U356" s="131">
        <f t="shared" si="229"/>
        <v>1.673732905347509</v>
      </c>
      <c r="V356" s="131"/>
      <c r="W356" s="131"/>
      <c r="X356" s="131"/>
      <c r="Y356" s="131"/>
      <c r="Z356" s="131"/>
      <c r="AA356" s="131"/>
      <c r="AC356" s="130">
        <v>27</v>
      </c>
      <c r="AD356" s="131">
        <f>'Sta. Meteorologi pnk'!Q259</f>
        <v>0.8</v>
      </c>
      <c r="AE356" s="131">
        <f>'Sta. Meteorologi pnk'!R259</f>
        <v>1.5</v>
      </c>
      <c r="AF356" s="131">
        <f>'Sta. Meteorologi pnk'!S259</f>
        <v>4.5999999999999996</v>
      </c>
      <c r="AG356" s="131">
        <f>'Sta. Meteorologi pnk'!T259</f>
        <v>23.3</v>
      </c>
      <c r="AH356" s="131">
        <f>'Sta. Meteorologi pnk'!U259</f>
        <v>14.2</v>
      </c>
      <c r="AI356" s="131">
        <f>'Sta. Meteorologi pnk'!V259</f>
        <v>1.6</v>
      </c>
      <c r="AJ356" s="131"/>
      <c r="AK356" s="131"/>
      <c r="AL356" s="131"/>
      <c r="AM356" s="131"/>
      <c r="AN356" s="131"/>
      <c r="AO356" s="131"/>
      <c r="AQ356" s="130">
        <v>27</v>
      </c>
      <c r="AR356" s="131">
        <f>'Sta. Meteorologi Supadio'!Q124</f>
        <v>0</v>
      </c>
      <c r="AS356" s="131">
        <f>'Sta. Meteorologi Supadio'!R124</f>
        <v>0</v>
      </c>
      <c r="AT356" s="131">
        <f>'Sta. Meteorologi Supadio'!S124</f>
        <v>35.6</v>
      </c>
      <c r="AU356" s="131">
        <f>'Sta. Meteorologi Supadio'!T124</f>
        <v>10.199999999999999</v>
      </c>
      <c r="AV356" s="131">
        <f>'Sta. Meteorologi Supadio'!U124</f>
        <v>4.5</v>
      </c>
      <c r="AW356" s="131">
        <f>'Sta. Meteorologi Supadio'!V124</f>
        <v>7.6</v>
      </c>
      <c r="AX356" s="131"/>
      <c r="AY356" s="131"/>
      <c r="AZ356" s="131"/>
      <c r="BA356" s="131"/>
      <c r="BB356" s="131"/>
      <c r="BC356" s="131"/>
    </row>
    <row r="357" spans="1:55">
      <c r="A357" s="130">
        <v>28</v>
      </c>
      <c r="B357" s="131">
        <f>'Sta. Klimatologi Kalbar'!Q125</f>
        <v>22.3</v>
      </c>
      <c r="C357" s="131">
        <f>'Sta. Klimatologi Kalbar'!R125</f>
        <v>0</v>
      </c>
      <c r="D357" s="131">
        <f>'Sta. Klimatologi Kalbar'!S125</f>
        <v>77.5</v>
      </c>
      <c r="E357" s="131">
        <f>'Sta. Klimatologi Kalbar'!T125</f>
        <v>22</v>
      </c>
      <c r="F357" s="131">
        <f>'Sta. Klimatologi Kalbar'!U125</f>
        <v>13</v>
      </c>
      <c r="G357" s="131">
        <f>'Sta. Klimatologi Kalbar'!V125</f>
        <v>1.2</v>
      </c>
      <c r="H357" s="131"/>
      <c r="I357" s="131"/>
      <c r="J357" s="131"/>
      <c r="K357" s="131"/>
      <c r="L357" s="131"/>
      <c r="M357" s="131"/>
      <c r="O357" s="130">
        <v>28</v>
      </c>
      <c r="P357" s="131">
        <f t="shared" si="230"/>
        <v>18.094718772296325</v>
      </c>
      <c r="Q357" s="131">
        <f t="shared" si="229"/>
        <v>0.14190757827252681</v>
      </c>
      <c r="R357" s="131">
        <f t="shared" si="229"/>
        <v>129.12271310124498</v>
      </c>
      <c r="S357" s="131">
        <f t="shared" si="229"/>
        <v>50.155812218893217</v>
      </c>
      <c r="T357" s="131">
        <f t="shared" si="229"/>
        <v>4.4359491726724567</v>
      </c>
      <c r="U357" s="131">
        <f t="shared" si="229"/>
        <v>10.764693383715935</v>
      </c>
      <c r="V357" s="131"/>
      <c r="W357" s="131"/>
      <c r="X357" s="131"/>
      <c r="Y357" s="131"/>
      <c r="Z357" s="131"/>
      <c r="AA357" s="131"/>
      <c r="AC357" s="130">
        <v>28</v>
      </c>
      <c r="AD357" s="131">
        <f>'Sta. Meteorologi pnk'!Q260</f>
        <v>18.600000000000001</v>
      </c>
      <c r="AE357" s="131">
        <f>'Sta. Meteorologi pnk'!R260</f>
        <v>0.2</v>
      </c>
      <c r="AF357" s="131">
        <f>'Sta. Meteorologi pnk'!S260</f>
        <v>154</v>
      </c>
      <c r="AG357" s="131">
        <f>'Sta. Meteorologi pnk'!T260</f>
        <v>63</v>
      </c>
      <c r="AH357" s="131">
        <f>'Sta. Meteorologi pnk'!U260</f>
        <v>1</v>
      </c>
      <c r="AI357" s="131">
        <f>'Sta. Meteorologi pnk'!V260</f>
        <v>14.8</v>
      </c>
      <c r="AJ357" s="131"/>
      <c r="AK357" s="131"/>
      <c r="AL357" s="131"/>
      <c r="AM357" s="131"/>
      <c r="AN357" s="131"/>
      <c r="AO357" s="131"/>
      <c r="AQ357" s="130">
        <v>28</v>
      </c>
      <c r="AR357" s="131">
        <f>'Sta. Meteorologi Supadio'!Q125</f>
        <v>0</v>
      </c>
      <c r="AS357" s="131">
        <f>'Sta. Meteorologi Supadio'!R125</f>
        <v>0</v>
      </c>
      <c r="AT357" s="131">
        <f>'Sta. Meteorologi Supadio'!S125</f>
        <v>40</v>
      </c>
      <c r="AU357" s="131">
        <f>'Sta. Meteorologi Supadio'!T125</f>
        <v>8.8000000000000007</v>
      </c>
      <c r="AV357" s="131">
        <f>'Sta. Meteorologi Supadio'!U125</f>
        <v>12.3</v>
      </c>
      <c r="AW357" s="131">
        <f>'Sta. Meteorologi Supadio'!V125</f>
        <v>0</v>
      </c>
      <c r="AX357" s="131"/>
      <c r="AY357" s="131"/>
      <c r="AZ357" s="131"/>
      <c r="BA357" s="131"/>
      <c r="BB357" s="131"/>
      <c r="BC357" s="131"/>
    </row>
    <row r="358" spans="1:55">
      <c r="A358" s="130">
        <v>29</v>
      </c>
      <c r="B358" s="131">
        <f>'Sta. Klimatologi Kalbar'!Q126</f>
        <v>0</v>
      </c>
      <c r="C358" s="131">
        <f>'Sta. Klimatologi Kalbar'!R126</f>
        <v>2.7</v>
      </c>
      <c r="D358" s="131">
        <f>'Sta. Klimatologi Kalbar'!S126</f>
        <v>0</v>
      </c>
      <c r="E358" s="131">
        <f>'Sta. Klimatologi Kalbar'!T126</f>
        <v>12</v>
      </c>
      <c r="F358" s="131">
        <f>'Sta. Klimatologi Kalbar'!U126</f>
        <v>0</v>
      </c>
      <c r="G358" s="131">
        <f>'Sta. Klimatologi Kalbar'!V126</f>
        <v>0</v>
      </c>
      <c r="H358" s="131"/>
      <c r="I358" s="131"/>
      <c r="J358" s="131"/>
      <c r="K358" s="131"/>
      <c r="L358" s="131"/>
      <c r="M358" s="131"/>
      <c r="O358" s="130">
        <v>29</v>
      </c>
      <c r="P358" s="131">
        <f t="shared" si="230"/>
        <v>1.3611684087050675</v>
      </c>
      <c r="Q358" s="131">
        <f t="shared" si="229"/>
        <v>1.3024862223477727</v>
      </c>
      <c r="R358" s="131">
        <f t="shared" si="229"/>
        <v>0</v>
      </c>
      <c r="S358" s="131">
        <f t="shared" si="229"/>
        <v>5.7572926374850946</v>
      </c>
      <c r="T358" s="131">
        <f t="shared" si="229"/>
        <v>4.0159231610386943</v>
      </c>
      <c r="U358" s="131">
        <f t="shared" si="229"/>
        <v>6.6696561788087587</v>
      </c>
      <c r="V358" s="131"/>
      <c r="W358" s="131"/>
      <c r="X358" s="131"/>
      <c r="Y358" s="131"/>
      <c r="Z358" s="131"/>
      <c r="AA358" s="131"/>
      <c r="AC358" s="130">
        <v>29</v>
      </c>
      <c r="AD358" s="131">
        <f>'Sta. Meteorologi pnk'!Q261</f>
        <v>0.8</v>
      </c>
      <c r="AE358" s="131">
        <f>'Sta. Meteorologi pnk'!R261</f>
        <v>1</v>
      </c>
      <c r="AF358" s="131">
        <f>'Sta. Meteorologi pnk'!S261</f>
        <v>0</v>
      </c>
      <c r="AG358" s="131">
        <f>'Sta. Meteorologi pnk'!T261</f>
        <v>4.4000000000000004</v>
      </c>
      <c r="AH358" s="131">
        <f>'Sta. Meteorologi pnk'!U261</f>
        <v>5.6</v>
      </c>
      <c r="AI358" s="131">
        <f>'Sta. Meteorologi pnk'!V261</f>
        <v>9.4</v>
      </c>
      <c r="AJ358" s="131"/>
      <c r="AK358" s="131"/>
      <c r="AL358" s="131"/>
      <c r="AM358" s="131"/>
      <c r="AN358" s="131"/>
      <c r="AO358" s="131"/>
      <c r="AQ358" s="130">
        <v>29</v>
      </c>
      <c r="AR358" s="131">
        <f>'Sta. Meteorologi Supadio'!Q126</f>
        <v>11.2</v>
      </c>
      <c r="AS358" s="131">
        <f>'Sta. Meteorologi Supadio'!R126</f>
        <v>0</v>
      </c>
      <c r="AT358" s="131">
        <f>'Sta. Meteorologi Supadio'!S126</f>
        <v>0</v>
      </c>
      <c r="AU358" s="131">
        <f>'Sta. Meteorologi Supadio'!T126</f>
        <v>0</v>
      </c>
      <c r="AV358" s="131">
        <f>'Sta. Meteorologi Supadio'!U126</f>
        <v>0.6</v>
      </c>
      <c r="AW358" s="131">
        <f>'Sta. Meteorologi Supadio'!V126</f>
        <v>0</v>
      </c>
      <c r="AX358" s="131"/>
      <c r="AY358" s="131"/>
      <c r="AZ358" s="131"/>
      <c r="BA358" s="131"/>
      <c r="BB358" s="131"/>
      <c r="BC358" s="131"/>
    </row>
    <row r="359" spans="1:55">
      <c r="A359" s="130">
        <v>30</v>
      </c>
      <c r="B359" s="131">
        <f>'Sta. Klimatologi Kalbar'!Q127</f>
        <v>19.3</v>
      </c>
      <c r="C359" s="131">
        <f>'Sta. Klimatologi Kalbar'!R127</f>
        <v>0</v>
      </c>
      <c r="D359" s="131">
        <f>'Sta. Klimatologi Kalbar'!S127</f>
        <v>27.4</v>
      </c>
      <c r="E359" s="131">
        <f>'Sta. Klimatologi Kalbar'!T127</f>
        <v>0</v>
      </c>
      <c r="F359" s="131">
        <f>'Sta. Klimatologi Kalbar'!U127</f>
        <v>0</v>
      </c>
      <c r="G359" s="131">
        <f>'Sta. Klimatologi Kalbar'!V127</f>
        <v>23.9</v>
      </c>
      <c r="H359" s="131"/>
      <c r="I359" s="131"/>
      <c r="J359" s="131"/>
      <c r="K359" s="131"/>
      <c r="L359" s="131"/>
      <c r="M359" s="131"/>
      <c r="O359" s="130">
        <v>30</v>
      </c>
      <c r="P359" s="131">
        <f t="shared" si="230"/>
        <v>5.33739777131201</v>
      </c>
      <c r="Q359" s="131">
        <f t="shared" si="229"/>
        <v>0</v>
      </c>
      <c r="R359" s="131">
        <f t="shared" si="229"/>
        <v>19.510776470389633</v>
      </c>
      <c r="S359" s="131">
        <f t="shared" si="229"/>
        <v>0</v>
      </c>
      <c r="T359" s="131">
        <f t="shared" si="229"/>
        <v>7.0851615679907179E-2</v>
      </c>
      <c r="U359" s="131">
        <f t="shared" si="229"/>
        <v>17.217808273356958</v>
      </c>
      <c r="V359" s="131"/>
      <c r="W359" s="131"/>
      <c r="X359" s="131"/>
      <c r="Y359" s="131"/>
      <c r="Z359" s="131"/>
      <c r="AA359" s="131"/>
      <c r="AC359" s="130">
        <v>30</v>
      </c>
      <c r="AD359" s="131">
        <f>'Sta. Meteorologi pnk'!Q262</f>
        <v>0.7</v>
      </c>
      <c r="AE359" s="131">
        <f>'Sta. Meteorologi pnk'!R262</f>
        <v>0</v>
      </c>
      <c r="AF359" s="131">
        <f>'Sta. Meteorologi pnk'!S262</f>
        <v>17.100000000000001</v>
      </c>
      <c r="AG359" s="131">
        <f>'Sta. Meteorologi pnk'!T262</f>
        <v>0</v>
      </c>
      <c r="AH359" s="131">
        <f>'Sta. Meteorologi pnk'!U262</f>
        <v>0</v>
      </c>
      <c r="AI359" s="131">
        <f>'Sta. Meteorologi pnk'!V262</f>
        <v>16.100000000000001</v>
      </c>
      <c r="AJ359" s="131"/>
      <c r="AK359" s="131"/>
      <c r="AL359" s="131"/>
      <c r="AM359" s="131"/>
      <c r="AN359" s="131"/>
      <c r="AO359" s="131"/>
      <c r="AQ359" s="130">
        <v>30</v>
      </c>
      <c r="AR359" s="131">
        <f>'Sta. Meteorologi Supadio'!Q127</f>
        <v>8.5</v>
      </c>
      <c r="AS359" s="131">
        <f>'Sta. Meteorologi Supadio'!R127</f>
        <v>0</v>
      </c>
      <c r="AT359" s="131">
        <f>'Sta. Meteorologi Supadio'!S127</f>
        <v>19.2</v>
      </c>
      <c r="AU359" s="131">
        <f>'Sta. Meteorologi Supadio'!T127</f>
        <v>0</v>
      </c>
      <c r="AV359" s="131">
        <f>'Sta. Meteorologi Supadio'!U127</f>
        <v>1</v>
      </c>
      <c r="AW359" s="131">
        <f>'Sta. Meteorologi Supadio'!V127</f>
        <v>7.7</v>
      </c>
      <c r="AX359" s="131"/>
      <c r="AY359" s="131"/>
      <c r="AZ359" s="131"/>
      <c r="BA359" s="131"/>
      <c r="BB359" s="131"/>
      <c r="BC359" s="131"/>
    </row>
    <row r="360" spans="1:55" ht="15.75" thickBot="1">
      <c r="A360" s="133">
        <v>31</v>
      </c>
      <c r="B360" s="131">
        <f>'Sta. Klimatologi Kalbar'!Q128</f>
        <v>6</v>
      </c>
      <c r="C360" s="131">
        <f>'Sta. Klimatologi Kalbar'!R128</f>
        <v>0</v>
      </c>
      <c r="D360" s="131">
        <f>'Sta. Klimatologi Kalbar'!S128</f>
        <v>2.4</v>
      </c>
      <c r="E360" s="131">
        <f>'Sta. Klimatologi Kalbar'!T128</f>
        <v>0</v>
      </c>
      <c r="F360" s="131">
        <f>'Sta. Klimatologi Kalbar'!U128</f>
        <v>0</v>
      </c>
      <c r="G360" s="131">
        <f>'Sta. Klimatologi Kalbar'!V128</f>
        <v>0</v>
      </c>
      <c r="H360" s="131"/>
      <c r="I360" s="131"/>
      <c r="J360" s="131"/>
      <c r="K360" s="131"/>
      <c r="L360" s="131"/>
      <c r="M360" s="131"/>
      <c r="O360" s="133">
        <v>31</v>
      </c>
      <c r="P360" s="131">
        <f t="shared" si="230"/>
        <v>12.193009058082612</v>
      </c>
      <c r="Q360" s="131">
        <f t="shared" si="229"/>
        <v>0</v>
      </c>
      <c r="R360" s="131">
        <f t="shared" si="229"/>
        <v>5.6703464210979702</v>
      </c>
      <c r="S360" s="131">
        <f t="shared" si="229"/>
        <v>0</v>
      </c>
      <c r="T360" s="131">
        <f t="shared" si="229"/>
        <v>1.277168204452741</v>
      </c>
      <c r="U360" s="131">
        <f t="shared" si="229"/>
        <v>0</v>
      </c>
      <c r="V360" s="131"/>
      <c r="W360" s="131"/>
      <c r="X360" s="131"/>
      <c r="Y360" s="131"/>
      <c r="Z360" s="131"/>
      <c r="AA360" s="131"/>
      <c r="AC360" s="133">
        <v>31</v>
      </c>
      <c r="AD360" s="131">
        <f>'Sta. Meteorologi pnk'!Q263</f>
        <v>13.5</v>
      </c>
      <c r="AE360" s="131">
        <f>'Sta. Meteorologi pnk'!R263</f>
        <v>0</v>
      </c>
      <c r="AF360" s="131">
        <f>'Sta. Meteorologi pnk'!S263</f>
        <v>6.4</v>
      </c>
      <c r="AG360" s="131">
        <f>'Sta. Meteorologi pnk'!T263</f>
        <v>0</v>
      </c>
      <c r="AH360" s="131">
        <f>'Sta. Meteorologi pnk'!U263</f>
        <v>1.8</v>
      </c>
      <c r="AI360" s="131">
        <f>'Sta. Meteorologi pnk'!V263</f>
        <v>0</v>
      </c>
      <c r="AJ360" s="131"/>
      <c r="AK360" s="131"/>
      <c r="AL360" s="131"/>
      <c r="AM360" s="131"/>
      <c r="AN360" s="131"/>
      <c r="AO360" s="131"/>
      <c r="AQ360" s="133">
        <v>31</v>
      </c>
      <c r="AR360" s="131">
        <f>'Sta. Meteorologi Supadio'!Q128</f>
        <v>18.3</v>
      </c>
      <c r="AS360" s="131">
        <f>'Sta. Meteorologi Supadio'!R128</f>
        <v>0</v>
      </c>
      <c r="AT360" s="131">
        <f>'Sta. Meteorologi Supadio'!S128</f>
        <v>8.5</v>
      </c>
      <c r="AU360" s="131">
        <f>'Sta. Meteorologi Supadio'!T128</f>
        <v>0</v>
      </c>
      <c r="AV360" s="131">
        <f>'Sta. Meteorologi Supadio'!U128</f>
        <v>0</v>
      </c>
      <c r="AW360" s="131">
        <f>'Sta. Meteorologi Supadio'!V128</f>
        <v>0</v>
      </c>
      <c r="AX360" s="131"/>
      <c r="AY360" s="131"/>
      <c r="AZ360" s="131"/>
      <c r="BA360" s="131"/>
      <c r="BB360" s="131"/>
      <c r="BC360" s="131"/>
    </row>
    <row r="361" spans="1:55">
      <c r="A361" s="135" t="s">
        <v>28</v>
      </c>
      <c r="B361" s="136">
        <f>SUM(B330:B360)</f>
        <v>228.00000000000003</v>
      </c>
      <c r="C361" s="136">
        <f t="shared" ref="C361:M361" si="231">SUM(C330:C360)</f>
        <v>114.50000000000001</v>
      </c>
      <c r="D361" s="136">
        <f t="shared" si="231"/>
        <v>315.89999999999992</v>
      </c>
      <c r="E361" s="136">
        <f t="shared" si="231"/>
        <v>150</v>
      </c>
      <c r="F361" s="136">
        <f t="shared" si="231"/>
        <v>309.60000000000002</v>
      </c>
      <c r="G361" s="136">
        <f t="shared" si="231"/>
        <v>233.39999999999998</v>
      </c>
      <c r="H361" s="136">
        <f t="shared" si="231"/>
        <v>0</v>
      </c>
      <c r="I361" s="136">
        <f t="shared" si="231"/>
        <v>0</v>
      </c>
      <c r="J361" s="136">
        <f t="shared" si="231"/>
        <v>0</v>
      </c>
      <c r="K361" s="136">
        <f t="shared" si="231"/>
        <v>0</v>
      </c>
      <c r="L361" s="136">
        <f t="shared" si="231"/>
        <v>0</v>
      </c>
      <c r="M361" s="136">
        <f t="shared" si="231"/>
        <v>0</v>
      </c>
      <c r="O361" s="135" t="s">
        <v>28</v>
      </c>
      <c r="P361" s="136">
        <f>SUM(P330:P360)</f>
        <v>305.43555286987555</v>
      </c>
      <c r="Q361" s="136">
        <f t="shared" ref="Q361:AA361" si="232">SUM(Q330:Q360)</f>
        <v>232.44706947569372</v>
      </c>
      <c r="R361" s="136">
        <f t="shared" si="232"/>
        <v>422.59092857981938</v>
      </c>
      <c r="S361" s="136">
        <f t="shared" si="232"/>
        <v>371.09401863042638</v>
      </c>
      <c r="T361" s="136">
        <f t="shared" si="232"/>
        <v>477.43752925683287</v>
      </c>
      <c r="U361" s="136">
        <f t="shared" si="232"/>
        <v>296.94737832783994</v>
      </c>
      <c r="V361" s="136">
        <f t="shared" si="232"/>
        <v>0</v>
      </c>
      <c r="W361" s="136">
        <f t="shared" si="232"/>
        <v>0</v>
      </c>
      <c r="X361" s="136">
        <f t="shared" si="232"/>
        <v>0</v>
      </c>
      <c r="Y361" s="136">
        <f t="shared" si="232"/>
        <v>0</v>
      </c>
      <c r="Z361" s="136">
        <f t="shared" si="232"/>
        <v>0</v>
      </c>
      <c r="AA361" s="136">
        <f t="shared" si="232"/>
        <v>0</v>
      </c>
      <c r="AC361" s="135" t="s">
        <v>28</v>
      </c>
      <c r="AD361" s="136">
        <f>SUM(AD330:AD360)</f>
        <v>333.80000000000007</v>
      </c>
      <c r="AE361" s="136">
        <f t="shared" ref="AE361:AO361" si="233">SUM(AE330:AE360)</f>
        <v>260.49999999999989</v>
      </c>
      <c r="AF361" s="136">
        <f t="shared" si="233"/>
        <v>457.1</v>
      </c>
      <c r="AG361" s="136">
        <f t="shared" si="233"/>
        <v>449.7</v>
      </c>
      <c r="AH361" s="136">
        <f t="shared" si="233"/>
        <v>528.70000000000005</v>
      </c>
      <c r="AI361" s="136">
        <f t="shared" si="233"/>
        <v>324.09999999999997</v>
      </c>
      <c r="AJ361" s="136">
        <f t="shared" si="233"/>
        <v>0</v>
      </c>
      <c r="AK361" s="136">
        <f t="shared" si="233"/>
        <v>0</v>
      </c>
      <c r="AL361" s="136">
        <f t="shared" si="233"/>
        <v>0</v>
      </c>
      <c r="AM361" s="136">
        <f t="shared" si="233"/>
        <v>0</v>
      </c>
      <c r="AN361" s="136">
        <f t="shared" si="233"/>
        <v>0</v>
      </c>
      <c r="AO361" s="136">
        <f t="shared" si="233"/>
        <v>0</v>
      </c>
      <c r="AQ361" s="135" t="s">
        <v>28</v>
      </c>
      <c r="AR361" s="136">
        <f>SUM(AR330:AR360)</f>
        <v>261.39999999999998</v>
      </c>
      <c r="AS361" s="136">
        <f t="shared" ref="AS361:BC361" si="234">SUM(AS330:AS360)</f>
        <v>317.10000000000002</v>
      </c>
      <c r="AT361" s="136">
        <f t="shared" si="234"/>
        <v>407.7</v>
      </c>
      <c r="AU361" s="136">
        <f t="shared" si="234"/>
        <v>269.20000000000005</v>
      </c>
      <c r="AV361" s="136">
        <f t="shared" si="234"/>
        <v>484.30000000000013</v>
      </c>
      <c r="AW361" s="136">
        <f t="shared" si="234"/>
        <v>221.99999999999997</v>
      </c>
      <c r="AX361" s="136">
        <f t="shared" si="234"/>
        <v>0</v>
      </c>
      <c r="AY361" s="136">
        <f t="shared" si="234"/>
        <v>0</v>
      </c>
      <c r="AZ361" s="136">
        <f t="shared" si="234"/>
        <v>0</v>
      </c>
      <c r="BA361" s="136">
        <f t="shared" si="234"/>
        <v>0</v>
      </c>
      <c r="BB361" s="136">
        <f t="shared" si="234"/>
        <v>0</v>
      </c>
      <c r="BC361" s="136">
        <f t="shared" si="234"/>
        <v>0</v>
      </c>
    </row>
    <row r="362" spans="1:55">
      <c r="A362" s="138" t="s">
        <v>29</v>
      </c>
      <c r="B362" s="139">
        <f>MAX(B330:B360)</f>
        <v>50</v>
      </c>
      <c r="C362" s="139">
        <f t="shared" ref="C362:M362" si="235">MAX(C330:C360)</f>
        <v>18</v>
      </c>
      <c r="D362" s="139">
        <f t="shared" si="235"/>
        <v>77.5</v>
      </c>
      <c r="E362" s="139">
        <f t="shared" si="235"/>
        <v>36.799999999999997</v>
      </c>
      <c r="F362" s="139">
        <f t="shared" si="235"/>
        <v>130.4</v>
      </c>
      <c r="G362" s="139">
        <f t="shared" si="235"/>
        <v>108.1</v>
      </c>
      <c r="H362" s="139">
        <f t="shared" si="235"/>
        <v>0</v>
      </c>
      <c r="I362" s="139">
        <f t="shared" si="235"/>
        <v>0</v>
      </c>
      <c r="J362" s="139">
        <f t="shared" si="235"/>
        <v>0</v>
      </c>
      <c r="K362" s="139">
        <f t="shared" si="235"/>
        <v>0</v>
      </c>
      <c r="L362" s="139">
        <f t="shared" si="235"/>
        <v>0</v>
      </c>
      <c r="M362" s="139">
        <f t="shared" si="235"/>
        <v>0</v>
      </c>
      <c r="O362" s="138" t="s">
        <v>29</v>
      </c>
      <c r="P362" s="139">
        <f>MAX(P330:P360)</f>
        <v>51.097245288851944</v>
      </c>
      <c r="Q362" s="139">
        <f t="shared" ref="Q362:AA362" si="236">MAX(Q330:Q360)</f>
        <v>61.10582665636359</v>
      </c>
      <c r="R362" s="139">
        <f t="shared" si="236"/>
        <v>129.12271310124498</v>
      </c>
      <c r="S362" s="139">
        <f t="shared" si="236"/>
        <v>50.155812218893217</v>
      </c>
      <c r="T362" s="139">
        <f t="shared" si="236"/>
        <v>111.29472957405007</v>
      </c>
      <c r="U362" s="139">
        <f t="shared" si="236"/>
        <v>105.54174580667356</v>
      </c>
      <c r="V362" s="139">
        <f t="shared" si="236"/>
        <v>0</v>
      </c>
      <c r="W362" s="139">
        <f t="shared" si="236"/>
        <v>0</v>
      </c>
      <c r="X362" s="139">
        <f t="shared" si="236"/>
        <v>0</v>
      </c>
      <c r="Y362" s="139">
        <f t="shared" si="236"/>
        <v>0</v>
      </c>
      <c r="Z362" s="139">
        <f t="shared" si="236"/>
        <v>0</v>
      </c>
      <c r="AA362" s="139">
        <f t="shared" si="236"/>
        <v>0</v>
      </c>
      <c r="AC362" s="138" t="s">
        <v>29</v>
      </c>
      <c r="AD362" s="139">
        <f>MAX(AD330:AD360)</f>
        <v>56</v>
      </c>
      <c r="AE362" s="139">
        <f t="shared" ref="AE362:AO362" si="237">MAX(AE330:AE360)</f>
        <v>79.599999999999994</v>
      </c>
      <c r="AF362" s="139">
        <f t="shared" si="237"/>
        <v>154</v>
      </c>
      <c r="AG362" s="139">
        <f t="shared" si="237"/>
        <v>63</v>
      </c>
      <c r="AH362" s="139">
        <f t="shared" si="237"/>
        <v>106</v>
      </c>
      <c r="AI362" s="139">
        <f t="shared" si="237"/>
        <v>107.6</v>
      </c>
      <c r="AJ362" s="139">
        <f t="shared" si="237"/>
        <v>0</v>
      </c>
      <c r="AK362" s="139">
        <f t="shared" si="237"/>
        <v>0</v>
      </c>
      <c r="AL362" s="139">
        <f t="shared" si="237"/>
        <v>0</v>
      </c>
      <c r="AM362" s="139">
        <f t="shared" si="237"/>
        <v>0</v>
      </c>
      <c r="AN362" s="139">
        <f t="shared" si="237"/>
        <v>0</v>
      </c>
      <c r="AO362" s="139">
        <f t="shared" si="237"/>
        <v>0</v>
      </c>
      <c r="AQ362" s="138" t="s">
        <v>29</v>
      </c>
      <c r="AR362" s="139">
        <f>MAX(AR330:AR360)</f>
        <v>56.1</v>
      </c>
      <c r="AS362" s="139">
        <f t="shared" ref="AS362:BC362" si="238">MAX(AS330:AS360)</f>
        <v>65.3</v>
      </c>
      <c r="AT362" s="139">
        <f t="shared" si="238"/>
        <v>72.3</v>
      </c>
      <c r="AU362" s="139">
        <f t="shared" si="238"/>
        <v>56.4</v>
      </c>
      <c r="AV362" s="139">
        <f t="shared" si="238"/>
        <v>105.1</v>
      </c>
      <c r="AW362" s="139">
        <f t="shared" si="238"/>
        <v>77</v>
      </c>
      <c r="AX362" s="139">
        <f t="shared" si="238"/>
        <v>0</v>
      </c>
      <c r="AY362" s="139">
        <f t="shared" si="238"/>
        <v>0</v>
      </c>
      <c r="AZ362" s="139">
        <f t="shared" si="238"/>
        <v>0</v>
      </c>
      <c r="BA362" s="139">
        <f t="shared" si="238"/>
        <v>0</v>
      </c>
      <c r="BB362" s="139">
        <f t="shared" si="238"/>
        <v>0</v>
      </c>
      <c r="BC362" s="139">
        <f t="shared" si="238"/>
        <v>0</v>
      </c>
    </row>
    <row r="363" spans="1:55">
      <c r="A363" s="130" t="s">
        <v>30</v>
      </c>
      <c r="B363" s="131">
        <f>SUM(B330:B344)</f>
        <v>137</v>
      </c>
      <c r="C363" s="131">
        <f t="shared" ref="C363:M363" si="239">SUM(C330:C344)</f>
        <v>78.000000000000014</v>
      </c>
      <c r="D363" s="131">
        <f t="shared" si="239"/>
        <v>175.79999999999998</v>
      </c>
      <c r="E363" s="131">
        <f t="shared" si="239"/>
        <v>66.599999999999994</v>
      </c>
      <c r="F363" s="131">
        <f t="shared" si="239"/>
        <v>226.00000000000003</v>
      </c>
      <c r="G363" s="131">
        <f t="shared" si="239"/>
        <v>53.8</v>
      </c>
      <c r="H363" s="131">
        <f t="shared" si="239"/>
        <v>0</v>
      </c>
      <c r="I363" s="131">
        <f t="shared" si="239"/>
        <v>0</v>
      </c>
      <c r="J363" s="131">
        <f t="shared" si="239"/>
        <v>0</v>
      </c>
      <c r="K363" s="131">
        <f t="shared" si="239"/>
        <v>0</v>
      </c>
      <c r="L363" s="131">
        <f t="shared" si="239"/>
        <v>0</v>
      </c>
      <c r="M363" s="131">
        <f t="shared" si="239"/>
        <v>0</v>
      </c>
      <c r="O363" s="130" t="s">
        <v>30</v>
      </c>
      <c r="P363" s="131">
        <f>SUM(P330:P344)</f>
        <v>179.6971498801166</v>
      </c>
      <c r="Q363" s="131">
        <f t="shared" ref="Q363:AA363" si="240">SUM(Q330:Q344)</f>
        <v>107.0129476147868</v>
      </c>
      <c r="R363" s="131">
        <f t="shared" si="240"/>
        <v>190.0831714480056</v>
      </c>
      <c r="S363" s="131">
        <f t="shared" si="240"/>
        <v>152.82643104083519</v>
      </c>
      <c r="T363" s="131">
        <f t="shared" si="240"/>
        <v>265.78153721162056</v>
      </c>
      <c r="U363" s="131">
        <f t="shared" si="240"/>
        <v>114.17336331191589</v>
      </c>
      <c r="V363" s="131">
        <f t="shared" si="240"/>
        <v>0</v>
      </c>
      <c r="W363" s="131">
        <f t="shared" si="240"/>
        <v>0</v>
      </c>
      <c r="X363" s="131">
        <f t="shared" si="240"/>
        <v>0</v>
      </c>
      <c r="Y363" s="131">
        <f t="shared" si="240"/>
        <v>0</v>
      </c>
      <c r="Z363" s="131">
        <f t="shared" si="240"/>
        <v>0</v>
      </c>
      <c r="AA363" s="131">
        <f t="shared" si="240"/>
        <v>0</v>
      </c>
      <c r="AC363" s="130" t="s">
        <v>30</v>
      </c>
      <c r="AD363" s="131">
        <f>SUM(AD330:AD344)</f>
        <v>194.4</v>
      </c>
      <c r="AE363" s="131">
        <f t="shared" ref="AE363:AO363" si="241">SUM(AE330:AE344)</f>
        <v>111.89999999999999</v>
      </c>
      <c r="AF363" s="131">
        <f t="shared" si="241"/>
        <v>196.1</v>
      </c>
      <c r="AG363" s="131">
        <f t="shared" si="241"/>
        <v>184.5</v>
      </c>
      <c r="AH363" s="131">
        <f t="shared" si="241"/>
        <v>286.8</v>
      </c>
      <c r="AI363" s="131">
        <f t="shared" si="241"/>
        <v>137.69999999999999</v>
      </c>
      <c r="AJ363" s="131">
        <f t="shared" si="241"/>
        <v>0</v>
      </c>
      <c r="AK363" s="131">
        <f t="shared" si="241"/>
        <v>0</v>
      </c>
      <c r="AL363" s="131">
        <f t="shared" si="241"/>
        <v>0</v>
      </c>
      <c r="AM363" s="131">
        <f t="shared" si="241"/>
        <v>0</v>
      </c>
      <c r="AN363" s="131">
        <f t="shared" si="241"/>
        <v>0</v>
      </c>
      <c r="AO363" s="131">
        <f t="shared" si="241"/>
        <v>0</v>
      </c>
      <c r="AQ363" s="130" t="s">
        <v>30</v>
      </c>
      <c r="AR363" s="131">
        <f>SUM(AR330:AR344)</f>
        <v>164.8</v>
      </c>
      <c r="AS363" s="131">
        <f t="shared" ref="AS363:BC363" si="242">SUM(AS330:AS344)</f>
        <v>148</v>
      </c>
      <c r="AT363" s="131">
        <f t="shared" si="242"/>
        <v>174.10000000000002</v>
      </c>
      <c r="AU363" s="131">
        <f t="shared" si="242"/>
        <v>102.89999999999999</v>
      </c>
      <c r="AV363" s="131">
        <f t="shared" si="242"/>
        <v>178.6</v>
      </c>
      <c r="AW363" s="131">
        <f t="shared" si="242"/>
        <v>65.7</v>
      </c>
      <c r="AX363" s="131">
        <f t="shared" si="242"/>
        <v>0</v>
      </c>
      <c r="AY363" s="131">
        <f t="shared" si="242"/>
        <v>0</v>
      </c>
      <c r="AZ363" s="131">
        <f t="shared" si="242"/>
        <v>0</v>
      </c>
      <c r="BA363" s="131">
        <f t="shared" si="242"/>
        <v>0</v>
      </c>
      <c r="BB363" s="131">
        <f t="shared" si="242"/>
        <v>0</v>
      </c>
      <c r="BC363" s="131">
        <f t="shared" si="242"/>
        <v>0</v>
      </c>
    </row>
    <row r="364" spans="1:55">
      <c r="A364" s="140" t="s">
        <v>31</v>
      </c>
      <c r="B364" s="141">
        <f>SUM(B345:B360)</f>
        <v>91</v>
      </c>
      <c r="C364" s="141">
        <f t="shared" ref="C364:M364" si="243">SUM(C345:C360)</f>
        <v>36.5</v>
      </c>
      <c r="D364" s="141">
        <f t="shared" si="243"/>
        <v>140.1</v>
      </c>
      <c r="E364" s="141">
        <f t="shared" si="243"/>
        <v>83.4</v>
      </c>
      <c r="F364" s="141">
        <f t="shared" si="243"/>
        <v>83.6</v>
      </c>
      <c r="G364" s="141">
        <f t="shared" si="243"/>
        <v>179.6</v>
      </c>
      <c r="H364" s="141">
        <f t="shared" si="243"/>
        <v>0</v>
      </c>
      <c r="I364" s="141">
        <f t="shared" si="243"/>
        <v>0</v>
      </c>
      <c r="J364" s="141">
        <f t="shared" si="243"/>
        <v>0</v>
      </c>
      <c r="K364" s="141">
        <f t="shared" si="243"/>
        <v>0</v>
      </c>
      <c r="L364" s="141">
        <f t="shared" si="243"/>
        <v>0</v>
      </c>
      <c r="M364" s="141">
        <f t="shared" si="243"/>
        <v>0</v>
      </c>
      <c r="O364" s="140" t="s">
        <v>31</v>
      </c>
      <c r="P364" s="141">
        <f>SUM(P345:P360)</f>
        <v>125.73840298975897</v>
      </c>
      <c r="Q364" s="141">
        <f t="shared" ref="Q364:AA364" si="244">SUM(Q345:Q360)</f>
        <v>125.43412186090696</v>
      </c>
      <c r="R364" s="141">
        <f t="shared" si="244"/>
        <v>232.50775713181375</v>
      </c>
      <c r="S364" s="141">
        <f t="shared" si="244"/>
        <v>218.26758758959116</v>
      </c>
      <c r="T364" s="141">
        <f t="shared" si="244"/>
        <v>211.65599204521237</v>
      </c>
      <c r="U364" s="141">
        <f t="shared" si="244"/>
        <v>182.77401501592405</v>
      </c>
      <c r="V364" s="141">
        <f t="shared" si="244"/>
        <v>0</v>
      </c>
      <c r="W364" s="141">
        <f t="shared" si="244"/>
        <v>0</v>
      </c>
      <c r="X364" s="141">
        <f t="shared" si="244"/>
        <v>0</v>
      </c>
      <c r="Y364" s="141">
        <f t="shared" si="244"/>
        <v>0</v>
      </c>
      <c r="Z364" s="141">
        <f t="shared" si="244"/>
        <v>0</v>
      </c>
      <c r="AA364" s="141">
        <f t="shared" si="244"/>
        <v>0</v>
      </c>
      <c r="AC364" s="140" t="s">
        <v>31</v>
      </c>
      <c r="AD364" s="141">
        <f>SUM(AD345:AD360)</f>
        <v>139.4</v>
      </c>
      <c r="AE364" s="141">
        <f t="shared" ref="AE364:AO364" si="245">SUM(AE345:AE360)</f>
        <v>148.6</v>
      </c>
      <c r="AF364" s="141">
        <f t="shared" si="245"/>
        <v>261</v>
      </c>
      <c r="AG364" s="141">
        <f t="shared" si="245"/>
        <v>265.2</v>
      </c>
      <c r="AH364" s="141">
        <f t="shared" si="245"/>
        <v>241.9</v>
      </c>
      <c r="AI364" s="141">
        <f t="shared" si="245"/>
        <v>186.4</v>
      </c>
      <c r="AJ364" s="141">
        <f t="shared" si="245"/>
        <v>0</v>
      </c>
      <c r="AK364" s="141">
        <f t="shared" si="245"/>
        <v>0</v>
      </c>
      <c r="AL364" s="141">
        <f t="shared" si="245"/>
        <v>0</v>
      </c>
      <c r="AM364" s="141">
        <f t="shared" si="245"/>
        <v>0</v>
      </c>
      <c r="AN364" s="141">
        <f t="shared" si="245"/>
        <v>0</v>
      </c>
      <c r="AO364" s="141">
        <f t="shared" si="245"/>
        <v>0</v>
      </c>
      <c r="AQ364" s="140" t="s">
        <v>31</v>
      </c>
      <c r="AR364" s="141">
        <f>SUM(AR345:AR360)</f>
        <v>96.600000000000009</v>
      </c>
      <c r="AS364" s="141">
        <f t="shared" ref="AS364:BC364" si="246">SUM(AS345:AS360)</f>
        <v>169.1</v>
      </c>
      <c r="AT364" s="141">
        <f t="shared" si="246"/>
        <v>233.59999999999997</v>
      </c>
      <c r="AU364" s="141">
        <f t="shared" si="246"/>
        <v>166.29999999999998</v>
      </c>
      <c r="AV364" s="141">
        <f t="shared" si="246"/>
        <v>305.7000000000001</v>
      </c>
      <c r="AW364" s="141">
        <f t="shared" si="246"/>
        <v>156.29999999999998</v>
      </c>
      <c r="AX364" s="141">
        <f t="shared" si="246"/>
        <v>0</v>
      </c>
      <c r="AY364" s="141">
        <f t="shared" si="246"/>
        <v>0</v>
      </c>
      <c r="AZ364" s="141">
        <f t="shared" si="246"/>
        <v>0</v>
      </c>
      <c r="BA364" s="141">
        <f t="shared" si="246"/>
        <v>0</v>
      </c>
      <c r="BB364" s="141">
        <f t="shared" si="246"/>
        <v>0</v>
      </c>
      <c r="BC364" s="141">
        <f t="shared" si="246"/>
        <v>0</v>
      </c>
    </row>
    <row r="365" spans="1:55" ht="15.75" thickBot="1">
      <c r="A365" s="133" t="s">
        <v>32</v>
      </c>
      <c r="B365" s="134">
        <f>COUNTIF(B332:B362,"&gt;0")</f>
        <v>22</v>
      </c>
      <c r="C365" s="134">
        <f t="shared" ref="C365:M365" si="247">COUNTIF(C332:C362,"&gt;0")</f>
        <v>17</v>
      </c>
      <c r="D365" s="134">
        <f t="shared" si="247"/>
        <v>18</v>
      </c>
      <c r="E365" s="134">
        <f t="shared" si="247"/>
        <v>17</v>
      </c>
      <c r="F365" s="134">
        <f t="shared" si="247"/>
        <v>21</v>
      </c>
      <c r="G365" s="134">
        <f t="shared" si="247"/>
        <v>18</v>
      </c>
      <c r="H365" s="134">
        <f t="shared" si="247"/>
        <v>0</v>
      </c>
      <c r="I365" s="134">
        <f t="shared" si="247"/>
        <v>0</v>
      </c>
      <c r="J365" s="134">
        <f t="shared" si="247"/>
        <v>0</v>
      </c>
      <c r="K365" s="134">
        <f t="shared" si="247"/>
        <v>0</v>
      </c>
      <c r="L365" s="134">
        <f t="shared" si="247"/>
        <v>0</v>
      </c>
      <c r="M365" s="134">
        <f t="shared" si="247"/>
        <v>0</v>
      </c>
      <c r="O365" s="133" t="s">
        <v>32</v>
      </c>
      <c r="P365" s="134">
        <f>COUNTIF(P332:P362,"&gt;0")</f>
        <v>27</v>
      </c>
      <c r="Q365" s="134">
        <f t="shared" ref="Q365:AA365" si="248">COUNTIF(Q332:Q362,"&gt;0")</f>
        <v>22</v>
      </c>
      <c r="R365" s="134">
        <f t="shared" si="248"/>
        <v>22</v>
      </c>
      <c r="S365" s="134">
        <f t="shared" si="248"/>
        <v>24</v>
      </c>
      <c r="T365" s="134">
        <f t="shared" si="248"/>
        <v>28</v>
      </c>
      <c r="U365" s="134">
        <f t="shared" si="248"/>
        <v>24</v>
      </c>
      <c r="V365" s="134">
        <f t="shared" si="248"/>
        <v>0</v>
      </c>
      <c r="W365" s="134">
        <f t="shared" si="248"/>
        <v>0</v>
      </c>
      <c r="X365" s="134">
        <f t="shared" si="248"/>
        <v>0</v>
      </c>
      <c r="Y365" s="134">
        <f t="shared" si="248"/>
        <v>0</v>
      </c>
      <c r="Z365" s="134">
        <f t="shared" si="248"/>
        <v>0</v>
      </c>
      <c r="AA365" s="134">
        <f t="shared" si="248"/>
        <v>0</v>
      </c>
      <c r="AC365" s="133" t="s">
        <v>32</v>
      </c>
      <c r="AD365" s="134">
        <f>COUNTIF(AD332:AD362,"&gt;0")</f>
        <v>26</v>
      </c>
      <c r="AE365" s="134">
        <f t="shared" ref="AE365:AO365" si="249">COUNTIF(AE332:AE362,"&gt;0")</f>
        <v>21</v>
      </c>
      <c r="AF365" s="134">
        <f t="shared" si="249"/>
        <v>20</v>
      </c>
      <c r="AG365" s="134">
        <f t="shared" si="249"/>
        <v>21</v>
      </c>
      <c r="AH365" s="134">
        <f t="shared" si="249"/>
        <v>23</v>
      </c>
      <c r="AI365" s="134">
        <f t="shared" si="249"/>
        <v>15</v>
      </c>
      <c r="AJ365" s="134">
        <f t="shared" si="249"/>
        <v>0</v>
      </c>
      <c r="AK365" s="134">
        <f t="shared" si="249"/>
        <v>0</v>
      </c>
      <c r="AL365" s="134">
        <f t="shared" si="249"/>
        <v>0</v>
      </c>
      <c r="AM365" s="134">
        <f t="shared" si="249"/>
        <v>0</v>
      </c>
      <c r="AN365" s="134">
        <f t="shared" si="249"/>
        <v>0</v>
      </c>
      <c r="AO365" s="134">
        <f t="shared" si="249"/>
        <v>0</v>
      </c>
      <c r="AQ365" s="133" t="s">
        <v>32</v>
      </c>
      <c r="AR365" s="134">
        <f>COUNTIF(AR332:AR362,"&gt;0")</f>
        <v>20</v>
      </c>
      <c r="AS365" s="134">
        <f t="shared" ref="AS365:BC365" si="250">COUNTIF(AS332:AS362,"&gt;0")</f>
        <v>17</v>
      </c>
      <c r="AT365" s="134">
        <f t="shared" si="250"/>
        <v>20</v>
      </c>
      <c r="AU365" s="134">
        <f t="shared" si="250"/>
        <v>21</v>
      </c>
      <c r="AV365" s="134">
        <f t="shared" si="250"/>
        <v>22</v>
      </c>
      <c r="AW365" s="134">
        <f t="shared" si="250"/>
        <v>15</v>
      </c>
      <c r="AX365" s="134">
        <f t="shared" si="250"/>
        <v>0</v>
      </c>
      <c r="AY365" s="134">
        <f t="shared" si="250"/>
        <v>0</v>
      </c>
      <c r="AZ365" s="134">
        <f t="shared" si="250"/>
        <v>0</v>
      </c>
      <c r="BA365" s="134">
        <f t="shared" si="250"/>
        <v>0</v>
      </c>
      <c r="BB365" s="134">
        <f t="shared" si="250"/>
        <v>0</v>
      </c>
      <c r="BC365" s="134">
        <f t="shared" si="250"/>
        <v>0</v>
      </c>
    </row>
  </sheetData>
  <mergeCells count="131">
    <mergeCell ref="A5:M5"/>
    <mergeCell ref="O5:AA5"/>
    <mergeCell ref="AC5:AO5"/>
    <mergeCell ref="AQ5:BC5"/>
    <mergeCell ref="BE5:BQ5"/>
    <mergeCell ref="A7:M7"/>
    <mergeCell ref="O7:AA7"/>
    <mergeCell ref="AC7:AO7"/>
    <mergeCell ref="AQ7:BC7"/>
    <mergeCell ref="BE7:BQ7"/>
    <mergeCell ref="AQ8:AQ9"/>
    <mergeCell ref="AR8:BC8"/>
    <mergeCell ref="BE8:BE9"/>
    <mergeCell ref="BF8:BQ8"/>
    <mergeCell ref="A47:M47"/>
    <mergeCell ref="O47:AA47"/>
    <mergeCell ref="AC47:AO47"/>
    <mergeCell ref="AQ47:BC47"/>
    <mergeCell ref="BE47:BQ47"/>
    <mergeCell ref="A8:A9"/>
    <mergeCell ref="B8:M8"/>
    <mergeCell ref="O8:O9"/>
    <mergeCell ref="P8:AA8"/>
    <mergeCell ref="AC8:AC9"/>
    <mergeCell ref="AD8:AO8"/>
    <mergeCell ref="AQ48:AQ49"/>
    <mergeCell ref="AR48:BC48"/>
    <mergeCell ref="BE48:BE49"/>
    <mergeCell ref="BF48:BQ48"/>
    <mergeCell ref="A87:M87"/>
    <mergeCell ref="O87:AA87"/>
    <mergeCell ref="AC87:AO87"/>
    <mergeCell ref="AQ87:BC87"/>
    <mergeCell ref="BE87:BQ87"/>
    <mergeCell ref="A48:A49"/>
    <mergeCell ref="B48:M48"/>
    <mergeCell ref="O48:O49"/>
    <mergeCell ref="P48:AA48"/>
    <mergeCell ref="AC48:AC49"/>
    <mergeCell ref="AD48:AO48"/>
    <mergeCell ref="AQ88:AQ89"/>
    <mergeCell ref="AR88:BC88"/>
    <mergeCell ref="BE88:BE89"/>
    <mergeCell ref="BF88:BQ88"/>
    <mergeCell ref="A127:M127"/>
    <mergeCell ref="O127:AA127"/>
    <mergeCell ref="AC127:AO127"/>
    <mergeCell ref="AQ127:BC127"/>
    <mergeCell ref="BE127:BQ127"/>
    <mergeCell ref="A88:A89"/>
    <mergeCell ref="B88:M88"/>
    <mergeCell ref="O88:O89"/>
    <mergeCell ref="P88:AA88"/>
    <mergeCell ref="AC88:AC89"/>
    <mergeCell ref="AD88:AO88"/>
    <mergeCell ref="AQ128:AQ129"/>
    <mergeCell ref="AR128:BC128"/>
    <mergeCell ref="BE128:BE129"/>
    <mergeCell ref="BF128:BQ128"/>
    <mergeCell ref="A167:M167"/>
    <mergeCell ref="O167:AA167"/>
    <mergeCell ref="AC167:AO167"/>
    <mergeCell ref="AQ167:BC167"/>
    <mergeCell ref="BE167:BQ167"/>
    <mergeCell ref="A128:A129"/>
    <mergeCell ref="B128:M128"/>
    <mergeCell ref="O128:O129"/>
    <mergeCell ref="P128:AA128"/>
    <mergeCell ref="AC128:AC129"/>
    <mergeCell ref="AD128:AO128"/>
    <mergeCell ref="AQ168:AQ169"/>
    <mergeCell ref="AR168:BC168"/>
    <mergeCell ref="BE168:BE169"/>
    <mergeCell ref="BF168:BQ168"/>
    <mergeCell ref="A207:M207"/>
    <mergeCell ref="O207:AA207"/>
    <mergeCell ref="AC207:AO207"/>
    <mergeCell ref="AQ207:BC207"/>
    <mergeCell ref="BE207:BQ207"/>
    <mergeCell ref="A168:A169"/>
    <mergeCell ref="B168:M168"/>
    <mergeCell ref="O168:O169"/>
    <mergeCell ref="P168:AA168"/>
    <mergeCell ref="AC168:AC169"/>
    <mergeCell ref="AD168:AO168"/>
    <mergeCell ref="AQ208:AQ209"/>
    <mergeCell ref="AR208:BC208"/>
    <mergeCell ref="BE208:BE209"/>
    <mergeCell ref="BF208:BQ208"/>
    <mergeCell ref="A247:M247"/>
    <mergeCell ref="O247:AA247"/>
    <mergeCell ref="AC247:AO247"/>
    <mergeCell ref="AQ247:BC247"/>
    <mergeCell ref="A208:A209"/>
    <mergeCell ref="B208:M208"/>
    <mergeCell ref="O208:O209"/>
    <mergeCell ref="P208:AA208"/>
    <mergeCell ref="AC208:AC209"/>
    <mergeCell ref="AD208:AO208"/>
    <mergeCell ref="AQ248:AQ249"/>
    <mergeCell ref="AR248:BC248"/>
    <mergeCell ref="A287:M287"/>
    <mergeCell ref="O287:AA287"/>
    <mergeCell ref="AC287:AO287"/>
    <mergeCell ref="AQ287:BC287"/>
    <mergeCell ref="A248:A249"/>
    <mergeCell ref="B248:M248"/>
    <mergeCell ref="O248:O249"/>
    <mergeCell ref="P248:AA248"/>
    <mergeCell ref="AC248:AC249"/>
    <mergeCell ref="AD248:AO248"/>
    <mergeCell ref="AQ328:AQ329"/>
    <mergeCell ref="AR328:BC328"/>
    <mergeCell ref="A328:A329"/>
    <mergeCell ref="B328:M328"/>
    <mergeCell ref="O328:O329"/>
    <mergeCell ref="P328:AA328"/>
    <mergeCell ref="AC328:AC329"/>
    <mergeCell ref="AD328:AO328"/>
    <mergeCell ref="AQ288:AQ289"/>
    <mergeCell ref="AR288:BC288"/>
    <mergeCell ref="A327:M327"/>
    <mergeCell ref="O327:AA327"/>
    <mergeCell ref="AC327:AO327"/>
    <mergeCell ref="AQ327:BC327"/>
    <mergeCell ref="A288:A289"/>
    <mergeCell ref="B288:M288"/>
    <mergeCell ref="O288:O289"/>
    <mergeCell ref="P288:AA288"/>
    <mergeCell ref="AC288:AC289"/>
    <mergeCell ref="AD288:AO28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946B-13E3-43BB-B714-709203F69D4C}">
  <dimension ref="A1:AC439"/>
  <sheetViews>
    <sheetView topLeftCell="A250" zoomScale="69" zoomScaleNormal="69" workbookViewId="0">
      <selection activeCell="F433" sqref="F433"/>
    </sheetView>
  </sheetViews>
  <sheetFormatPr defaultRowHeight="15"/>
  <sheetData>
    <row r="1" spans="1:29" ht="18">
      <c r="A1" s="1" t="s">
        <v>41</v>
      </c>
      <c r="B1" s="2"/>
      <c r="C1" s="2"/>
      <c r="D1" s="2"/>
      <c r="E1" s="3">
        <v>2002</v>
      </c>
      <c r="F1" s="4"/>
      <c r="G1" s="4"/>
      <c r="H1" s="5"/>
      <c r="I1" s="4"/>
      <c r="J1" s="4"/>
      <c r="K1" s="4"/>
      <c r="L1" s="4"/>
      <c r="M1" s="6"/>
      <c r="N1" s="7"/>
      <c r="P1" s="1" t="s">
        <v>41</v>
      </c>
      <c r="Q1" s="2"/>
      <c r="R1" s="2"/>
      <c r="S1" s="2"/>
      <c r="T1" s="3">
        <v>2012</v>
      </c>
      <c r="U1" s="4"/>
      <c r="V1" s="4"/>
      <c r="W1" s="5"/>
      <c r="X1" s="4"/>
      <c r="Y1" s="4"/>
      <c r="Z1" s="4"/>
      <c r="AA1" s="4"/>
      <c r="AB1" s="6"/>
      <c r="AC1" s="7"/>
    </row>
    <row r="2" spans="1:29">
      <c r="A2" s="8"/>
      <c r="B2" s="9"/>
      <c r="C2" s="9"/>
      <c r="D2" s="9"/>
      <c r="E2" s="10"/>
      <c r="F2" s="10"/>
      <c r="G2" s="10"/>
      <c r="H2" s="11"/>
      <c r="I2" s="9"/>
      <c r="J2" s="9"/>
      <c r="K2" s="9"/>
      <c r="L2" s="9"/>
      <c r="M2" s="12"/>
      <c r="N2" s="7"/>
      <c r="P2" s="8"/>
      <c r="Q2" s="9"/>
      <c r="R2" s="9"/>
      <c r="S2" s="9"/>
      <c r="T2" s="10"/>
      <c r="U2" s="10"/>
      <c r="V2" s="10"/>
      <c r="W2" s="11"/>
      <c r="X2" s="9"/>
      <c r="Y2" s="9"/>
      <c r="Z2" s="9"/>
      <c r="AA2" s="9"/>
      <c r="AB2" s="12"/>
      <c r="AC2" s="7"/>
    </row>
    <row r="3" spans="1:29" ht="15.75">
      <c r="A3" s="13" t="s">
        <v>42</v>
      </c>
      <c r="B3" s="14"/>
      <c r="C3" s="14" t="s">
        <v>43</v>
      </c>
      <c r="D3" s="14"/>
      <c r="E3" s="14"/>
      <c r="F3" s="14"/>
      <c r="G3" s="14"/>
      <c r="H3" s="15"/>
      <c r="I3" s="14"/>
      <c r="J3" s="14" t="s">
        <v>44</v>
      </c>
      <c r="K3" s="14" t="s">
        <v>45</v>
      </c>
      <c r="L3" s="14"/>
      <c r="M3" s="12"/>
      <c r="N3" s="7"/>
      <c r="P3" s="13" t="s">
        <v>42</v>
      </c>
      <c r="Q3" s="14"/>
      <c r="R3" s="14" t="s">
        <v>43</v>
      </c>
      <c r="S3" s="14"/>
      <c r="T3" s="14"/>
      <c r="U3" s="14"/>
      <c r="V3" s="14"/>
      <c r="W3" s="15"/>
      <c r="X3" s="14"/>
      <c r="Y3" s="14" t="s">
        <v>44</v>
      </c>
      <c r="Z3" s="14" t="s">
        <v>45</v>
      </c>
      <c r="AA3" s="14"/>
      <c r="AB3" s="12"/>
      <c r="AC3" s="7"/>
    </row>
    <row r="4" spans="1:29" ht="15.75">
      <c r="A4" s="13" t="s">
        <v>46</v>
      </c>
      <c r="B4" s="14"/>
      <c r="C4" s="14" t="s">
        <v>47</v>
      </c>
      <c r="D4" s="14"/>
      <c r="E4" s="14"/>
      <c r="F4" s="14"/>
      <c r="G4" s="14"/>
      <c r="H4" s="15"/>
      <c r="I4" s="14"/>
      <c r="J4" s="14" t="s">
        <v>48</v>
      </c>
      <c r="K4" s="14" t="s">
        <v>45</v>
      </c>
      <c r="L4" s="14"/>
      <c r="M4" s="12"/>
      <c r="N4" s="7"/>
      <c r="P4" s="13" t="s">
        <v>46</v>
      </c>
      <c r="Q4" s="14"/>
      <c r="R4" s="14" t="s">
        <v>47</v>
      </c>
      <c r="S4" s="14"/>
      <c r="T4" s="14"/>
      <c r="U4" s="14"/>
      <c r="V4" s="14"/>
      <c r="W4" s="15"/>
      <c r="X4" s="14"/>
      <c r="Y4" s="14" t="s">
        <v>48</v>
      </c>
      <c r="Z4" s="14" t="s">
        <v>45</v>
      </c>
      <c r="AA4" s="14"/>
      <c r="AB4" s="12"/>
      <c r="AC4" s="7"/>
    </row>
    <row r="5" spans="1:29" ht="15.75">
      <c r="A5" s="13" t="s">
        <v>49</v>
      </c>
      <c r="B5" s="14"/>
      <c r="C5" s="14" t="s">
        <v>50</v>
      </c>
      <c r="D5" s="14"/>
      <c r="E5" s="14"/>
      <c r="F5" s="14"/>
      <c r="G5" s="14"/>
      <c r="H5" s="15"/>
      <c r="I5" s="14"/>
      <c r="J5" s="14" t="s">
        <v>51</v>
      </c>
      <c r="K5" s="14" t="s">
        <v>52</v>
      </c>
      <c r="L5" s="14"/>
      <c r="M5" s="12"/>
      <c r="N5" s="7"/>
      <c r="P5" s="13" t="s">
        <v>49</v>
      </c>
      <c r="Q5" s="14"/>
      <c r="R5" s="14" t="s">
        <v>50</v>
      </c>
      <c r="S5" s="14"/>
      <c r="T5" s="14"/>
      <c r="U5" s="14"/>
      <c r="V5" s="14"/>
      <c r="W5" s="15"/>
      <c r="X5" s="14"/>
      <c r="Y5" s="14" t="s">
        <v>51</v>
      </c>
      <c r="Z5" s="14" t="s">
        <v>52</v>
      </c>
      <c r="AA5" s="14"/>
      <c r="AB5" s="12"/>
      <c r="AC5" s="7"/>
    </row>
    <row r="6" spans="1:29">
      <c r="A6" s="16"/>
      <c r="B6" s="10"/>
      <c r="C6" s="10"/>
      <c r="D6" s="10"/>
      <c r="E6" s="10"/>
      <c r="F6" s="10"/>
      <c r="G6" s="10"/>
      <c r="H6" s="17"/>
      <c r="I6" s="10"/>
      <c r="J6" s="10"/>
      <c r="K6" s="10"/>
      <c r="L6" s="10"/>
      <c r="M6" s="18"/>
      <c r="N6" s="19"/>
      <c r="P6" s="16"/>
      <c r="Q6" s="10"/>
      <c r="R6" s="10"/>
      <c r="S6" s="10"/>
      <c r="T6" s="10"/>
      <c r="U6" s="10"/>
      <c r="V6" s="10"/>
      <c r="W6" s="17"/>
      <c r="X6" s="10"/>
      <c r="Y6" s="10"/>
      <c r="Z6" s="10"/>
      <c r="AA6" s="10"/>
      <c r="AB6" s="18"/>
      <c r="AC6" s="19"/>
    </row>
    <row r="7" spans="1:29">
      <c r="A7" s="20" t="s">
        <v>53</v>
      </c>
      <c r="B7" s="21" t="s">
        <v>54</v>
      </c>
      <c r="C7" s="21" t="s">
        <v>55</v>
      </c>
      <c r="D7" s="21" t="s">
        <v>56</v>
      </c>
      <c r="E7" s="21" t="s">
        <v>57</v>
      </c>
      <c r="F7" s="21" t="s">
        <v>20</v>
      </c>
      <c r="G7" s="21" t="s">
        <v>58</v>
      </c>
      <c r="H7" s="21" t="s">
        <v>59</v>
      </c>
      <c r="I7" s="21" t="s">
        <v>60</v>
      </c>
      <c r="J7" s="21" t="s">
        <v>61</v>
      </c>
      <c r="K7" s="21" t="s">
        <v>62</v>
      </c>
      <c r="L7" s="21" t="s">
        <v>63</v>
      </c>
      <c r="M7" s="22" t="s">
        <v>64</v>
      </c>
      <c r="N7" s="19"/>
      <c r="P7" s="20" t="s">
        <v>53</v>
      </c>
      <c r="Q7" s="21" t="s">
        <v>54</v>
      </c>
      <c r="R7" s="21" t="s">
        <v>55</v>
      </c>
      <c r="S7" s="21" t="s">
        <v>56</v>
      </c>
      <c r="T7" s="21" t="s">
        <v>57</v>
      </c>
      <c r="U7" s="21" t="s">
        <v>20</v>
      </c>
      <c r="V7" s="21" t="s">
        <v>58</v>
      </c>
      <c r="W7" s="21" t="s">
        <v>59</v>
      </c>
      <c r="X7" s="21" t="s">
        <v>60</v>
      </c>
      <c r="Y7" s="21" t="s">
        <v>61</v>
      </c>
      <c r="Z7" s="21" t="s">
        <v>62</v>
      </c>
      <c r="AA7" s="21" t="s">
        <v>63</v>
      </c>
      <c r="AB7" s="22" t="s">
        <v>64</v>
      </c>
      <c r="AC7" s="19"/>
    </row>
    <row r="8" spans="1:29">
      <c r="A8" s="23">
        <v>1</v>
      </c>
      <c r="B8" s="24">
        <v>0</v>
      </c>
      <c r="C8" s="24">
        <v>22</v>
      </c>
      <c r="D8" s="24">
        <v>0</v>
      </c>
      <c r="E8" s="24">
        <v>29</v>
      </c>
      <c r="F8" s="24">
        <v>35</v>
      </c>
      <c r="G8" s="24">
        <v>34</v>
      </c>
      <c r="H8" s="24">
        <v>0</v>
      </c>
      <c r="I8" s="24">
        <v>0</v>
      </c>
      <c r="J8" s="24">
        <v>6</v>
      </c>
      <c r="K8" s="24">
        <v>0</v>
      </c>
      <c r="L8" s="24">
        <v>44</v>
      </c>
      <c r="M8" s="24">
        <v>3</v>
      </c>
      <c r="N8" s="7"/>
      <c r="P8" s="87">
        <v>1</v>
      </c>
      <c r="Q8" s="24">
        <v>0</v>
      </c>
      <c r="R8" s="24">
        <v>0</v>
      </c>
      <c r="S8" s="24">
        <v>20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2</v>
      </c>
      <c r="AB8" s="24">
        <v>23</v>
      </c>
      <c r="AC8" s="7"/>
    </row>
    <row r="9" spans="1:29">
      <c r="A9" s="23">
        <v>2</v>
      </c>
      <c r="B9" s="24">
        <v>0</v>
      </c>
      <c r="C9" s="24">
        <v>12</v>
      </c>
      <c r="D9" s="24">
        <v>33</v>
      </c>
      <c r="E9" s="24">
        <v>0</v>
      </c>
      <c r="F9" s="24">
        <v>12</v>
      </c>
      <c r="G9" s="24">
        <v>0</v>
      </c>
      <c r="H9" s="24">
        <v>0</v>
      </c>
      <c r="I9" s="24">
        <v>0</v>
      </c>
      <c r="J9" s="24">
        <v>0</v>
      </c>
      <c r="K9" s="24">
        <v>2</v>
      </c>
      <c r="L9" s="24">
        <v>0</v>
      </c>
      <c r="M9" s="24">
        <v>0</v>
      </c>
      <c r="N9" s="7"/>
      <c r="P9" s="87">
        <v>2</v>
      </c>
      <c r="Q9" s="24">
        <v>0</v>
      </c>
      <c r="R9" s="24">
        <v>19</v>
      </c>
      <c r="S9" s="24">
        <v>50</v>
      </c>
      <c r="T9" s="24">
        <v>0</v>
      </c>
      <c r="U9" s="24">
        <v>0</v>
      </c>
      <c r="V9" s="24">
        <v>12</v>
      </c>
      <c r="W9" s="24">
        <v>0</v>
      </c>
      <c r="X9" s="24">
        <v>0</v>
      </c>
      <c r="Y9" s="24">
        <v>0</v>
      </c>
      <c r="Z9" s="24">
        <v>4</v>
      </c>
      <c r="AA9" s="24">
        <v>2</v>
      </c>
      <c r="AB9" s="24">
        <v>6</v>
      </c>
      <c r="AC9" s="7"/>
    </row>
    <row r="10" spans="1:29">
      <c r="A10" s="23">
        <v>3</v>
      </c>
      <c r="B10" s="24">
        <v>0</v>
      </c>
      <c r="C10" s="24">
        <v>2</v>
      </c>
      <c r="D10" s="24">
        <v>0</v>
      </c>
      <c r="E10" s="24">
        <v>7</v>
      </c>
      <c r="F10" s="24">
        <v>0</v>
      </c>
      <c r="G10" s="24">
        <v>1</v>
      </c>
      <c r="H10" s="24">
        <v>0</v>
      </c>
      <c r="I10" s="24">
        <v>0</v>
      </c>
      <c r="J10" s="24">
        <v>24</v>
      </c>
      <c r="K10" s="24">
        <v>3</v>
      </c>
      <c r="L10" s="24">
        <v>3</v>
      </c>
      <c r="M10" s="24">
        <v>0</v>
      </c>
      <c r="N10" s="7"/>
      <c r="P10" s="87">
        <v>3</v>
      </c>
      <c r="Q10" s="24">
        <v>0</v>
      </c>
      <c r="R10" s="24">
        <v>6</v>
      </c>
      <c r="S10" s="24">
        <v>0</v>
      </c>
      <c r="T10" s="24">
        <v>0</v>
      </c>
      <c r="U10" s="24">
        <v>0</v>
      </c>
      <c r="V10" s="24">
        <v>0</v>
      </c>
      <c r="W10" s="24">
        <v>16</v>
      </c>
      <c r="X10" s="24">
        <v>0</v>
      </c>
      <c r="Y10" s="24">
        <v>0</v>
      </c>
      <c r="Z10" s="24">
        <v>1</v>
      </c>
      <c r="AA10" s="24">
        <v>0</v>
      </c>
      <c r="AB10" s="24">
        <v>20</v>
      </c>
      <c r="AC10" s="7"/>
    </row>
    <row r="11" spans="1:29">
      <c r="A11" s="23">
        <v>4</v>
      </c>
      <c r="B11" s="24">
        <v>0</v>
      </c>
      <c r="C11" s="24">
        <v>4</v>
      </c>
      <c r="D11" s="24">
        <v>0</v>
      </c>
      <c r="E11" s="24">
        <v>4</v>
      </c>
      <c r="F11" s="24">
        <v>6</v>
      </c>
      <c r="G11" s="24">
        <v>0</v>
      </c>
      <c r="H11" s="24">
        <v>0</v>
      </c>
      <c r="I11" s="24">
        <v>0</v>
      </c>
      <c r="J11" s="24">
        <v>35</v>
      </c>
      <c r="K11" s="24">
        <v>0</v>
      </c>
      <c r="L11" s="24">
        <v>15</v>
      </c>
      <c r="M11" s="24">
        <v>0</v>
      </c>
      <c r="N11" s="7"/>
      <c r="P11" s="87">
        <v>4</v>
      </c>
      <c r="Q11" s="24">
        <v>0</v>
      </c>
      <c r="R11" s="24">
        <v>19</v>
      </c>
      <c r="S11" s="24">
        <v>0</v>
      </c>
      <c r="T11" s="24">
        <v>7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61</v>
      </c>
      <c r="AC11" s="7"/>
    </row>
    <row r="12" spans="1:29">
      <c r="A12" s="23">
        <v>5</v>
      </c>
      <c r="B12" s="24">
        <v>0</v>
      </c>
      <c r="C12" s="24">
        <v>0</v>
      </c>
      <c r="D12" s="24">
        <v>0</v>
      </c>
      <c r="E12" s="24">
        <v>0</v>
      </c>
      <c r="F12" s="24">
        <v>44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7"/>
      <c r="P12" s="87">
        <v>5</v>
      </c>
      <c r="Q12" s="24">
        <v>14</v>
      </c>
      <c r="R12" s="24">
        <v>0</v>
      </c>
      <c r="S12" s="24">
        <v>0</v>
      </c>
      <c r="T12" s="24">
        <v>38</v>
      </c>
      <c r="U12" s="24">
        <v>0</v>
      </c>
      <c r="V12" s="24">
        <v>0</v>
      </c>
      <c r="W12" s="24">
        <v>0</v>
      </c>
      <c r="X12" s="24">
        <v>5</v>
      </c>
      <c r="Y12" s="24">
        <v>12</v>
      </c>
      <c r="Z12" s="24">
        <v>0</v>
      </c>
      <c r="AA12" s="24">
        <v>26</v>
      </c>
      <c r="AB12" s="24">
        <v>2</v>
      </c>
      <c r="AC12" s="7"/>
    </row>
    <row r="13" spans="1:29">
      <c r="A13" s="23">
        <v>6</v>
      </c>
      <c r="B13" s="24">
        <v>0</v>
      </c>
      <c r="C13" s="24">
        <v>0</v>
      </c>
      <c r="D13" s="24">
        <v>0</v>
      </c>
      <c r="E13" s="24">
        <v>0</v>
      </c>
      <c r="F13" s="24">
        <v>18</v>
      </c>
      <c r="G13" s="24">
        <v>0</v>
      </c>
      <c r="H13" s="24">
        <v>0</v>
      </c>
      <c r="I13" s="24">
        <v>0</v>
      </c>
      <c r="J13" s="24">
        <v>7</v>
      </c>
      <c r="K13" s="24">
        <v>5</v>
      </c>
      <c r="L13" s="24">
        <v>44</v>
      </c>
      <c r="M13" s="24">
        <v>100</v>
      </c>
      <c r="N13" s="7"/>
      <c r="P13" s="87">
        <v>6</v>
      </c>
      <c r="Q13" s="24">
        <v>0</v>
      </c>
      <c r="R13" s="24">
        <v>3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25</v>
      </c>
      <c r="Z13" s="24">
        <v>0</v>
      </c>
      <c r="AA13" s="24">
        <v>68</v>
      </c>
      <c r="AB13" s="24">
        <v>3</v>
      </c>
      <c r="AC13" s="7"/>
    </row>
    <row r="14" spans="1:29">
      <c r="A14" s="23">
        <v>7</v>
      </c>
      <c r="B14" s="24">
        <v>6</v>
      </c>
      <c r="C14" s="24">
        <v>0</v>
      </c>
      <c r="D14" s="24">
        <v>0</v>
      </c>
      <c r="E14" s="24">
        <v>0</v>
      </c>
      <c r="F14" s="24">
        <v>31</v>
      </c>
      <c r="G14" s="24">
        <v>25</v>
      </c>
      <c r="H14" s="24">
        <v>0</v>
      </c>
      <c r="I14" s="24">
        <v>0</v>
      </c>
      <c r="J14" s="24">
        <v>103</v>
      </c>
      <c r="K14" s="24">
        <v>24</v>
      </c>
      <c r="L14" s="24">
        <v>28</v>
      </c>
      <c r="M14" s="24">
        <v>0</v>
      </c>
      <c r="N14" s="7"/>
      <c r="P14" s="87">
        <v>7</v>
      </c>
      <c r="Q14" s="24">
        <v>31</v>
      </c>
      <c r="R14" s="24">
        <v>13</v>
      </c>
      <c r="S14" s="24">
        <v>0</v>
      </c>
      <c r="T14" s="24">
        <v>0</v>
      </c>
      <c r="U14" s="24">
        <v>12</v>
      </c>
      <c r="V14" s="24">
        <v>16</v>
      </c>
      <c r="W14" s="24">
        <v>6</v>
      </c>
      <c r="X14" s="24">
        <v>0</v>
      </c>
      <c r="Y14" s="24">
        <v>1</v>
      </c>
      <c r="Z14" s="24">
        <v>0</v>
      </c>
      <c r="AA14" s="24">
        <v>25</v>
      </c>
      <c r="AB14" s="24">
        <v>5</v>
      </c>
      <c r="AC14" s="7"/>
    </row>
    <row r="15" spans="1:29">
      <c r="A15" s="23">
        <v>8</v>
      </c>
      <c r="B15" s="24">
        <v>0</v>
      </c>
      <c r="C15" s="24">
        <v>0</v>
      </c>
      <c r="D15" s="24">
        <v>0</v>
      </c>
      <c r="E15" s="24">
        <v>13</v>
      </c>
      <c r="F15" s="24">
        <v>48</v>
      </c>
      <c r="G15" s="24">
        <v>0</v>
      </c>
      <c r="H15" s="24">
        <v>0</v>
      </c>
      <c r="I15" s="24">
        <v>2</v>
      </c>
      <c r="J15" s="24">
        <v>0</v>
      </c>
      <c r="K15" s="24">
        <v>2</v>
      </c>
      <c r="L15" s="24">
        <v>18</v>
      </c>
      <c r="M15" s="24">
        <v>5</v>
      </c>
      <c r="N15" s="7"/>
      <c r="P15" s="87">
        <v>8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8</v>
      </c>
      <c r="Z15" s="24">
        <v>8</v>
      </c>
      <c r="AA15" s="24">
        <v>3</v>
      </c>
      <c r="AB15" s="24">
        <v>43</v>
      </c>
      <c r="AC15" s="7"/>
    </row>
    <row r="16" spans="1:29">
      <c r="A16" s="23">
        <v>9</v>
      </c>
      <c r="B16" s="24">
        <v>4</v>
      </c>
      <c r="C16" s="24">
        <v>0</v>
      </c>
      <c r="D16" s="24">
        <v>12</v>
      </c>
      <c r="E16" s="24">
        <v>0</v>
      </c>
      <c r="F16" s="24">
        <v>0</v>
      </c>
      <c r="G16" s="24">
        <v>8</v>
      </c>
      <c r="H16" s="24">
        <v>0</v>
      </c>
      <c r="I16" s="24">
        <v>0</v>
      </c>
      <c r="J16" s="24">
        <v>0</v>
      </c>
      <c r="K16" s="24">
        <v>0</v>
      </c>
      <c r="L16" s="24">
        <v>3</v>
      </c>
      <c r="M16" s="24">
        <v>1</v>
      </c>
      <c r="N16" s="7"/>
      <c r="P16" s="87">
        <v>9</v>
      </c>
      <c r="Q16" s="24">
        <v>7</v>
      </c>
      <c r="R16" s="24">
        <v>0</v>
      </c>
      <c r="S16" s="24">
        <v>36</v>
      </c>
      <c r="T16" s="24">
        <v>0</v>
      </c>
      <c r="U16" s="24">
        <v>0</v>
      </c>
      <c r="V16" s="24">
        <v>30</v>
      </c>
      <c r="W16" s="24">
        <v>20</v>
      </c>
      <c r="X16" s="24">
        <v>0</v>
      </c>
      <c r="Y16" s="24">
        <v>18</v>
      </c>
      <c r="Z16" s="24">
        <v>2</v>
      </c>
      <c r="AA16" s="24">
        <v>21</v>
      </c>
      <c r="AB16" s="24">
        <v>10</v>
      </c>
      <c r="AC16" s="7"/>
    </row>
    <row r="17" spans="1:29">
      <c r="A17" s="23">
        <v>10</v>
      </c>
      <c r="B17" s="24">
        <v>9</v>
      </c>
      <c r="C17" s="24">
        <v>0</v>
      </c>
      <c r="D17" s="24">
        <v>0</v>
      </c>
      <c r="E17" s="24">
        <v>17</v>
      </c>
      <c r="F17" s="24">
        <v>22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7"/>
      <c r="P17" s="87">
        <v>10</v>
      </c>
      <c r="Q17" s="24">
        <v>0</v>
      </c>
      <c r="R17" s="24">
        <v>0</v>
      </c>
      <c r="S17" s="24">
        <v>0</v>
      </c>
      <c r="T17" s="24">
        <v>34</v>
      </c>
      <c r="U17" s="24">
        <v>0</v>
      </c>
      <c r="V17" s="24">
        <v>14</v>
      </c>
      <c r="W17" s="24">
        <v>0</v>
      </c>
      <c r="X17" s="24">
        <v>0</v>
      </c>
      <c r="Y17" s="24">
        <v>0</v>
      </c>
      <c r="Z17" s="24">
        <v>39</v>
      </c>
      <c r="AA17" s="24">
        <v>9</v>
      </c>
      <c r="AB17" s="24">
        <v>27</v>
      </c>
      <c r="AC17" s="7"/>
    </row>
    <row r="18" spans="1:29">
      <c r="A18" s="23">
        <v>11</v>
      </c>
      <c r="B18" s="24">
        <v>40</v>
      </c>
      <c r="C18" s="24">
        <v>0</v>
      </c>
      <c r="D18" s="24">
        <v>0</v>
      </c>
      <c r="E18" s="24">
        <v>4</v>
      </c>
      <c r="F18" s="24">
        <v>0</v>
      </c>
      <c r="G18" s="24">
        <v>0</v>
      </c>
      <c r="H18" s="24">
        <v>0</v>
      </c>
      <c r="I18" s="24">
        <v>6</v>
      </c>
      <c r="J18" s="24">
        <v>0</v>
      </c>
      <c r="K18" s="24">
        <v>0</v>
      </c>
      <c r="L18" s="24">
        <v>26</v>
      </c>
      <c r="M18" s="24">
        <v>0</v>
      </c>
      <c r="N18" s="7"/>
      <c r="P18" s="87">
        <v>11</v>
      </c>
      <c r="Q18" s="24">
        <v>6</v>
      </c>
      <c r="R18" s="24">
        <v>3</v>
      </c>
      <c r="S18" s="24">
        <v>0</v>
      </c>
      <c r="T18" s="24">
        <v>16</v>
      </c>
      <c r="U18" s="24">
        <v>0</v>
      </c>
      <c r="V18" s="24">
        <v>0</v>
      </c>
      <c r="W18" s="24">
        <v>70</v>
      </c>
      <c r="X18" s="24">
        <v>0</v>
      </c>
      <c r="Y18" s="24">
        <v>0</v>
      </c>
      <c r="Z18" s="24">
        <v>53</v>
      </c>
      <c r="AA18" s="24">
        <v>75</v>
      </c>
      <c r="AB18" s="24">
        <v>7</v>
      </c>
      <c r="AC18" s="7"/>
    </row>
    <row r="19" spans="1:29">
      <c r="A19" s="23">
        <v>12</v>
      </c>
      <c r="B19" s="24">
        <v>0</v>
      </c>
      <c r="C19" s="24">
        <v>0</v>
      </c>
      <c r="D19" s="24">
        <v>0</v>
      </c>
      <c r="E19" s="24">
        <v>12</v>
      </c>
      <c r="F19" s="24">
        <v>0</v>
      </c>
      <c r="G19" s="24">
        <v>74</v>
      </c>
      <c r="H19" s="24">
        <v>7</v>
      </c>
      <c r="I19" s="24">
        <v>0</v>
      </c>
      <c r="J19" s="24">
        <v>0</v>
      </c>
      <c r="K19" s="24">
        <v>22</v>
      </c>
      <c r="L19" s="24">
        <v>0</v>
      </c>
      <c r="M19" s="24">
        <v>0</v>
      </c>
      <c r="N19" s="7"/>
      <c r="P19" s="87">
        <v>12</v>
      </c>
      <c r="Q19" s="24">
        <v>26</v>
      </c>
      <c r="R19" s="24">
        <v>21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v>0</v>
      </c>
      <c r="AA19" s="24">
        <v>28</v>
      </c>
      <c r="AB19" s="24">
        <v>23</v>
      </c>
      <c r="AC19" s="7"/>
    </row>
    <row r="20" spans="1:29">
      <c r="A20" s="23">
        <v>13</v>
      </c>
      <c r="B20" s="24">
        <v>7</v>
      </c>
      <c r="C20" s="24">
        <v>0</v>
      </c>
      <c r="D20" s="24">
        <v>0</v>
      </c>
      <c r="E20" s="24">
        <v>16</v>
      </c>
      <c r="F20" s="24">
        <v>0</v>
      </c>
      <c r="G20" s="24">
        <v>25</v>
      </c>
      <c r="H20" s="24">
        <v>0</v>
      </c>
      <c r="I20" s="24">
        <v>0</v>
      </c>
      <c r="J20" s="24">
        <v>0</v>
      </c>
      <c r="K20" s="24">
        <v>0</v>
      </c>
      <c r="L20" s="24">
        <v>85</v>
      </c>
      <c r="M20" s="24">
        <v>21</v>
      </c>
      <c r="N20" s="7"/>
      <c r="P20" s="87">
        <v>13</v>
      </c>
      <c r="Q20" s="24">
        <v>2</v>
      </c>
      <c r="R20" s="24">
        <v>44</v>
      </c>
      <c r="S20" s="24">
        <v>0</v>
      </c>
      <c r="T20" s="24">
        <v>0</v>
      </c>
      <c r="U20" s="24">
        <v>25</v>
      </c>
      <c r="V20" s="24">
        <v>0</v>
      </c>
      <c r="W20" s="24">
        <v>40</v>
      </c>
      <c r="X20" s="24">
        <v>0</v>
      </c>
      <c r="Y20" s="24">
        <v>0</v>
      </c>
      <c r="Z20" s="24">
        <v>0</v>
      </c>
      <c r="AA20" s="24">
        <v>7</v>
      </c>
      <c r="AB20" s="24">
        <v>40</v>
      </c>
      <c r="AC20" s="7"/>
    </row>
    <row r="21" spans="1:29">
      <c r="A21" s="23">
        <v>14</v>
      </c>
      <c r="B21" s="24">
        <v>21</v>
      </c>
      <c r="C21" s="24">
        <v>0</v>
      </c>
      <c r="D21" s="24">
        <v>0</v>
      </c>
      <c r="E21" s="24">
        <v>48</v>
      </c>
      <c r="F21" s="24">
        <v>0</v>
      </c>
      <c r="G21" s="24">
        <v>3</v>
      </c>
      <c r="H21" s="24">
        <v>0</v>
      </c>
      <c r="I21" s="24">
        <v>0</v>
      </c>
      <c r="J21" s="24">
        <v>0</v>
      </c>
      <c r="K21" s="24">
        <v>30</v>
      </c>
      <c r="L21" s="24">
        <v>17</v>
      </c>
      <c r="M21" s="24">
        <v>80</v>
      </c>
      <c r="N21" s="7"/>
      <c r="P21" s="87">
        <v>14</v>
      </c>
      <c r="Q21" s="24">
        <v>0</v>
      </c>
      <c r="R21" s="24">
        <v>0</v>
      </c>
      <c r="S21" s="24">
        <v>10</v>
      </c>
      <c r="T21" s="24">
        <v>0</v>
      </c>
      <c r="U21" s="24">
        <v>0</v>
      </c>
      <c r="V21" s="24">
        <v>0</v>
      </c>
      <c r="W21" s="24">
        <v>46</v>
      </c>
      <c r="X21" s="24">
        <v>0</v>
      </c>
      <c r="Y21" s="24">
        <v>0</v>
      </c>
      <c r="Z21" s="24">
        <v>31</v>
      </c>
      <c r="AA21" s="24">
        <v>6</v>
      </c>
      <c r="AB21" s="24">
        <v>0</v>
      </c>
      <c r="AC21" s="7"/>
    </row>
    <row r="22" spans="1:29">
      <c r="A22" s="23">
        <v>15</v>
      </c>
      <c r="B22" s="24">
        <v>10</v>
      </c>
      <c r="C22" s="24">
        <v>0</v>
      </c>
      <c r="D22" s="24">
        <v>0</v>
      </c>
      <c r="E22" s="24">
        <v>15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2</v>
      </c>
      <c r="L22" s="24">
        <v>3</v>
      </c>
      <c r="M22" s="24">
        <v>5</v>
      </c>
      <c r="N22" s="7"/>
      <c r="P22" s="87">
        <v>15</v>
      </c>
      <c r="Q22" s="24">
        <v>0</v>
      </c>
      <c r="R22" s="24">
        <v>0</v>
      </c>
      <c r="S22" s="24">
        <v>29</v>
      </c>
      <c r="T22" s="24">
        <v>2</v>
      </c>
      <c r="U22" s="24">
        <v>0</v>
      </c>
      <c r="V22" s="24">
        <v>0</v>
      </c>
      <c r="W22" s="24">
        <v>118</v>
      </c>
      <c r="X22" s="24">
        <v>0</v>
      </c>
      <c r="Y22" s="24">
        <v>0</v>
      </c>
      <c r="Z22" s="24">
        <v>51</v>
      </c>
      <c r="AA22" s="24">
        <v>10</v>
      </c>
      <c r="AB22" s="24">
        <v>0</v>
      </c>
      <c r="AC22" s="7"/>
    </row>
    <row r="23" spans="1:29">
      <c r="A23" s="23">
        <v>16</v>
      </c>
      <c r="B23" s="24">
        <v>0</v>
      </c>
      <c r="C23" s="24">
        <v>0</v>
      </c>
      <c r="D23" s="24">
        <v>14</v>
      </c>
      <c r="E23" s="24">
        <v>10</v>
      </c>
      <c r="F23" s="24">
        <v>0</v>
      </c>
      <c r="G23" s="24">
        <v>10</v>
      </c>
      <c r="H23" s="24">
        <v>0</v>
      </c>
      <c r="I23" s="24">
        <v>0</v>
      </c>
      <c r="J23" s="24">
        <v>0</v>
      </c>
      <c r="K23" s="24">
        <v>0</v>
      </c>
      <c r="L23" s="24">
        <v>49</v>
      </c>
      <c r="M23" s="24">
        <v>8</v>
      </c>
      <c r="N23" s="7"/>
      <c r="P23" s="87">
        <v>16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13</v>
      </c>
      <c r="AA23" s="24">
        <v>53</v>
      </c>
      <c r="AB23" s="24">
        <v>27</v>
      </c>
      <c r="AC23" s="7"/>
    </row>
    <row r="24" spans="1:29">
      <c r="A24" s="23">
        <v>17</v>
      </c>
      <c r="B24" s="24">
        <v>38</v>
      </c>
      <c r="C24" s="24">
        <v>0</v>
      </c>
      <c r="D24" s="24">
        <v>64</v>
      </c>
      <c r="E24" s="24">
        <v>17</v>
      </c>
      <c r="F24" s="24">
        <v>0</v>
      </c>
      <c r="G24" s="24">
        <v>0</v>
      </c>
      <c r="H24" s="24">
        <v>38</v>
      </c>
      <c r="I24" s="24">
        <v>0</v>
      </c>
      <c r="J24" s="24">
        <v>4</v>
      </c>
      <c r="K24" s="24">
        <v>19</v>
      </c>
      <c r="L24" s="24">
        <v>0</v>
      </c>
      <c r="M24" s="24">
        <v>10</v>
      </c>
      <c r="N24" s="7"/>
      <c r="P24" s="87">
        <v>17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15</v>
      </c>
      <c r="Z24" s="24">
        <v>7</v>
      </c>
      <c r="AA24" s="24">
        <v>3</v>
      </c>
      <c r="AB24" s="24">
        <v>0</v>
      </c>
      <c r="AC24" s="7"/>
    </row>
    <row r="25" spans="1:29">
      <c r="A25" s="23">
        <v>18</v>
      </c>
      <c r="B25" s="24">
        <v>6</v>
      </c>
      <c r="C25" s="24">
        <v>0</v>
      </c>
      <c r="D25" s="24">
        <v>10</v>
      </c>
      <c r="E25" s="24">
        <v>7</v>
      </c>
      <c r="F25" s="24">
        <v>0</v>
      </c>
      <c r="G25" s="24">
        <v>10</v>
      </c>
      <c r="H25" s="24">
        <v>13</v>
      </c>
      <c r="I25" s="24">
        <v>0</v>
      </c>
      <c r="J25" s="24">
        <v>0</v>
      </c>
      <c r="K25" s="24">
        <v>0</v>
      </c>
      <c r="L25" s="24">
        <v>0</v>
      </c>
      <c r="M25" s="24">
        <v>4</v>
      </c>
      <c r="N25" s="7"/>
      <c r="P25" s="87">
        <v>18</v>
      </c>
      <c r="Q25" s="24">
        <v>0</v>
      </c>
      <c r="R25" s="24">
        <v>0</v>
      </c>
      <c r="S25" s="24">
        <v>2</v>
      </c>
      <c r="T25" s="24">
        <v>0</v>
      </c>
      <c r="U25" s="24">
        <v>0</v>
      </c>
      <c r="V25" s="24">
        <v>0</v>
      </c>
      <c r="W25" s="24">
        <v>10</v>
      </c>
      <c r="X25" s="24">
        <v>0</v>
      </c>
      <c r="Y25" s="24">
        <v>0</v>
      </c>
      <c r="Z25" s="24">
        <v>5</v>
      </c>
      <c r="AA25" s="24">
        <v>21</v>
      </c>
      <c r="AB25" s="24">
        <v>10</v>
      </c>
      <c r="AC25" s="7"/>
    </row>
    <row r="26" spans="1:29">
      <c r="A26" s="23">
        <v>19</v>
      </c>
      <c r="B26" s="24">
        <v>0</v>
      </c>
      <c r="C26" s="24">
        <v>0</v>
      </c>
      <c r="D26" s="24">
        <v>17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4">
        <v>3</v>
      </c>
      <c r="M26" s="24">
        <v>0</v>
      </c>
      <c r="N26" s="7"/>
      <c r="P26" s="87">
        <v>19</v>
      </c>
      <c r="Q26" s="24">
        <v>0</v>
      </c>
      <c r="R26" s="24">
        <v>9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73</v>
      </c>
      <c r="AA26" s="24">
        <v>0</v>
      </c>
      <c r="AB26" s="24">
        <v>5</v>
      </c>
      <c r="AC26" s="7"/>
    </row>
    <row r="27" spans="1:29">
      <c r="A27" s="23">
        <v>20</v>
      </c>
      <c r="B27" s="24">
        <v>50</v>
      </c>
      <c r="C27" s="24">
        <v>0</v>
      </c>
      <c r="D27" s="24">
        <v>20</v>
      </c>
      <c r="E27" s="24">
        <v>9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19</v>
      </c>
      <c r="L27" s="24">
        <v>13</v>
      </c>
      <c r="M27" s="24">
        <v>0</v>
      </c>
      <c r="N27" s="7"/>
      <c r="P27" s="87">
        <v>20</v>
      </c>
      <c r="Q27" s="24">
        <v>0</v>
      </c>
      <c r="R27" s="24">
        <v>19</v>
      </c>
      <c r="S27" s="24">
        <v>0</v>
      </c>
      <c r="T27" s="24">
        <v>24</v>
      </c>
      <c r="U27" s="24">
        <v>17</v>
      </c>
      <c r="V27" s="24">
        <v>0</v>
      </c>
      <c r="W27" s="24">
        <v>0</v>
      </c>
      <c r="X27" s="24">
        <v>0</v>
      </c>
      <c r="Y27" s="24">
        <v>44</v>
      </c>
      <c r="Z27" s="24">
        <v>32</v>
      </c>
      <c r="AA27" s="24">
        <v>25</v>
      </c>
      <c r="AB27" s="24">
        <v>42</v>
      </c>
      <c r="AC27" s="7"/>
    </row>
    <row r="28" spans="1:29">
      <c r="A28" s="23">
        <v>21</v>
      </c>
      <c r="B28" s="24">
        <v>9</v>
      </c>
      <c r="C28" s="24">
        <v>0</v>
      </c>
      <c r="D28" s="24">
        <v>5</v>
      </c>
      <c r="E28" s="24">
        <v>69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78</v>
      </c>
      <c r="L28" s="24">
        <v>0</v>
      </c>
      <c r="M28" s="24">
        <v>4</v>
      </c>
      <c r="N28" s="7"/>
      <c r="P28" s="87">
        <v>21</v>
      </c>
      <c r="Q28" s="24">
        <v>0</v>
      </c>
      <c r="R28" s="24">
        <v>0</v>
      </c>
      <c r="S28" s="24">
        <v>0</v>
      </c>
      <c r="T28" s="24">
        <v>0</v>
      </c>
      <c r="U28" s="24">
        <v>87</v>
      </c>
      <c r="V28" s="24">
        <v>0</v>
      </c>
      <c r="W28" s="24">
        <v>0</v>
      </c>
      <c r="X28" s="24">
        <v>5</v>
      </c>
      <c r="Y28" s="24">
        <v>24</v>
      </c>
      <c r="Z28" s="24">
        <v>10</v>
      </c>
      <c r="AA28" s="24">
        <v>6</v>
      </c>
      <c r="AB28" s="24">
        <v>5</v>
      </c>
      <c r="AC28" s="7"/>
    </row>
    <row r="29" spans="1:29">
      <c r="A29" s="23">
        <v>22</v>
      </c>
      <c r="B29" s="24">
        <v>15</v>
      </c>
      <c r="C29" s="24">
        <v>20</v>
      </c>
      <c r="D29" s="24">
        <v>17</v>
      </c>
      <c r="E29" s="24">
        <v>2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98</v>
      </c>
      <c r="M29" s="24">
        <v>9</v>
      </c>
      <c r="N29" s="7"/>
      <c r="P29" s="87">
        <v>22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3</v>
      </c>
      <c r="Z29" s="24">
        <v>10</v>
      </c>
      <c r="AA29" s="24">
        <v>9</v>
      </c>
      <c r="AB29" s="24">
        <v>30</v>
      </c>
      <c r="AC29" s="7"/>
    </row>
    <row r="30" spans="1:29">
      <c r="A30" s="23">
        <v>23</v>
      </c>
      <c r="B30" s="24">
        <v>33</v>
      </c>
      <c r="C30" s="24">
        <v>0</v>
      </c>
      <c r="D30" s="24">
        <v>0</v>
      </c>
      <c r="E30" s="24">
        <v>0</v>
      </c>
      <c r="F30" s="24">
        <v>22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5</v>
      </c>
      <c r="M30" s="24">
        <v>9</v>
      </c>
      <c r="N30" s="7"/>
      <c r="P30" s="87">
        <v>23</v>
      </c>
      <c r="Q30" s="24">
        <v>0</v>
      </c>
      <c r="R30" s="24">
        <v>13</v>
      </c>
      <c r="S30" s="24">
        <v>0</v>
      </c>
      <c r="T30" s="24">
        <v>10</v>
      </c>
      <c r="U30" s="24">
        <v>10</v>
      </c>
      <c r="V30" s="24">
        <v>0</v>
      </c>
      <c r="W30" s="24">
        <v>0</v>
      </c>
      <c r="X30" s="24">
        <v>0</v>
      </c>
      <c r="Y30" s="24">
        <v>4</v>
      </c>
      <c r="Z30" s="24">
        <v>15</v>
      </c>
      <c r="AA30" s="24">
        <v>6</v>
      </c>
      <c r="AB30" s="24">
        <v>7</v>
      </c>
      <c r="AC30" s="7"/>
    </row>
    <row r="31" spans="1:29">
      <c r="A31" s="23">
        <v>24</v>
      </c>
      <c r="B31" s="24">
        <v>0</v>
      </c>
      <c r="C31" s="24">
        <v>0</v>
      </c>
      <c r="D31" s="24">
        <v>0</v>
      </c>
      <c r="E31" s="24">
        <v>0</v>
      </c>
      <c r="F31" s="24">
        <v>12</v>
      </c>
      <c r="G31" s="24">
        <v>0</v>
      </c>
      <c r="H31" s="24">
        <v>8</v>
      </c>
      <c r="I31" s="24">
        <v>14</v>
      </c>
      <c r="J31" s="24">
        <v>2</v>
      </c>
      <c r="K31" s="24">
        <v>0</v>
      </c>
      <c r="L31" s="24">
        <v>0</v>
      </c>
      <c r="M31" s="24">
        <v>0</v>
      </c>
      <c r="N31" s="7"/>
      <c r="P31" s="87">
        <v>24</v>
      </c>
      <c r="Q31" s="24">
        <v>34</v>
      </c>
      <c r="R31" s="24">
        <v>16</v>
      </c>
      <c r="S31" s="24">
        <v>0</v>
      </c>
      <c r="T31" s="24">
        <v>4</v>
      </c>
      <c r="U31" s="24">
        <v>0</v>
      </c>
      <c r="V31" s="24">
        <v>11</v>
      </c>
      <c r="W31" s="24">
        <v>0</v>
      </c>
      <c r="X31" s="24">
        <v>0</v>
      </c>
      <c r="Y31" s="24">
        <v>0</v>
      </c>
      <c r="Z31" s="24">
        <v>0</v>
      </c>
      <c r="AA31" s="24">
        <v>0</v>
      </c>
      <c r="AB31" s="24">
        <v>13</v>
      </c>
      <c r="AC31" s="7"/>
    </row>
    <row r="32" spans="1:29">
      <c r="A32" s="23">
        <v>25</v>
      </c>
      <c r="B32" s="24">
        <v>7</v>
      </c>
      <c r="C32" s="24">
        <v>0</v>
      </c>
      <c r="D32" s="24">
        <v>2</v>
      </c>
      <c r="E32" s="24">
        <v>0</v>
      </c>
      <c r="F32" s="24">
        <v>3</v>
      </c>
      <c r="G32" s="24">
        <v>0</v>
      </c>
      <c r="H32" s="24">
        <v>0</v>
      </c>
      <c r="I32" s="24">
        <v>6</v>
      </c>
      <c r="J32" s="24">
        <v>0</v>
      </c>
      <c r="K32" s="24">
        <v>0</v>
      </c>
      <c r="L32" s="24">
        <v>10</v>
      </c>
      <c r="M32" s="24">
        <v>0</v>
      </c>
      <c r="N32" s="7"/>
      <c r="P32" s="87">
        <v>25</v>
      </c>
      <c r="Q32" s="24">
        <v>0</v>
      </c>
      <c r="R32" s="24">
        <v>25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54</v>
      </c>
      <c r="AA32" s="24">
        <v>4</v>
      </c>
      <c r="AB32" s="24">
        <v>0</v>
      </c>
      <c r="AC32" s="7"/>
    </row>
    <row r="33" spans="1:29">
      <c r="A33" s="23">
        <v>26</v>
      </c>
      <c r="B33" s="24">
        <v>1</v>
      </c>
      <c r="C33" s="24">
        <v>0</v>
      </c>
      <c r="D33" s="24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4">
        <v>1</v>
      </c>
      <c r="K33" s="24">
        <v>0</v>
      </c>
      <c r="L33" s="24">
        <v>10</v>
      </c>
      <c r="M33" s="24">
        <v>0</v>
      </c>
      <c r="N33" s="7"/>
      <c r="P33" s="87">
        <v>26</v>
      </c>
      <c r="Q33" s="24">
        <v>0</v>
      </c>
      <c r="R33" s="24">
        <v>35</v>
      </c>
      <c r="S33" s="24">
        <v>0</v>
      </c>
      <c r="T33" s="24">
        <v>3</v>
      </c>
      <c r="U33" s="24">
        <v>0</v>
      </c>
      <c r="V33" s="24">
        <v>10</v>
      </c>
      <c r="W33" s="24">
        <v>7</v>
      </c>
      <c r="X33" s="24">
        <v>71</v>
      </c>
      <c r="Y33" s="24">
        <v>0</v>
      </c>
      <c r="Z33" s="24">
        <v>0</v>
      </c>
      <c r="AA33" s="24">
        <v>23</v>
      </c>
      <c r="AB33" s="24">
        <v>12</v>
      </c>
      <c r="AC33" s="7"/>
    </row>
    <row r="34" spans="1:29">
      <c r="A34" s="23">
        <v>27</v>
      </c>
      <c r="B34" s="24">
        <v>8</v>
      </c>
      <c r="C34" s="24">
        <v>0</v>
      </c>
      <c r="D34" s="24">
        <v>0</v>
      </c>
      <c r="E34" s="24">
        <v>0</v>
      </c>
      <c r="F34" s="24">
        <v>14</v>
      </c>
      <c r="G34" s="24">
        <v>0</v>
      </c>
      <c r="H34" s="24">
        <v>0</v>
      </c>
      <c r="I34" s="24">
        <v>1</v>
      </c>
      <c r="J34" s="24">
        <v>39</v>
      </c>
      <c r="K34" s="24">
        <v>0</v>
      </c>
      <c r="L34" s="24">
        <v>32</v>
      </c>
      <c r="M34" s="24">
        <v>13</v>
      </c>
      <c r="N34" s="7"/>
      <c r="P34" s="87">
        <v>27</v>
      </c>
      <c r="Q34" s="24">
        <v>3</v>
      </c>
      <c r="R34" s="24">
        <v>2</v>
      </c>
      <c r="S34" s="24">
        <v>0</v>
      </c>
      <c r="T34" s="24">
        <v>0</v>
      </c>
      <c r="U34" s="24">
        <v>29</v>
      </c>
      <c r="V34" s="24">
        <v>0</v>
      </c>
      <c r="W34" s="24">
        <v>0</v>
      </c>
      <c r="X34" s="24">
        <v>0</v>
      </c>
      <c r="Y34" s="24">
        <v>0</v>
      </c>
      <c r="Z34" s="24">
        <v>29</v>
      </c>
      <c r="AA34" s="24">
        <v>0</v>
      </c>
      <c r="AB34" s="24">
        <v>0</v>
      </c>
      <c r="AC34" s="7"/>
    </row>
    <row r="35" spans="1:29">
      <c r="A35" s="23">
        <v>28</v>
      </c>
      <c r="B35" s="24">
        <v>5</v>
      </c>
      <c r="C35" s="24">
        <v>0</v>
      </c>
      <c r="D35" s="24">
        <v>0</v>
      </c>
      <c r="E35" s="24">
        <v>0</v>
      </c>
      <c r="F35" s="24">
        <v>11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28</v>
      </c>
      <c r="N35" s="7"/>
      <c r="P35" s="87">
        <v>28</v>
      </c>
      <c r="Q35" s="24">
        <v>27</v>
      </c>
      <c r="R35" s="24">
        <v>0</v>
      </c>
      <c r="S35" s="24">
        <v>4</v>
      </c>
      <c r="T35" s="24">
        <v>8</v>
      </c>
      <c r="U35" s="24">
        <v>36</v>
      </c>
      <c r="V35" s="24">
        <v>0</v>
      </c>
      <c r="W35" s="24">
        <v>0</v>
      </c>
      <c r="X35" s="24">
        <v>6</v>
      </c>
      <c r="Y35" s="24">
        <v>0</v>
      </c>
      <c r="Z35" s="24">
        <v>3</v>
      </c>
      <c r="AA35" s="24">
        <v>20</v>
      </c>
      <c r="AB35" s="24">
        <v>0</v>
      </c>
      <c r="AC35" s="7"/>
    </row>
    <row r="36" spans="1:29">
      <c r="A36" s="23">
        <v>29</v>
      </c>
      <c r="B36" s="24">
        <v>0</v>
      </c>
      <c r="C36" s="24"/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19</v>
      </c>
      <c r="M36" s="24">
        <v>17</v>
      </c>
      <c r="N36" s="7"/>
      <c r="P36" s="87">
        <v>29</v>
      </c>
      <c r="Q36" s="24">
        <v>0</v>
      </c>
      <c r="R36" s="24">
        <v>0</v>
      </c>
      <c r="S36" s="24">
        <v>0</v>
      </c>
      <c r="T36" s="24">
        <v>3</v>
      </c>
      <c r="U36" s="24">
        <v>95</v>
      </c>
      <c r="V36" s="24">
        <v>0</v>
      </c>
      <c r="W36" s="24">
        <v>0</v>
      </c>
      <c r="X36" s="24">
        <v>0</v>
      </c>
      <c r="Y36" s="24">
        <v>0</v>
      </c>
      <c r="Z36" s="24">
        <v>1</v>
      </c>
      <c r="AA36" s="24">
        <v>3</v>
      </c>
      <c r="AB36" s="24">
        <v>0</v>
      </c>
      <c r="AC36" s="7"/>
    </row>
    <row r="37" spans="1:29">
      <c r="A37" s="23">
        <v>30</v>
      </c>
      <c r="B37" s="24">
        <v>19</v>
      </c>
      <c r="C37" s="24"/>
      <c r="D37" s="24">
        <v>0</v>
      </c>
      <c r="E37" s="24">
        <v>25</v>
      </c>
      <c r="F37" s="24">
        <v>0</v>
      </c>
      <c r="G37" s="24">
        <v>0</v>
      </c>
      <c r="H37" s="24">
        <v>1</v>
      </c>
      <c r="I37" s="24">
        <v>0</v>
      </c>
      <c r="J37" s="24">
        <v>34</v>
      </c>
      <c r="K37" s="24">
        <v>0</v>
      </c>
      <c r="L37" s="24">
        <v>0</v>
      </c>
      <c r="M37" s="24">
        <v>0</v>
      </c>
      <c r="N37" s="7"/>
      <c r="P37" s="87">
        <v>30</v>
      </c>
      <c r="Q37" s="24">
        <v>0</v>
      </c>
      <c r="R37" s="24"/>
      <c r="S37" s="24">
        <v>0</v>
      </c>
      <c r="T37" s="24">
        <v>64</v>
      </c>
      <c r="U37" s="24">
        <v>15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  <c r="AC37" s="7"/>
    </row>
    <row r="38" spans="1:29">
      <c r="A38" s="23">
        <v>31</v>
      </c>
      <c r="B38" s="24">
        <v>0</v>
      </c>
      <c r="C38" s="24"/>
      <c r="D38" s="24">
        <v>0</v>
      </c>
      <c r="E38" s="24"/>
      <c r="F38" s="24">
        <v>0</v>
      </c>
      <c r="G38" s="24"/>
      <c r="H38" s="24">
        <v>2</v>
      </c>
      <c r="I38" s="24">
        <v>0</v>
      </c>
      <c r="J38" s="24"/>
      <c r="K38" s="24">
        <v>5</v>
      </c>
      <c r="L38" s="24">
        <v>0</v>
      </c>
      <c r="M38" s="24">
        <v>12</v>
      </c>
      <c r="N38" s="7"/>
      <c r="P38" s="87">
        <v>31</v>
      </c>
      <c r="Q38" s="24">
        <v>0</v>
      </c>
      <c r="R38" s="24"/>
      <c r="S38" s="24">
        <v>7</v>
      </c>
      <c r="T38" s="24"/>
      <c r="U38" s="24">
        <v>5</v>
      </c>
      <c r="V38" s="24"/>
      <c r="W38" s="24">
        <v>0</v>
      </c>
      <c r="X38" s="24">
        <v>0</v>
      </c>
      <c r="Y38" s="24"/>
      <c r="Z38" s="24">
        <v>40</v>
      </c>
      <c r="AA38" s="24"/>
      <c r="AB38" s="24">
        <v>43</v>
      </c>
      <c r="AC38" s="7"/>
    </row>
    <row r="39" spans="1:29">
      <c r="A39" s="25"/>
      <c r="B39" s="26"/>
      <c r="C39" s="26"/>
      <c r="D39" s="26"/>
      <c r="E39" s="27"/>
      <c r="F39" s="26"/>
      <c r="G39" s="26"/>
      <c r="H39" s="26"/>
      <c r="I39" s="26"/>
      <c r="J39" s="26"/>
      <c r="K39" s="26"/>
      <c r="L39" s="28"/>
      <c r="M39" s="29"/>
      <c r="N39" s="7"/>
      <c r="P39" s="88"/>
      <c r="Q39" s="89"/>
      <c r="R39" s="89"/>
      <c r="S39" s="89"/>
      <c r="T39" s="90"/>
      <c r="U39" s="89"/>
      <c r="V39" s="89"/>
      <c r="W39" s="89"/>
      <c r="X39" s="89"/>
      <c r="Y39" s="89"/>
      <c r="Z39" s="89"/>
      <c r="AA39" s="89"/>
      <c r="AB39" s="91"/>
      <c r="AC39" s="7"/>
    </row>
    <row r="40" spans="1:29">
      <c r="A40" s="23" t="s">
        <v>65</v>
      </c>
      <c r="B40" s="30">
        <f t="shared" ref="B40:M40" si="0">SUM(B8:B38)</f>
        <v>288</v>
      </c>
      <c r="C40" s="30">
        <f t="shared" si="0"/>
        <v>60</v>
      </c>
      <c r="D40" s="30">
        <f t="shared" si="0"/>
        <v>194</v>
      </c>
      <c r="E40" s="30">
        <f t="shared" si="0"/>
        <v>304</v>
      </c>
      <c r="F40" s="30">
        <f t="shared" si="0"/>
        <v>278</v>
      </c>
      <c r="G40" s="30">
        <f t="shared" si="0"/>
        <v>190</v>
      </c>
      <c r="H40" s="30">
        <f t="shared" si="0"/>
        <v>69</v>
      </c>
      <c r="I40" s="30">
        <f t="shared" si="0"/>
        <v>29</v>
      </c>
      <c r="J40" s="30">
        <f t="shared" si="0"/>
        <v>255</v>
      </c>
      <c r="K40" s="30">
        <f t="shared" si="0"/>
        <v>211</v>
      </c>
      <c r="L40" s="30">
        <f t="shared" si="0"/>
        <v>525</v>
      </c>
      <c r="M40" s="30">
        <f t="shared" si="0"/>
        <v>329</v>
      </c>
      <c r="N40" s="9">
        <f>SUM(B40:M40)</f>
        <v>2732</v>
      </c>
      <c r="P40" s="25" t="s">
        <v>65</v>
      </c>
      <c r="Q40" s="92">
        <f>SUM(Q8:Q38)</f>
        <v>150</v>
      </c>
      <c r="R40" s="92">
        <f t="shared" ref="R40:AB40" si="1">SUM(R8:R38)</f>
        <v>247</v>
      </c>
      <c r="S40" s="92">
        <f t="shared" si="1"/>
        <v>158</v>
      </c>
      <c r="T40" s="92">
        <f t="shared" si="1"/>
        <v>213</v>
      </c>
      <c r="U40" s="92">
        <f t="shared" si="1"/>
        <v>331</v>
      </c>
      <c r="V40" s="92">
        <f t="shared" si="1"/>
        <v>93</v>
      </c>
      <c r="W40" s="92">
        <f t="shared" si="1"/>
        <v>333</v>
      </c>
      <c r="X40" s="92">
        <f t="shared" si="1"/>
        <v>87</v>
      </c>
      <c r="Y40" s="92">
        <f t="shared" si="1"/>
        <v>154</v>
      </c>
      <c r="Z40" s="92">
        <f t="shared" si="1"/>
        <v>481</v>
      </c>
      <c r="AA40" s="92">
        <f t="shared" si="1"/>
        <v>455</v>
      </c>
      <c r="AB40" s="93">
        <f t="shared" si="1"/>
        <v>464</v>
      </c>
      <c r="AC40" s="9">
        <f>SUM(Q40:AB40)</f>
        <v>3166</v>
      </c>
    </row>
    <row r="41" spans="1:29">
      <c r="A41" s="23" t="s">
        <v>66</v>
      </c>
      <c r="B41" s="30">
        <f t="shared" ref="B41:M41" si="2">MAX(B8:B38)</f>
        <v>50</v>
      </c>
      <c r="C41" s="30">
        <f t="shared" si="2"/>
        <v>22</v>
      </c>
      <c r="D41" s="30">
        <f t="shared" si="2"/>
        <v>64</v>
      </c>
      <c r="E41" s="30">
        <f t="shared" si="2"/>
        <v>69</v>
      </c>
      <c r="F41" s="30">
        <f t="shared" si="2"/>
        <v>48</v>
      </c>
      <c r="G41" s="30">
        <f t="shared" si="2"/>
        <v>74</v>
      </c>
      <c r="H41" s="30">
        <f t="shared" si="2"/>
        <v>38</v>
      </c>
      <c r="I41" s="30">
        <f t="shared" si="2"/>
        <v>14</v>
      </c>
      <c r="J41" s="30">
        <f t="shared" si="2"/>
        <v>103</v>
      </c>
      <c r="K41" s="30">
        <f t="shared" si="2"/>
        <v>78</v>
      </c>
      <c r="L41" s="30">
        <f t="shared" si="2"/>
        <v>98</v>
      </c>
      <c r="M41" s="30">
        <f t="shared" si="2"/>
        <v>100</v>
      </c>
      <c r="N41" s="9">
        <f>MAX(B41:M41)</f>
        <v>103</v>
      </c>
      <c r="P41" s="88" t="s">
        <v>66</v>
      </c>
      <c r="Q41" s="94">
        <f>MAX(Q8:Q38)</f>
        <v>34</v>
      </c>
      <c r="R41" s="94">
        <f t="shared" ref="R41:AA41" si="3">MAX(R8:R38)</f>
        <v>44</v>
      </c>
      <c r="S41" s="94">
        <f t="shared" si="3"/>
        <v>50</v>
      </c>
      <c r="T41" s="94">
        <f t="shared" si="3"/>
        <v>64</v>
      </c>
      <c r="U41" s="94">
        <f t="shared" si="3"/>
        <v>95</v>
      </c>
      <c r="V41" s="94">
        <f t="shared" si="3"/>
        <v>30</v>
      </c>
      <c r="W41" s="94">
        <f t="shared" si="3"/>
        <v>118</v>
      </c>
      <c r="X41" s="94">
        <f t="shared" si="3"/>
        <v>71</v>
      </c>
      <c r="Y41" s="94">
        <f t="shared" si="3"/>
        <v>44</v>
      </c>
      <c r="Z41" s="94">
        <f t="shared" si="3"/>
        <v>73</v>
      </c>
      <c r="AA41" s="94">
        <f t="shared" si="3"/>
        <v>75</v>
      </c>
      <c r="AB41" s="30">
        <f>MAX(AB8:AB38)</f>
        <v>61</v>
      </c>
      <c r="AC41" s="9">
        <f>MAX(Q41:AB41)</f>
        <v>118</v>
      </c>
    </row>
    <row r="42" spans="1:29">
      <c r="A42" s="31"/>
      <c r="B42" s="7"/>
      <c r="C42" s="7"/>
      <c r="D42" s="7"/>
      <c r="E42" s="7"/>
      <c r="F42" s="7"/>
      <c r="G42" s="7"/>
      <c r="H42" s="32"/>
      <c r="I42" s="7"/>
      <c r="J42" s="7"/>
      <c r="K42" s="7"/>
      <c r="L42" s="7"/>
      <c r="M42" s="7"/>
      <c r="N42" s="7"/>
      <c r="P42" s="95"/>
      <c r="Q42" s="7"/>
      <c r="R42" s="7"/>
      <c r="S42" s="7"/>
      <c r="T42" s="7"/>
      <c r="U42" s="7"/>
      <c r="V42" s="7"/>
      <c r="W42" s="32"/>
      <c r="X42" s="7"/>
      <c r="Y42" s="7"/>
      <c r="Z42" s="7"/>
      <c r="AA42" s="7"/>
      <c r="AB42" s="7"/>
      <c r="AC42" s="7"/>
    </row>
    <row r="43" spans="1:29">
      <c r="A43" s="33" t="s">
        <v>67</v>
      </c>
      <c r="B43" s="34">
        <v>0</v>
      </c>
      <c r="C43" s="35" t="s">
        <v>68</v>
      </c>
      <c r="D43" s="19"/>
      <c r="E43" s="7"/>
      <c r="F43" s="7"/>
      <c r="G43" s="7"/>
      <c r="H43" s="32"/>
      <c r="I43" s="7"/>
      <c r="J43" s="7"/>
      <c r="K43" s="7"/>
      <c r="L43" s="7"/>
      <c r="M43" s="7"/>
      <c r="N43" s="7"/>
      <c r="P43" s="96" t="s">
        <v>67</v>
      </c>
      <c r="Q43" s="34">
        <v>0</v>
      </c>
      <c r="R43" s="35" t="s">
        <v>68</v>
      </c>
      <c r="S43" s="19"/>
      <c r="T43" s="7"/>
      <c r="U43" s="7"/>
      <c r="V43" s="7"/>
      <c r="W43" s="32"/>
      <c r="X43" s="7"/>
      <c r="Y43" s="7"/>
      <c r="Z43" s="7"/>
      <c r="AA43" s="7"/>
      <c r="AB43" s="7"/>
      <c r="AC43" s="7"/>
    </row>
    <row r="45" spans="1:29" ht="18">
      <c r="A45" s="1" t="s">
        <v>41</v>
      </c>
      <c r="B45" s="2"/>
      <c r="C45" s="2"/>
      <c r="D45" s="2"/>
      <c r="E45" s="3">
        <v>2003</v>
      </c>
      <c r="F45" s="4"/>
      <c r="G45" s="4"/>
      <c r="H45" s="5"/>
      <c r="I45" s="4"/>
      <c r="J45" s="4"/>
      <c r="K45" s="4"/>
      <c r="L45" s="4"/>
      <c r="M45" s="6"/>
      <c r="N45" s="7"/>
      <c r="P45" s="1" t="s">
        <v>41</v>
      </c>
      <c r="Q45" s="2"/>
      <c r="R45" s="2"/>
      <c r="S45" s="2"/>
      <c r="T45" s="3">
        <v>2013</v>
      </c>
      <c r="U45" s="4"/>
      <c r="V45" s="4"/>
      <c r="W45" s="5"/>
      <c r="X45" s="4"/>
      <c r="Y45" s="4"/>
      <c r="Z45" s="4"/>
      <c r="AA45" s="4"/>
      <c r="AB45" s="6"/>
      <c r="AC45" s="7"/>
    </row>
    <row r="46" spans="1:29">
      <c r="A46" s="8"/>
      <c r="B46" s="9"/>
      <c r="C46" s="9"/>
      <c r="D46" s="9"/>
      <c r="E46" s="10"/>
      <c r="F46" s="10"/>
      <c r="G46" s="10"/>
      <c r="H46" s="11"/>
      <c r="I46" s="9"/>
      <c r="J46" s="9"/>
      <c r="K46" s="9"/>
      <c r="L46" s="9"/>
      <c r="M46" s="12"/>
      <c r="N46" s="7"/>
      <c r="P46" s="8"/>
      <c r="Q46" s="9"/>
      <c r="R46" s="9"/>
      <c r="S46" s="9"/>
      <c r="T46" s="10"/>
      <c r="U46" s="10"/>
      <c r="V46" s="10"/>
      <c r="W46" s="11"/>
      <c r="X46" s="9"/>
      <c r="Y46" s="9"/>
      <c r="Z46" s="9"/>
      <c r="AA46" s="9"/>
      <c r="AB46" s="12"/>
      <c r="AC46" s="7"/>
    </row>
    <row r="47" spans="1:29" ht="15.75">
      <c r="A47" s="13" t="s">
        <v>42</v>
      </c>
      <c r="B47" s="14"/>
      <c r="C47" s="14" t="s">
        <v>43</v>
      </c>
      <c r="D47" s="14"/>
      <c r="E47" s="14"/>
      <c r="F47" s="14"/>
      <c r="G47" s="14"/>
      <c r="H47" s="15"/>
      <c r="I47" s="14"/>
      <c r="J47" s="14" t="s">
        <v>44</v>
      </c>
      <c r="K47" s="14" t="s">
        <v>45</v>
      </c>
      <c r="L47" s="14"/>
      <c r="M47" s="12"/>
      <c r="N47" s="7"/>
      <c r="P47" s="13" t="s">
        <v>42</v>
      </c>
      <c r="Q47" s="14"/>
      <c r="R47" s="14" t="s">
        <v>43</v>
      </c>
      <c r="S47" s="14"/>
      <c r="T47" s="14"/>
      <c r="U47" s="14"/>
      <c r="V47" s="14"/>
      <c r="W47" s="15"/>
      <c r="X47" s="14"/>
      <c r="Y47" s="14" t="s">
        <v>44</v>
      </c>
      <c r="Z47" s="14" t="s">
        <v>45</v>
      </c>
      <c r="AA47" s="14"/>
      <c r="AB47" s="12"/>
      <c r="AC47" s="7"/>
    </row>
    <row r="48" spans="1:29" ht="15.75">
      <c r="A48" s="13" t="s">
        <v>46</v>
      </c>
      <c r="B48" s="14"/>
      <c r="C48" s="14" t="s">
        <v>47</v>
      </c>
      <c r="D48" s="14"/>
      <c r="E48" s="14"/>
      <c r="F48" s="14"/>
      <c r="G48" s="14"/>
      <c r="H48" s="15"/>
      <c r="I48" s="14"/>
      <c r="J48" s="14" t="s">
        <v>48</v>
      </c>
      <c r="K48" s="14" t="s">
        <v>45</v>
      </c>
      <c r="L48" s="14"/>
      <c r="M48" s="12"/>
      <c r="N48" s="7"/>
      <c r="P48" s="13" t="s">
        <v>46</v>
      </c>
      <c r="Q48" s="14"/>
      <c r="R48" s="14" t="s">
        <v>47</v>
      </c>
      <c r="S48" s="14"/>
      <c r="T48" s="14"/>
      <c r="U48" s="14"/>
      <c r="V48" s="14"/>
      <c r="W48" s="15"/>
      <c r="X48" s="14"/>
      <c r="Y48" s="14" t="s">
        <v>48</v>
      </c>
      <c r="Z48" s="14" t="s">
        <v>45</v>
      </c>
      <c r="AA48" s="14"/>
      <c r="AB48" s="12"/>
      <c r="AC48" s="7"/>
    </row>
    <row r="49" spans="1:29" ht="15.75">
      <c r="A49" s="13" t="s">
        <v>49</v>
      </c>
      <c r="B49" s="14"/>
      <c r="C49" s="14" t="s">
        <v>69</v>
      </c>
      <c r="D49" s="14"/>
      <c r="E49" s="14"/>
      <c r="F49" s="14"/>
      <c r="G49" s="14"/>
      <c r="H49" s="15"/>
      <c r="I49" s="14"/>
      <c r="J49" s="14" t="s">
        <v>51</v>
      </c>
      <c r="K49" s="14" t="s">
        <v>52</v>
      </c>
      <c r="L49" s="14"/>
      <c r="M49" s="12"/>
      <c r="N49" s="7"/>
      <c r="P49" s="13" t="s">
        <v>49</v>
      </c>
      <c r="Q49" s="14"/>
      <c r="R49" s="97">
        <f>T45</f>
        <v>2013</v>
      </c>
      <c r="S49" s="14"/>
      <c r="T49" s="14"/>
      <c r="U49" s="14"/>
      <c r="V49" s="14"/>
      <c r="W49" s="15"/>
      <c r="X49" s="14"/>
      <c r="Y49" s="14" t="s">
        <v>51</v>
      </c>
      <c r="Z49" s="14" t="s">
        <v>52</v>
      </c>
      <c r="AA49" s="14"/>
      <c r="AB49" s="12"/>
      <c r="AC49" s="7"/>
    </row>
    <row r="50" spans="1:29">
      <c r="A50" s="16"/>
      <c r="B50" s="10"/>
      <c r="C50" s="10"/>
      <c r="D50" s="10"/>
      <c r="E50" s="10"/>
      <c r="F50" s="10"/>
      <c r="G50" s="10"/>
      <c r="H50" s="17"/>
      <c r="I50" s="10"/>
      <c r="J50" s="10"/>
      <c r="K50" s="10"/>
      <c r="L50" s="10"/>
      <c r="M50" s="18"/>
      <c r="N50" s="19"/>
      <c r="P50" s="16"/>
      <c r="Q50" s="10"/>
      <c r="R50" s="10"/>
      <c r="S50" s="10"/>
      <c r="T50" s="10"/>
      <c r="U50" s="10"/>
      <c r="V50" s="10"/>
      <c r="W50" s="17"/>
      <c r="X50" s="10"/>
      <c r="Y50" s="10"/>
      <c r="Z50" s="10"/>
      <c r="AA50" s="10"/>
      <c r="AB50" s="18"/>
      <c r="AC50" s="19"/>
    </row>
    <row r="51" spans="1:29">
      <c r="A51" s="20" t="s">
        <v>53</v>
      </c>
      <c r="B51" s="21" t="s">
        <v>54</v>
      </c>
      <c r="C51" s="21" t="s">
        <v>55</v>
      </c>
      <c r="D51" s="21" t="s">
        <v>56</v>
      </c>
      <c r="E51" s="21" t="s">
        <v>57</v>
      </c>
      <c r="F51" s="21" t="s">
        <v>20</v>
      </c>
      <c r="G51" s="21" t="s">
        <v>58</v>
      </c>
      <c r="H51" s="21" t="s">
        <v>59</v>
      </c>
      <c r="I51" s="21" t="s">
        <v>60</v>
      </c>
      <c r="J51" s="21" t="s">
        <v>61</v>
      </c>
      <c r="K51" s="21" t="s">
        <v>62</v>
      </c>
      <c r="L51" s="21" t="s">
        <v>63</v>
      </c>
      <c r="M51" s="22" t="s">
        <v>64</v>
      </c>
      <c r="N51" s="19"/>
      <c r="P51" s="20" t="s">
        <v>53</v>
      </c>
      <c r="Q51" s="21" t="s">
        <v>54</v>
      </c>
      <c r="R51" s="21" t="s">
        <v>55</v>
      </c>
      <c r="S51" s="21" t="s">
        <v>56</v>
      </c>
      <c r="T51" s="21" t="s">
        <v>57</v>
      </c>
      <c r="U51" s="21" t="s">
        <v>20</v>
      </c>
      <c r="V51" s="21" t="s">
        <v>58</v>
      </c>
      <c r="W51" s="21" t="s">
        <v>59</v>
      </c>
      <c r="X51" s="21" t="s">
        <v>60</v>
      </c>
      <c r="Y51" s="21" t="s">
        <v>61</v>
      </c>
      <c r="Z51" s="21" t="s">
        <v>62</v>
      </c>
      <c r="AA51" s="21" t="s">
        <v>63</v>
      </c>
      <c r="AB51" s="22" t="s">
        <v>64</v>
      </c>
      <c r="AC51" s="19"/>
    </row>
    <row r="52" spans="1:29">
      <c r="A52" s="87">
        <v>1</v>
      </c>
      <c r="B52" s="98">
        <v>12</v>
      </c>
      <c r="C52" s="98">
        <v>6</v>
      </c>
      <c r="D52" s="98">
        <v>0</v>
      </c>
      <c r="E52" s="98">
        <v>30</v>
      </c>
      <c r="F52" s="98">
        <v>42</v>
      </c>
      <c r="G52" s="98">
        <v>0</v>
      </c>
      <c r="H52" s="98">
        <v>0</v>
      </c>
      <c r="I52" s="98">
        <v>53</v>
      </c>
      <c r="J52" s="98">
        <v>0</v>
      </c>
      <c r="K52" s="98">
        <v>0</v>
      </c>
      <c r="L52" s="98">
        <v>13</v>
      </c>
      <c r="M52" s="98">
        <v>130</v>
      </c>
      <c r="N52" s="7"/>
      <c r="P52" s="87">
        <v>1</v>
      </c>
      <c r="Q52" s="24">
        <v>49</v>
      </c>
      <c r="R52" s="24">
        <v>0</v>
      </c>
      <c r="S52" s="24">
        <v>0</v>
      </c>
      <c r="T52" s="24">
        <v>2</v>
      </c>
      <c r="U52" s="24">
        <v>13</v>
      </c>
      <c r="V52" s="24">
        <v>0</v>
      </c>
      <c r="W52" s="24">
        <v>34</v>
      </c>
      <c r="X52" s="24">
        <v>2</v>
      </c>
      <c r="Y52" s="24">
        <v>3</v>
      </c>
      <c r="Z52" s="24">
        <v>0</v>
      </c>
      <c r="AA52" s="24">
        <v>0</v>
      </c>
      <c r="AB52" s="24">
        <v>4</v>
      </c>
      <c r="AC52" s="7"/>
    </row>
    <row r="53" spans="1:29">
      <c r="A53" s="87">
        <v>2</v>
      </c>
      <c r="B53" s="98">
        <v>0</v>
      </c>
      <c r="C53" s="98">
        <v>6</v>
      </c>
      <c r="D53" s="98">
        <v>0</v>
      </c>
      <c r="E53" s="98">
        <v>56</v>
      </c>
      <c r="F53" s="98">
        <v>1</v>
      </c>
      <c r="G53" s="98">
        <v>0</v>
      </c>
      <c r="H53" s="98">
        <v>24</v>
      </c>
      <c r="I53" s="98">
        <v>2</v>
      </c>
      <c r="J53" s="98">
        <v>0</v>
      </c>
      <c r="K53" s="98">
        <v>0</v>
      </c>
      <c r="L53" s="98">
        <v>2</v>
      </c>
      <c r="M53" s="98">
        <v>8</v>
      </c>
      <c r="N53" s="7"/>
      <c r="P53" s="87">
        <v>2</v>
      </c>
      <c r="Q53" s="24">
        <v>0</v>
      </c>
      <c r="R53" s="24">
        <v>0</v>
      </c>
      <c r="S53" s="24">
        <v>0</v>
      </c>
      <c r="T53" s="24">
        <v>0</v>
      </c>
      <c r="U53" s="24">
        <v>4</v>
      </c>
      <c r="V53" s="24">
        <v>0</v>
      </c>
      <c r="W53" s="24">
        <v>0</v>
      </c>
      <c r="X53" s="24">
        <v>0</v>
      </c>
      <c r="Y53" s="24">
        <v>19</v>
      </c>
      <c r="Z53" s="24">
        <v>0</v>
      </c>
      <c r="AA53" s="24">
        <v>0</v>
      </c>
      <c r="AB53" s="24">
        <v>42</v>
      </c>
      <c r="AC53" s="7"/>
    </row>
    <row r="54" spans="1:29">
      <c r="A54" s="87">
        <v>3</v>
      </c>
      <c r="B54" s="98">
        <v>0</v>
      </c>
      <c r="C54" s="98">
        <v>16</v>
      </c>
      <c r="D54" s="98">
        <v>0</v>
      </c>
      <c r="E54" s="98">
        <v>8</v>
      </c>
      <c r="F54" s="98">
        <v>0</v>
      </c>
      <c r="G54" s="98">
        <v>0</v>
      </c>
      <c r="H54" s="98">
        <v>0</v>
      </c>
      <c r="I54" s="98">
        <v>0</v>
      </c>
      <c r="J54" s="98">
        <v>0</v>
      </c>
      <c r="K54" s="98">
        <v>14</v>
      </c>
      <c r="L54" s="98">
        <v>2</v>
      </c>
      <c r="M54" s="98">
        <v>42</v>
      </c>
      <c r="N54" s="7"/>
      <c r="P54" s="87">
        <v>3</v>
      </c>
      <c r="Q54" s="24">
        <v>3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12</v>
      </c>
      <c r="X54" s="24">
        <v>0</v>
      </c>
      <c r="Y54" s="24">
        <v>2</v>
      </c>
      <c r="Z54" s="24">
        <v>0</v>
      </c>
      <c r="AA54" s="24">
        <v>28</v>
      </c>
      <c r="AB54" s="24">
        <v>6</v>
      </c>
      <c r="AC54" s="7"/>
    </row>
    <row r="55" spans="1:29">
      <c r="A55" s="87">
        <v>4</v>
      </c>
      <c r="B55" s="98">
        <v>3</v>
      </c>
      <c r="C55" s="98">
        <v>0</v>
      </c>
      <c r="D55" s="98">
        <v>0</v>
      </c>
      <c r="E55" s="98">
        <v>0</v>
      </c>
      <c r="F55" s="98">
        <v>0</v>
      </c>
      <c r="G55" s="98">
        <v>0</v>
      </c>
      <c r="H55" s="98">
        <v>11</v>
      </c>
      <c r="I55" s="98">
        <v>0</v>
      </c>
      <c r="J55" s="98">
        <v>27</v>
      </c>
      <c r="K55" s="98">
        <v>12</v>
      </c>
      <c r="L55" s="98">
        <v>34</v>
      </c>
      <c r="M55" s="98">
        <v>0</v>
      </c>
      <c r="N55" s="7"/>
      <c r="P55" s="87">
        <v>4</v>
      </c>
      <c r="Q55" s="24">
        <v>0</v>
      </c>
      <c r="R55" s="24">
        <v>39</v>
      </c>
      <c r="S55" s="24">
        <v>0</v>
      </c>
      <c r="T55" s="24">
        <v>0</v>
      </c>
      <c r="U55" s="24">
        <v>87</v>
      </c>
      <c r="V55" s="24">
        <v>0</v>
      </c>
      <c r="W55" s="24">
        <v>7</v>
      </c>
      <c r="X55" s="24">
        <v>0</v>
      </c>
      <c r="Y55" s="24">
        <v>4</v>
      </c>
      <c r="Z55" s="24">
        <v>0</v>
      </c>
      <c r="AA55" s="24">
        <v>3</v>
      </c>
      <c r="AB55" s="24">
        <v>5</v>
      </c>
      <c r="AC55" s="7"/>
    </row>
    <row r="56" spans="1:29">
      <c r="A56" s="87">
        <v>5</v>
      </c>
      <c r="B56" s="98">
        <v>15</v>
      </c>
      <c r="C56" s="98">
        <v>0</v>
      </c>
      <c r="D56" s="98">
        <v>0</v>
      </c>
      <c r="E56" s="98">
        <v>0</v>
      </c>
      <c r="F56" s="98">
        <v>10</v>
      </c>
      <c r="G56" s="98">
        <v>3</v>
      </c>
      <c r="H56" s="98">
        <v>0</v>
      </c>
      <c r="I56" s="98">
        <v>0</v>
      </c>
      <c r="J56" s="98">
        <v>14</v>
      </c>
      <c r="K56" s="98">
        <v>0</v>
      </c>
      <c r="L56" s="98">
        <v>21</v>
      </c>
      <c r="M56" s="98">
        <v>0</v>
      </c>
      <c r="N56" s="7"/>
      <c r="P56" s="87">
        <v>5</v>
      </c>
      <c r="Q56" s="24">
        <v>0</v>
      </c>
      <c r="R56" s="24">
        <v>0</v>
      </c>
      <c r="S56" s="24">
        <v>0</v>
      </c>
      <c r="T56" s="24">
        <v>10</v>
      </c>
      <c r="U56" s="24">
        <v>2</v>
      </c>
      <c r="V56" s="24">
        <v>16</v>
      </c>
      <c r="W56" s="24">
        <v>0</v>
      </c>
      <c r="X56" s="24">
        <v>27</v>
      </c>
      <c r="Y56" s="24">
        <v>67</v>
      </c>
      <c r="Z56" s="24">
        <v>0</v>
      </c>
      <c r="AA56" s="24">
        <v>0</v>
      </c>
      <c r="AB56" s="24">
        <v>8</v>
      </c>
      <c r="AC56" s="7"/>
    </row>
    <row r="57" spans="1:29">
      <c r="A57" s="87">
        <v>6</v>
      </c>
      <c r="B57" s="98">
        <v>0</v>
      </c>
      <c r="C57" s="98">
        <v>11</v>
      </c>
      <c r="D57" s="98">
        <v>0</v>
      </c>
      <c r="E57" s="98">
        <v>2</v>
      </c>
      <c r="F57" s="98">
        <v>4</v>
      </c>
      <c r="G57" s="98">
        <v>0</v>
      </c>
      <c r="H57" s="98">
        <v>35</v>
      </c>
      <c r="I57" s="98">
        <v>0</v>
      </c>
      <c r="J57" s="98">
        <v>0</v>
      </c>
      <c r="K57" s="98">
        <v>63</v>
      </c>
      <c r="L57" s="98">
        <v>19</v>
      </c>
      <c r="M57" s="98">
        <v>54</v>
      </c>
      <c r="N57" s="7"/>
      <c r="P57" s="87">
        <v>6</v>
      </c>
      <c r="Q57" s="24">
        <v>0</v>
      </c>
      <c r="R57" s="24">
        <v>64</v>
      </c>
      <c r="S57" s="24">
        <v>31</v>
      </c>
      <c r="T57" s="24">
        <v>0</v>
      </c>
      <c r="U57" s="24">
        <v>31</v>
      </c>
      <c r="V57" s="24">
        <v>18</v>
      </c>
      <c r="W57" s="24">
        <v>59</v>
      </c>
      <c r="X57" s="24">
        <v>0</v>
      </c>
      <c r="Y57" s="24">
        <v>0</v>
      </c>
      <c r="Z57" s="24">
        <v>0</v>
      </c>
      <c r="AA57" s="24">
        <v>0</v>
      </c>
      <c r="AB57" s="24">
        <v>1</v>
      </c>
      <c r="AC57" s="7"/>
    </row>
    <row r="58" spans="1:29">
      <c r="A58" s="87">
        <v>7</v>
      </c>
      <c r="B58" s="98">
        <v>0</v>
      </c>
      <c r="C58" s="98">
        <v>3</v>
      </c>
      <c r="D58" s="98">
        <v>0</v>
      </c>
      <c r="E58" s="98">
        <v>37</v>
      </c>
      <c r="F58" s="98">
        <v>40</v>
      </c>
      <c r="G58" s="98">
        <v>0</v>
      </c>
      <c r="H58" s="98">
        <v>0</v>
      </c>
      <c r="I58" s="98">
        <v>0</v>
      </c>
      <c r="J58" s="98">
        <v>1</v>
      </c>
      <c r="K58" s="98">
        <v>0</v>
      </c>
      <c r="L58" s="98">
        <v>0</v>
      </c>
      <c r="M58" s="98">
        <v>0</v>
      </c>
      <c r="N58" s="7"/>
      <c r="P58" s="87">
        <v>7</v>
      </c>
      <c r="Q58" s="24">
        <v>0</v>
      </c>
      <c r="R58" s="24">
        <v>21</v>
      </c>
      <c r="S58" s="24">
        <v>0</v>
      </c>
      <c r="T58" s="24">
        <v>70</v>
      </c>
      <c r="U58" s="24">
        <v>46</v>
      </c>
      <c r="V58" s="24">
        <v>0</v>
      </c>
      <c r="W58" s="24">
        <v>0</v>
      </c>
      <c r="X58" s="24">
        <v>4</v>
      </c>
      <c r="Y58" s="24">
        <v>0</v>
      </c>
      <c r="Z58" s="24">
        <v>0</v>
      </c>
      <c r="AA58" s="24">
        <v>0</v>
      </c>
      <c r="AB58" s="24">
        <v>1</v>
      </c>
      <c r="AC58" s="7"/>
    </row>
    <row r="59" spans="1:29">
      <c r="A59" s="87">
        <v>8</v>
      </c>
      <c r="B59" s="98">
        <v>4</v>
      </c>
      <c r="C59" s="98">
        <v>15</v>
      </c>
      <c r="D59" s="98">
        <v>0</v>
      </c>
      <c r="E59" s="98">
        <v>0</v>
      </c>
      <c r="F59" s="98">
        <v>3</v>
      </c>
      <c r="G59" s="98">
        <v>0</v>
      </c>
      <c r="H59" s="98">
        <v>0</v>
      </c>
      <c r="I59" s="98">
        <v>0</v>
      </c>
      <c r="J59" s="98">
        <v>0</v>
      </c>
      <c r="K59" s="98">
        <v>3</v>
      </c>
      <c r="L59" s="98">
        <v>0</v>
      </c>
      <c r="M59" s="98">
        <v>1</v>
      </c>
      <c r="N59" s="7"/>
      <c r="P59" s="87">
        <v>8</v>
      </c>
      <c r="Q59" s="24">
        <v>0</v>
      </c>
      <c r="R59" s="24">
        <v>0</v>
      </c>
      <c r="S59" s="24">
        <v>0</v>
      </c>
      <c r="T59" s="24">
        <v>87</v>
      </c>
      <c r="U59" s="24">
        <v>112</v>
      </c>
      <c r="V59" s="24">
        <v>0</v>
      </c>
      <c r="W59" s="24">
        <v>0</v>
      </c>
      <c r="X59" s="24">
        <v>0</v>
      </c>
      <c r="Y59" s="24">
        <v>9</v>
      </c>
      <c r="Z59" s="24">
        <v>14</v>
      </c>
      <c r="AA59" s="24">
        <v>89</v>
      </c>
      <c r="AB59" s="24">
        <v>23</v>
      </c>
      <c r="AC59" s="7"/>
    </row>
    <row r="60" spans="1:29">
      <c r="A60" s="87">
        <v>9</v>
      </c>
      <c r="B60" s="98">
        <v>3</v>
      </c>
      <c r="C60" s="98">
        <v>1</v>
      </c>
      <c r="D60" s="98">
        <v>7</v>
      </c>
      <c r="E60" s="98">
        <v>58</v>
      </c>
      <c r="F60" s="98">
        <v>4</v>
      </c>
      <c r="G60" s="98">
        <v>6</v>
      </c>
      <c r="H60" s="98">
        <v>30</v>
      </c>
      <c r="I60" s="98">
        <v>0</v>
      </c>
      <c r="J60" s="98">
        <v>0</v>
      </c>
      <c r="K60" s="98">
        <v>9</v>
      </c>
      <c r="L60" s="98">
        <v>0</v>
      </c>
      <c r="M60" s="98">
        <v>6</v>
      </c>
      <c r="N60" s="7"/>
      <c r="P60" s="87">
        <v>9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11</v>
      </c>
      <c r="X60" s="24">
        <v>0</v>
      </c>
      <c r="Y60" s="24">
        <v>0</v>
      </c>
      <c r="Z60" s="24">
        <v>16</v>
      </c>
      <c r="AA60" s="24">
        <v>0</v>
      </c>
      <c r="AB60" s="24">
        <v>15</v>
      </c>
      <c r="AC60" s="7"/>
    </row>
    <row r="61" spans="1:29">
      <c r="A61" s="87">
        <v>10</v>
      </c>
      <c r="B61" s="98">
        <v>26</v>
      </c>
      <c r="C61" s="98">
        <v>8</v>
      </c>
      <c r="D61" s="98">
        <v>6</v>
      </c>
      <c r="E61" s="98">
        <v>0</v>
      </c>
      <c r="F61" s="98">
        <v>35</v>
      </c>
      <c r="G61" s="98">
        <v>5</v>
      </c>
      <c r="H61" s="98">
        <v>10</v>
      </c>
      <c r="I61" s="98">
        <v>10</v>
      </c>
      <c r="J61" s="98">
        <v>0</v>
      </c>
      <c r="K61" s="98">
        <v>0</v>
      </c>
      <c r="L61" s="98">
        <v>74</v>
      </c>
      <c r="M61" s="98">
        <v>29</v>
      </c>
      <c r="N61" s="7"/>
      <c r="P61" s="87">
        <v>10</v>
      </c>
      <c r="Q61" s="24">
        <v>0</v>
      </c>
      <c r="R61" s="24">
        <v>45</v>
      </c>
      <c r="S61" s="24">
        <v>0</v>
      </c>
      <c r="T61" s="24">
        <v>6</v>
      </c>
      <c r="U61" s="24">
        <v>0</v>
      </c>
      <c r="V61" s="24">
        <v>0</v>
      </c>
      <c r="W61" s="24">
        <v>5</v>
      </c>
      <c r="X61" s="24">
        <v>0</v>
      </c>
      <c r="Y61" s="24">
        <v>0</v>
      </c>
      <c r="Z61" s="24">
        <v>12</v>
      </c>
      <c r="AA61" s="24">
        <v>0</v>
      </c>
      <c r="AB61" s="24">
        <v>0</v>
      </c>
      <c r="AC61" s="7"/>
    </row>
    <row r="62" spans="1:29">
      <c r="A62" s="87">
        <v>11</v>
      </c>
      <c r="B62" s="98">
        <v>184</v>
      </c>
      <c r="C62" s="98">
        <v>0</v>
      </c>
      <c r="D62" s="98">
        <v>0</v>
      </c>
      <c r="E62" s="98">
        <v>6</v>
      </c>
      <c r="F62" s="98">
        <v>2</v>
      </c>
      <c r="G62" s="98">
        <v>0</v>
      </c>
      <c r="H62" s="98">
        <v>49</v>
      </c>
      <c r="I62" s="98">
        <v>0</v>
      </c>
      <c r="J62" s="98">
        <v>0</v>
      </c>
      <c r="K62" s="98">
        <v>0</v>
      </c>
      <c r="L62" s="98">
        <v>0</v>
      </c>
      <c r="M62" s="98">
        <v>0</v>
      </c>
      <c r="N62" s="7"/>
      <c r="P62" s="87">
        <v>11</v>
      </c>
      <c r="Q62" s="24">
        <v>7</v>
      </c>
      <c r="R62" s="24">
        <v>10</v>
      </c>
      <c r="S62" s="24">
        <v>0</v>
      </c>
      <c r="T62" s="24">
        <v>24</v>
      </c>
      <c r="U62" s="24">
        <v>6</v>
      </c>
      <c r="V62" s="24">
        <v>9</v>
      </c>
      <c r="W62" s="24">
        <v>5</v>
      </c>
      <c r="X62" s="24">
        <v>4</v>
      </c>
      <c r="Y62" s="24">
        <v>0</v>
      </c>
      <c r="Z62" s="24">
        <v>25</v>
      </c>
      <c r="AA62" s="24">
        <v>0</v>
      </c>
      <c r="AB62" s="24">
        <v>3</v>
      </c>
      <c r="AC62" s="7"/>
    </row>
    <row r="63" spans="1:29">
      <c r="A63" s="87">
        <v>12</v>
      </c>
      <c r="B63" s="98">
        <v>90</v>
      </c>
      <c r="C63" s="98">
        <v>0</v>
      </c>
      <c r="D63" s="98">
        <v>0</v>
      </c>
      <c r="E63" s="98">
        <v>8</v>
      </c>
      <c r="F63" s="98">
        <v>0</v>
      </c>
      <c r="G63" s="98">
        <v>0</v>
      </c>
      <c r="H63" s="98">
        <v>0</v>
      </c>
      <c r="I63" s="98">
        <v>8</v>
      </c>
      <c r="J63" s="98">
        <v>17</v>
      </c>
      <c r="K63" s="98">
        <v>65</v>
      </c>
      <c r="L63" s="98">
        <v>0</v>
      </c>
      <c r="M63" s="98">
        <v>0</v>
      </c>
      <c r="N63" s="7"/>
      <c r="P63" s="87">
        <v>12</v>
      </c>
      <c r="Q63" s="24">
        <v>0</v>
      </c>
      <c r="R63" s="24">
        <v>8</v>
      </c>
      <c r="S63" s="24">
        <v>0</v>
      </c>
      <c r="T63" s="24">
        <v>0</v>
      </c>
      <c r="U63" s="24">
        <v>7</v>
      </c>
      <c r="V63" s="24">
        <v>36</v>
      </c>
      <c r="W63" s="24">
        <v>0</v>
      </c>
      <c r="X63" s="24">
        <v>0</v>
      </c>
      <c r="Y63" s="24">
        <v>0</v>
      </c>
      <c r="Z63" s="24">
        <v>0</v>
      </c>
      <c r="AA63" s="24">
        <v>24</v>
      </c>
      <c r="AB63" s="24">
        <v>23</v>
      </c>
      <c r="AC63" s="7"/>
    </row>
    <row r="64" spans="1:29">
      <c r="A64" s="87">
        <v>13</v>
      </c>
      <c r="B64" s="98">
        <v>3</v>
      </c>
      <c r="C64" s="98">
        <v>41</v>
      </c>
      <c r="D64" s="98">
        <v>13</v>
      </c>
      <c r="E64" s="98">
        <v>39</v>
      </c>
      <c r="F64" s="98">
        <v>15</v>
      </c>
      <c r="G64" s="98">
        <v>0</v>
      </c>
      <c r="H64" s="98">
        <v>8</v>
      </c>
      <c r="I64" s="98">
        <v>0</v>
      </c>
      <c r="J64" s="98">
        <v>0</v>
      </c>
      <c r="K64" s="98">
        <v>4</v>
      </c>
      <c r="L64" s="98">
        <v>7</v>
      </c>
      <c r="M64" s="98">
        <v>86</v>
      </c>
      <c r="N64" s="7"/>
      <c r="P64" s="87">
        <v>13</v>
      </c>
      <c r="Q64" s="24">
        <v>0</v>
      </c>
      <c r="R64" s="24">
        <v>0</v>
      </c>
      <c r="S64" s="24">
        <v>0</v>
      </c>
      <c r="T64" s="24">
        <v>0</v>
      </c>
      <c r="U64" s="24">
        <v>14</v>
      </c>
      <c r="V64" s="24">
        <v>0</v>
      </c>
      <c r="W64" s="24">
        <v>12</v>
      </c>
      <c r="X64" s="24">
        <v>3</v>
      </c>
      <c r="Y64" s="24">
        <v>0</v>
      </c>
      <c r="Z64" s="24">
        <v>0</v>
      </c>
      <c r="AA64" s="24">
        <v>2</v>
      </c>
      <c r="AB64" s="24">
        <v>0</v>
      </c>
      <c r="AC64" s="7"/>
    </row>
    <row r="65" spans="1:29">
      <c r="A65" s="87">
        <v>14</v>
      </c>
      <c r="B65" s="98">
        <v>0</v>
      </c>
      <c r="C65" s="98">
        <v>0</v>
      </c>
      <c r="D65" s="98">
        <v>2</v>
      </c>
      <c r="E65" s="98">
        <v>36</v>
      </c>
      <c r="F65" s="98">
        <v>1</v>
      </c>
      <c r="G65" s="98">
        <v>0</v>
      </c>
      <c r="H65" s="98">
        <v>39</v>
      </c>
      <c r="I65" s="98">
        <v>43</v>
      </c>
      <c r="J65" s="98">
        <v>50</v>
      </c>
      <c r="K65" s="98">
        <v>0</v>
      </c>
      <c r="L65" s="98">
        <v>10</v>
      </c>
      <c r="M65" s="98">
        <v>22</v>
      </c>
      <c r="N65" s="7"/>
      <c r="P65" s="87">
        <v>14</v>
      </c>
      <c r="Q65" s="24">
        <v>0</v>
      </c>
      <c r="R65" s="24">
        <v>10</v>
      </c>
      <c r="S65" s="24">
        <v>0</v>
      </c>
      <c r="T65" s="24">
        <v>7</v>
      </c>
      <c r="U65" s="24">
        <v>9</v>
      </c>
      <c r="V65" s="24">
        <v>0</v>
      </c>
      <c r="W65" s="24">
        <v>5</v>
      </c>
      <c r="X65" s="24">
        <v>0</v>
      </c>
      <c r="Y65" s="24">
        <v>14</v>
      </c>
      <c r="Z65" s="24">
        <v>0</v>
      </c>
      <c r="AA65" s="24">
        <v>0</v>
      </c>
      <c r="AB65" s="24">
        <v>19</v>
      </c>
      <c r="AC65" s="7"/>
    </row>
    <row r="66" spans="1:29">
      <c r="A66" s="87">
        <v>15</v>
      </c>
      <c r="B66" s="98">
        <v>0</v>
      </c>
      <c r="C66" s="98">
        <v>98</v>
      </c>
      <c r="D66" s="98">
        <v>32</v>
      </c>
      <c r="E66" s="98">
        <v>0</v>
      </c>
      <c r="F66" s="98">
        <v>12</v>
      </c>
      <c r="G66" s="98">
        <v>6</v>
      </c>
      <c r="H66" s="98">
        <v>0</v>
      </c>
      <c r="I66" s="98">
        <v>8</v>
      </c>
      <c r="J66" s="98">
        <v>0</v>
      </c>
      <c r="K66" s="98">
        <v>24</v>
      </c>
      <c r="L66" s="98">
        <v>0</v>
      </c>
      <c r="M66" s="98">
        <v>0</v>
      </c>
      <c r="N66" s="7"/>
      <c r="P66" s="87">
        <v>15</v>
      </c>
      <c r="Q66" s="24">
        <v>0</v>
      </c>
      <c r="R66" s="24">
        <v>0</v>
      </c>
      <c r="S66" s="24">
        <v>0</v>
      </c>
      <c r="T66" s="24">
        <v>13</v>
      </c>
      <c r="U66" s="24">
        <v>0</v>
      </c>
      <c r="V66" s="24">
        <v>0</v>
      </c>
      <c r="W66" s="24">
        <v>45</v>
      </c>
      <c r="X66" s="24">
        <v>0</v>
      </c>
      <c r="Y66" s="24">
        <v>49</v>
      </c>
      <c r="Z66" s="24">
        <v>7</v>
      </c>
      <c r="AA66" s="24">
        <v>0</v>
      </c>
      <c r="AB66" s="24">
        <v>20</v>
      </c>
      <c r="AC66" s="7"/>
    </row>
    <row r="67" spans="1:29">
      <c r="A67" s="87">
        <v>16</v>
      </c>
      <c r="B67" s="98">
        <v>0</v>
      </c>
      <c r="C67" s="98">
        <v>0</v>
      </c>
      <c r="D67" s="98">
        <v>4</v>
      </c>
      <c r="E67" s="98">
        <v>21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13</v>
      </c>
      <c r="M67" s="98">
        <v>3</v>
      </c>
      <c r="N67" s="7"/>
      <c r="P67" s="87">
        <v>16</v>
      </c>
      <c r="Q67" s="24">
        <v>0</v>
      </c>
      <c r="R67" s="24">
        <v>19</v>
      </c>
      <c r="S67" s="24">
        <v>32</v>
      </c>
      <c r="T67" s="24">
        <v>0</v>
      </c>
      <c r="U67" s="24">
        <v>1</v>
      </c>
      <c r="V67" s="24">
        <v>0</v>
      </c>
      <c r="W67" s="24">
        <v>0</v>
      </c>
      <c r="X67" s="24">
        <v>0</v>
      </c>
      <c r="Y67" s="24">
        <v>30</v>
      </c>
      <c r="Z67" s="24">
        <v>0</v>
      </c>
      <c r="AA67" s="24">
        <v>0</v>
      </c>
      <c r="AB67" s="24">
        <v>0</v>
      </c>
      <c r="AC67" s="7"/>
    </row>
    <row r="68" spans="1:29">
      <c r="A68" s="87">
        <v>17</v>
      </c>
      <c r="B68" s="98">
        <v>12</v>
      </c>
      <c r="C68" s="98">
        <v>16</v>
      </c>
      <c r="D68" s="98">
        <v>17</v>
      </c>
      <c r="E68" s="98">
        <v>48</v>
      </c>
      <c r="F68" s="98">
        <v>0</v>
      </c>
      <c r="G68" s="98">
        <v>0</v>
      </c>
      <c r="H68" s="98">
        <v>0</v>
      </c>
      <c r="I68" s="98">
        <v>0</v>
      </c>
      <c r="J68" s="98">
        <v>17</v>
      </c>
      <c r="K68" s="98">
        <v>7</v>
      </c>
      <c r="L68" s="98">
        <v>7</v>
      </c>
      <c r="M68" s="98">
        <v>0</v>
      </c>
      <c r="N68" s="7"/>
      <c r="P68" s="87">
        <v>17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4</v>
      </c>
      <c r="AB68" s="24">
        <v>0</v>
      </c>
      <c r="AC68" s="7"/>
    </row>
    <row r="69" spans="1:29">
      <c r="A69" s="87">
        <v>18</v>
      </c>
      <c r="B69" s="98">
        <v>7</v>
      </c>
      <c r="C69" s="98">
        <v>1</v>
      </c>
      <c r="D69" s="98">
        <v>0</v>
      </c>
      <c r="E69" s="98">
        <v>16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65</v>
      </c>
      <c r="N69" s="7"/>
      <c r="P69" s="87">
        <v>18</v>
      </c>
      <c r="Q69" s="24">
        <v>0</v>
      </c>
      <c r="R69" s="24">
        <v>21</v>
      </c>
      <c r="S69" s="24">
        <v>2</v>
      </c>
      <c r="T69" s="24">
        <v>0</v>
      </c>
      <c r="U69" s="24">
        <v>0</v>
      </c>
      <c r="V69" s="24">
        <v>18</v>
      </c>
      <c r="W69" s="24">
        <v>22</v>
      </c>
      <c r="X69" s="24">
        <v>0</v>
      </c>
      <c r="Y69" s="24">
        <v>11</v>
      </c>
      <c r="Z69" s="24">
        <v>37</v>
      </c>
      <c r="AA69" s="24">
        <v>76</v>
      </c>
      <c r="AB69" s="24">
        <v>0</v>
      </c>
      <c r="AC69" s="7"/>
    </row>
    <row r="70" spans="1:29">
      <c r="A70" s="87">
        <v>19</v>
      </c>
      <c r="B70" s="98">
        <v>0</v>
      </c>
      <c r="C70" s="98">
        <v>0</v>
      </c>
      <c r="D70" s="98">
        <v>5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22</v>
      </c>
      <c r="L70" s="98">
        <v>13</v>
      </c>
      <c r="M70" s="98">
        <v>0</v>
      </c>
      <c r="N70" s="7"/>
      <c r="P70" s="87">
        <v>19</v>
      </c>
      <c r="Q70" s="24">
        <v>0</v>
      </c>
      <c r="R70" s="24">
        <v>0</v>
      </c>
      <c r="S70" s="24">
        <v>0</v>
      </c>
      <c r="T70" s="24">
        <v>3</v>
      </c>
      <c r="U70" s="24">
        <v>7</v>
      </c>
      <c r="V70" s="24">
        <v>0</v>
      </c>
      <c r="W70" s="24">
        <v>28</v>
      </c>
      <c r="X70" s="24">
        <v>0</v>
      </c>
      <c r="Y70" s="24">
        <v>0</v>
      </c>
      <c r="Z70" s="24">
        <v>8</v>
      </c>
      <c r="AA70" s="24">
        <v>0</v>
      </c>
      <c r="AB70" s="24">
        <v>40</v>
      </c>
      <c r="AC70" s="7"/>
    </row>
    <row r="71" spans="1:29">
      <c r="A71" s="87">
        <v>20</v>
      </c>
      <c r="B71" s="98">
        <v>3</v>
      </c>
      <c r="C71" s="98">
        <v>4</v>
      </c>
      <c r="D71" s="98">
        <v>0</v>
      </c>
      <c r="E71" s="98">
        <v>3</v>
      </c>
      <c r="F71" s="98">
        <v>0</v>
      </c>
      <c r="G71" s="98">
        <v>0</v>
      </c>
      <c r="H71" s="98">
        <v>0</v>
      </c>
      <c r="I71" s="98">
        <v>4</v>
      </c>
      <c r="J71" s="98">
        <v>2</v>
      </c>
      <c r="K71" s="98">
        <v>0</v>
      </c>
      <c r="L71" s="98">
        <v>11</v>
      </c>
      <c r="M71" s="98">
        <v>0</v>
      </c>
      <c r="N71" s="7"/>
      <c r="P71" s="87">
        <v>20</v>
      </c>
      <c r="Q71" s="24">
        <v>1</v>
      </c>
      <c r="R71" s="24">
        <v>3</v>
      </c>
      <c r="S71" s="24">
        <v>1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0</v>
      </c>
      <c r="AC71" s="7"/>
    </row>
    <row r="72" spans="1:29">
      <c r="A72" s="87">
        <v>21</v>
      </c>
      <c r="B72" s="98">
        <v>0</v>
      </c>
      <c r="C72" s="98">
        <v>0</v>
      </c>
      <c r="D72" s="98">
        <v>19</v>
      </c>
      <c r="E72" s="98">
        <v>4</v>
      </c>
      <c r="F72" s="98">
        <v>0</v>
      </c>
      <c r="G72" s="98">
        <v>23</v>
      </c>
      <c r="H72" s="98">
        <v>0</v>
      </c>
      <c r="I72" s="98">
        <v>4</v>
      </c>
      <c r="J72" s="98">
        <v>0</v>
      </c>
      <c r="K72" s="98">
        <v>0</v>
      </c>
      <c r="L72" s="98">
        <v>0</v>
      </c>
      <c r="M72" s="98">
        <v>10</v>
      </c>
      <c r="N72" s="7"/>
      <c r="P72" s="87">
        <v>21</v>
      </c>
      <c r="Q72" s="24">
        <v>15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v>19</v>
      </c>
      <c r="AA72" s="24">
        <v>0</v>
      </c>
      <c r="AB72" s="24">
        <v>0</v>
      </c>
      <c r="AC72" s="7"/>
    </row>
    <row r="73" spans="1:29">
      <c r="A73" s="87">
        <v>22</v>
      </c>
      <c r="B73" s="98">
        <v>8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12</v>
      </c>
      <c r="N73" s="7"/>
      <c r="P73" s="87">
        <v>22</v>
      </c>
      <c r="Q73" s="24">
        <v>1</v>
      </c>
      <c r="R73" s="24">
        <v>0</v>
      </c>
      <c r="S73" s="24">
        <v>11</v>
      </c>
      <c r="T73" s="24">
        <v>1</v>
      </c>
      <c r="U73" s="24">
        <v>3</v>
      </c>
      <c r="V73" s="24">
        <v>0</v>
      </c>
      <c r="W73" s="24">
        <v>0</v>
      </c>
      <c r="X73" s="24">
        <v>0</v>
      </c>
      <c r="Y73" s="24">
        <v>0</v>
      </c>
      <c r="Z73" s="24">
        <v>35</v>
      </c>
      <c r="AA73" s="24">
        <v>12</v>
      </c>
      <c r="AB73" s="24">
        <v>98</v>
      </c>
      <c r="AC73" s="7"/>
    </row>
    <row r="74" spans="1:29">
      <c r="A74" s="87">
        <v>23</v>
      </c>
      <c r="B74" s="98">
        <v>0</v>
      </c>
      <c r="C74" s="98">
        <v>0</v>
      </c>
      <c r="D74" s="98">
        <v>0</v>
      </c>
      <c r="E74" s="98">
        <v>2</v>
      </c>
      <c r="F74" s="98">
        <v>0</v>
      </c>
      <c r="G74" s="98">
        <v>3</v>
      </c>
      <c r="H74" s="98">
        <v>0</v>
      </c>
      <c r="I74" s="98">
        <v>0</v>
      </c>
      <c r="J74" s="98">
        <v>20</v>
      </c>
      <c r="K74" s="98">
        <v>0</v>
      </c>
      <c r="L74" s="98">
        <v>107</v>
      </c>
      <c r="M74" s="98">
        <v>0</v>
      </c>
      <c r="N74" s="7"/>
      <c r="P74" s="87">
        <v>23</v>
      </c>
      <c r="Q74" s="24">
        <v>9</v>
      </c>
      <c r="R74" s="24">
        <v>0</v>
      </c>
      <c r="S74" s="24">
        <v>0</v>
      </c>
      <c r="T74" s="24">
        <v>91</v>
      </c>
      <c r="U74" s="24">
        <v>12</v>
      </c>
      <c r="V74" s="24">
        <v>0</v>
      </c>
      <c r="W74" s="24">
        <v>0</v>
      </c>
      <c r="X74" s="24">
        <v>0</v>
      </c>
      <c r="Y74" s="24">
        <v>0</v>
      </c>
      <c r="Z74" s="24">
        <v>20</v>
      </c>
      <c r="AA74" s="24">
        <v>0</v>
      </c>
      <c r="AB74" s="24">
        <v>47</v>
      </c>
      <c r="AC74" s="7"/>
    </row>
    <row r="75" spans="1:29">
      <c r="A75" s="87">
        <v>24</v>
      </c>
      <c r="B75" s="98">
        <v>0</v>
      </c>
      <c r="C75" s="98">
        <v>0</v>
      </c>
      <c r="D75" s="98">
        <v>8</v>
      </c>
      <c r="E75" s="98">
        <v>46</v>
      </c>
      <c r="F75" s="98">
        <v>0</v>
      </c>
      <c r="G75" s="98">
        <v>32</v>
      </c>
      <c r="H75" s="98">
        <v>0</v>
      </c>
      <c r="I75" s="98">
        <v>71</v>
      </c>
      <c r="J75" s="98">
        <v>0</v>
      </c>
      <c r="K75" s="98">
        <v>0</v>
      </c>
      <c r="L75" s="98">
        <v>0</v>
      </c>
      <c r="M75" s="98">
        <v>9</v>
      </c>
      <c r="N75" s="7"/>
      <c r="P75" s="87">
        <v>24</v>
      </c>
      <c r="Q75" s="24">
        <v>55</v>
      </c>
      <c r="R75" s="24">
        <v>3</v>
      </c>
      <c r="S75" s="24">
        <v>0</v>
      </c>
      <c r="T75" s="24">
        <v>14</v>
      </c>
      <c r="U75" s="24">
        <v>12</v>
      </c>
      <c r="V75" s="24">
        <v>0</v>
      </c>
      <c r="W75" s="24">
        <v>0</v>
      </c>
      <c r="X75" s="24">
        <v>0</v>
      </c>
      <c r="Y75" s="24">
        <v>0</v>
      </c>
      <c r="Z75" s="24">
        <v>33</v>
      </c>
      <c r="AA75" s="24">
        <v>0</v>
      </c>
      <c r="AB75" s="24">
        <v>22</v>
      </c>
      <c r="AC75" s="7"/>
    </row>
    <row r="76" spans="1:29">
      <c r="A76" s="87">
        <v>25</v>
      </c>
      <c r="B76" s="98">
        <v>0</v>
      </c>
      <c r="C76" s="98">
        <v>0</v>
      </c>
      <c r="D76" s="98">
        <v>0</v>
      </c>
      <c r="E76" s="98">
        <v>4</v>
      </c>
      <c r="F76" s="98">
        <v>0</v>
      </c>
      <c r="G76" s="98">
        <v>20</v>
      </c>
      <c r="H76" s="98">
        <v>0</v>
      </c>
      <c r="I76" s="98">
        <v>0</v>
      </c>
      <c r="J76" s="98">
        <v>21</v>
      </c>
      <c r="K76" s="98">
        <v>23</v>
      </c>
      <c r="L76" s="98">
        <v>22</v>
      </c>
      <c r="M76" s="98">
        <v>0</v>
      </c>
      <c r="N76" s="7"/>
      <c r="P76" s="87">
        <v>25</v>
      </c>
      <c r="Q76" s="24">
        <v>0</v>
      </c>
      <c r="R76" s="24">
        <v>33</v>
      </c>
      <c r="S76" s="24">
        <v>0</v>
      </c>
      <c r="T76" s="24">
        <v>0</v>
      </c>
      <c r="U76" s="24">
        <v>7</v>
      </c>
      <c r="V76" s="24">
        <v>0</v>
      </c>
      <c r="W76" s="24">
        <v>16</v>
      </c>
      <c r="X76" s="24">
        <v>0</v>
      </c>
      <c r="Y76" s="24">
        <v>6</v>
      </c>
      <c r="Z76" s="24">
        <v>13</v>
      </c>
      <c r="AA76" s="24">
        <v>0</v>
      </c>
      <c r="AB76" s="24">
        <v>0</v>
      </c>
      <c r="AC76" s="7"/>
    </row>
    <row r="77" spans="1:29">
      <c r="A77" s="87">
        <v>26</v>
      </c>
      <c r="B77" s="98">
        <v>0</v>
      </c>
      <c r="C77" s="98">
        <v>0</v>
      </c>
      <c r="D77" s="98">
        <v>0</v>
      </c>
      <c r="E77" s="98">
        <v>8</v>
      </c>
      <c r="F77" s="98">
        <v>0</v>
      </c>
      <c r="G77" s="98">
        <v>1</v>
      </c>
      <c r="H77" s="98">
        <v>0</v>
      </c>
      <c r="I77" s="98">
        <v>12</v>
      </c>
      <c r="J77" s="98">
        <v>21</v>
      </c>
      <c r="K77" s="98">
        <v>0</v>
      </c>
      <c r="L77" s="98">
        <v>0</v>
      </c>
      <c r="M77" s="98">
        <v>0</v>
      </c>
      <c r="N77" s="7"/>
      <c r="P77" s="87">
        <v>26</v>
      </c>
      <c r="Q77" s="24">
        <v>0</v>
      </c>
      <c r="R77" s="24">
        <v>2</v>
      </c>
      <c r="S77" s="24">
        <v>0</v>
      </c>
      <c r="T77" s="24">
        <v>4</v>
      </c>
      <c r="U77" s="24">
        <v>3</v>
      </c>
      <c r="V77" s="24">
        <v>0</v>
      </c>
      <c r="W77" s="24">
        <v>0</v>
      </c>
      <c r="X77" s="24">
        <v>0</v>
      </c>
      <c r="Y77" s="24">
        <v>0</v>
      </c>
      <c r="Z77" s="24">
        <v>5</v>
      </c>
      <c r="AA77" s="24">
        <v>12</v>
      </c>
      <c r="AB77" s="24">
        <v>3</v>
      </c>
      <c r="AC77" s="7"/>
    </row>
    <row r="78" spans="1:29">
      <c r="A78" s="87">
        <v>27</v>
      </c>
      <c r="B78" s="98">
        <v>0</v>
      </c>
      <c r="C78" s="98">
        <v>0</v>
      </c>
      <c r="D78" s="98">
        <v>3</v>
      </c>
      <c r="E78" s="98">
        <v>0</v>
      </c>
      <c r="F78" s="98">
        <v>0</v>
      </c>
      <c r="G78" s="98">
        <v>67</v>
      </c>
      <c r="H78" s="98">
        <v>0</v>
      </c>
      <c r="I78" s="98">
        <v>44</v>
      </c>
      <c r="J78" s="98">
        <v>43</v>
      </c>
      <c r="K78" s="98">
        <v>17</v>
      </c>
      <c r="L78" s="98">
        <v>7</v>
      </c>
      <c r="M78" s="98">
        <v>0</v>
      </c>
      <c r="N78" s="7"/>
      <c r="P78" s="87">
        <v>27</v>
      </c>
      <c r="Q78" s="24">
        <v>0</v>
      </c>
      <c r="R78" s="24">
        <v>0</v>
      </c>
      <c r="S78" s="24">
        <v>0</v>
      </c>
      <c r="T78" s="24">
        <v>49</v>
      </c>
      <c r="U78" s="24">
        <v>2</v>
      </c>
      <c r="V78" s="24">
        <v>0</v>
      </c>
      <c r="W78" s="24">
        <v>0</v>
      </c>
      <c r="X78" s="24">
        <v>25</v>
      </c>
      <c r="Y78" s="24">
        <v>9</v>
      </c>
      <c r="Z78" s="24">
        <v>0</v>
      </c>
      <c r="AA78" s="24">
        <v>0</v>
      </c>
      <c r="AB78" s="24">
        <v>0</v>
      </c>
      <c r="AC78" s="7"/>
    </row>
    <row r="79" spans="1:29">
      <c r="A79" s="87">
        <v>28</v>
      </c>
      <c r="B79" s="98">
        <v>19</v>
      </c>
      <c r="C79" s="98">
        <v>0</v>
      </c>
      <c r="D79" s="98">
        <v>1</v>
      </c>
      <c r="E79" s="98">
        <v>3</v>
      </c>
      <c r="F79" s="98">
        <v>0</v>
      </c>
      <c r="G79" s="98">
        <v>10</v>
      </c>
      <c r="H79" s="98">
        <v>0</v>
      </c>
      <c r="I79" s="98">
        <v>13</v>
      </c>
      <c r="J79" s="98">
        <v>3</v>
      </c>
      <c r="K79" s="98">
        <v>0</v>
      </c>
      <c r="L79" s="98">
        <v>0</v>
      </c>
      <c r="M79" s="98">
        <v>0</v>
      </c>
      <c r="N79" s="7"/>
      <c r="P79" s="87">
        <v>28</v>
      </c>
      <c r="Q79" s="24">
        <v>0</v>
      </c>
      <c r="R79" s="24">
        <v>0</v>
      </c>
      <c r="S79" s="24">
        <v>0</v>
      </c>
      <c r="T79" s="24">
        <v>0</v>
      </c>
      <c r="U79" s="24">
        <v>3</v>
      </c>
      <c r="V79" s="24">
        <v>0</v>
      </c>
      <c r="W79" s="24">
        <v>0</v>
      </c>
      <c r="X79" s="24">
        <v>22</v>
      </c>
      <c r="Y79" s="24">
        <v>20</v>
      </c>
      <c r="Z79" s="24">
        <v>6</v>
      </c>
      <c r="AA79" s="24">
        <v>54</v>
      </c>
      <c r="AB79" s="24">
        <v>0</v>
      </c>
      <c r="AC79" s="7"/>
    </row>
    <row r="80" spans="1:29">
      <c r="A80" s="87">
        <v>29</v>
      </c>
      <c r="B80" s="98">
        <v>0</v>
      </c>
      <c r="C80" s="98"/>
      <c r="D80" s="98">
        <v>8</v>
      </c>
      <c r="E80" s="98">
        <v>0</v>
      </c>
      <c r="F80" s="98">
        <v>0</v>
      </c>
      <c r="G80" s="98">
        <v>0</v>
      </c>
      <c r="H80" s="98">
        <v>0</v>
      </c>
      <c r="I80" s="98">
        <v>30</v>
      </c>
      <c r="J80" s="98">
        <v>8</v>
      </c>
      <c r="K80" s="98">
        <v>0</v>
      </c>
      <c r="L80" s="98">
        <v>14</v>
      </c>
      <c r="M80" s="98">
        <v>0</v>
      </c>
      <c r="N80" s="7"/>
      <c r="P80" s="87">
        <v>29</v>
      </c>
      <c r="Q80" s="24">
        <v>0</v>
      </c>
      <c r="R80" s="24">
        <v>0</v>
      </c>
      <c r="S80" s="24">
        <v>8</v>
      </c>
      <c r="T80" s="24">
        <v>0</v>
      </c>
      <c r="U80" s="24">
        <v>5</v>
      </c>
      <c r="V80" s="24">
        <v>0</v>
      </c>
      <c r="W80" s="24">
        <v>14</v>
      </c>
      <c r="X80" s="24">
        <v>0</v>
      </c>
      <c r="Y80" s="24">
        <v>0</v>
      </c>
      <c r="Z80" s="24">
        <v>0</v>
      </c>
      <c r="AA80" s="24">
        <v>0</v>
      </c>
      <c r="AB80" s="24">
        <v>2</v>
      </c>
      <c r="AC80" s="7"/>
    </row>
    <row r="81" spans="1:29">
      <c r="A81" s="87">
        <v>30</v>
      </c>
      <c r="B81" s="98">
        <v>40</v>
      </c>
      <c r="C81" s="98"/>
      <c r="D81" s="98">
        <v>3</v>
      </c>
      <c r="E81" s="98">
        <v>3</v>
      </c>
      <c r="F81" s="98">
        <v>0</v>
      </c>
      <c r="G81" s="98">
        <v>0</v>
      </c>
      <c r="H81" s="98">
        <v>0</v>
      </c>
      <c r="I81" s="98">
        <v>0</v>
      </c>
      <c r="J81" s="98">
        <v>0</v>
      </c>
      <c r="K81" s="98">
        <v>57</v>
      </c>
      <c r="L81" s="98">
        <v>120</v>
      </c>
      <c r="M81" s="98">
        <v>2</v>
      </c>
      <c r="N81" s="7"/>
      <c r="P81" s="87">
        <v>30</v>
      </c>
      <c r="Q81" s="24">
        <v>8</v>
      </c>
      <c r="R81" s="24">
        <v>0</v>
      </c>
      <c r="S81" s="24">
        <v>2</v>
      </c>
      <c r="T81" s="24">
        <v>80</v>
      </c>
      <c r="U81" s="24">
        <v>0</v>
      </c>
      <c r="V81" s="24">
        <v>5</v>
      </c>
      <c r="W81" s="24">
        <v>2</v>
      </c>
      <c r="X81" s="24">
        <v>3</v>
      </c>
      <c r="Y81" s="24">
        <v>0</v>
      </c>
      <c r="Z81" s="24">
        <v>25</v>
      </c>
      <c r="AA81" s="24">
        <v>15</v>
      </c>
      <c r="AB81" s="24">
        <v>0</v>
      </c>
      <c r="AC81" s="7"/>
    </row>
    <row r="82" spans="1:29">
      <c r="A82" s="87">
        <v>31</v>
      </c>
      <c r="B82" s="98">
        <v>28</v>
      </c>
      <c r="C82" s="98"/>
      <c r="D82" s="98">
        <v>5</v>
      </c>
      <c r="E82" s="98"/>
      <c r="F82" s="98">
        <v>0</v>
      </c>
      <c r="G82" s="98"/>
      <c r="H82" s="98">
        <v>64</v>
      </c>
      <c r="I82" s="98">
        <v>0</v>
      </c>
      <c r="J82" s="98"/>
      <c r="K82" s="98">
        <v>0</v>
      </c>
      <c r="L82" s="98"/>
      <c r="M82" s="98">
        <v>0</v>
      </c>
      <c r="N82" s="7"/>
      <c r="P82" s="87">
        <v>31</v>
      </c>
      <c r="Q82" s="24">
        <v>0</v>
      </c>
      <c r="R82" s="24">
        <v>0</v>
      </c>
      <c r="S82" s="24">
        <v>2</v>
      </c>
      <c r="T82" s="24">
        <v>0</v>
      </c>
      <c r="U82" s="24">
        <v>2</v>
      </c>
      <c r="V82" s="24">
        <v>0</v>
      </c>
      <c r="W82" s="24">
        <v>0</v>
      </c>
      <c r="X82" s="24">
        <v>56</v>
      </c>
      <c r="Y82" s="24">
        <v>0</v>
      </c>
      <c r="Z82" s="24">
        <v>0</v>
      </c>
      <c r="AA82" s="24">
        <v>0</v>
      </c>
      <c r="AB82" s="24">
        <v>0</v>
      </c>
      <c r="AC82" s="7"/>
    </row>
    <row r="83" spans="1:29">
      <c r="A83" s="16"/>
      <c r="B83" s="26"/>
      <c r="C83" s="26"/>
      <c r="D83" s="26"/>
      <c r="E83" s="27"/>
      <c r="F83" s="26"/>
      <c r="G83" s="26"/>
      <c r="H83" s="26"/>
      <c r="I83" s="26"/>
      <c r="J83" s="26"/>
      <c r="K83" s="26"/>
      <c r="L83" s="28"/>
      <c r="M83" s="29"/>
      <c r="N83" s="7"/>
      <c r="P83" s="88"/>
      <c r="Q83" s="99"/>
      <c r="R83" s="100"/>
      <c r="S83" s="101"/>
      <c r="T83" s="102"/>
      <c r="U83" s="101"/>
      <c r="V83" s="101"/>
      <c r="W83" s="101"/>
      <c r="X83" s="101"/>
      <c r="Y83" s="101"/>
      <c r="Z83" s="99"/>
      <c r="AA83" s="99"/>
      <c r="AB83" s="103"/>
      <c r="AC83" s="7"/>
    </row>
    <row r="84" spans="1:29">
      <c r="A84" s="23" t="s">
        <v>65</v>
      </c>
      <c r="B84" s="30">
        <f t="shared" ref="B84:M84" si="4">SUM(B52:B82)</f>
        <v>457</v>
      </c>
      <c r="C84" s="30">
        <f t="shared" si="4"/>
        <v>226</v>
      </c>
      <c r="D84" s="30">
        <f t="shared" si="4"/>
        <v>133</v>
      </c>
      <c r="E84" s="30">
        <f t="shared" si="4"/>
        <v>438</v>
      </c>
      <c r="F84" s="30">
        <f t="shared" si="4"/>
        <v>169</v>
      </c>
      <c r="G84" s="30">
        <f t="shared" si="4"/>
        <v>176</v>
      </c>
      <c r="H84" s="30">
        <f t="shared" si="4"/>
        <v>270</v>
      </c>
      <c r="I84" s="30">
        <f t="shared" si="4"/>
        <v>302</v>
      </c>
      <c r="J84" s="30">
        <f t="shared" si="4"/>
        <v>244</v>
      </c>
      <c r="K84" s="30">
        <f t="shared" si="4"/>
        <v>320</v>
      </c>
      <c r="L84" s="30">
        <f t="shared" si="4"/>
        <v>496</v>
      </c>
      <c r="M84" s="30">
        <f t="shared" si="4"/>
        <v>479</v>
      </c>
      <c r="N84" s="9">
        <f>SUM(B84:M84)</f>
        <v>3710</v>
      </c>
      <c r="P84" s="25" t="s">
        <v>65</v>
      </c>
      <c r="Q84" s="92">
        <f>SUM(Q52:Q82)</f>
        <v>148</v>
      </c>
      <c r="R84" s="92">
        <f t="shared" ref="R84:AB84" si="5">SUM(R52:R82)</f>
        <v>278</v>
      </c>
      <c r="S84" s="92">
        <f>SUM(S52:S82)</f>
        <v>89</v>
      </c>
      <c r="T84" s="92">
        <f>SUM(T52:T82)</f>
        <v>461</v>
      </c>
      <c r="U84" s="92">
        <f t="shared" si="5"/>
        <v>388</v>
      </c>
      <c r="V84" s="92">
        <f t="shared" si="5"/>
        <v>102</v>
      </c>
      <c r="W84" s="92">
        <f t="shared" si="5"/>
        <v>277</v>
      </c>
      <c r="X84" s="92">
        <f t="shared" si="5"/>
        <v>146</v>
      </c>
      <c r="Y84" s="92">
        <f t="shared" si="5"/>
        <v>243</v>
      </c>
      <c r="Z84" s="92">
        <f t="shared" si="5"/>
        <v>275</v>
      </c>
      <c r="AA84" s="92">
        <f t="shared" si="5"/>
        <v>319</v>
      </c>
      <c r="AB84" s="93">
        <f t="shared" si="5"/>
        <v>382</v>
      </c>
      <c r="AC84" s="9">
        <f>SUM(Q84:AB84)</f>
        <v>3108</v>
      </c>
    </row>
    <row r="85" spans="1:29">
      <c r="A85" s="23" t="s">
        <v>66</v>
      </c>
      <c r="B85" s="30">
        <f t="shared" ref="B85:M85" si="6">MAX(B52:B82)</f>
        <v>184</v>
      </c>
      <c r="C85" s="30">
        <f t="shared" si="6"/>
        <v>98</v>
      </c>
      <c r="D85" s="30">
        <f t="shared" si="6"/>
        <v>32</v>
      </c>
      <c r="E85" s="30">
        <f t="shared" si="6"/>
        <v>58</v>
      </c>
      <c r="F85" s="30">
        <f t="shared" si="6"/>
        <v>42</v>
      </c>
      <c r="G85" s="30">
        <f t="shared" si="6"/>
        <v>67</v>
      </c>
      <c r="H85" s="30">
        <f t="shared" si="6"/>
        <v>64</v>
      </c>
      <c r="I85" s="30">
        <f t="shared" si="6"/>
        <v>71</v>
      </c>
      <c r="J85" s="30">
        <f t="shared" si="6"/>
        <v>50</v>
      </c>
      <c r="K85" s="30">
        <f t="shared" si="6"/>
        <v>65</v>
      </c>
      <c r="L85" s="30">
        <f t="shared" si="6"/>
        <v>120</v>
      </c>
      <c r="M85" s="30">
        <f t="shared" si="6"/>
        <v>130</v>
      </c>
      <c r="N85" s="9">
        <f>MAX(B85:M85)</f>
        <v>184</v>
      </c>
      <c r="P85" s="88" t="s">
        <v>66</v>
      </c>
      <c r="Q85" s="94">
        <f>MAX(Q52:Q82)</f>
        <v>55</v>
      </c>
      <c r="R85" s="94">
        <f t="shared" ref="R85:AB85" si="7">MAX(R52:R82)</f>
        <v>64</v>
      </c>
      <c r="S85" s="94">
        <f t="shared" si="7"/>
        <v>32</v>
      </c>
      <c r="T85" s="94">
        <f>MAX(T52:T82)</f>
        <v>91</v>
      </c>
      <c r="U85" s="94">
        <f t="shared" si="7"/>
        <v>112</v>
      </c>
      <c r="V85" s="94">
        <f t="shared" si="7"/>
        <v>36</v>
      </c>
      <c r="W85" s="94">
        <f t="shared" si="7"/>
        <v>59</v>
      </c>
      <c r="X85" s="94">
        <f t="shared" si="7"/>
        <v>56</v>
      </c>
      <c r="Y85" s="94">
        <f t="shared" si="7"/>
        <v>67</v>
      </c>
      <c r="Z85" s="94">
        <f t="shared" si="7"/>
        <v>37</v>
      </c>
      <c r="AA85" s="94">
        <f t="shared" si="7"/>
        <v>89</v>
      </c>
      <c r="AB85" s="30">
        <f t="shared" si="7"/>
        <v>98</v>
      </c>
      <c r="AC85" s="9">
        <f>MAX(Q85:AB85)</f>
        <v>112</v>
      </c>
    </row>
    <row r="86" spans="1:29">
      <c r="A86" s="31"/>
      <c r="B86" s="7"/>
      <c r="C86" s="7"/>
      <c r="D86" s="7"/>
      <c r="E86" s="7"/>
      <c r="F86" s="7"/>
      <c r="G86" s="7"/>
      <c r="H86" s="32"/>
      <c r="I86" s="7"/>
      <c r="J86" s="7"/>
      <c r="K86" s="7"/>
      <c r="L86" s="7"/>
      <c r="M86" s="7"/>
      <c r="N86" s="7"/>
      <c r="P86" s="95"/>
      <c r="Q86" s="7"/>
      <c r="R86" s="7"/>
      <c r="S86" s="7"/>
      <c r="T86" s="7"/>
      <c r="U86" s="7"/>
      <c r="V86" s="7"/>
      <c r="W86" s="32"/>
      <c r="X86" s="7"/>
      <c r="Y86" s="7"/>
      <c r="Z86" s="7"/>
      <c r="AA86" s="7"/>
      <c r="AB86" s="7"/>
      <c r="AC86" s="7"/>
    </row>
    <row r="87" spans="1:29">
      <c r="A87" s="33" t="s">
        <v>67</v>
      </c>
      <c r="B87" s="34">
        <v>0</v>
      </c>
      <c r="C87" s="35" t="s">
        <v>68</v>
      </c>
      <c r="D87" s="19"/>
      <c r="E87" s="7"/>
      <c r="F87" s="7"/>
      <c r="G87" s="7"/>
      <c r="H87" s="32"/>
      <c r="I87" s="7"/>
      <c r="J87" s="7"/>
      <c r="K87" s="7"/>
      <c r="L87" s="7"/>
      <c r="M87" s="7"/>
      <c r="N87" s="7"/>
      <c r="P87" s="96" t="s">
        <v>67</v>
      </c>
      <c r="Q87" s="34">
        <v>0</v>
      </c>
      <c r="R87" s="35" t="s">
        <v>68</v>
      </c>
      <c r="S87" s="19"/>
      <c r="T87" s="7"/>
      <c r="U87" s="7"/>
      <c r="V87" s="7"/>
      <c r="W87" s="32"/>
      <c r="X87" s="7"/>
      <c r="Y87" s="7"/>
      <c r="Z87" s="7"/>
      <c r="AA87" s="7"/>
      <c r="AB87" s="7"/>
      <c r="AC87" s="7"/>
    </row>
    <row r="89" spans="1:29" ht="18">
      <c r="A89" s="1" t="s">
        <v>41</v>
      </c>
      <c r="B89" s="2"/>
      <c r="C89" s="2"/>
      <c r="D89" s="2"/>
      <c r="E89" s="3">
        <v>2004</v>
      </c>
      <c r="F89" s="4"/>
      <c r="G89" s="4"/>
      <c r="H89" s="5"/>
      <c r="I89" s="4"/>
      <c r="J89" s="4"/>
      <c r="K89" s="4"/>
      <c r="L89" s="4"/>
      <c r="M89" s="6"/>
      <c r="N89" s="7"/>
      <c r="P89" s="1" t="s">
        <v>41</v>
      </c>
      <c r="Q89" s="2"/>
      <c r="R89" s="2"/>
      <c r="S89" s="2"/>
      <c r="T89" s="3">
        <v>2014</v>
      </c>
      <c r="U89" s="4"/>
      <c r="V89" s="4"/>
      <c r="W89" s="5"/>
      <c r="X89" s="4"/>
      <c r="Y89" s="4"/>
      <c r="Z89" s="4"/>
      <c r="AA89" s="4"/>
      <c r="AB89" s="6"/>
      <c r="AC89" s="7"/>
    </row>
    <row r="90" spans="1:29">
      <c r="A90" s="8"/>
      <c r="B90" s="9"/>
      <c r="C90" s="9"/>
      <c r="D90" s="9"/>
      <c r="E90" s="10"/>
      <c r="F90" s="10"/>
      <c r="G90" s="10"/>
      <c r="H90" s="11"/>
      <c r="I90" s="9"/>
      <c r="J90" s="9"/>
      <c r="K90" s="9"/>
      <c r="L90" s="9"/>
      <c r="M90" s="12"/>
      <c r="N90" s="7"/>
      <c r="P90" s="8"/>
      <c r="Q90" s="9"/>
      <c r="R90" s="9"/>
      <c r="S90" s="9"/>
      <c r="T90" s="10"/>
      <c r="U90" s="10"/>
      <c r="V90" s="10"/>
      <c r="W90" s="11"/>
      <c r="X90" s="9"/>
      <c r="Y90" s="9"/>
      <c r="Z90" s="9"/>
      <c r="AA90" s="9"/>
      <c r="AB90" s="12"/>
      <c r="AC90" s="7"/>
    </row>
    <row r="91" spans="1:29" ht="15.75">
      <c r="A91" s="13" t="s">
        <v>42</v>
      </c>
      <c r="B91" s="14"/>
      <c r="C91" s="14" t="s">
        <v>43</v>
      </c>
      <c r="D91" s="14"/>
      <c r="E91" s="14"/>
      <c r="F91" s="14"/>
      <c r="G91" s="14"/>
      <c r="H91" s="15"/>
      <c r="I91" s="14"/>
      <c r="J91" s="14" t="s">
        <v>44</v>
      </c>
      <c r="K91" s="14" t="s">
        <v>45</v>
      </c>
      <c r="L91" s="14"/>
      <c r="M91" s="12"/>
      <c r="N91" s="7"/>
      <c r="P91" s="13" t="s">
        <v>42</v>
      </c>
      <c r="Q91" s="14"/>
      <c r="R91" s="14" t="s">
        <v>43</v>
      </c>
      <c r="S91" s="14"/>
      <c r="T91" s="14"/>
      <c r="U91" s="14"/>
      <c r="V91" s="14"/>
      <c r="W91" s="15"/>
      <c r="X91" s="14"/>
      <c r="Y91" s="14" t="s">
        <v>44</v>
      </c>
      <c r="Z91" s="14" t="s">
        <v>45</v>
      </c>
      <c r="AA91" s="14"/>
      <c r="AB91" s="12"/>
      <c r="AC91" s="7"/>
    </row>
    <row r="92" spans="1:29" ht="15.75">
      <c r="A92" s="13" t="s">
        <v>46</v>
      </c>
      <c r="B92" s="14"/>
      <c r="C92" s="14" t="s">
        <v>47</v>
      </c>
      <c r="D92" s="14"/>
      <c r="E92" s="14"/>
      <c r="F92" s="14"/>
      <c r="G92" s="14"/>
      <c r="H92" s="15"/>
      <c r="I92" s="14"/>
      <c r="J92" s="14" t="s">
        <v>48</v>
      </c>
      <c r="K92" s="14" t="s">
        <v>45</v>
      </c>
      <c r="L92" s="14"/>
      <c r="M92" s="12"/>
      <c r="N92" s="7"/>
      <c r="P92" s="13" t="s">
        <v>46</v>
      </c>
      <c r="Q92" s="14"/>
      <c r="R92" s="14" t="s">
        <v>47</v>
      </c>
      <c r="S92" s="14"/>
      <c r="T92" s="14"/>
      <c r="U92" s="14"/>
      <c r="V92" s="14"/>
      <c r="W92" s="15"/>
      <c r="X92" s="14"/>
      <c r="Y92" s="14" t="s">
        <v>48</v>
      </c>
      <c r="Z92" s="14" t="s">
        <v>45</v>
      </c>
      <c r="AA92" s="14"/>
      <c r="AB92" s="12"/>
      <c r="AC92" s="7"/>
    </row>
    <row r="93" spans="1:29" ht="15.75">
      <c r="A93" s="13" t="s">
        <v>49</v>
      </c>
      <c r="B93" s="14"/>
      <c r="C93" s="14" t="s">
        <v>70</v>
      </c>
      <c r="D93" s="14"/>
      <c r="E93" s="14"/>
      <c r="F93" s="14"/>
      <c r="G93" s="14"/>
      <c r="H93" s="15"/>
      <c r="I93" s="14"/>
      <c r="J93" s="14" t="s">
        <v>51</v>
      </c>
      <c r="K93" s="14" t="s">
        <v>52</v>
      </c>
      <c r="L93" s="14"/>
      <c r="M93" s="12"/>
      <c r="N93" s="7"/>
      <c r="P93" s="13" t="s">
        <v>49</v>
      </c>
      <c r="Q93" s="14"/>
      <c r="R93" s="97">
        <f>T89</f>
        <v>2014</v>
      </c>
      <c r="S93" s="14"/>
      <c r="T93" s="14"/>
      <c r="U93" s="14"/>
      <c r="V93" s="14"/>
      <c r="W93" s="15"/>
      <c r="X93" s="14"/>
      <c r="Y93" s="14" t="s">
        <v>51</v>
      </c>
      <c r="Z93" s="14" t="s">
        <v>52</v>
      </c>
      <c r="AA93" s="14"/>
      <c r="AB93" s="12"/>
      <c r="AC93" s="7"/>
    </row>
    <row r="94" spans="1:29">
      <c r="A94" s="16"/>
      <c r="B94" s="10"/>
      <c r="C94" s="10"/>
      <c r="D94" s="10"/>
      <c r="E94" s="10"/>
      <c r="F94" s="10"/>
      <c r="G94" s="10"/>
      <c r="H94" s="17"/>
      <c r="I94" s="10"/>
      <c r="J94" s="10"/>
      <c r="K94" s="10"/>
      <c r="L94" s="10"/>
      <c r="M94" s="18"/>
      <c r="N94" s="19"/>
      <c r="P94" s="16"/>
      <c r="Q94" s="10"/>
      <c r="R94" s="10"/>
      <c r="S94" s="10"/>
      <c r="T94" s="10"/>
      <c r="U94" s="10"/>
      <c r="V94" s="10"/>
      <c r="W94" s="17"/>
      <c r="X94" s="10"/>
      <c r="Y94" s="10"/>
      <c r="Z94" s="10"/>
      <c r="AA94" s="10"/>
      <c r="AB94" s="18"/>
      <c r="AC94" s="19"/>
    </row>
    <row r="95" spans="1:29">
      <c r="A95" s="20" t="s">
        <v>53</v>
      </c>
      <c r="B95" s="21" t="s">
        <v>54</v>
      </c>
      <c r="C95" s="21" t="s">
        <v>55</v>
      </c>
      <c r="D95" s="21" t="s">
        <v>56</v>
      </c>
      <c r="E95" s="21" t="s">
        <v>57</v>
      </c>
      <c r="F95" s="21" t="s">
        <v>20</v>
      </c>
      <c r="G95" s="21" t="s">
        <v>58</v>
      </c>
      <c r="H95" s="21" t="s">
        <v>59</v>
      </c>
      <c r="I95" s="21" t="s">
        <v>60</v>
      </c>
      <c r="J95" s="21" t="s">
        <v>61</v>
      </c>
      <c r="K95" s="21" t="s">
        <v>62</v>
      </c>
      <c r="L95" s="21" t="s">
        <v>63</v>
      </c>
      <c r="M95" s="22" t="s">
        <v>64</v>
      </c>
      <c r="N95" s="19"/>
      <c r="P95" s="20" t="s">
        <v>53</v>
      </c>
      <c r="Q95" s="21" t="s">
        <v>54</v>
      </c>
      <c r="R95" s="21" t="s">
        <v>55</v>
      </c>
      <c r="S95" s="21" t="s">
        <v>56</v>
      </c>
      <c r="T95" s="21" t="s">
        <v>57</v>
      </c>
      <c r="U95" s="21" t="s">
        <v>20</v>
      </c>
      <c r="V95" s="21" t="s">
        <v>58</v>
      </c>
      <c r="W95" s="21" t="s">
        <v>59</v>
      </c>
      <c r="X95" s="21" t="s">
        <v>60</v>
      </c>
      <c r="Y95" s="21" t="s">
        <v>61</v>
      </c>
      <c r="Z95" s="21" t="s">
        <v>62</v>
      </c>
      <c r="AA95" s="21" t="s">
        <v>63</v>
      </c>
      <c r="AB95" s="22" t="s">
        <v>64</v>
      </c>
      <c r="AC95" s="19"/>
    </row>
    <row r="96" spans="1:29">
      <c r="A96" s="87">
        <v>1</v>
      </c>
      <c r="B96" s="98">
        <v>0</v>
      </c>
      <c r="C96" s="98">
        <v>0</v>
      </c>
      <c r="D96" s="98">
        <v>0</v>
      </c>
      <c r="E96" s="98">
        <v>14</v>
      </c>
      <c r="F96" s="98">
        <v>1</v>
      </c>
      <c r="G96" s="98">
        <v>34</v>
      </c>
      <c r="H96" s="98">
        <v>0</v>
      </c>
      <c r="I96" s="98">
        <v>39</v>
      </c>
      <c r="J96" s="98">
        <v>23</v>
      </c>
      <c r="K96" s="98">
        <v>3</v>
      </c>
      <c r="L96" s="98">
        <v>19</v>
      </c>
      <c r="M96" s="98">
        <v>0</v>
      </c>
      <c r="N96" s="7"/>
      <c r="P96" s="23">
        <v>1</v>
      </c>
      <c r="Q96" s="104">
        <v>0</v>
      </c>
      <c r="R96" s="104">
        <v>0</v>
      </c>
      <c r="S96" s="104">
        <v>17</v>
      </c>
      <c r="T96" s="104">
        <v>58</v>
      </c>
      <c r="U96" s="104">
        <v>0</v>
      </c>
      <c r="V96" s="105">
        <v>0</v>
      </c>
      <c r="W96" s="105">
        <v>0</v>
      </c>
      <c r="X96" s="105">
        <v>3</v>
      </c>
      <c r="Y96" s="105">
        <v>0</v>
      </c>
      <c r="Z96" s="105">
        <v>46.5</v>
      </c>
      <c r="AA96" s="105">
        <v>2.4</v>
      </c>
      <c r="AB96" s="105">
        <v>30.5</v>
      </c>
      <c r="AC96" s="7"/>
    </row>
    <row r="97" spans="1:29">
      <c r="A97" s="87">
        <v>2</v>
      </c>
      <c r="B97" s="98">
        <v>10</v>
      </c>
      <c r="C97" s="98">
        <v>1</v>
      </c>
      <c r="D97" s="98">
        <v>0</v>
      </c>
      <c r="E97" s="98">
        <v>0</v>
      </c>
      <c r="F97" s="98">
        <v>0</v>
      </c>
      <c r="G97" s="98">
        <v>24</v>
      </c>
      <c r="H97" s="98">
        <v>0</v>
      </c>
      <c r="I97" s="98">
        <v>0</v>
      </c>
      <c r="J97" s="98">
        <v>0</v>
      </c>
      <c r="K97" s="98">
        <v>5</v>
      </c>
      <c r="L97" s="98">
        <v>17</v>
      </c>
      <c r="M97" s="98">
        <v>0</v>
      </c>
      <c r="N97" s="7"/>
      <c r="P97" s="23">
        <v>2</v>
      </c>
      <c r="Q97" s="104">
        <v>41</v>
      </c>
      <c r="R97" s="104">
        <v>0</v>
      </c>
      <c r="S97" s="104">
        <v>0</v>
      </c>
      <c r="T97" s="104">
        <v>0</v>
      </c>
      <c r="U97" s="104">
        <v>0</v>
      </c>
      <c r="V97" s="105">
        <v>43</v>
      </c>
      <c r="W97" s="105">
        <v>3</v>
      </c>
      <c r="X97" s="105">
        <v>0</v>
      </c>
      <c r="Y97" s="105">
        <v>0</v>
      </c>
      <c r="Z97" s="105">
        <v>0</v>
      </c>
      <c r="AA97" s="105">
        <v>0</v>
      </c>
      <c r="AB97" s="105">
        <v>19.2</v>
      </c>
      <c r="AC97" s="7"/>
    </row>
    <row r="98" spans="1:29">
      <c r="A98" s="87">
        <v>3</v>
      </c>
      <c r="B98" s="98">
        <v>0</v>
      </c>
      <c r="C98" s="98">
        <v>6</v>
      </c>
      <c r="D98" s="98">
        <v>0</v>
      </c>
      <c r="E98" s="98">
        <v>1</v>
      </c>
      <c r="F98" s="98">
        <v>3</v>
      </c>
      <c r="G98" s="98">
        <v>39</v>
      </c>
      <c r="H98" s="98">
        <v>0</v>
      </c>
      <c r="I98" s="98">
        <v>0</v>
      </c>
      <c r="J98" s="98">
        <v>0</v>
      </c>
      <c r="K98" s="98">
        <v>0</v>
      </c>
      <c r="L98" s="98">
        <v>5</v>
      </c>
      <c r="M98" s="98">
        <v>0</v>
      </c>
      <c r="N98" s="7"/>
      <c r="P98" s="23">
        <v>3</v>
      </c>
      <c r="Q98" s="104">
        <v>0</v>
      </c>
      <c r="R98" s="104">
        <v>0</v>
      </c>
      <c r="S98" s="104">
        <v>0</v>
      </c>
      <c r="T98" s="104">
        <v>7</v>
      </c>
      <c r="U98" s="104">
        <v>21</v>
      </c>
      <c r="V98" s="105">
        <v>8</v>
      </c>
      <c r="W98" s="105">
        <v>0</v>
      </c>
      <c r="X98" s="105">
        <v>0</v>
      </c>
      <c r="Y98" s="105">
        <v>2</v>
      </c>
      <c r="Z98" s="105">
        <v>6.2</v>
      </c>
      <c r="AA98" s="105">
        <v>33.200000000000003</v>
      </c>
      <c r="AB98" s="105">
        <v>0</v>
      </c>
      <c r="AC98" s="7"/>
    </row>
    <row r="99" spans="1:29">
      <c r="A99" s="87">
        <v>4</v>
      </c>
      <c r="B99" s="98">
        <v>0</v>
      </c>
      <c r="C99" s="98">
        <v>0</v>
      </c>
      <c r="D99" s="98">
        <v>0</v>
      </c>
      <c r="E99" s="98">
        <v>4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7</v>
      </c>
      <c r="L99" s="98">
        <v>40</v>
      </c>
      <c r="M99" s="98">
        <v>0</v>
      </c>
      <c r="N99" s="7"/>
      <c r="P99" s="23">
        <v>4</v>
      </c>
      <c r="Q99" s="104">
        <v>0</v>
      </c>
      <c r="R99" s="104">
        <v>0</v>
      </c>
      <c r="S99" s="104">
        <v>0</v>
      </c>
      <c r="T99" s="104">
        <v>37</v>
      </c>
      <c r="U99" s="104">
        <v>0</v>
      </c>
      <c r="V99" s="105">
        <v>0</v>
      </c>
      <c r="W99" s="105">
        <v>0</v>
      </c>
      <c r="X99" s="105">
        <v>0</v>
      </c>
      <c r="Y99" s="105">
        <v>0</v>
      </c>
      <c r="Z99" s="105">
        <v>0</v>
      </c>
      <c r="AA99" s="105">
        <v>0</v>
      </c>
      <c r="AB99" s="105">
        <v>0</v>
      </c>
      <c r="AC99" s="7"/>
    </row>
    <row r="100" spans="1:29">
      <c r="A100" s="87">
        <v>5</v>
      </c>
      <c r="B100" s="98">
        <v>0</v>
      </c>
      <c r="C100" s="98">
        <v>0</v>
      </c>
      <c r="D100" s="98">
        <v>0</v>
      </c>
      <c r="E100" s="98">
        <v>19</v>
      </c>
      <c r="F100" s="98">
        <v>31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7</v>
      </c>
      <c r="M100" s="98">
        <v>33</v>
      </c>
      <c r="N100" s="7"/>
      <c r="P100" s="23">
        <v>5</v>
      </c>
      <c r="Q100" s="104">
        <v>6</v>
      </c>
      <c r="R100" s="104">
        <v>0</v>
      </c>
      <c r="S100" s="104">
        <v>0</v>
      </c>
      <c r="T100" s="104">
        <v>12</v>
      </c>
      <c r="U100" s="104">
        <v>0</v>
      </c>
      <c r="V100" s="105">
        <v>0</v>
      </c>
      <c r="W100" s="105">
        <v>0</v>
      </c>
      <c r="X100" s="105">
        <v>0</v>
      </c>
      <c r="Y100" s="105">
        <v>0</v>
      </c>
      <c r="Z100" s="105">
        <v>0</v>
      </c>
      <c r="AA100" s="105">
        <v>45.8</v>
      </c>
      <c r="AB100" s="105">
        <v>0</v>
      </c>
      <c r="AC100" s="7"/>
    </row>
    <row r="101" spans="1:29">
      <c r="A101" s="87">
        <v>6</v>
      </c>
      <c r="B101" s="98">
        <v>14</v>
      </c>
      <c r="C101" s="98">
        <v>0</v>
      </c>
      <c r="D101" s="98">
        <v>0</v>
      </c>
      <c r="E101" s="98">
        <v>0</v>
      </c>
      <c r="F101" s="98">
        <v>4</v>
      </c>
      <c r="G101" s="98">
        <v>0</v>
      </c>
      <c r="H101" s="98">
        <v>12</v>
      </c>
      <c r="I101" s="98">
        <v>0</v>
      </c>
      <c r="J101" s="98">
        <v>10</v>
      </c>
      <c r="K101" s="98">
        <v>0</v>
      </c>
      <c r="L101" s="98">
        <v>6</v>
      </c>
      <c r="M101" s="98">
        <v>0</v>
      </c>
      <c r="N101" s="7"/>
      <c r="P101" s="23">
        <v>6</v>
      </c>
      <c r="Q101" s="104">
        <v>2</v>
      </c>
      <c r="R101" s="104">
        <v>0</v>
      </c>
      <c r="S101" s="104">
        <v>0</v>
      </c>
      <c r="T101" s="104">
        <v>7</v>
      </c>
      <c r="U101" s="104">
        <v>0</v>
      </c>
      <c r="V101" s="105">
        <v>75</v>
      </c>
      <c r="W101" s="105">
        <v>0</v>
      </c>
      <c r="X101" s="105">
        <v>2</v>
      </c>
      <c r="Y101" s="105">
        <v>0</v>
      </c>
      <c r="Z101" s="105">
        <v>0</v>
      </c>
      <c r="AA101" s="105">
        <v>10.9</v>
      </c>
      <c r="AB101" s="105">
        <v>0</v>
      </c>
      <c r="AC101" s="7"/>
    </row>
    <row r="102" spans="1:29">
      <c r="A102" s="87">
        <v>7</v>
      </c>
      <c r="B102" s="98">
        <v>0</v>
      </c>
      <c r="C102" s="98">
        <v>1</v>
      </c>
      <c r="D102" s="98">
        <v>0</v>
      </c>
      <c r="E102" s="98">
        <v>7</v>
      </c>
      <c r="F102" s="98">
        <v>78</v>
      </c>
      <c r="G102" s="98">
        <v>0</v>
      </c>
      <c r="H102" s="98">
        <v>24</v>
      </c>
      <c r="I102" s="98">
        <v>0</v>
      </c>
      <c r="J102" s="98">
        <v>0</v>
      </c>
      <c r="K102" s="98">
        <v>0</v>
      </c>
      <c r="L102" s="98">
        <v>11</v>
      </c>
      <c r="M102" s="98">
        <v>71</v>
      </c>
      <c r="N102" s="7"/>
      <c r="P102" s="23">
        <v>7</v>
      </c>
      <c r="Q102" s="104">
        <v>0</v>
      </c>
      <c r="R102" s="104">
        <v>0</v>
      </c>
      <c r="S102" s="104">
        <v>0</v>
      </c>
      <c r="T102" s="104">
        <v>14</v>
      </c>
      <c r="U102" s="104">
        <v>16</v>
      </c>
      <c r="V102" s="105">
        <v>0</v>
      </c>
      <c r="W102" s="105">
        <v>0</v>
      </c>
      <c r="X102" s="105">
        <v>0</v>
      </c>
      <c r="Y102" s="105">
        <v>3</v>
      </c>
      <c r="Z102" s="105">
        <v>40</v>
      </c>
      <c r="AA102" s="105">
        <v>0</v>
      </c>
      <c r="AB102" s="105">
        <v>0</v>
      </c>
      <c r="AC102" s="7"/>
    </row>
    <row r="103" spans="1:29">
      <c r="A103" s="87">
        <v>8</v>
      </c>
      <c r="B103" s="98">
        <v>0</v>
      </c>
      <c r="C103" s="98">
        <v>2</v>
      </c>
      <c r="D103" s="98">
        <v>0</v>
      </c>
      <c r="E103" s="98">
        <v>0</v>
      </c>
      <c r="F103" s="98">
        <v>52</v>
      </c>
      <c r="G103" s="98">
        <v>24</v>
      </c>
      <c r="H103" s="98">
        <v>82</v>
      </c>
      <c r="I103" s="98">
        <v>0</v>
      </c>
      <c r="J103" s="98">
        <v>0</v>
      </c>
      <c r="K103" s="98">
        <v>0</v>
      </c>
      <c r="L103" s="98">
        <v>10</v>
      </c>
      <c r="M103" s="98">
        <v>10</v>
      </c>
      <c r="N103" s="7"/>
      <c r="P103" s="23">
        <v>8</v>
      </c>
      <c r="Q103" s="104">
        <v>4</v>
      </c>
      <c r="R103" s="104">
        <v>0</v>
      </c>
      <c r="S103" s="104">
        <v>0</v>
      </c>
      <c r="T103" s="104">
        <v>0</v>
      </c>
      <c r="U103" s="104">
        <v>0</v>
      </c>
      <c r="V103" s="105">
        <v>13</v>
      </c>
      <c r="W103" s="105">
        <v>14</v>
      </c>
      <c r="X103" s="105">
        <v>0</v>
      </c>
      <c r="Y103" s="105">
        <v>0</v>
      </c>
      <c r="Z103" s="105">
        <v>0</v>
      </c>
      <c r="AA103" s="105">
        <v>27.8</v>
      </c>
      <c r="AB103" s="105">
        <v>0</v>
      </c>
      <c r="AC103" s="7"/>
    </row>
    <row r="104" spans="1:29">
      <c r="A104" s="87">
        <v>9</v>
      </c>
      <c r="B104" s="98">
        <v>0</v>
      </c>
      <c r="C104" s="98">
        <v>0</v>
      </c>
      <c r="D104" s="98">
        <v>0</v>
      </c>
      <c r="E104" s="98">
        <v>1</v>
      </c>
      <c r="F104" s="98">
        <v>0</v>
      </c>
      <c r="G104" s="98">
        <v>0</v>
      </c>
      <c r="H104" s="98">
        <v>24</v>
      </c>
      <c r="I104" s="98">
        <v>0</v>
      </c>
      <c r="J104" s="98">
        <v>30</v>
      </c>
      <c r="K104" s="98">
        <v>0</v>
      </c>
      <c r="L104" s="98">
        <v>86</v>
      </c>
      <c r="M104" s="98">
        <v>9</v>
      </c>
      <c r="N104" s="7"/>
      <c r="P104" s="23">
        <v>9</v>
      </c>
      <c r="Q104" s="104">
        <v>0</v>
      </c>
      <c r="R104" s="104">
        <v>0</v>
      </c>
      <c r="S104" s="104">
        <v>0</v>
      </c>
      <c r="T104" s="104">
        <v>17</v>
      </c>
      <c r="U104" s="104">
        <v>38</v>
      </c>
      <c r="V104" s="105">
        <v>0</v>
      </c>
      <c r="W104" s="105">
        <v>11</v>
      </c>
      <c r="X104" s="105">
        <v>0</v>
      </c>
      <c r="Y104" s="105">
        <v>0</v>
      </c>
      <c r="Z104" s="105">
        <v>0</v>
      </c>
      <c r="AA104" s="105">
        <v>17</v>
      </c>
      <c r="AB104" s="105">
        <v>16</v>
      </c>
      <c r="AC104" s="7"/>
    </row>
    <row r="105" spans="1:29">
      <c r="A105" s="87">
        <v>10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9</v>
      </c>
      <c r="H105" s="98">
        <v>0</v>
      </c>
      <c r="I105" s="98">
        <v>0</v>
      </c>
      <c r="J105" s="98">
        <v>10</v>
      </c>
      <c r="K105" s="98">
        <v>6</v>
      </c>
      <c r="L105" s="98">
        <v>13</v>
      </c>
      <c r="M105" s="98">
        <v>26</v>
      </c>
      <c r="N105" s="7"/>
      <c r="P105" s="23">
        <v>10</v>
      </c>
      <c r="Q105" s="104">
        <v>0</v>
      </c>
      <c r="R105" s="104">
        <v>0</v>
      </c>
      <c r="S105" s="104">
        <v>25</v>
      </c>
      <c r="T105" s="104">
        <v>0</v>
      </c>
      <c r="U105" s="104">
        <v>2</v>
      </c>
      <c r="V105" s="105">
        <v>0</v>
      </c>
      <c r="W105" s="105">
        <v>1</v>
      </c>
      <c r="X105" s="105">
        <v>1</v>
      </c>
      <c r="Y105" s="105">
        <v>0</v>
      </c>
      <c r="Z105" s="105">
        <v>0</v>
      </c>
      <c r="AA105" s="105">
        <v>0</v>
      </c>
      <c r="AB105" s="105">
        <v>0</v>
      </c>
      <c r="AC105" s="7"/>
    </row>
    <row r="106" spans="1:29">
      <c r="A106" s="87">
        <v>11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2</v>
      </c>
      <c r="K106" s="98">
        <v>0</v>
      </c>
      <c r="L106" s="98">
        <v>0</v>
      </c>
      <c r="M106" s="98">
        <v>8</v>
      </c>
      <c r="N106" s="7"/>
      <c r="P106" s="23">
        <v>11</v>
      </c>
      <c r="Q106" s="104">
        <v>10</v>
      </c>
      <c r="R106" s="104">
        <v>0</v>
      </c>
      <c r="S106" s="104">
        <v>0</v>
      </c>
      <c r="T106" s="104">
        <v>0</v>
      </c>
      <c r="U106" s="104">
        <v>0</v>
      </c>
      <c r="V106" s="105">
        <v>0</v>
      </c>
      <c r="W106" s="105">
        <v>2</v>
      </c>
      <c r="X106" s="105">
        <v>52</v>
      </c>
      <c r="Y106" s="105">
        <v>0</v>
      </c>
      <c r="Z106" s="105">
        <v>34.5</v>
      </c>
      <c r="AA106" s="105">
        <v>3</v>
      </c>
      <c r="AB106" s="105">
        <v>0</v>
      </c>
      <c r="AC106" s="7"/>
    </row>
    <row r="107" spans="1:29">
      <c r="A107" s="87">
        <v>12</v>
      </c>
      <c r="B107" s="98">
        <v>0</v>
      </c>
      <c r="C107" s="98">
        <v>0</v>
      </c>
      <c r="D107" s="98">
        <v>0</v>
      </c>
      <c r="E107" s="98">
        <v>3</v>
      </c>
      <c r="F107" s="98">
        <v>2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4</v>
      </c>
      <c r="N107" s="7"/>
      <c r="P107" s="23">
        <v>12</v>
      </c>
      <c r="Q107" s="104">
        <v>0</v>
      </c>
      <c r="R107" s="104">
        <v>0</v>
      </c>
      <c r="S107" s="104">
        <v>0</v>
      </c>
      <c r="T107" s="104">
        <v>0</v>
      </c>
      <c r="U107" s="104">
        <v>0</v>
      </c>
      <c r="V107" s="105">
        <v>0</v>
      </c>
      <c r="W107" s="105">
        <v>21</v>
      </c>
      <c r="X107" s="105">
        <v>14</v>
      </c>
      <c r="Y107" s="105">
        <v>0</v>
      </c>
      <c r="Z107" s="105">
        <v>0</v>
      </c>
      <c r="AA107" s="105">
        <v>24.5</v>
      </c>
      <c r="AB107" s="105">
        <v>0</v>
      </c>
      <c r="AC107" s="7"/>
    </row>
    <row r="108" spans="1:29">
      <c r="A108" s="87">
        <v>13</v>
      </c>
      <c r="B108" s="98">
        <v>0</v>
      </c>
      <c r="C108" s="98">
        <v>5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33</v>
      </c>
      <c r="K108" s="98">
        <v>47</v>
      </c>
      <c r="L108" s="98">
        <v>46</v>
      </c>
      <c r="M108" s="98">
        <v>16</v>
      </c>
      <c r="N108" s="7"/>
      <c r="P108" s="23">
        <v>13</v>
      </c>
      <c r="Q108" s="104">
        <v>11</v>
      </c>
      <c r="R108" s="104">
        <v>0</v>
      </c>
      <c r="S108" s="104">
        <v>29</v>
      </c>
      <c r="T108" s="104">
        <v>0</v>
      </c>
      <c r="U108" s="104">
        <v>2</v>
      </c>
      <c r="V108" s="105">
        <v>0</v>
      </c>
      <c r="W108" s="105">
        <v>45</v>
      </c>
      <c r="X108" s="105">
        <v>32</v>
      </c>
      <c r="Y108" s="105">
        <v>0</v>
      </c>
      <c r="Z108" s="105">
        <v>0</v>
      </c>
      <c r="AA108" s="105">
        <v>0</v>
      </c>
      <c r="AB108" s="105">
        <v>0</v>
      </c>
      <c r="AC108" s="7"/>
    </row>
    <row r="109" spans="1:29">
      <c r="A109" s="87">
        <v>14</v>
      </c>
      <c r="B109" s="98">
        <v>5</v>
      </c>
      <c r="C109" s="98">
        <v>0</v>
      </c>
      <c r="D109" s="98">
        <v>0</v>
      </c>
      <c r="E109" s="98">
        <v>31</v>
      </c>
      <c r="F109" s="98">
        <v>0</v>
      </c>
      <c r="G109" s="98">
        <v>0</v>
      </c>
      <c r="H109" s="98">
        <v>22</v>
      </c>
      <c r="I109" s="98">
        <v>0</v>
      </c>
      <c r="J109" s="98">
        <v>2</v>
      </c>
      <c r="K109" s="98">
        <v>0</v>
      </c>
      <c r="L109" s="98">
        <v>47</v>
      </c>
      <c r="M109" s="98">
        <v>29</v>
      </c>
      <c r="N109" s="7"/>
      <c r="P109" s="23">
        <v>14</v>
      </c>
      <c r="Q109" s="104">
        <v>0</v>
      </c>
      <c r="R109" s="104">
        <v>0</v>
      </c>
      <c r="S109" s="104">
        <v>9</v>
      </c>
      <c r="T109" s="104">
        <v>0</v>
      </c>
      <c r="U109" s="104">
        <v>0</v>
      </c>
      <c r="V109" s="105">
        <v>0</v>
      </c>
      <c r="W109" s="105">
        <v>0</v>
      </c>
      <c r="X109" s="105">
        <v>70</v>
      </c>
      <c r="Y109" s="105">
        <v>29</v>
      </c>
      <c r="Z109" s="105">
        <v>0</v>
      </c>
      <c r="AA109" s="105">
        <v>95</v>
      </c>
      <c r="AB109" s="105">
        <v>0</v>
      </c>
      <c r="AC109" s="7"/>
    </row>
    <row r="110" spans="1:29">
      <c r="A110" s="87">
        <v>15</v>
      </c>
      <c r="B110" s="98">
        <v>0</v>
      </c>
      <c r="C110" s="98">
        <v>0</v>
      </c>
      <c r="D110" s="98">
        <v>0</v>
      </c>
      <c r="E110" s="98">
        <v>5</v>
      </c>
      <c r="F110" s="98">
        <v>0</v>
      </c>
      <c r="G110" s="98">
        <v>0</v>
      </c>
      <c r="H110" s="98">
        <v>0</v>
      </c>
      <c r="I110" s="98">
        <v>0</v>
      </c>
      <c r="J110" s="98">
        <v>120</v>
      </c>
      <c r="K110" s="98">
        <v>4</v>
      </c>
      <c r="L110" s="98">
        <v>9</v>
      </c>
      <c r="M110" s="98">
        <v>22</v>
      </c>
      <c r="N110" s="7"/>
      <c r="P110" s="23">
        <v>15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5">
        <v>60</v>
      </c>
      <c r="W110" s="105">
        <v>0</v>
      </c>
      <c r="X110" s="105">
        <v>5</v>
      </c>
      <c r="Y110" s="105">
        <v>0</v>
      </c>
      <c r="Z110" s="105">
        <v>33.200000000000003</v>
      </c>
      <c r="AA110" s="105">
        <v>2.7</v>
      </c>
      <c r="AB110" s="105">
        <v>3.2</v>
      </c>
      <c r="AC110" s="7"/>
    </row>
    <row r="111" spans="1:29">
      <c r="A111" s="87">
        <v>16</v>
      </c>
      <c r="B111" s="98">
        <v>20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16</v>
      </c>
      <c r="I111" s="98">
        <v>0</v>
      </c>
      <c r="J111" s="98">
        <v>18</v>
      </c>
      <c r="K111" s="98">
        <v>7</v>
      </c>
      <c r="L111" s="98">
        <v>14</v>
      </c>
      <c r="M111" s="98">
        <v>5</v>
      </c>
      <c r="N111" s="7"/>
      <c r="P111" s="23">
        <v>16</v>
      </c>
      <c r="Q111" s="104">
        <v>0</v>
      </c>
      <c r="R111" s="104">
        <v>0</v>
      </c>
      <c r="S111" s="104">
        <v>1</v>
      </c>
      <c r="T111" s="104">
        <v>0</v>
      </c>
      <c r="U111" s="104">
        <v>0</v>
      </c>
      <c r="V111" s="105">
        <v>0</v>
      </c>
      <c r="W111" s="105">
        <v>0</v>
      </c>
      <c r="X111" s="105">
        <v>7</v>
      </c>
      <c r="Y111" s="105">
        <v>0</v>
      </c>
      <c r="Z111" s="105">
        <v>38.4</v>
      </c>
      <c r="AA111" s="105">
        <v>0</v>
      </c>
      <c r="AB111" s="105">
        <v>23.8</v>
      </c>
      <c r="AC111" s="7"/>
    </row>
    <row r="112" spans="1:29">
      <c r="A112" s="87">
        <v>17</v>
      </c>
      <c r="B112" s="98">
        <v>7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10</v>
      </c>
      <c r="I112" s="98">
        <v>0</v>
      </c>
      <c r="J112" s="98">
        <v>9</v>
      </c>
      <c r="K112" s="98">
        <v>0</v>
      </c>
      <c r="L112" s="98">
        <v>0</v>
      </c>
      <c r="M112" s="98">
        <v>0</v>
      </c>
      <c r="N112" s="7"/>
      <c r="P112" s="23">
        <v>17</v>
      </c>
      <c r="Q112" s="104">
        <v>0</v>
      </c>
      <c r="R112" s="104">
        <v>0</v>
      </c>
      <c r="S112" s="104">
        <v>35</v>
      </c>
      <c r="T112" s="104">
        <v>0</v>
      </c>
      <c r="U112" s="104">
        <v>0</v>
      </c>
      <c r="V112" s="105">
        <v>0</v>
      </c>
      <c r="W112" s="105">
        <v>0</v>
      </c>
      <c r="X112" s="105">
        <v>9</v>
      </c>
      <c r="Y112" s="105">
        <v>0</v>
      </c>
      <c r="Z112" s="105">
        <v>0</v>
      </c>
      <c r="AA112" s="105">
        <v>0</v>
      </c>
      <c r="AB112" s="105">
        <v>0</v>
      </c>
      <c r="AC112" s="7"/>
    </row>
    <row r="113" spans="1:29">
      <c r="A113" s="87">
        <v>18</v>
      </c>
      <c r="B113" s="98">
        <v>2</v>
      </c>
      <c r="C113" s="98">
        <v>0</v>
      </c>
      <c r="D113" s="98">
        <v>0</v>
      </c>
      <c r="E113" s="98">
        <v>17</v>
      </c>
      <c r="F113" s="98">
        <v>0</v>
      </c>
      <c r="G113" s="98">
        <v>0</v>
      </c>
      <c r="H113" s="98">
        <v>0</v>
      </c>
      <c r="I113" s="98">
        <v>0</v>
      </c>
      <c r="J113" s="98">
        <v>97</v>
      </c>
      <c r="K113" s="98">
        <v>0</v>
      </c>
      <c r="L113" s="98">
        <v>0</v>
      </c>
      <c r="M113" s="98">
        <v>4</v>
      </c>
      <c r="N113" s="7"/>
      <c r="P113" s="23">
        <v>18</v>
      </c>
      <c r="Q113" s="104">
        <v>0</v>
      </c>
      <c r="R113" s="104">
        <v>0</v>
      </c>
      <c r="S113" s="104">
        <v>7</v>
      </c>
      <c r="T113" s="104">
        <v>0</v>
      </c>
      <c r="U113" s="104">
        <v>104</v>
      </c>
      <c r="V113" s="105">
        <v>0</v>
      </c>
      <c r="W113" s="105">
        <v>0</v>
      </c>
      <c r="X113" s="105">
        <v>4</v>
      </c>
      <c r="Y113" s="105">
        <v>0</v>
      </c>
      <c r="Z113" s="105">
        <v>0</v>
      </c>
      <c r="AA113" s="105">
        <v>0</v>
      </c>
      <c r="AB113" s="105">
        <v>0</v>
      </c>
      <c r="AC113" s="7"/>
    </row>
    <row r="114" spans="1:29">
      <c r="A114" s="87">
        <v>19</v>
      </c>
      <c r="B114" s="98">
        <v>2</v>
      </c>
      <c r="C114" s="98">
        <v>0</v>
      </c>
      <c r="D114" s="98">
        <v>0</v>
      </c>
      <c r="E114" s="98">
        <v>74</v>
      </c>
      <c r="F114" s="98">
        <v>0</v>
      </c>
      <c r="G114" s="98">
        <v>0</v>
      </c>
      <c r="H114" s="98">
        <v>14</v>
      </c>
      <c r="I114" s="98">
        <v>0</v>
      </c>
      <c r="J114" s="98">
        <v>8</v>
      </c>
      <c r="K114" s="98">
        <v>19</v>
      </c>
      <c r="L114" s="98">
        <v>14</v>
      </c>
      <c r="M114" s="98">
        <v>2</v>
      </c>
      <c r="N114" s="7"/>
      <c r="P114" s="23">
        <v>19</v>
      </c>
      <c r="Q114" s="104">
        <v>0</v>
      </c>
      <c r="R114" s="104">
        <v>0</v>
      </c>
      <c r="S114" s="104">
        <v>0</v>
      </c>
      <c r="T114" s="104">
        <v>14</v>
      </c>
      <c r="U114" s="104">
        <v>0</v>
      </c>
      <c r="V114" s="105">
        <v>0</v>
      </c>
      <c r="W114" s="105">
        <v>0</v>
      </c>
      <c r="X114" s="105">
        <v>0</v>
      </c>
      <c r="Y114" s="105">
        <v>15</v>
      </c>
      <c r="Z114" s="105">
        <v>16.2</v>
      </c>
      <c r="AA114" s="105">
        <v>0</v>
      </c>
      <c r="AB114" s="105">
        <v>0</v>
      </c>
      <c r="AC114" s="7"/>
    </row>
    <row r="115" spans="1:29">
      <c r="A115" s="87">
        <v>20</v>
      </c>
      <c r="B115" s="98">
        <v>57</v>
      </c>
      <c r="C115" s="98">
        <v>0</v>
      </c>
      <c r="D115" s="98">
        <v>0</v>
      </c>
      <c r="E115" s="98">
        <v>16</v>
      </c>
      <c r="F115" s="98">
        <v>11</v>
      </c>
      <c r="G115" s="98">
        <v>0</v>
      </c>
      <c r="H115" s="98">
        <v>0</v>
      </c>
      <c r="I115" s="98">
        <v>0</v>
      </c>
      <c r="J115" s="98">
        <v>33</v>
      </c>
      <c r="K115" s="98">
        <v>0</v>
      </c>
      <c r="L115" s="98">
        <v>0</v>
      </c>
      <c r="M115" s="98">
        <v>45</v>
      </c>
      <c r="N115" s="7"/>
      <c r="P115" s="23">
        <v>20</v>
      </c>
      <c r="Q115" s="104">
        <v>0</v>
      </c>
      <c r="R115" s="104">
        <v>0</v>
      </c>
      <c r="S115" s="104">
        <v>0</v>
      </c>
      <c r="T115" s="104">
        <v>0</v>
      </c>
      <c r="U115" s="104">
        <v>34</v>
      </c>
      <c r="V115" s="105">
        <v>0</v>
      </c>
      <c r="W115" s="105">
        <v>0</v>
      </c>
      <c r="X115" s="105">
        <v>9</v>
      </c>
      <c r="Y115" s="105">
        <v>55</v>
      </c>
      <c r="Z115" s="105">
        <v>4.0999999999999996</v>
      </c>
      <c r="AA115" s="105">
        <v>3.1</v>
      </c>
      <c r="AB115" s="105">
        <v>51</v>
      </c>
      <c r="AC115" s="7"/>
    </row>
    <row r="116" spans="1:29">
      <c r="A116" s="87">
        <v>21</v>
      </c>
      <c r="B116" s="98">
        <v>0</v>
      </c>
      <c r="C116" s="98">
        <v>0</v>
      </c>
      <c r="D116" s="98">
        <v>0</v>
      </c>
      <c r="E116" s="98">
        <v>3</v>
      </c>
      <c r="F116" s="98">
        <v>23</v>
      </c>
      <c r="G116" s="98">
        <v>0</v>
      </c>
      <c r="H116" s="98">
        <v>10</v>
      </c>
      <c r="I116" s="98">
        <v>0</v>
      </c>
      <c r="J116" s="98">
        <v>1</v>
      </c>
      <c r="K116" s="98">
        <v>14</v>
      </c>
      <c r="L116" s="98">
        <v>89</v>
      </c>
      <c r="M116" s="98">
        <v>0</v>
      </c>
      <c r="N116" s="7"/>
      <c r="P116" s="23">
        <v>21</v>
      </c>
      <c r="Q116" s="104">
        <v>0</v>
      </c>
      <c r="R116" s="104">
        <v>0</v>
      </c>
      <c r="S116" s="104">
        <v>0</v>
      </c>
      <c r="T116" s="104">
        <v>0</v>
      </c>
      <c r="U116" s="104">
        <v>0</v>
      </c>
      <c r="V116" s="105">
        <v>40</v>
      </c>
      <c r="W116" s="105">
        <v>0</v>
      </c>
      <c r="X116" s="105">
        <v>0</v>
      </c>
      <c r="Y116" s="105">
        <v>1</v>
      </c>
      <c r="Z116" s="105">
        <v>4.7</v>
      </c>
      <c r="AA116" s="105">
        <v>0</v>
      </c>
      <c r="AB116" s="105">
        <v>0</v>
      </c>
      <c r="AC116" s="7"/>
    </row>
    <row r="117" spans="1:29">
      <c r="A117" s="87">
        <v>22</v>
      </c>
      <c r="B117" s="98">
        <v>39</v>
      </c>
      <c r="C117" s="98">
        <v>0</v>
      </c>
      <c r="D117" s="98">
        <v>0</v>
      </c>
      <c r="E117" s="98">
        <v>0</v>
      </c>
      <c r="F117" s="98">
        <v>2</v>
      </c>
      <c r="G117" s="98">
        <v>0</v>
      </c>
      <c r="H117" s="98">
        <v>10</v>
      </c>
      <c r="I117" s="98">
        <v>0</v>
      </c>
      <c r="J117" s="98">
        <v>13</v>
      </c>
      <c r="K117" s="98">
        <v>0</v>
      </c>
      <c r="L117" s="98">
        <v>16</v>
      </c>
      <c r="M117" s="98">
        <v>0</v>
      </c>
      <c r="N117" s="7"/>
      <c r="P117" s="23">
        <v>22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5">
        <v>0</v>
      </c>
      <c r="W117" s="105">
        <v>0</v>
      </c>
      <c r="X117" s="105">
        <v>3</v>
      </c>
      <c r="Y117" s="105">
        <v>0</v>
      </c>
      <c r="Z117" s="105">
        <v>35</v>
      </c>
      <c r="AA117" s="105">
        <v>16.5</v>
      </c>
      <c r="AB117" s="105">
        <v>0</v>
      </c>
      <c r="AC117" s="7"/>
    </row>
    <row r="118" spans="1:29">
      <c r="A118" s="87">
        <v>23</v>
      </c>
      <c r="B118" s="98">
        <v>0</v>
      </c>
      <c r="C118" s="98">
        <v>0</v>
      </c>
      <c r="D118" s="98">
        <v>0</v>
      </c>
      <c r="E118" s="98">
        <v>24</v>
      </c>
      <c r="F118" s="98">
        <v>0</v>
      </c>
      <c r="G118" s="98">
        <v>0</v>
      </c>
      <c r="H118" s="98">
        <v>2</v>
      </c>
      <c r="I118" s="98">
        <v>0</v>
      </c>
      <c r="J118" s="98">
        <v>2</v>
      </c>
      <c r="K118" s="98">
        <v>31</v>
      </c>
      <c r="L118" s="98">
        <v>6</v>
      </c>
      <c r="M118" s="98">
        <v>25</v>
      </c>
      <c r="N118" s="7"/>
      <c r="P118" s="23">
        <v>23</v>
      </c>
      <c r="Q118" s="104">
        <v>0</v>
      </c>
      <c r="R118" s="104">
        <v>0</v>
      </c>
      <c r="S118" s="104">
        <v>0</v>
      </c>
      <c r="T118" s="104">
        <v>12</v>
      </c>
      <c r="U118" s="104">
        <v>0</v>
      </c>
      <c r="V118" s="105">
        <v>0</v>
      </c>
      <c r="W118" s="105">
        <v>0</v>
      </c>
      <c r="X118" s="105">
        <v>0</v>
      </c>
      <c r="Y118" s="105">
        <v>28</v>
      </c>
      <c r="Z118" s="105">
        <v>85.7</v>
      </c>
      <c r="AA118" s="105">
        <v>33.200000000000003</v>
      </c>
      <c r="AB118" s="105">
        <v>41</v>
      </c>
      <c r="AC118" s="7"/>
    </row>
    <row r="119" spans="1:29">
      <c r="A119" s="87">
        <v>24</v>
      </c>
      <c r="B119" s="98">
        <v>38</v>
      </c>
      <c r="C119" s="98">
        <v>0</v>
      </c>
      <c r="D119" s="98">
        <v>0</v>
      </c>
      <c r="E119" s="98">
        <v>60</v>
      </c>
      <c r="F119" s="98">
        <v>0</v>
      </c>
      <c r="G119" s="98">
        <v>0</v>
      </c>
      <c r="H119" s="98">
        <v>0</v>
      </c>
      <c r="I119" s="98">
        <v>24</v>
      </c>
      <c r="J119" s="98">
        <v>11</v>
      </c>
      <c r="K119" s="98">
        <v>0</v>
      </c>
      <c r="L119" s="98">
        <v>0</v>
      </c>
      <c r="M119" s="98">
        <v>0</v>
      </c>
      <c r="N119" s="7"/>
      <c r="P119" s="23">
        <v>24</v>
      </c>
      <c r="Q119" s="104">
        <v>0</v>
      </c>
      <c r="R119" s="104">
        <v>0</v>
      </c>
      <c r="S119" s="104">
        <v>16</v>
      </c>
      <c r="T119" s="104">
        <v>0</v>
      </c>
      <c r="U119" s="104">
        <v>8</v>
      </c>
      <c r="V119" s="105">
        <v>0</v>
      </c>
      <c r="W119" s="105">
        <v>0</v>
      </c>
      <c r="X119" s="105">
        <v>155</v>
      </c>
      <c r="Y119" s="105">
        <v>0</v>
      </c>
      <c r="Z119" s="105">
        <v>0</v>
      </c>
      <c r="AA119" s="105">
        <v>0</v>
      </c>
      <c r="AB119" s="105">
        <v>13</v>
      </c>
      <c r="AC119" s="7"/>
    </row>
    <row r="120" spans="1:29">
      <c r="A120" s="87">
        <v>25</v>
      </c>
      <c r="B120" s="98">
        <v>60</v>
      </c>
      <c r="C120" s="98">
        <v>3</v>
      </c>
      <c r="D120" s="98">
        <v>0</v>
      </c>
      <c r="E120" s="98">
        <v>9</v>
      </c>
      <c r="F120" s="98">
        <v>0</v>
      </c>
      <c r="G120" s="98">
        <v>0</v>
      </c>
      <c r="H120" s="98">
        <v>0</v>
      </c>
      <c r="I120" s="98">
        <v>3</v>
      </c>
      <c r="J120" s="98">
        <v>0</v>
      </c>
      <c r="K120" s="98">
        <v>0</v>
      </c>
      <c r="L120" s="98">
        <v>14</v>
      </c>
      <c r="M120" s="98">
        <v>0</v>
      </c>
      <c r="N120" s="7"/>
      <c r="P120" s="23">
        <v>25</v>
      </c>
      <c r="Q120" s="104">
        <v>0</v>
      </c>
      <c r="R120" s="104">
        <v>0</v>
      </c>
      <c r="S120" s="104">
        <v>3</v>
      </c>
      <c r="T120" s="104">
        <v>13</v>
      </c>
      <c r="U120" s="104">
        <v>0</v>
      </c>
      <c r="V120" s="105">
        <v>0</v>
      </c>
      <c r="W120" s="105">
        <v>0</v>
      </c>
      <c r="X120" s="105">
        <v>15</v>
      </c>
      <c r="Y120" s="105">
        <v>0</v>
      </c>
      <c r="Z120" s="105">
        <v>8.1999999999999993</v>
      </c>
      <c r="AA120" s="105">
        <v>2.1</v>
      </c>
      <c r="AB120" s="105">
        <v>11</v>
      </c>
      <c r="AC120" s="7"/>
    </row>
    <row r="121" spans="1:29">
      <c r="A121" s="87">
        <v>26</v>
      </c>
      <c r="B121" s="98">
        <v>0</v>
      </c>
      <c r="C121" s="98">
        <v>0</v>
      </c>
      <c r="D121" s="98">
        <v>0</v>
      </c>
      <c r="E121" s="98">
        <v>4</v>
      </c>
      <c r="F121" s="98">
        <v>0</v>
      </c>
      <c r="G121" s="98">
        <v>0</v>
      </c>
      <c r="H121" s="98">
        <v>8</v>
      </c>
      <c r="I121" s="98">
        <v>0</v>
      </c>
      <c r="J121" s="98">
        <v>18</v>
      </c>
      <c r="K121" s="98">
        <v>9</v>
      </c>
      <c r="L121" s="98">
        <v>4</v>
      </c>
      <c r="M121" s="98">
        <v>17</v>
      </c>
      <c r="N121" s="7"/>
      <c r="P121" s="23">
        <v>26</v>
      </c>
      <c r="Q121" s="104">
        <v>0</v>
      </c>
      <c r="R121" s="104">
        <v>0</v>
      </c>
      <c r="S121" s="104">
        <v>15</v>
      </c>
      <c r="T121" s="104">
        <v>0</v>
      </c>
      <c r="U121" s="104">
        <v>0</v>
      </c>
      <c r="V121" s="105">
        <v>0</v>
      </c>
      <c r="W121" s="105">
        <v>0</v>
      </c>
      <c r="X121" s="105">
        <v>13</v>
      </c>
      <c r="Y121" s="105">
        <v>28</v>
      </c>
      <c r="Z121" s="105">
        <v>4</v>
      </c>
      <c r="AA121" s="105">
        <v>0</v>
      </c>
      <c r="AB121" s="105">
        <v>0</v>
      </c>
      <c r="AC121" s="7"/>
    </row>
    <row r="122" spans="1:29">
      <c r="A122" s="87">
        <v>27</v>
      </c>
      <c r="B122" s="98">
        <v>7</v>
      </c>
      <c r="C122" s="98">
        <v>0</v>
      </c>
      <c r="D122" s="98">
        <v>0</v>
      </c>
      <c r="E122" s="98">
        <v>28</v>
      </c>
      <c r="F122" s="98">
        <v>0</v>
      </c>
      <c r="G122" s="98">
        <v>0</v>
      </c>
      <c r="H122" s="98">
        <v>0</v>
      </c>
      <c r="I122" s="98">
        <v>0</v>
      </c>
      <c r="J122" s="98">
        <v>37</v>
      </c>
      <c r="K122" s="98">
        <v>0</v>
      </c>
      <c r="L122" s="98">
        <v>68</v>
      </c>
      <c r="M122" s="98">
        <v>43</v>
      </c>
      <c r="N122" s="7"/>
      <c r="P122" s="23">
        <v>27</v>
      </c>
      <c r="Q122" s="104">
        <v>0</v>
      </c>
      <c r="R122" s="104">
        <v>0</v>
      </c>
      <c r="S122" s="104">
        <v>88</v>
      </c>
      <c r="T122" s="104">
        <v>5</v>
      </c>
      <c r="U122" s="104">
        <v>9</v>
      </c>
      <c r="V122" s="105">
        <v>1</v>
      </c>
      <c r="W122" s="105">
        <v>0</v>
      </c>
      <c r="X122" s="105">
        <v>3</v>
      </c>
      <c r="Y122" s="105">
        <v>4</v>
      </c>
      <c r="Z122" s="105">
        <v>2</v>
      </c>
      <c r="AA122" s="105">
        <v>6.5</v>
      </c>
      <c r="AB122" s="105">
        <v>9</v>
      </c>
      <c r="AC122" s="7"/>
    </row>
    <row r="123" spans="1:29">
      <c r="A123" s="87">
        <v>28</v>
      </c>
      <c r="B123" s="98">
        <v>10</v>
      </c>
      <c r="C123" s="98">
        <v>0</v>
      </c>
      <c r="D123" s="98">
        <v>0</v>
      </c>
      <c r="E123" s="98">
        <v>10</v>
      </c>
      <c r="F123" s="98">
        <v>83</v>
      </c>
      <c r="G123" s="98">
        <v>0</v>
      </c>
      <c r="H123" s="98">
        <v>0</v>
      </c>
      <c r="I123" s="98">
        <v>0</v>
      </c>
      <c r="J123" s="98">
        <v>29</v>
      </c>
      <c r="K123" s="98">
        <v>11</v>
      </c>
      <c r="L123" s="98">
        <v>8</v>
      </c>
      <c r="M123" s="98">
        <v>11</v>
      </c>
      <c r="N123" s="7"/>
      <c r="P123" s="23">
        <v>28</v>
      </c>
      <c r="Q123" s="104">
        <v>0</v>
      </c>
      <c r="R123" s="104">
        <v>0</v>
      </c>
      <c r="S123" s="104">
        <v>6</v>
      </c>
      <c r="T123" s="104">
        <v>0</v>
      </c>
      <c r="U123" s="104">
        <v>10</v>
      </c>
      <c r="V123" s="105">
        <v>0</v>
      </c>
      <c r="W123" s="105">
        <v>0</v>
      </c>
      <c r="X123" s="105">
        <v>0</v>
      </c>
      <c r="Y123" s="105">
        <v>0</v>
      </c>
      <c r="Z123" s="105">
        <v>2</v>
      </c>
      <c r="AA123" s="105">
        <v>19.5</v>
      </c>
      <c r="AB123" s="105">
        <v>0</v>
      </c>
      <c r="AC123" s="7"/>
    </row>
    <row r="124" spans="1:29">
      <c r="A124" s="87">
        <v>29</v>
      </c>
      <c r="B124" s="98">
        <v>61</v>
      </c>
      <c r="C124" s="98">
        <v>0</v>
      </c>
      <c r="D124" s="98">
        <v>0</v>
      </c>
      <c r="E124" s="98">
        <v>16</v>
      </c>
      <c r="F124" s="98">
        <v>27</v>
      </c>
      <c r="G124" s="98">
        <v>0</v>
      </c>
      <c r="H124" s="98">
        <v>0</v>
      </c>
      <c r="I124" s="98">
        <v>0</v>
      </c>
      <c r="J124" s="98">
        <v>12</v>
      </c>
      <c r="K124" s="98">
        <v>3</v>
      </c>
      <c r="L124" s="98">
        <v>15</v>
      </c>
      <c r="M124" s="98">
        <v>14</v>
      </c>
      <c r="N124" s="7"/>
      <c r="P124" s="23">
        <v>29</v>
      </c>
      <c r="Q124" s="104">
        <v>0</v>
      </c>
      <c r="R124" s="104">
        <v>0</v>
      </c>
      <c r="S124" s="104">
        <v>9</v>
      </c>
      <c r="T124" s="104">
        <v>3</v>
      </c>
      <c r="U124" s="104">
        <v>0</v>
      </c>
      <c r="V124" s="105">
        <v>0</v>
      </c>
      <c r="W124" s="105">
        <v>0</v>
      </c>
      <c r="X124" s="105">
        <v>71</v>
      </c>
      <c r="Y124" s="105">
        <v>0</v>
      </c>
      <c r="Z124" s="105">
        <v>0</v>
      </c>
      <c r="AA124" s="105">
        <v>2.2999999999999998</v>
      </c>
      <c r="AB124" s="105">
        <v>14</v>
      </c>
      <c r="AC124" s="7" t="s">
        <v>71</v>
      </c>
    </row>
    <row r="125" spans="1:29">
      <c r="A125" s="87">
        <v>30</v>
      </c>
      <c r="B125" s="98">
        <v>41</v>
      </c>
      <c r="C125" s="98"/>
      <c r="D125" s="98">
        <v>0</v>
      </c>
      <c r="E125" s="98">
        <v>19</v>
      </c>
      <c r="F125" s="98">
        <v>8</v>
      </c>
      <c r="G125" s="98">
        <v>0</v>
      </c>
      <c r="H125" s="98">
        <v>0</v>
      </c>
      <c r="I125" s="98">
        <v>0</v>
      </c>
      <c r="J125" s="98">
        <v>9</v>
      </c>
      <c r="K125" s="98">
        <v>63</v>
      </c>
      <c r="L125" s="98">
        <v>0</v>
      </c>
      <c r="M125" s="98">
        <v>5</v>
      </c>
      <c r="N125" s="7"/>
      <c r="P125" s="23">
        <v>30</v>
      </c>
      <c r="Q125" s="104">
        <v>0</v>
      </c>
      <c r="R125" s="104">
        <v>0</v>
      </c>
      <c r="S125" s="104">
        <v>0</v>
      </c>
      <c r="T125" s="104">
        <v>0</v>
      </c>
      <c r="U125" s="104">
        <v>5</v>
      </c>
      <c r="V125" s="105">
        <v>0</v>
      </c>
      <c r="W125" s="105">
        <v>0</v>
      </c>
      <c r="X125" s="105">
        <v>3</v>
      </c>
      <c r="Y125" s="105">
        <v>14</v>
      </c>
      <c r="Z125" s="105">
        <v>38</v>
      </c>
      <c r="AA125" s="105">
        <v>0</v>
      </c>
      <c r="AB125" s="105">
        <v>25</v>
      </c>
      <c r="AC125" s="7"/>
    </row>
    <row r="126" spans="1:29">
      <c r="A126" s="87">
        <v>31</v>
      </c>
      <c r="B126" s="98">
        <v>1</v>
      </c>
      <c r="C126" s="98"/>
      <c r="D126" s="98">
        <v>0</v>
      </c>
      <c r="E126" s="98"/>
      <c r="F126" s="98">
        <v>0</v>
      </c>
      <c r="G126" s="98"/>
      <c r="H126" s="98">
        <v>7</v>
      </c>
      <c r="I126" s="98">
        <v>0</v>
      </c>
      <c r="J126" s="98"/>
      <c r="K126" s="98">
        <v>2</v>
      </c>
      <c r="L126" s="98"/>
      <c r="M126" s="98">
        <v>3</v>
      </c>
      <c r="N126" s="7"/>
      <c r="P126" s="23">
        <v>31</v>
      </c>
      <c r="Q126" s="104">
        <v>0</v>
      </c>
      <c r="R126" s="104">
        <v>0</v>
      </c>
      <c r="S126" s="104">
        <v>22</v>
      </c>
      <c r="T126" s="104">
        <v>0</v>
      </c>
      <c r="U126" s="104">
        <v>0</v>
      </c>
      <c r="V126" s="105">
        <v>0</v>
      </c>
      <c r="W126" s="105">
        <v>0</v>
      </c>
      <c r="X126" s="105">
        <v>0</v>
      </c>
      <c r="Y126" s="105">
        <v>0</v>
      </c>
      <c r="Z126" s="105">
        <v>0</v>
      </c>
      <c r="AA126" s="105">
        <v>0</v>
      </c>
      <c r="AB126" s="105">
        <v>5</v>
      </c>
      <c r="AC126" s="7"/>
    </row>
    <row r="127" spans="1:29">
      <c r="A127" s="16"/>
      <c r="B127" s="26"/>
      <c r="C127" s="26"/>
      <c r="D127" s="26"/>
      <c r="E127" s="27"/>
      <c r="F127" s="26"/>
      <c r="G127" s="26"/>
      <c r="H127" s="26"/>
      <c r="I127" s="26"/>
      <c r="J127" s="26"/>
      <c r="K127" s="26"/>
      <c r="L127" s="28"/>
      <c r="M127" s="29"/>
      <c r="N127" s="7"/>
      <c r="P127" s="88"/>
      <c r="Q127" s="89"/>
      <c r="R127" s="89"/>
      <c r="S127" s="89"/>
      <c r="T127" s="90"/>
      <c r="U127" s="89"/>
      <c r="V127" s="89"/>
      <c r="W127" s="89"/>
      <c r="X127" s="89"/>
      <c r="Y127" s="89"/>
      <c r="Z127" s="89"/>
      <c r="AA127" s="89"/>
      <c r="AB127" s="91"/>
      <c r="AC127" s="7"/>
    </row>
    <row r="128" spans="1:29">
      <c r="A128" s="23" t="s">
        <v>65</v>
      </c>
      <c r="B128" s="30">
        <f t="shared" ref="B128:M128" si="8">SUM(B96:B126)</f>
        <v>374</v>
      </c>
      <c r="C128" s="30">
        <f t="shared" si="8"/>
        <v>18</v>
      </c>
      <c r="D128" s="30">
        <f t="shared" si="8"/>
        <v>0</v>
      </c>
      <c r="E128" s="30">
        <f t="shared" si="8"/>
        <v>365</v>
      </c>
      <c r="F128" s="30">
        <f t="shared" si="8"/>
        <v>325</v>
      </c>
      <c r="G128" s="30">
        <f t="shared" si="8"/>
        <v>130</v>
      </c>
      <c r="H128" s="30">
        <f t="shared" si="8"/>
        <v>241</v>
      </c>
      <c r="I128" s="30">
        <f t="shared" si="8"/>
        <v>66</v>
      </c>
      <c r="J128" s="30">
        <f t="shared" si="8"/>
        <v>527</v>
      </c>
      <c r="K128" s="30">
        <f t="shared" si="8"/>
        <v>231</v>
      </c>
      <c r="L128" s="30">
        <f t="shared" si="8"/>
        <v>564</v>
      </c>
      <c r="M128" s="30">
        <f t="shared" si="8"/>
        <v>402</v>
      </c>
      <c r="N128" s="9">
        <f>SUM(B128:M128)</f>
        <v>3243</v>
      </c>
      <c r="P128" s="25" t="s">
        <v>65</v>
      </c>
      <c r="Q128" s="92">
        <f>SUM(Q96:Q126)</f>
        <v>74</v>
      </c>
      <c r="R128" s="92">
        <f t="shared" ref="R128:AB128" si="9">SUM(R96:R126)</f>
        <v>0</v>
      </c>
      <c r="S128" s="92">
        <f t="shared" si="9"/>
        <v>282</v>
      </c>
      <c r="T128" s="92">
        <f t="shared" si="9"/>
        <v>199</v>
      </c>
      <c r="U128" s="92">
        <f t="shared" si="9"/>
        <v>249</v>
      </c>
      <c r="V128" s="92">
        <f t="shared" si="9"/>
        <v>240</v>
      </c>
      <c r="W128" s="92">
        <f t="shared" si="9"/>
        <v>97</v>
      </c>
      <c r="X128" s="92">
        <f t="shared" si="9"/>
        <v>471</v>
      </c>
      <c r="Y128" s="92">
        <f t="shared" si="9"/>
        <v>179</v>
      </c>
      <c r="Z128" s="92">
        <f t="shared" si="9"/>
        <v>398.69999999999993</v>
      </c>
      <c r="AA128" s="92">
        <f t="shared" si="9"/>
        <v>345.50000000000006</v>
      </c>
      <c r="AB128" s="93">
        <f t="shared" si="9"/>
        <v>261.7</v>
      </c>
      <c r="AC128" s="9">
        <f>SUM(Q128:AB128)</f>
        <v>2796.8999999999996</v>
      </c>
    </row>
    <row r="129" spans="1:29">
      <c r="A129" s="23" t="s">
        <v>66</v>
      </c>
      <c r="B129" s="30">
        <f t="shared" ref="B129:M129" si="10">MAX(B96:B126)</f>
        <v>61</v>
      </c>
      <c r="C129" s="30">
        <f t="shared" si="10"/>
        <v>6</v>
      </c>
      <c r="D129" s="30">
        <f t="shared" si="10"/>
        <v>0</v>
      </c>
      <c r="E129" s="30">
        <f t="shared" si="10"/>
        <v>74</v>
      </c>
      <c r="F129" s="30">
        <f t="shared" si="10"/>
        <v>83</v>
      </c>
      <c r="G129" s="30">
        <f t="shared" si="10"/>
        <v>39</v>
      </c>
      <c r="H129" s="30">
        <f t="shared" si="10"/>
        <v>82</v>
      </c>
      <c r="I129" s="30">
        <f t="shared" si="10"/>
        <v>39</v>
      </c>
      <c r="J129" s="30">
        <f t="shared" si="10"/>
        <v>120</v>
      </c>
      <c r="K129" s="30">
        <f t="shared" si="10"/>
        <v>63</v>
      </c>
      <c r="L129" s="30">
        <f t="shared" si="10"/>
        <v>89</v>
      </c>
      <c r="M129" s="30">
        <f t="shared" si="10"/>
        <v>71</v>
      </c>
      <c r="N129" s="9">
        <f>MAX(B129:M129)</f>
        <v>120</v>
      </c>
      <c r="P129" s="88" t="s">
        <v>66</v>
      </c>
      <c r="Q129" s="94">
        <f t="shared" ref="Q129:AB129" si="11">MAX(Q96:Q126)</f>
        <v>41</v>
      </c>
      <c r="R129" s="94">
        <f t="shared" si="11"/>
        <v>0</v>
      </c>
      <c r="S129" s="94">
        <f t="shared" si="11"/>
        <v>88</v>
      </c>
      <c r="T129" s="94">
        <f t="shared" si="11"/>
        <v>58</v>
      </c>
      <c r="U129" s="94">
        <f t="shared" si="11"/>
        <v>104</v>
      </c>
      <c r="V129" s="94">
        <f t="shared" si="11"/>
        <v>75</v>
      </c>
      <c r="W129" s="94">
        <f t="shared" si="11"/>
        <v>45</v>
      </c>
      <c r="X129" s="94">
        <f t="shared" si="11"/>
        <v>155</v>
      </c>
      <c r="Y129" s="94">
        <f t="shared" si="11"/>
        <v>55</v>
      </c>
      <c r="Z129" s="94">
        <f t="shared" si="11"/>
        <v>85.7</v>
      </c>
      <c r="AA129" s="94">
        <f t="shared" si="11"/>
        <v>95</v>
      </c>
      <c r="AB129" s="30">
        <f t="shared" si="11"/>
        <v>51</v>
      </c>
      <c r="AC129" s="9">
        <f>MAX(Q129:AB129)</f>
        <v>155</v>
      </c>
    </row>
    <row r="130" spans="1:29">
      <c r="A130" s="31"/>
      <c r="B130" s="7"/>
      <c r="C130" s="7"/>
      <c r="D130" s="7"/>
      <c r="E130" s="7"/>
      <c r="F130" s="7"/>
      <c r="G130" s="7"/>
      <c r="H130" s="32"/>
      <c r="I130" s="7"/>
      <c r="J130" s="7"/>
      <c r="K130" s="7"/>
      <c r="L130" s="7"/>
      <c r="M130" s="7"/>
      <c r="N130" s="7"/>
      <c r="P130" s="95"/>
      <c r="Q130" s="7"/>
      <c r="R130" s="7"/>
      <c r="S130" s="7"/>
      <c r="T130" s="7"/>
      <c r="U130" s="7"/>
      <c r="V130" s="7"/>
      <c r="W130" s="32"/>
      <c r="X130" s="7"/>
      <c r="Y130" s="7"/>
      <c r="Z130" s="7"/>
      <c r="AA130" s="7"/>
      <c r="AB130" s="95"/>
      <c r="AC130" s="7"/>
    </row>
    <row r="131" spans="1:29">
      <c r="A131" s="33" t="s">
        <v>67</v>
      </c>
      <c r="B131" s="34">
        <v>0</v>
      </c>
      <c r="C131" s="35" t="s">
        <v>68</v>
      </c>
      <c r="D131" s="19"/>
      <c r="E131" s="7"/>
      <c r="F131" s="7"/>
      <c r="G131" s="7"/>
      <c r="H131" s="32"/>
      <c r="I131" s="7"/>
      <c r="J131" s="7"/>
      <c r="K131" s="7"/>
      <c r="L131" s="7"/>
      <c r="M131" s="7"/>
      <c r="N131" s="7"/>
      <c r="P131" s="19" t="s">
        <v>67</v>
      </c>
      <c r="Q131" s="106">
        <v>0</v>
      </c>
      <c r="R131" s="35" t="s">
        <v>68</v>
      </c>
      <c r="S131" s="19"/>
      <c r="T131" s="7"/>
      <c r="U131" s="7"/>
      <c r="V131" s="7"/>
      <c r="W131" s="32"/>
      <c r="X131" s="7"/>
      <c r="Y131" s="7"/>
      <c r="Z131" s="7"/>
      <c r="AA131" s="7"/>
      <c r="AB131" s="7"/>
      <c r="AC131" s="7"/>
    </row>
    <row r="132" spans="1:29">
      <c r="Q132" s="107"/>
    </row>
    <row r="133" spans="1:29" ht="18">
      <c r="A133" s="1" t="s">
        <v>41</v>
      </c>
      <c r="B133" s="2"/>
      <c r="C133" s="2"/>
      <c r="D133" s="2"/>
      <c r="E133" s="3">
        <v>2005</v>
      </c>
      <c r="F133" s="4"/>
      <c r="G133" s="4"/>
      <c r="H133" s="5"/>
      <c r="I133" s="4"/>
      <c r="J133" s="4"/>
      <c r="K133" s="4"/>
      <c r="L133" s="4"/>
      <c r="M133" s="6"/>
      <c r="N133" s="7"/>
      <c r="P133" s="1" t="s">
        <v>41</v>
      </c>
      <c r="Q133" s="2"/>
      <c r="R133" s="2"/>
      <c r="S133" s="2"/>
      <c r="T133" s="3">
        <v>2015</v>
      </c>
      <c r="U133" s="4"/>
      <c r="V133" s="4"/>
      <c r="W133" s="5"/>
      <c r="X133" s="4"/>
      <c r="Y133" s="4"/>
      <c r="Z133" s="4"/>
      <c r="AA133" s="4"/>
      <c r="AB133" s="6"/>
      <c r="AC133" s="7"/>
    </row>
    <row r="134" spans="1:29">
      <c r="A134" s="8"/>
      <c r="B134" s="9"/>
      <c r="C134" s="9"/>
      <c r="D134" s="9"/>
      <c r="E134" s="10"/>
      <c r="F134" s="10"/>
      <c r="G134" s="10"/>
      <c r="H134" s="11"/>
      <c r="I134" s="9"/>
      <c r="J134" s="9"/>
      <c r="K134" s="9"/>
      <c r="L134" s="9"/>
      <c r="M134" s="12"/>
      <c r="N134" s="7"/>
      <c r="P134" s="8"/>
      <c r="Q134" s="9"/>
      <c r="R134" s="9"/>
      <c r="S134" s="9"/>
      <c r="T134" s="10"/>
      <c r="U134" s="10"/>
      <c r="V134" s="10"/>
      <c r="W134" s="11"/>
      <c r="X134" s="9"/>
      <c r="Y134" s="9"/>
      <c r="Z134" s="9"/>
      <c r="AA134" s="9"/>
      <c r="AB134" s="12"/>
      <c r="AC134" s="7"/>
    </row>
    <row r="135" spans="1:29" ht="15.75">
      <c r="A135" s="13" t="s">
        <v>42</v>
      </c>
      <c r="B135" s="14"/>
      <c r="C135" s="14" t="s">
        <v>43</v>
      </c>
      <c r="D135" s="14"/>
      <c r="E135" s="14"/>
      <c r="F135" s="14"/>
      <c r="G135" s="14"/>
      <c r="H135" s="15"/>
      <c r="I135" s="14"/>
      <c r="J135" s="14" t="s">
        <v>44</v>
      </c>
      <c r="K135" s="14" t="s">
        <v>45</v>
      </c>
      <c r="L135" s="14"/>
      <c r="M135" s="12"/>
      <c r="N135" s="7"/>
      <c r="P135" s="13" t="s">
        <v>42</v>
      </c>
      <c r="Q135" s="14"/>
      <c r="R135" s="14" t="s">
        <v>43</v>
      </c>
      <c r="S135" s="14"/>
      <c r="T135" s="14"/>
      <c r="U135" s="14"/>
      <c r="V135" s="14"/>
      <c r="W135" s="15"/>
      <c r="X135" s="14"/>
      <c r="Y135" s="14" t="s">
        <v>44</v>
      </c>
      <c r="Z135" s="14" t="s">
        <v>45</v>
      </c>
      <c r="AA135" s="14"/>
      <c r="AB135" s="12"/>
      <c r="AC135" s="7"/>
    </row>
    <row r="136" spans="1:29" ht="15.75">
      <c r="A136" s="13" t="s">
        <v>46</v>
      </c>
      <c r="B136" s="14"/>
      <c r="C136" s="14" t="s">
        <v>47</v>
      </c>
      <c r="D136" s="14"/>
      <c r="E136" s="14"/>
      <c r="F136" s="14"/>
      <c r="G136" s="14"/>
      <c r="H136" s="15"/>
      <c r="I136" s="14"/>
      <c r="J136" s="14" t="s">
        <v>48</v>
      </c>
      <c r="K136" s="14" t="s">
        <v>45</v>
      </c>
      <c r="L136" s="14"/>
      <c r="M136" s="12"/>
      <c r="N136" s="7"/>
      <c r="P136" s="13" t="s">
        <v>46</v>
      </c>
      <c r="Q136" s="14"/>
      <c r="R136" s="14" t="s">
        <v>47</v>
      </c>
      <c r="S136" s="14"/>
      <c r="T136" s="14"/>
      <c r="U136" s="14"/>
      <c r="V136" s="14"/>
      <c r="W136" s="15"/>
      <c r="X136" s="14"/>
      <c r="Y136" s="14" t="s">
        <v>48</v>
      </c>
      <c r="Z136" s="14" t="s">
        <v>45</v>
      </c>
      <c r="AA136" s="14"/>
      <c r="AB136" s="12"/>
      <c r="AC136" s="7"/>
    </row>
    <row r="137" spans="1:29" ht="15.75">
      <c r="A137" s="13" t="s">
        <v>49</v>
      </c>
      <c r="B137" s="14"/>
      <c r="C137" s="14" t="s">
        <v>72</v>
      </c>
      <c r="D137" s="14"/>
      <c r="E137" s="14"/>
      <c r="F137" s="14"/>
      <c r="G137" s="14"/>
      <c r="H137" s="15"/>
      <c r="I137" s="14"/>
      <c r="J137" s="14" t="s">
        <v>51</v>
      </c>
      <c r="K137" s="14" t="s">
        <v>52</v>
      </c>
      <c r="L137" s="14"/>
      <c r="M137" s="12"/>
      <c r="N137" s="7"/>
      <c r="P137" s="13" t="s">
        <v>49</v>
      </c>
      <c r="Q137" s="14"/>
      <c r="R137" s="97">
        <f>T133</f>
        <v>2015</v>
      </c>
      <c r="S137" s="14"/>
      <c r="T137" s="14"/>
      <c r="U137" s="14"/>
      <c r="V137" s="14"/>
      <c r="W137" s="15"/>
      <c r="X137" s="14"/>
      <c r="Y137" s="14" t="s">
        <v>51</v>
      </c>
      <c r="Z137" s="14" t="s">
        <v>52</v>
      </c>
      <c r="AA137" s="14"/>
      <c r="AB137" s="12"/>
      <c r="AC137" s="7"/>
    </row>
    <row r="138" spans="1:29">
      <c r="A138" s="16"/>
      <c r="B138" s="10"/>
      <c r="C138" s="10"/>
      <c r="D138" s="10"/>
      <c r="E138" s="10"/>
      <c r="F138" s="10"/>
      <c r="G138" s="10"/>
      <c r="H138" s="17"/>
      <c r="I138" s="10"/>
      <c r="J138" s="10"/>
      <c r="K138" s="10"/>
      <c r="L138" s="10"/>
      <c r="M138" s="18"/>
      <c r="N138" s="19"/>
      <c r="P138" s="16"/>
      <c r="Q138" s="10"/>
      <c r="R138" s="10"/>
      <c r="S138" s="10"/>
      <c r="T138" s="10"/>
      <c r="U138" s="10"/>
      <c r="V138" s="10"/>
      <c r="W138" s="17"/>
      <c r="X138" s="10"/>
      <c r="Y138" s="10"/>
      <c r="Z138" s="10"/>
      <c r="AA138" s="10"/>
      <c r="AB138" s="18"/>
      <c r="AC138" s="19"/>
    </row>
    <row r="139" spans="1:29">
      <c r="A139" s="20" t="s">
        <v>53</v>
      </c>
      <c r="B139" s="21" t="s">
        <v>54</v>
      </c>
      <c r="C139" s="21" t="s">
        <v>55</v>
      </c>
      <c r="D139" s="21" t="s">
        <v>56</v>
      </c>
      <c r="E139" s="21" t="s">
        <v>57</v>
      </c>
      <c r="F139" s="21" t="s">
        <v>20</v>
      </c>
      <c r="G139" s="21" t="s">
        <v>58</v>
      </c>
      <c r="H139" s="21" t="s">
        <v>59</v>
      </c>
      <c r="I139" s="21" t="s">
        <v>60</v>
      </c>
      <c r="J139" s="21" t="s">
        <v>61</v>
      </c>
      <c r="K139" s="21" t="s">
        <v>62</v>
      </c>
      <c r="L139" s="21" t="s">
        <v>63</v>
      </c>
      <c r="M139" s="22" t="s">
        <v>64</v>
      </c>
      <c r="N139" s="19"/>
      <c r="P139" s="20" t="s">
        <v>53</v>
      </c>
      <c r="Q139" s="21" t="s">
        <v>54</v>
      </c>
      <c r="R139" s="21" t="s">
        <v>55</v>
      </c>
      <c r="S139" s="21" t="s">
        <v>56</v>
      </c>
      <c r="T139" s="21" t="s">
        <v>57</v>
      </c>
      <c r="U139" s="21" t="s">
        <v>20</v>
      </c>
      <c r="V139" s="21" t="s">
        <v>58</v>
      </c>
      <c r="W139" s="21" t="s">
        <v>59</v>
      </c>
      <c r="X139" s="21" t="s">
        <v>60</v>
      </c>
      <c r="Y139" s="21" t="s">
        <v>61</v>
      </c>
      <c r="Z139" s="21" t="s">
        <v>62</v>
      </c>
      <c r="AA139" s="21" t="s">
        <v>63</v>
      </c>
      <c r="AB139" s="22" t="s">
        <v>64</v>
      </c>
      <c r="AC139" s="19"/>
    </row>
    <row r="140" spans="1:29">
      <c r="A140" s="23">
        <v>1</v>
      </c>
      <c r="B140" s="24">
        <v>6</v>
      </c>
      <c r="C140" s="24">
        <v>0</v>
      </c>
      <c r="D140" s="24">
        <v>45</v>
      </c>
      <c r="E140" s="24">
        <v>0</v>
      </c>
      <c r="F140" s="24">
        <v>106</v>
      </c>
      <c r="G140" s="24">
        <v>2</v>
      </c>
      <c r="H140" s="24">
        <v>0</v>
      </c>
      <c r="I140" s="24">
        <v>0</v>
      </c>
      <c r="J140" s="24">
        <v>0</v>
      </c>
      <c r="K140" s="24">
        <v>0</v>
      </c>
      <c r="L140" s="24">
        <v>0</v>
      </c>
      <c r="M140" s="24">
        <v>28</v>
      </c>
      <c r="N140" s="7"/>
      <c r="P140" s="23">
        <v>1</v>
      </c>
      <c r="Q140" s="104">
        <v>18</v>
      </c>
      <c r="R140" s="104">
        <v>18</v>
      </c>
      <c r="S140" s="104">
        <v>1</v>
      </c>
      <c r="T140" s="104">
        <v>0</v>
      </c>
      <c r="U140" s="104">
        <v>3</v>
      </c>
      <c r="V140" s="105">
        <v>28</v>
      </c>
      <c r="W140" s="105">
        <v>0</v>
      </c>
      <c r="X140" s="105">
        <v>3</v>
      </c>
      <c r="Y140" s="105">
        <v>0</v>
      </c>
      <c r="Z140" s="105">
        <v>0</v>
      </c>
      <c r="AA140" s="105">
        <v>8</v>
      </c>
      <c r="AB140" s="105">
        <v>12</v>
      </c>
      <c r="AC140" s="7"/>
    </row>
    <row r="141" spans="1:29">
      <c r="A141" s="23">
        <v>2</v>
      </c>
      <c r="B141" s="24">
        <v>3</v>
      </c>
      <c r="C141" s="24">
        <v>0</v>
      </c>
      <c r="D141" s="24">
        <v>0</v>
      </c>
      <c r="E141" s="24">
        <v>0</v>
      </c>
      <c r="F141" s="24">
        <v>0</v>
      </c>
      <c r="G141" s="24">
        <v>0</v>
      </c>
      <c r="H141" s="24">
        <v>12</v>
      </c>
      <c r="I141" s="24">
        <v>0</v>
      </c>
      <c r="J141" s="24">
        <v>44</v>
      </c>
      <c r="K141" s="24">
        <v>0</v>
      </c>
      <c r="L141" s="24">
        <v>26</v>
      </c>
      <c r="M141" s="24">
        <v>13</v>
      </c>
      <c r="N141" s="7"/>
      <c r="P141" s="23">
        <v>2</v>
      </c>
      <c r="Q141" s="104">
        <v>0</v>
      </c>
      <c r="R141" s="104">
        <v>0</v>
      </c>
      <c r="S141" s="104">
        <v>2</v>
      </c>
      <c r="T141" s="104">
        <v>29</v>
      </c>
      <c r="U141" s="104">
        <v>18</v>
      </c>
      <c r="V141" s="105">
        <v>0</v>
      </c>
      <c r="W141" s="105">
        <v>0</v>
      </c>
      <c r="X141" s="105">
        <v>0</v>
      </c>
      <c r="Y141" s="105">
        <v>0</v>
      </c>
      <c r="Z141" s="105">
        <v>0</v>
      </c>
      <c r="AA141" s="105">
        <v>14</v>
      </c>
      <c r="AB141" s="105">
        <v>0</v>
      </c>
      <c r="AC141" s="7"/>
    </row>
    <row r="142" spans="1:29">
      <c r="A142" s="23">
        <v>3</v>
      </c>
      <c r="B142" s="24">
        <v>1</v>
      </c>
      <c r="C142" s="24">
        <v>0</v>
      </c>
      <c r="D142" s="24">
        <v>57</v>
      </c>
      <c r="E142" s="24">
        <v>0</v>
      </c>
      <c r="F142" s="24">
        <v>0</v>
      </c>
      <c r="G142" s="24">
        <v>0</v>
      </c>
      <c r="H142" s="24">
        <v>43</v>
      </c>
      <c r="I142" s="24">
        <v>0</v>
      </c>
      <c r="J142" s="24">
        <v>0</v>
      </c>
      <c r="K142" s="24">
        <v>22</v>
      </c>
      <c r="L142" s="24">
        <v>0</v>
      </c>
      <c r="M142" s="24">
        <v>2</v>
      </c>
      <c r="N142" s="7"/>
      <c r="P142" s="23">
        <v>3</v>
      </c>
      <c r="Q142" s="104">
        <v>2</v>
      </c>
      <c r="R142" s="104">
        <v>4</v>
      </c>
      <c r="S142" s="104">
        <v>15</v>
      </c>
      <c r="T142" s="104">
        <v>1</v>
      </c>
      <c r="U142" s="104">
        <v>0</v>
      </c>
      <c r="V142" s="105">
        <v>14</v>
      </c>
      <c r="W142" s="105">
        <v>0</v>
      </c>
      <c r="X142" s="105">
        <v>0</v>
      </c>
      <c r="Y142" s="105">
        <v>0</v>
      </c>
      <c r="Z142" s="105">
        <v>26</v>
      </c>
      <c r="AA142" s="105">
        <v>0</v>
      </c>
      <c r="AB142" s="105">
        <v>0</v>
      </c>
      <c r="AC142" s="7"/>
    </row>
    <row r="143" spans="1:29">
      <c r="A143" s="23">
        <v>4</v>
      </c>
      <c r="B143" s="24">
        <v>12</v>
      </c>
      <c r="C143" s="24">
        <v>0</v>
      </c>
      <c r="D143" s="24">
        <v>49</v>
      </c>
      <c r="E143" s="24">
        <v>8</v>
      </c>
      <c r="F143" s="24">
        <v>30</v>
      </c>
      <c r="G143" s="24">
        <v>1</v>
      </c>
      <c r="H143" s="24">
        <v>0</v>
      </c>
      <c r="I143" s="24">
        <v>0</v>
      </c>
      <c r="J143" s="24">
        <v>0</v>
      </c>
      <c r="K143" s="24">
        <v>0</v>
      </c>
      <c r="L143" s="24">
        <v>94</v>
      </c>
      <c r="M143" s="24">
        <v>0</v>
      </c>
      <c r="N143" s="7"/>
      <c r="P143" s="23">
        <v>4</v>
      </c>
      <c r="Q143" s="104">
        <v>9</v>
      </c>
      <c r="R143" s="104">
        <v>8</v>
      </c>
      <c r="S143" s="104">
        <v>0</v>
      </c>
      <c r="T143" s="104">
        <v>36</v>
      </c>
      <c r="U143" s="104">
        <v>23</v>
      </c>
      <c r="V143" s="105">
        <v>0</v>
      </c>
      <c r="W143" s="105">
        <v>0</v>
      </c>
      <c r="X143" s="105">
        <v>0</v>
      </c>
      <c r="Y143" s="105">
        <v>0</v>
      </c>
      <c r="Z143" s="105">
        <v>0</v>
      </c>
      <c r="AA143" s="105">
        <v>0</v>
      </c>
      <c r="AB143" s="105">
        <v>47</v>
      </c>
      <c r="AC143" s="7"/>
    </row>
    <row r="144" spans="1:29">
      <c r="A144" s="23">
        <v>5</v>
      </c>
      <c r="B144" s="24">
        <v>33</v>
      </c>
      <c r="C144" s="24">
        <v>0</v>
      </c>
      <c r="D144" s="24">
        <v>2</v>
      </c>
      <c r="E144" s="24">
        <v>3</v>
      </c>
      <c r="F144" s="24">
        <v>3</v>
      </c>
      <c r="G144" s="24">
        <v>1</v>
      </c>
      <c r="H144" s="24">
        <v>0</v>
      </c>
      <c r="I144" s="24">
        <v>0</v>
      </c>
      <c r="J144" s="24">
        <v>5</v>
      </c>
      <c r="K144" s="24">
        <v>0</v>
      </c>
      <c r="L144" s="24">
        <v>19</v>
      </c>
      <c r="M144" s="24">
        <v>0</v>
      </c>
      <c r="N144" s="7"/>
      <c r="P144" s="23">
        <v>5</v>
      </c>
      <c r="Q144" s="104">
        <v>12</v>
      </c>
      <c r="R144" s="104">
        <v>0</v>
      </c>
      <c r="S144" s="104">
        <v>0</v>
      </c>
      <c r="T144" s="104">
        <v>0</v>
      </c>
      <c r="U144" s="104">
        <v>0</v>
      </c>
      <c r="V144" s="105">
        <v>1</v>
      </c>
      <c r="W144" s="105">
        <v>0</v>
      </c>
      <c r="X144" s="105">
        <v>0</v>
      </c>
      <c r="Y144" s="105">
        <v>0</v>
      </c>
      <c r="Z144" s="105">
        <v>2</v>
      </c>
      <c r="AA144" s="105">
        <v>48</v>
      </c>
      <c r="AB144" s="105">
        <v>44</v>
      </c>
      <c r="AC144" s="7"/>
    </row>
    <row r="145" spans="1:29">
      <c r="A145" s="23">
        <v>6</v>
      </c>
      <c r="B145" s="24">
        <v>3</v>
      </c>
      <c r="C145" s="24">
        <v>0</v>
      </c>
      <c r="D145" s="24">
        <v>0</v>
      </c>
      <c r="E145" s="24">
        <v>1</v>
      </c>
      <c r="F145" s="24">
        <v>0</v>
      </c>
      <c r="G145" s="24">
        <v>3</v>
      </c>
      <c r="H145" s="24">
        <v>0</v>
      </c>
      <c r="I145" s="24">
        <v>2</v>
      </c>
      <c r="J145" s="24">
        <v>0</v>
      </c>
      <c r="K145" s="24">
        <v>87</v>
      </c>
      <c r="L145" s="24">
        <v>0</v>
      </c>
      <c r="M145" s="24">
        <v>0</v>
      </c>
      <c r="N145" s="7"/>
      <c r="P145" s="23">
        <v>6</v>
      </c>
      <c r="Q145" s="104">
        <v>2</v>
      </c>
      <c r="R145" s="104">
        <v>0</v>
      </c>
      <c r="S145" s="104">
        <v>0</v>
      </c>
      <c r="T145" s="104">
        <v>0</v>
      </c>
      <c r="U145" s="104">
        <v>0</v>
      </c>
      <c r="V145" s="105">
        <v>10</v>
      </c>
      <c r="W145" s="105">
        <v>0</v>
      </c>
      <c r="X145" s="105">
        <v>0</v>
      </c>
      <c r="Y145" s="105">
        <v>25</v>
      </c>
      <c r="Z145" s="105">
        <v>6</v>
      </c>
      <c r="AA145" s="105">
        <v>6</v>
      </c>
      <c r="AB145" s="105">
        <v>0</v>
      </c>
      <c r="AC145" s="7"/>
    </row>
    <row r="146" spans="1:29">
      <c r="A146" s="23">
        <v>7</v>
      </c>
      <c r="B146" s="24">
        <v>73</v>
      </c>
      <c r="C146" s="24">
        <v>0</v>
      </c>
      <c r="D146" s="24">
        <v>0</v>
      </c>
      <c r="E146" s="24">
        <v>10</v>
      </c>
      <c r="F146" s="24">
        <v>3</v>
      </c>
      <c r="G146" s="24">
        <v>36</v>
      </c>
      <c r="H146" s="24">
        <v>0</v>
      </c>
      <c r="I146" s="24">
        <v>0</v>
      </c>
      <c r="J146" s="24">
        <v>97</v>
      </c>
      <c r="K146" s="24">
        <v>0</v>
      </c>
      <c r="L146" s="24">
        <v>12</v>
      </c>
      <c r="M146" s="24">
        <v>0</v>
      </c>
      <c r="N146" s="7"/>
      <c r="P146" s="23">
        <v>7</v>
      </c>
      <c r="Q146" s="104">
        <v>0</v>
      </c>
      <c r="R146" s="104">
        <v>9</v>
      </c>
      <c r="S146" s="104">
        <v>0</v>
      </c>
      <c r="T146" s="104">
        <v>0</v>
      </c>
      <c r="U146" s="104">
        <v>0</v>
      </c>
      <c r="V146" s="105">
        <v>38</v>
      </c>
      <c r="W146" s="105">
        <v>0</v>
      </c>
      <c r="X146" s="105">
        <v>0</v>
      </c>
      <c r="Y146" s="105">
        <v>0</v>
      </c>
      <c r="Z146" s="105">
        <v>56</v>
      </c>
      <c r="AA146" s="105">
        <v>22</v>
      </c>
      <c r="AB146" s="105">
        <v>3</v>
      </c>
      <c r="AC146" s="7"/>
    </row>
    <row r="147" spans="1:29">
      <c r="A147" s="23">
        <v>8</v>
      </c>
      <c r="B147" s="24">
        <v>27</v>
      </c>
      <c r="C147" s="24">
        <v>0</v>
      </c>
      <c r="D147" s="24">
        <v>0</v>
      </c>
      <c r="E147" s="24">
        <v>0</v>
      </c>
      <c r="F147" s="24">
        <v>15</v>
      </c>
      <c r="G147" s="24">
        <v>0</v>
      </c>
      <c r="H147" s="24">
        <v>0</v>
      </c>
      <c r="I147" s="24">
        <v>0</v>
      </c>
      <c r="J147" s="24">
        <v>24</v>
      </c>
      <c r="K147" s="24">
        <v>0</v>
      </c>
      <c r="L147" s="24">
        <v>0</v>
      </c>
      <c r="M147" s="24">
        <v>0</v>
      </c>
      <c r="N147" s="7"/>
      <c r="P147" s="23">
        <v>8</v>
      </c>
      <c r="Q147" s="104">
        <v>18</v>
      </c>
      <c r="R147" s="104">
        <v>38</v>
      </c>
      <c r="S147" s="104">
        <v>0</v>
      </c>
      <c r="T147" s="104">
        <v>16</v>
      </c>
      <c r="U147" s="104">
        <v>0</v>
      </c>
      <c r="V147" s="105">
        <v>35</v>
      </c>
      <c r="W147" s="105">
        <v>0</v>
      </c>
      <c r="X147" s="105">
        <v>0</v>
      </c>
      <c r="Y147" s="105">
        <v>0</v>
      </c>
      <c r="Z147" s="105">
        <v>0</v>
      </c>
      <c r="AA147" s="105">
        <v>10</v>
      </c>
      <c r="AB147" s="105">
        <v>45</v>
      </c>
      <c r="AC147" s="7"/>
    </row>
    <row r="148" spans="1:29">
      <c r="A148" s="23">
        <v>9</v>
      </c>
      <c r="B148" s="24">
        <v>0</v>
      </c>
      <c r="C148" s="24">
        <v>0</v>
      </c>
      <c r="D148" s="24">
        <v>3</v>
      </c>
      <c r="E148" s="24">
        <v>3</v>
      </c>
      <c r="F148" s="24">
        <v>0</v>
      </c>
      <c r="G148" s="24">
        <v>11</v>
      </c>
      <c r="H148" s="24">
        <v>3</v>
      </c>
      <c r="I148" s="24">
        <v>0</v>
      </c>
      <c r="J148" s="24">
        <v>0</v>
      </c>
      <c r="K148" s="24">
        <v>0</v>
      </c>
      <c r="L148" s="24">
        <v>37</v>
      </c>
      <c r="M148" s="24">
        <v>10</v>
      </c>
      <c r="N148" s="7"/>
      <c r="P148" s="23">
        <v>9</v>
      </c>
      <c r="Q148" s="104">
        <v>2</v>
      </c>
      <c r="R148" s="104">
        <v>17</v>
      </c>
      <c r="S148" s="104">
        <v>0</v>
      </c>
      <c r="T148" s="104">
        <v>2</v>
      </c>
      <c r="U148" s="104">
        <v>30</v>
      </c>
      <c r="V148" s="105">
        <v>0</v>
      </c>
      <c r="W148" s="105">
        <v>0</v>
      </c>
      <c r="X148" s="105">
        <v>0</v>
      </c>
      <c r="Y148" s="105">
        <v>0</v>
      </c>
      <c r="Z148" s="105">
        <v>0</v>
      </c>
      <c r="AA148" s="105">
        <v>0</v>
      </c>
      <c r="AB148" s="105">
        <v>35</v>
      </c>
      <c r="AC148" s="7"/>
    </row>
    <row r="149" spans="1:29">
      <c r="A149" s="23">
        <v>10</v>
      </c>
      <c r="B149" s="24">
        <v>9</v>
      </c>
      <c r="C149" s="24">
        <v>0</v>
      </c>
      <c r="D149" s="24">
        <v>0</v>
      </c>
      <c r="E149" s="24">
        <v>0</v>
      </c>
      <c r="F149" s="24">
        <v>0</v>
      </c>
      <c r="G149" s="24">
        <v>0</v>
      </c>
      <c r="H149" s="24">
        <v>4</v>
      </c>
      <c r="I149" s="24">
        <v>0</v>
      </c>
      <c r="J149" s="24">
        <v>0</v>
      </c>
      <c r="K149" s="24">
        <v>3</v>
      </c>
      <c r="L149" s="24">
        <v>0</v>
      </c>
      <c r="M149" s="24">
        <v>23</v>
      </c>
      <c r="N149" s="7"/>
      <c r="P149" s="23">
        <v>10</v>
      </c>
      <c r="Q149" s="104">
        <v>0</v>
      </c>
      <c r="R149" s="104">
        <v>10</v>
      </c>
      <c r="S149" s="104">
        <v>0</v>
      </c>
      <c r="T149" s="104">
        <v>7</v>
      </c>
      <c r="U149" s="104">
        <v>0</v>
      </c>
      <c r="V149" s="105">
        <v>29</v>
      </c>
      <c r="W149" s="105">
        <v>0</v>
      </c>
      <c r="X149" s="105">
        <v>0</v>
      </c>
      <c r="Y149" s="105">
        <v>0</v>
      </c>
      <c r="Z149" s="105">
        <v>0</v>
      </c>
      <c r="AA149" s="105">
        <v>2</v>
      </c>
      <c r="AB149" s="105">
        <v>0</v>
      </c>
      <c r="AC149" s="7"/>
    </row>
    <row r="150" spans="1:29">
      <c r="A150" s="23">
        <v>11</v>
      </c>
      <c r="B150" s="24">
        <v>27</v>
      </c>
      <c r="C150" s="24">
        <v>0</v>
      </c>
      <c r="D150" s="24">
        <v>0</v>
      </c>
      <c r="E150" s="24">
        <v>0</v>
      </c>
      <c r="F150" s="24">
        <v>3</v>
      </c>
      <c r="G150" s="24">
        <v>0</v>
      </c>
      <c r="H150" s="24">
        <v>5</v>
      </c>
      <c r="I150" s="24">
        <v>0</v>
      </c>
      <c r="J150" s="24">
        <v>0</v>
      </c>
      <c r="K150" s="24">
        <v>0</v>
      </c>
      <c r="L150" s="24">
        <v>0</v>
      </c>
      <c r="M150" s="24">
        <v>0</v>
      </c>
      <c r="N150" s="7"/>
      <c r="P150" s="23">
        <v>11</v>
      </c>
      <c r="Q150" s="104">
        <v>0</v>
      </c>
      <c r="R150" s="104">
        <v>2</v>
      </c>
      <c r="S150" s="104">
        <v>20</v>
      </c>
      <c r="T150" s="104">
        <v>0</v>
      </c>
      <c r="U150" s="104">
        <v>0</v>
      </c>
      <c r="V150" s="105">
        <v>0</v>
      </c>
      <c r="W150" s="105">
        <v>0</v>
      </c>
      <c r="X150" s="105">
        <v>0</v>
      </c>
      <c r="Y150" s="105">
        <v>0</v>
      </c>
      <c r="Z150" s="105">
        <v>0</v>
      </c>
      <c r="AA150" s="105">
        <v>11</v>
      </c>
      <c r="AB150" s="105">
        <v>0</v>
      </c>
      <c r="AC150" s="7"/>
    </row>
    <row r="151" spans="1:29">
      <c r="A151" s="23">
        <v>12</v>
      </c>
      <c r="B151" s="24">
        <v>0</v>
      </c>
      <c r="C151" s="24">
        <v>22</v>
      </c>
      <c r="D151" s="24">
        <v>0</v>
      </c>
      <c r="E151" s="24">
        <v>7</v>
      </c>
      <c r="F151" s="24">
        <v>0</v>
      </c>
      <c r="G151" s="24">
        <v>0</v>
      </c>
      <c r="H151" s="24">
        <v>0</v>
      </c>
      <c r="I151" s="24">
        <v>2</v>
      </c>
      <c r="J151" s="24">
        <v>0</v>
      </c>
      <c r="K151" s="24">
        <v>0</v>
      </c>
      <c r="L151" s="24">
        <v>0</v>
      </c>
      <c r="M151" s="24">
        <v>21</v>
      </c>
      <c r="N151" s="7"/>
      <c r="P151" s="23">
        <v>12</v>
      </c>
      <c r="Q151" s="104">
        <v>0</v>
      </c>
      <c r="R151" s="104">
        <v>1</v>
      </c>
      <c r="S151" s="104">
        <v>0</v>
      </c>
      <c r="T151" s="104">
        <v>11</v>
      </c>
      <c r="U151" s="104">
        <v>50</v>
      </c>
      <c r="V151" s="105">
        <v>0</v>
      </c>
      <c r="W151" s="105">
        <v>0</v>
      </c>
      <c r="X151" s="105">
        <v>0</v>
      </c>
      <c r="Y151" s="105">
        <v>0</v>
      </c>
      <c r="Z151" s="105">
        <v>9</v>
      </c>
      <c r="AA151" s="105">
        <v>20</v>
      </c>
      <c r="AB151" s="105">
        <v>29</v>
      </c>
      <c r="AC151" s="7"/>
    </row>
    <row r="152" spans="1:29">
      <c r="A152" s="23">
        <v>13</v>
      </c>
      <c r="B152" s="24">
        <v>0</v>
      </c>
      <c r="C152" s="24">
        <v>0</v>
      </c>
      <c r="D152" s="24">
        <v>0</v>
      </c>
      <c r="E152" s="24">
        <v>0</v>
      </c>
      <c r="F152" s="24">
        <v>0</v>
      </c>
      <c r="G152" s="24">
        <v>16</v>
      </c>
      <c r="H152" s="24">
        <v>15</v>
      </c>
      <c r="I152" s="24">
        <v>0</v>
      </c>
      <c r="J152" s="24">
        <v>0</v>
      </c>
      <c r="K152" s="24">
        <v>32</v>
      </c>
      <c r="L152" s="24">
        <v>2</v>
      </c>
      <c r="M152" s="24">
        <v>11</v>
      </c>
      <c r="N152" s="7"/>
      <c r="P152" s="23">
        <v>13</v>
      </c>
      <c r="Q152" s="104">
        <v>0</v>
      </c>
      <c r="R152" s="104">
        <v>0</v>
      </c>
      <c r="S152" s="104">
        <v>67</v>
      </c>
      <c r="T152" s="104">
        <v>0</v>
      </c>
      <c r="U152" s="104">
        <v>32</v>
      </c>
      <c r="V152" s="105">
        <v>7</v>
      </c>
      <c r="W152" s="105">
        <v>0</v>
      </c>
      <c r="X152" s="105">
        <v>18</v>
      </c>
      <c r="Y152" s="105">
        <v>0</v>
      </c>
      <c r="Z152" s="105">
        <v>0</v>
      </c>
      <c r="AA152" s="105">
        <v>0</v>
      </c>
      <c r="AB152" s="105">
        <v>0</v>
      </c>
      <c r="AC152" s="7"/>
    </row>
    <row r="153" spans="1:29">
      <c r="A153" s="23">
        <v>14</v>
      </c>
      <c r="B153" s="24">
        <v>0</v>
      </c>
      <c r="C153" s="24">
        <v>0</v>
      </c>
      <c r="D153" s="24">
        <v>0</v>
      </c>
      <c r="E153" s="24">
        <v>40</v>
      </c>
      <c r="F153" s="24">
        <v>0</v>
      </c>
      <c r="G153" s="24">
        <v>0</v>
      </c>
      <c r="H153" s="24">
        <v>6</v>
      </c>
      <c r="I153" s="24">
        <v>0</v>
      </c>
      <c r="J153" s="24">
        <v>30</v>
      </c>
      <c r="K153" s="24">
        <v>61</v>
      </c>
      <c r="L153" s="24">
        <v>0</v>
      </c>
      <c r="M153" s="24">
        <v>38</v>
      </c>
      <c r="N153" s="7"/>
      <c r="P153" s="23">
        <v>14</v>
      </c>
      <c r="Q153" s="104">
        <v>0</v>
      </c>
      <c r="R153" s="104">
        <v>0</v>
      </c>
      <c r="S153" s="104">
        <v>0</v>
      </c>
      <c r="T153" s="104">
        <v>0</v>
      </c>
      <c r="U153" s="104">
        <v>15</v>
      </c>
      <c r="V153" s="105">
        <v>0</v>
      </c>
      <c r="W153" s="105">
        <v>0</v>
      </c>
      <c r="X153" s="105">
        <v>0</v>
      </c>
      <c r="Y153" s="105">
        <v>0</v>
      </c>
      <c r="Z153" s="105">
        <v>0</v>
      </c>
      <c r="AA153" s="105">
        <v>15</v>
      </c>
      <c r="AB153" s="105">
        <v>3</v>
      </c>
      <c r="AC153" s="7"/>
    </row>
    <row r="154" spans="1:29">
      <c r="A154" s="23">
        <v>15</v>
      </c>
      <c r="B154" s="24">
        <v>3</v>
      </c>
      <c r="C154" s="24">
        <v>31</v>
      </c>
      <c r="D154" s="24">
        <v>43</v>
      </c>
      <c r="E154" s="24">
        <v>0</v>
      </c>
      <c r="F154" s="24">
        <v>0</v>
      </c>
      <c r="G154" s="24">
        <v>0</v>
      </c>
      <c r="H154" s="24">
        <v>2</v>
      </c>
      <c r="I154" s="24">
        <v>8</v>
      </c>
      <c r="J154" s="24">
        <v>0</v>
      </c>
      <c r="K154" s="24">
        <v>16</v>
      </c>
      <c r="L154" s="24">
        <v>0</v>
      </c>
      <c r="M154" s="24">
        <v>12</v>
      </c>
      <c r="N154" s="7"/>
      <c r="P154" s="23">
        <v>15</v>
      </c>
      <c r="Q154" s="104">
        <v>0</v>
      </c>
      <c r="R154" s="104">
        <v>0</v>
      </c>
      <c r="S154" s="104">
        <v>2</v>
      </c>
      <c r="T154" s="104">
        <v>0</v>
      </c>
      <c r="U154" s="104">
        <v>17</v>
      </c>
      <c r="V154" s="105">
        <v>79</v>
      </c>
      <c r="W154" s="105">
        <v>0</v>
      </c>
      <c r="X154" s="105">
        <v>0</v>
      </c>
      <c r="Y154" s="105">
        <v>0</v>
      </c>
      <c r="Z154" s="105">
        <v>39</v>
      </c>
      <c r="AA154" s="105">
        <v>0</v>
      </c>
      <c r="AB154" s="105">
        <v>3</v>
      </c>
      <c r="AC154" s="7"/>
    </row>
    <row r="155" spans="1:29">
      <c r="A155" s="23">
        <v>16</v>
      </c>
      <c r="B155" s="24">
        <v>6</v>
      </c>
      <c r="C155" s="24">
        <v>0</v>
      </c>
      <c r="D155" s="24">
        <v>19</v>
      </c>
      <c r="E155" s="24">
        <v>0</v>
      </c>
      <c r="F155" s="24">
        <v>78</v>
      </c>
      <c r="G155" s="24">
        <v>0</v>
      </c>
      <c r="H155" s="24">
        <v>5</v>
      </c>
      <c r="I155" s="24">
        <v>0</v>
      </c>
      <c r="J155" s="24">
        <v>0</v>
      </c>
      <c r="K155" s="24">
        <v>0</v>
      </c>
      <c r="L155" s="24">
        <v>0</v>
      </c>
      <c r="M155" s="24">
        <v>14</v>
      </c>
      <c r="N155" s="7"/>
      <c r="P155" s="23">
        <v>16</v>
      </c>
      <c r="Q155" s="104">
        <v>10</v>
      </c>
      <c r="R155" s="104">
        <v>0</v>
      </c>
      <c r="S155" s="104">
        <v>15</v>
      </c>
      <c r="T155" s="104">
        <v>9</v>
      </c>
      <c r="U155" s="104">
        <v>65</v>
      </c>
      <c r="V155" s="105">
        <v>0</v>
      </c>
      <c r="W155" s="105">
        <v>0</v>
      </c>
      <c r="X155" s="105">
        <v>19</v>
      </c>
      <c r="Y155" s="105">
        <v>0</v>
      </c>
      <c r="Z155" s="105">
        <v>0</v>
      </c>
      <c r="AA155" s="105">
        <v>20</v>
      </c>
      <c r="AB155" s="105">
        <v>0</v>
      </c>
      <c r="AC155" s="7"/>
    </row>
    <row r="156" spans="1:29">
      <c r="A156" s="23">
        <v>17</v>
      </c>
      <c r="B156" s="24">
        <v>61</v>
      </c>
      <c r="C156" s="24">
        <v>13</v>
      </c>
      <c r="D156" s="24">
        <v>0</v>
      </c>
      <c r="E156" s="24">
        <v>5</v>
      </c>
      <c r="F156" s="24">
        <v>10</v>
      </c>
      <c r="G156" s="24">
        <v>0</v>
      </c>
      <c r="H156" s="24">
        <v>118</v>
      </c>
      <c r="I156" s="24">
        <v>6</v>
      </c>
      <c r="J156" s="24">
        <v>0</v>
      </c>
      <c r="K156" s="24">
        <v>47</v>
      </c>
      <c r="L156" s="24">
        <v>0</v>
      </c>
      <c r="M156" s="24">
        <v>0</v>
      </c>
      <c r="N156" s="7"/>
      <c r="P156" s="23">
        <v>17</v>
      </c>
      <c r="Q156" s="104">
        <v>19</v>
      </c>
      <c r="R156" s="104">
        <v>0</v>
      </c>
      <c r="S156" s="104">
        <v>0</v>
      </c>
      <c r="T156" s="104">
        <v>0</v>
      </c>
      <c r="U156" s="104">
        <v>0</v>
      </c>
      <c r="V156" s="105">
        <v>0</v>
      </c>
      <c r="W156" s="105">
        <v>0</v>
      </c>
      <c r="X156" s="105">
        <v>0</v>
      </c>
      <c r="Y156" s="105">
        <v>0</v>
      </c>
      <c r="Z156" s="105">
        <v>0</v>
      </c>
      <c r="AA156" s="105">
        <v>45</v>
      </c>
      <c r="AB156" s="105">
        <v>0</v>
      </c>
      <c r="AC156" s="7"/>
    </row>
    <row r="157" spans="1:29">
      <c r="A157" s="23">
        <v>18</v>
      </c>
      <c r="B157" s="24">
        <v>0</v>
      </c>
      <c r="C157" s="24">
        <v>5</v>
      </c>
      <c r="D157" s="24">
        <v>0</v>
      </c>
      <c r="E157" s="24">
        <v>18</v>
      </c>
      <c r="F157" s="24">
        <v>30</v>
      </c>
      <c r="G157" s="24">
        <v>24</v>
      </c>
      <c r="H157" s="24">
        <v>12</v>
      </c>
      <c r="I157" s="24">
        <v>0</v>
      </c>
      <c r="J157" s="24">
        <v>0</v>
      </c>
      <c r="K157" s="24">
        <v>33</v>
      </c>
      <c r="L157" s="24">
        <v>0</v>
      </c>
      <c r="M157" s="24">
        <v>0</v>
      </c>
      <c r="N157" s="7"/>
      <c r="P157" s="23">
        <v>18</v>
      </c>
      <c r="Q157" s="104">
        <v>0</v>
      </c>
      <c r="R157" s="104">
        <v>11</v>
      </c>
      <c r="S157" s="104">
        <v>0</v>
      </c>
      <c r="T157" s="104">
        <v>0</v>
      </c>
      <c r="U157" s="104">
        <v>8</v>
      </c>
      <c r="V157" s="105">
        <v>0</v>
      </c>
      <c r="W157" s="105">
        <v>0</v>
      </c>
      <c r="X157" s="105">
        <v>4</v>
      </c>
      <c r="Y157" s="105">
        <v>0</v>
      </c>
      <c r="Z157" s="105">
        <v>0</v>
      </c>
      <c r="AA157" s="105">
        <v>0</v>
      </c>
      <c r="AB157" s="105">
        <v>0</v>
      </c>
      <c r="AC157" s="7"/>
    </row>
    <row r="158" spans="1:29">
      <c r="A158" s="23">
        <v>19</v>
      </c>
      <c r="B158" s="24">
        <v>0</v>
      </c>
      <c r="C158" s="24">
        <v>25</v>
      </c>
      <c r="D158" s="24">
        <v>3</v>
      </c>
      <c r="E158" s="24">
        <v>0</v>
      </c>
      <c r="F158" s="24">
        <v>0</v>
      </c>
      <c r="G158" s="24">
        <v>0</v>
      </c>
      <c r="H158" s="24">
        <v>0</v>
      </c>
      <c r="I158" s="24">
        <v>6</v>
      </c>
      <c r="J158" s="24">
        <v>0</v>
      </c>
      <c r="K158" s="24">
        <v>46</v>
      </c>
      <c r="L158" s="24">
        <v>34</v>
      </c>
      <c r="M158" s="24">
        <v>0</v>
      </c>
      <c r="N158" s="7"/>
      <c r="P158" s="23">
        <v>19</v>
      </c>
      <c r="Q158" s="104">
        <v>57</v>
      </c>
      <c r="R158" s="104">
        <v>40</v>
      </c>
      <c r="S158" s="104">
        <v>0</v>
      </c>
      <c r="T158" s="104">
        <v>0</v>
      </c>
      <c r="U158" s="104">
        <v>0</v>
      </c>
      <c r="V158" s="105">
        <v>0</v>
      </c>
      <c r="W158" s="105">
        <v>0</v>
      </c>
      <c r="X158" s="105">
        <v>0</v>
      </c>
      <c r="Y158" s="105">
        <v>0</v>
      </c>
      <c r="Z158" s="105">
        <v>0</v>
      </c>
      <c r="AA158" s="105">
        <v>3</v>
      </c>
      <c r="AB158" s="105">
        <v>0</v>
      </c>
      <c r="AC158" s="7"/>
    </row>
    <row r="159" spans="1:29">
      <c r="A159" s="23">
        <v>20</v>
      </c>
      <c r="B159" s="24">
        <v>0</v>
      </c>
      <c r="C159" s="24">
        <v>21</v>
      </c>
      <c r="D159" s="24">
        <v>1</v>
      </c>
      <c r="E159" s="24">
        <v>0</v>
      </c>
      <c r="F159" s="24">
        <v>0</v>
      </c>
      <c r="G159" s="24">
        <v>0</v>
      </c>
      <c r="H159" s="24">
        <v>12</v>
      </c>
      <c r="I159" s="24">
        <v>0</v>
      </c>
      <c r="J159" s="24">
        <v>0</v>
      </c>
      <c r="K159" s="24">
        <v>0</v>
      </c>
      <c r="L159" s="24">
        <v>43</v>
      </c>
      <c r="M159" s="24">
        <v>0</v>
      </c>
      <c r="N159" s="7"/>
      <c r="P159" s="23">
        <v>20</v>
      </c>
      <c r="Q159" s="104">
        <v>1</v>
      </c>
      <c r="R159" s="104">
        <v>7</v>
      </c>
      <c r="S159" s="104">
        <v>0</v>
      </c>
      <c r="T159" s="104">
        <v>6</v>
      </c>
      <c r="U159" s="104">
        <v>0</v>
      </c>
      <c r="V159" s="105">
        <v>0</v>
      </c>
      <c r="W159" s="105">
        <v>0</v>
      </c>
      <c r="X159" s="105">
        <v>5</v>
      </c>
      <c r="Y159" s="105">
        <v>5</v>
      </c>
      <c r="Z159" s="105">
        <v>0</v>
      </c>
      <c r="AA159" s="105">
        <v>4</v>
      </c>
      <c r="AB159" s="105">
        <v>17</v>
      </c>
      <c r="AC159" s="7"/>
    </row>
    <row r="160" spans="1:29">
      <c r="A160" s="23">
        <v>21</v>
      </c>
      <c r="B160" s="24">
        <v>0</v>
      </c>
      <c r="C160" s="24">
        <v>0</v>
      </c>
      <c r="D160" s="24">
        <v>2</v>
      </c>
      <c r="E160" s="24">
        <v>0</v>
      </c>
      <c r="F160" s="24">
        <v>0</v>
      </c>
      <c r="G160" s="24">
        <v>0</v>
      </c>
      <c r="H160" s="24">
        <v>0</v>
      </c>
      <c r="I160" s="24">
        <v>39</v>
      </c>
      <c r="J160" s="24">
        <v>0</v>
      </c>
      <c r="K160" s="24">
        <v>40</v>
      </c>
      <c r="L160" s="24">
        <v>0</v>
      </c>
      <c r="M160" s="24">
        <v>0</v>
      </c>
      <c r="N160" s="7"/>
      <c r="P160" s="23">
        <v>21</v>
      </c>
      <c r="Q160" s="104">
        <v>2</v>
      </c>
      <c r="R160" s="104">
        <v>0</v>
      </c>
      <c r="S160" s="104">
        <v>0</v>
      </c>
      <c r="T160" s="104">
        <v>0</v>
      </c>
      <c r="U160" s="104">
        <v>0</v>
      </c>
      <c r="V160" s="105">
        <v>0</v>
      </c>
      <c r="W160" s="105">
        <v>31</v>
      </c>
      <c r="X160" s="105">
        <v>0</v>
      </c>
      <c r="Y160" s="105">
        <v>4</v>
      </c>
      <c r="Z160" s="105">
        <v>0</v>
      </c>
      <c r="AA160" s="105">
        <v>0</v>
      </c>
      <c r="AB160" s="105">
        <v>0</v>
      </c>
      <c r="AC160" s="7"/>
    </row>
    <row r="161" spans="1:29">
      <c r="A161" s="23">
        <v>22</v>
      </c>
      <c r="B161" s="24">
        <v>0</v>
      </c>
      <c r="C161" s="24">
        <v>13</v>
      </c>
      <c r="D161" s="24">
        <v>3</v>
      </c>
      <c r="E161" s="24">
        <v>0</v>
      </c>
      <c r="F161" s="24">
        <v>9</v>
      </c>
      <c r="G161" s="24">
        <v>0</v>
      </c>
      <c r="H161" s="24">
        <v>0</v>
      </c>
      <c r="I161" s="24">
        <v>28</v>
      </c>
      <c r="J161" s="24">
        <v>0</v>
      </c>
      <c r="K161" s="24">
        <v>16</v>
      </c>
      <c r="L161" s="24">
        <v>25</v>
      </c>
      <c r="M161" s="24">
        <v>6</v>
      </c>
      <c r="N161" s="7"/>
      <c r="P161" s="23">
        <v>22</v>
      </c>
      <c r="Q161" s="104">
        <v>1</v>
      </c>
      <c r="R161" s="104">
        <v>0</v>
      </c>
      <c r="S161" s="104">
        <v>0</v>
      </c>
      <c r="T161" s="104">
        <v>0</v>
      </c>
      <c r="U161" s="104">
        <v>2</v>
      </c>
      <c r="V161" s="105">
        <v>0</v>
      </c>
      <c r="W161" s="105">
        <v>0</v>
      </c>
      <c r="X161" s="105">
        <v>0</v>
      </c>
      <c r="Y161" s="105">
        <v>0</v>
      </c>
      <c r="Z161" s="105">
        <v>0</v>
      </c>
      <c r="AA161" s="105">
        <v>0</v>
      </c>
      <c r="AB161" s="105">
        <v>0</v>
      </c>
      <c r="AC161" s="7"/>
    </row>
    <row r="162" spans="1:29">
      <c r="A162" s="23">
        <v>23</v>
      </c>
      <c r="B162" s="24">
        <v>0</v>
      </c>
      <c r="C162" s="24">
        <v>11</v>
      </c>
      <c r="D162" s="24">
        <v>0</v>
      </c>
      <c r="E162" s="24">
        <v>3</v>
      </c>
      <c r="F162" s="24">
        <v>36</v>
      </c>
      <c r="G162" s="24">
        <v>0</v>
      </c>
      <c r="H162" s="24">
        <v>0</v>
      </c>
      <c r="I162" s="24">
        <v>0</v>
      </c>
      <c r="J162" s="24">
        <v>36</v>
      </c>
      <c r="K162" s="24">
        <v>0</v>
      </c>
      <c r="L162" s="24">
        <v>6</v>
      </c>
      <c r="M162" s="24">
        <v>0</v>
      </c>
      <c r="N162" s="7"/>
      <c r="P162" s="23">
        <v>23</v>
      </c>
      <c r="Q162" s="104">
        <v>50</v>
      </c>
      <c r="R162" s="104">
        <v>0</v>
      </c>
      <c r="S162" s="104">
        <v>0</v>
      </c>
      <c r="T162" s="104">
        <v>0</v>
      </c>
      <c r="U162" s="104">
        <v>25</v>
      </c>
      <c r="V162" s="105">
        <v>0</v>
      </c>
      <c r="W162" s="105">
        <v>0</v>
      </c>
      <c r="X162" s="105">
        <v>0</v>
      </c>
      <c r="Y162" s="105">
        <v>0</v>
      </c>
      <c r="Z162" s="105">
        <v>23</v>
      </c>
      <c r="AA162" s="105">
        <v>0</v>
      </c>
      <c r="AB162" s="105">
        <v>0</v>
      </c>
      <c r="AC162" s="7"/>
    </row>
    <row r="163" spans="1:29">
      <c r="A163" s="23">
        <v>24</v>
      </c>
      <c r="B163" s="24">
        <v>5</v>
      </c>
      <c r="C163" s="24">
        <v>0</v>
      </c>
      <c r="D163" s="24">
        <v>0</v>
      </c>
      <c r="E163" s="24">
        <v>1</v>
      </c>
      <c r="F163" s="24">
        <v>13</v>
      </c>
      <c r="G163" s="24">
        <v>0</v>
      </c>
      <c r="H163" s="24">
        <v>0</v>
      </c>
      <c r="I163" s="24">
        <v>10</v>
      </c>
      <c r="J163" s="24">
        <v>0</v>
      </c>
      <c r="K163" s="24">
        <v>25</v>
      </c>
      <c r="L163" s="24">
        <v>6</v>
      </c>
      <c r="M163" s="24">
        <v>0</v>
      </c>
      <c r="N163" s="7"/>
      <c r="P163" s="23">
        <v>24</v>
      </c>
      <c r="Q163" s="104">
        <v>0</v>
      </c>
      <c r="R163" s="104">
        <v>0</v>
      </c>
      <c r="S163" s="104">
        <v>0</v>
      </c>
      <c r="T163" s="104">
        <v>0</v>
      </c>
      <c r="U163" s="104">
        <v>18</v>
      </c>
      <c r="V163" s="105">
        <v>0</v>
      </c>
      <c r="W163" s="105">
        <v>0</v>
      </c>
      <c r="X163" s="105">
        <v>0</v>
      </c>
      <c r="Y163" s="105">
        <v>0</v>
      </c>
      <c r="Z163" s="105">
        <v>52</v>
      </c>
      <c r="AA163" s="105">
        <v>0</v>
      </c>
      <c r="AB163" s="105">
        <v>0</v>
      </c>
      <c r="AC163" s="7"/>
    </row>
    <row r="164" spans="1:29">
      <c r="A164" s="23">
        <v>25</v>
      </c>
      <c r="B164" s="24">
        <v>0</v>
      </c>
      <c r="C164" s="24">
        <v>0</v>
      </c>
      <c r="D164" s="24">
        <v>0</v>
      </c>
      <c r="E164" s="24">
        <v>49</v>
      </c>
      <c r="F164" s="24">
        <v>22</v>
      </c>
      <c r="G164" s="24">
        <v>0</v>
      </c>
      <c r="H164" s="24">
        <v>0</v>
      </c>
      <c r="I164" s="24">
        <v>0</v>
      </c>
      <c r="J164" s="24">
        <v>0</v>
      </c>
      <c r="K164" s="24">
        <v>24</v>
      </c>
      <c r="L164" s="24">
        <v>1</v>
      </c>
      <c r="M164" s="24">
        <v>9</v>
      </c>
      <c r="N164" s="7"/>
      <c r="P164" s="23">
        <v>25</v>
      </c>
      <c r="Q164" s="104">
        <v>34</v>
      </c>
      <c r="R164" s="104">
        <v>0</v>
      </c>
      <c r="S164" s="104">
        <v>0</v>
      </c>
      <c r="T164" s="104">
        <v>0</v>
      </c>
      <c r="U164" s="104">
        <v>0</v>
      </c>
      <c r="V164" s="105">
        <v>0</v>
      </c>
      <c r="W164" s="105">
        <v>10</v>
      </c>
      <c r="X164" s="105">
        <v>0</v>
      </c>
      <c r="Y164" s="105">
        <v>0</v>
      </c>
      <c r="Z164" s="105">
        <v>0</v>
      </c>
      <c r="AA164" s="105">
        <v>0</v>
      </c>
      <c r="AB164" s="105">
        <v>0</v>
      </c>
      <c r="AC164" s="7"/>
    </row>
    <row r="165" spans="1:29">
      <c r="A165" s="23">
        <v>26</v>
      </c>
      <c r="B165" s="24">
        <v>0</v>
      </c>
      <c r="C165" s="24">
        <v>0</v>
      </c>
      <c r="D165" s="24">
        <v>0</v>
      </c>
      <c r="E165" s="24">
        <v>4</v>
      </c>
      <c r="F165" s="24">
        <v>36</v>
      </c>
      <c r="G165" s="24">
        <v>0</v>
      </c>
      <c r="H165" s="24">
        <v>0</v>
      </c>
      <c r="I165" s="24">
        <v>0</v>
      </c>
      <c r="J165" s="24">
        <v>20</v>
      </c>
      <c r="K165" s="24">
        <v>16</v>
      </c>
      <c r="L165" s="24">
        <v>0</v>
      </c>
      <c r="M165" s="24">
        <v>5</v>
      </c>
      <c r="N165" s="7"/>
      <c r="P165" s="23">
        <v>26</v>
      </c>
      <c r="Q165" s="104">
        <v>0</v>
      </c>
      <c r="R165" s="104">
        <v>0</v>
      </c>
      <c r="S165" s="104">
        <v>30</v>
      </c>
      <c r="T165" s="104">
        <v>7</v>
      </c>
      <c r="U165" s="104">
        <v>0</v>
      </c>
      <c r="V165" s="105">
        <v>0</v>
      </c>
      <c r="W165" s="105">
        <v>40</v>
      </c>
      <c r="X165" s="105">
        <v>0</v>
      </c>
      <c r="Y165" s="105">
        <v>0</v>
      </c>
      <c r="Z165" s="105">
        <v>0</v>
      </c>
      <c r="AA165" s="105">
        <v>5</v>
      </c>
      <c r="AB165" s="105">
        <v>0</v>
      </c>
      <c r="AC165" s="7"/>
    </row>
    <row r="166" spans="1:29">
      <c r="A166" s="23">
        <v>27</v>
      </c>
      <c r="B166" s="24">
        <v>0</v>
      </c>
      <c r="C166" s="24">
        <v>1</v>
      </c>
      <c r="D166" s="24">
        <v>23</v>
      </c>
      <c r="E166" s="24">
        <v>0</v>
      </c>
      <c r="F166" s="24">
        <v>0</v>
      </c>
      <c r="G166" s="24">
        <v>0</v>
      </c>
      <c r="H166" s="24">
        <v>11</v>
      </c>
      <c r="I166" s="24">
        <v>0</v>
      </c>
      <c r="J166" s="24">
        <v>0</v>
      </c>
      <c r="K166" s="24">
        <v>127</v>
      </c>
      <c r="L166" s="24">
        <v>0</v>
      </c>
      <c r="M166" s="24">
        <v>25</v>
      </c>
      <c r="N166" s="7"/>
      <c r="P166" s="23">
        <v>27</v>
      </c>
      <c r="Q166" s="104">
        <v>0</v>
      </c>
      <c r="R166" s="104">
        <v>0</v>
      </c>
      <c r="S166" s="104">
        <v>14</v>
      </c>
      <c r="T166" s="104">
        <v>0</v>
      </c>
      <c r="U166" s="104">
        <v>38</v>
      </c>
      <c r="V166" s="105">
        <v>0</v>
      </c>
      <c r="W166" s="105">
        <v>0</v>
      </c>
      <c r="X166" s="105">
        <v>0</v>
      </c>
      <c r="Y166" s="105">
        <v>0</v>
      </c>
      <c r="Z166" s="105">
        <v>7</v>
      </c>
      <c r="AA166" s="105">
        <v>0</v>
      </c>
      <c r="AB166" s="105">
        <v>0</v>
      </c>
      <c r="AC166" s="7"/>
    </row>
    <row r="167" spans="1:29">
      <c r="A167" s="23">
        <v>28</v>
      </c>
      <c r="B167" s="24">
        <v>0</v>
      </c>
      <c r="C167" s="24">
        <v>1</v>
      </c>
      <c r="D167" s="24">
        <v>1</v>
      </c>
      <c r="E167" s="24">
        <v>23</v>
      </c>
      <c r="F167" s="24">
        <v>0</v>
      </c>
      <c r="G167" s="24">
        <v>0</v>
      </c>
      <c r="H167" s="24">
        <v>0</v>
      </c>
      <c r="I167" s="24">
        <v>0</v>
      </c>
      <c r="J167" s="24">
        <v>0</v>
      </c>
      <c r="K167" s="24">
        <v>0</v>
      </c>
      <c r="L167" s="24">
        <v>32</v>
      </c>
      <c r="M167" s="24">
        <v>0</v>
      </c>
      <c r="N167" s="7"/>
      <c r="P167" s="23">
        <v>28</v>
      </c>
      <c r="Q167" s="104">
        <v>0</v>
      </c>
      <c r="R167" s="104">
        <v>1</v>
      </c>
      <c r="S167" s="104">
        <v>54</v>
      </c>
      <c r="T167" s="104">
        <v>0</v>
      </c>
      <c r="U167" s="104">
        <v>0</v>
      </c>
      <c r="V167" s="105">
        <v>0</v>
      </c>
      <c r="W167" s="105">
        <v>17</v>
      </c>
      <c r="X167" s="105">
        <v>0</v>
      </c>
      <c r="Y167" s="105">
        <v>0</v>
      </c>
      <c r="Z167" s="105">
        <v>0</v>
      </c>
      <c r="AA167" s="105">
        <v>0</v>
      </c>
      <c r="AB167" s="105">
        <v>52</v>
      </c>
      <c r="AC167" s="7"/>
    </row>
    <row r="168" spans="1:29">
      <c r="A168" s="23">
        <v>29</v>
      </c>
      <c r="B168" s="24">
        <v>0</v>
      </c>
      <c r="C168" s="24"/>
      <c r="D168" s="24">
        <v>5</v>
      </c>
      <c r="E168" s="24">
        <v>8</v>
      </c>
      <c r="F168" s="24">
        <v>0</v>
      </c>
      <c r="G168" s="24">
        <v>0</v>
      </c>
      <c r="H168" s="24">
        <v>0</v>
      </c>
      <c r="I168" s="24">
        <v>0</v>
      </c>
      <c r="J168" s="24">
        <v>62</v>
      </c>
      <c r="K168" s="24">
        <v>113</v>
      </c>
      <c r="L168" s="24">
        <v>0</v>
      </c>
      <c r="M168" s="24">
        <v>0</v>
      </c>
      <c r="N168" s="7"/>
      <c r="P168" s="23">
        <v>29</v>
      </c>
      <c r="Q168" s="104">
        <v>0</v>
      </c>
      <c r="R168" s="104">
        <v>0</v>
      </c>
      <c r="S168" s="104">
        <v>1</v>
      </c>
      <c r="T168" s="104">
        <v>0</v>
      </c>
      <c r="U168" s="104">
        <v>0</v>
      </c>
      <c r="V168" s="105">
        <v>6</v>
      </c>
      <c r="W168" s="105">
        <v>4</v>
      </c>
      <c r="X168" s="105">
        <v>0</v>
      </c>
      <c r="Y168" s="105">
        <v>0</v>
      </c>
      <c r="Z168" s="105">
        <v>0</v>
      </c>
      <c r="AA168" s="105">
        <v>0</v>
      </c>
      <c r="AB168" s="105">
        <v>4</v>
      </c>
      <c r="AC168" s="7" t="s">
        <v>71</v>
      </c>
    </row>
    <row r="169" spans="1:29">
      <c r="A169" s="23">
        <v>30</v>
      </c>
      <c r="B169" s="24">
        <v>0</v>
      </c>
      <c r="C169" s="24"/>
      <c r="D169" s="24">
        <v>52</v>
      </c>
      <c r="E169" s="24">
        <v>2</v>
      </c>
      <c r="F169" s="24">
        <v>0</v>
      </c>
      <c r="G169" s="24">
        <v>0</v>
      </c>
      <c r="H169" s="24">
        <v>0</v>
      </c>
      <c r="I169" s="24">
        <v>0</v>
      </c>
      <c r="J169" s="24">
        <v>8</v>
      </c>
      <c r="K169" s="24">
        <v>0</v>
      </c>
      <c r="L169" s="24">
        <v>62</v>
      </c>
      <c r="M169" s="24">
        <v>0</v>
      </c>
      <c r="N169" s="7"/>
      <c r="P169" s="23">
        <v>30</v>
      </c>
      <c r="Q169" s="104">
        <v>0</v>
      </c>
      <c r="R169" s="104">
        <v>0</v>
      </c>
      <c r="S169" s="104">
        <v>0</v>
      </c>
      <c r="T169" s="104">
        <v>0</v>
      </c>
      <c r="U169" s="104">
        <v>3</v>
      </c>
      <c r="V169" s="105">
        <v>0</v>
      </c>
      <c r="W169" s="105">
        <v>0</v>
      </c>
      <c r="X169" s="105">
        <v>0</v>
      </c>
      <c r="Y169" s="105">
        <v>0</v>
      </c>
      <c r="Z169" s="105">
        <v>11</v>
      </c>
      <c r="AA169" s="105">
        <v>36</v>
      </c>
      <c r="AB169" s="105">
        <v>3</v>
      </c>
      <c r="AC169" s="7"/>
    </row>
    <row r="170" spans="1:29">
      <c r="A170" s="23">
        <v>31</v>
      </c>
      <c r="B170" s="24">
        <v>0</v>
      </c>
      <c r="C170" s="24"/>
      <c r="D170" s="24">
        <v>20</v>
      </c>
      <c r="E170" s="24"/>
      <c r="F170" s="24">
        <v>7</v>
      </c>
      <c r="G170" s="24"/>
      <c r="H170" s="24"/>
      <c r="I170" s="24">
        <v>0</v>
      </c>
      <c r="J170" s="24"/>
      <c r="K170" s="24">
        <v>10</v>
      </c>
      <c r="L170" s="24"/>
      <c r="M170" s="24">
        <v>0</v>
      </c>
      <c r="N170" s="7"/>
      <c r="P170" s="23">
        <v>31</v>
      </c>
      <c r="Q170" s="104">
        <v>0</v>
      </c>
      <c r="R170" s="104">
        <v>0</v>
      </c>
      <c r="S170" s="104">
        <v>54</v>
      </c>
      <c r="T170" s="104">
        <v>0</v>
      </c>
      <c r="U170" s="104">
        <v>0</v>
      </c>
      <c r="V170" s="105">
        <v>0</v>
      </c>
      <c r="W170" s="105">
        <v>39</v>
      </c>
      <c r="X170" s="105">
        <v>2</v>
      </c>
      <c r="Y170" s="105">
        <v>0</v>
      </c>
      <c r="Z170" s="105">
        <v>0</v>
      </c>
      <c r="AA170" s="105">
        <v>0</v>
      </c>
      <c r="AB170" s="105">
        <v>0</v>
      </c>
      <c r="AC170" s="7"/>
    </row>
    <row r="171" spans="1:29">
      <c r="A171" s="88"/>
      <c r="B171" s="89"/>
      <c r="C171" s="89"/>
      <c r="D171" s="89"/>
      <c r="E171" s="90"/>
      <c r="F171" s="89"/>
      <c r="G171" s="89"/>
      <c r="H171" s="89"/>
      <c r="I171" s="89"/>
      <c r="J171" s="89"/>
      <c r="K171" s="89"/>
      <c r="L171" s="108"/>
      <c r="M171" s="91"/>
      <c r="N171" s="7"/>
      <c r="P171" s="88"/>
      <c r="Q171" s="89"/>
      <c r="R171" s="89"/>
      <c r="S171" s="89"/>
      <c r="T171" s="90"/>
      <c r="U171" s="89"/>
      <c r="V171" s="89"/>
      <c r="W171" s="89"/>
      <c r="X171" s="89"/>
      <c r="Y171" s="89"/>
      <c r="Z171" s="89"/>
      <c r="AA171" s="89"/>
      <c r="AB171" s="91"/>
      <c r="AC171" s="7"/>
    </row>
    <row r="172" spans="1:29">
      <c r="A172" s="25" t="s">
        <v>65</v>
      </c>
      <c r="B172" s="92">
        <f t="shared" ref="B172:M172" si="12">SUM(B140:B170)</f>
        <v>269</v>
      </c>
      <c r="C172" s="92">
        <f t="shared" si="12"/>
        <v>143</v>
      </c>
      <c r="D172" s="92">
        <f>SUM(D140:D170)</f>
        <v>328</v>
      </c>
      <c r="E172" s="92">
        <f>SUM(E140:E170)</f>
        <v>185</v>
      </c>
      <c r="F172" s="92">
        <f>SUM(F140:F170)</f>
        <v>401</v>
      </c>
      <c r="G172" s="92">
        <f>SUM(G140:G170)</f>
        <v>94</v>
      </c>
      <c r="H172" s="92">
        <f>SUM(H140:H170)</f>
        <v>248</v>
      </c>
      <c r="I172" s="92">
        <f t="shared" si="12"/>
        <v>101</v>
      </c>
      <c r="J172" s="92">
        <f t="shared" si="12"/>
        <v>326</v>
      </c>
      <c r="K172" s="92">
        <f t="shared" si="12"/>
        <v>718</v>
      </c>
      <c r="L172" s="92">
        <f t="shared" si="12"/>
        <v>399</v>
      </c>
      <c r="M172" s="93">
        <f t="shared" si="12"/>
        <v>217</v>
      </c>
      <c r="N172" s="9">
        <f>SUM(B172:M172)</f>
        <v>3429</v>
      </c>
      <c r="P172" s="25" t="s">
        <v>65</v>
      </c>
      <c r="Q172" s="92">
        <f>SUM(Q140:Q170)</f>
        <v>237</v>
      </c>
      <c r="R172" s="92">
        <f t="shared" ref="R172:AB172" si="13">SUM(R140:R170)</f>
        <v>166</v>
      </c>
      <c r="S172" s="92">
        <f t="shared" si="13"/>
        <v>275</v>
      </c>
      <c r="T172" s="92">
        <f t="shared" si="13"/>
        <v>124</v>
      </c>
      <c r="U172" s="92">
        <f t="shared" si="13"/>
        <v>347</v>
      </c>
      <c r="V172" s="92">
        <f t="shared" si="13"/>
        <v>247</v>
      </c>
      <c r="W172" s="92">
        <f t="shared" si="13"/>
        <v>141</v>
      </c>
      <c r="X172" s="92">
        <f t="shared" si="13"/>
        <v>51</v>
      </c>
      <c r="Y172" s="92">
        <f t="shared" si="13"/>
        <v>34</v>
      </c>
      <c r="Z172" s="92">
        <f t="shared" si="13"/>
        <v>231</v>
      </c>
      <c r="AA172" s="92">
        <f t="shared" si="13"/>
        <v>269</v>
      </c>
      <c r="AB172" s="93">
        <f t="shared" si="13"/>
        <v>297</v>
      </c>
      <c r="AC172" s="9">
        <f>SUM(Q172:AB172)</f>
        <v>2419</v>
      </c>
    </row>
    <row r="173" spans="1:29">
      <c r="A173" s="88" t="s">
        <v>66</v>
      </c>
      <c r="B173" s="94">
        <f t="shared" ref="B173:M173" si="14">MAX(B140:B170)</f>
        <v>73</v>
      </c>
      <c r="C173" s="94">
        <f t="shared" si="14"/>
        <v>31</v>
      </c>
      <c r="D173" s="94">
        <f>MAX(D140:D170)</f>
        <v>57</v>
      </c>
      <c r="E173" s="94">
        <f>MAX(E140:E170)</f>
        <v>49</v>
      </c>
      <c r="F173" s="94">
        <f>MAX(F140:F170)</f>
        <v>106</v>
      </c>
      <c r="G173" s="94">
        <f>MAX(G140:G170)</f>
        <v>36</v>
      </c>
      <c r="H173" s="94">
        <f>MAX(H140:H170)</f>
        <v>118</v>
      </c>
      <c r="I173" s="94">
        <f t="shared" si="14"/>
        <v>39</v>
      </c>
      <c r="J173" s="94">
        <f t="shared" si="14"/>
        <v>97</v>
      </c>
      <c r="K173" s="94">
        <f t="shared" si="14"/>
        <v>127</v>
      </c>
      <c r="L173" s="94">
        <f t="shared" si="14"/>
        <v>94</v>
      </c>
      <c r="M173" s="30">
        <f t="shared" si="14"/>
        <v>38</v>
      </c>
      <c r="N173" s="9">
        <f>MAX(B173:M173)</f>
        <v>127</v>
      </c>
      <c r="P173" s="88" t="s">
        <v>66</v>
      </c>
      <c r="Q173" s="94">
        <f t="shared" ref="Q173:AB173" si="15">MAX(Q140:Q170)</f>
        <v>57</v>
      </c>
      <c r="R173" s="94">
        <f t="shared" si="15"/>
        <v>40</v>
      </c>
      <c r="S173" s="94">
        <f t="shared" si="15"/>
        <v>67</v>
      </c>
      <c r="T173" s="94">
        <f t="shared" si="15"/>
        <v>36</v>
      </c>
      <c r="U173" s="94">
        <f t="shared" si="15"/>
        <v>65</v>
      </c>
      <c r="V173" s="94">
        <f t="shared" si="15"/>
        <v>79</v>
      </c>
      <c r="W173" s="94">
        <f t="shared" si="15"/>
        <v>40</v>
      </c>
      <c r="X173" s="94">
        <f t="shared" si="15"/>
        <v>19</v>
      </c>
      <c r="Y173" s="94">
        <f t="shared" si="15"/>
        <v>25</v>
      </c>
      <c r="Z173" s="94">
        <f t="shared" si="15"/>
        <v>56</v>
      </c>
      <c r="AA173" s="94">
        <f t="shared" si="15"/>
        <v>48</v>
      </c>
      <c r="AB173" s="30">
        <f t="shared" si="15"/>
        <v>52</v>
      </c>
      <c r="AC173" s="9">
        <f>MAX(Q173:AB173)</f>
        <v>79</v>
      </c>
    </row>
    <row r="174" spans="1:29">
      <c r="A174" s="31"/>
      <c r="B174" s="7"/>
      <c r="C174" s="7"/>
      <c r="D174" s="7"/>
      <c r="E174" s="7"/>
      <c r="F174" s="7"/>
      <c r="G174" s="7"/>
      <c r="H174" s="32"/>
      <c r="I174" s="7"/>
      <c r="J174" s="7"/>
      <c r="K174" s="7"/>
      <c r="L174" s="7"/>
      <c r="M174" s="7"/>
      <c r="N174" s="7"/>
      <c r="P174" s="95"/>
      <c r="Q174" s="7"/>
      <c r="R174" s="7"/>
      <c r="S174" s="7"/>
      <c r="T174" s="7"/>
      <c r="U174" s="7"/>
      <c r="V174" s="7"/>
      <c r="W174" s="32"/>
      <c r="X174" s="7"/>
      <c r="Y174" s="7"/>
      <c r="Z174" s="7"/>
      <c r="AA174" s="7"/>
      <c r="AB174" s="7"/>
      <c r="AC174" s="7"/>
    </row>
    <row r="175" spans="1:29">
      <c r="A175" s="33" t="s">
        <v>67</v>
      </c>
      <c r="B175" s="34">
        <v>0</v>
      </c>
      <c r="C175" s="35" t="s">
        <v>68</v>
      </c>
      <c r="D175" s="19"/>
      <c r="E175" s="7"/>
      <c r="F175" s="7"/>
      <c r="G175" s="7"/>
      <c r="H175" s="32"/>
      <c r="I175" s="7"/>
      <c r="J175" s="7"/>
      <c r="K175" s="7"/>
      <c r="L175" s="7"/>
      <c r="M175" s="7"/>
      <c r="N175" s="7"/>
      <c r="P175" s="96" t="s">
        <v>67</v>
      </c>
      <c r="Q175" s="34">
        <v>0</v>
      </c>
      <c r="R175" s="35" t="s">
        <v>68</v>
      </c>
      <c r="S175" s="19"/>
      <c r="T175" s="7"/>
      <c r="U175" s="7"/>
      <c r="V175" s="7"/>
      <c r="W175" s="32"/>
      <c r="X175" s="7"/>
      <c r="Y175" s="7"/>
      <c r="Z175" s="7"/>
      <c r="AA175" s="7"/>
      <c r="AB175" s="7"/>
      <c r="AC175" s="7"/>
    </row>
    <row r="177" spans="1:29" ht="18">
      <c r="A177" s="1" t="s">
        <v>41</v>
      </c>
      <c r="B177" s="2"/>
      <c r="C177" s="2"/>
      <c r="D177" s="2"/>
      <c r="E177" s="3">
        <v>2006</v>
      </c>
      <c r="F177" s="4"/>
      <c r="G177" s="4"/>
      <c r="H177" s="5"/>
      <c r="I177" s="4"/>
      <c r="J177" s="4"/>
      <c r="K177" s="4"/>
      <c r="L177" s="4"/>
      <c r="M177" s="6"/>
      <c r="P177" s="1" t="s">
        <v>41</v>
      </c>
      <c r="Q177" s="2"/>
      <c r="R177" s="2"/>
      <c r="S177" s="2"/>
      <c r="T177" s="3">
        <v>2016</v>
      </c>
      <c r="U177" s="4"/>
      <c r="V177" s="4"/>
      <c r="W177" s="5"/>
      <c r="X177" s="4"/>
      <c r="Y177" s="4"/>
      <c r="Z177" s="4"/>
      <c r="AA177" s="4"/>
      <c r="AB177" s="6"/>
      <c r="AC177" s="7"/>
    </row>
    <row r="178" spans="1:29">
      <c r="A178" s="8"/>
      <c r="B178" s="9"/>
      <c r="C178" s="9"/>
      <c r="D178" s="9"/>
      <c r="E178" s="10"/>
      <c r="F178" s="10"/>
      <c r="G178" s="10"/>
      <c r="H178" s="11"/>
      <c r="I178" s="9"/>
      <c r="J178" s="9"/>
      <c r="K178" s="9"/>
      <c r="L178" s="9"/>
      <c r="M178" s="12"/>
      <c r="P178" s="8"/>
      <c r="Q178" s="9"/>
      <c r="R178" s="9"/>
      <c r="S178" s="9"/>
      <c r="T178" s="10"/>
      <c r="U178" s="10"/>
      <c r="V178" s="10"/>
      <c r="W178" s="11"/>
      <c r="X178" s="9"/>
      <c r="Y178" s="9"/>
      <c r="Z178" s="9"/>
      <c r="AA178" s="9"/>
      <c r="AB178" s="12"/>
      <c r="AC178" s="7"/>
    </row>
    <row r="179" spans="1:29" ht="15.75">
      <c r="A179" s="13" t="s">
        <v>42</v>
      </c>
      <c r="B179" s="14"/>
      <c r="C179" s="14" t="s">
        <v>43</v>
      </c>
      <c r="D179" s="14"/>
      <c r="E179" s="14"/>
      <c r="F179" s="14"/>
      <c r="G179" s="14"/>
      <c r="H179" s="15"/>
      <c r="I179" s="14"/>
      <c r="J179" s="14" t="s">
        <v>44</v>
      </c>
      <c r="K179" s="14" t="s">
        <v>45</v>
      </c>
      <c r="L179" s="14"/>
      <c r="M179" s="12"/>
      <c r="P179" s="13" t="s">
        <v>42</v>
      </c>
      <c r="Q179" s="14"/>
      <c r="R179" s="14" t="s">
        <v>43</v>
      </c>
      <c r="S179" s="14"/>
      <c r="T179" s="14"/>
      <c r="U179" s="14"/>
      <c r="V179" s="14"/>
      <c r="W179" s="15"/>
      <c r="X179" s="14"/>
      <c r="Y179" s="14" t="s">
        <v>44</v>
      </c>
      <c r="Z179" s="14" t="s">
        <v>45</v>
      </c>
      <c r="AA179" s="14"/>
      <c r="AB179" s="12"/>
      <c r="AC179" s="7"/>
    </row>
    <row r="180" spans="1:29" ht="15.75">
      <c r="A180" s="13" t="s">
        <v>46</v>
      </c>
      <c r="B180" s="14"/>
      <c r="C180" s="14" t="s">
        <v>47</v>
      </c>
      <c r="D180" s="14"/>
      <c r="E180" s="14"/>
      <c r="F180" s="14"/>
      <c r="G180" s="14"/>
      <c r="H180" s="15"/>
      <c r="I180" s="14"/>
      <c r="J180" s="14" t="s">
        <v>48</v>
      </c>
      <c r="K180" s="14" t="s">
        <v>45</v>
      </c>
      <c r="L180" s="14"/>
      <c r="M180" s="12"/>
      <c r="P180" s="13" t="s">
        <v>46</v>
      </c>
      <c r="Q180" s="14"/>
      <c r="R180" s="14" t="s">
        <v>47</v>
      </c>
      <c r="S180" s="14"/>
      <c r="T180" s="14"/>
      <c r="U180" s="14"/>
      <c r="V180" s="14"/>
      <c r="W180" s="15"/>
      <c r="X180" s="14"/>
      <c r="Y180" s="14" t="s">
        <v>48</v>
      </c>
      <c r="Z180" s="14" t="s">
        <v>45</v>
      </c>
      <c r="AA180" s="14"/>
      <c r="AB180" s="12"/>
      <c r="AC180" s="7"/>
    </row>
    <row r="181" spans="1:29" ht="15.75">
      <c r="A181" s="13" t="s">
        <v>49</v>
      </c>
      <c r="B181" s="14"/>
      <c r="C181" s="97">
        <f>E177</f>
        <v>2006</v>
      </c>
      <c r="D181" s="14"/>
      <c r="E181" s="14"/>
      <c r="F181" s="14"/>
      <c r="G181" s="14"/>
      <c r="H181" s="15"/>
      <c r="I181" s="14"/>
      <c r="J181" s="14" t="s">
        <v>51</v>
      </c>
      <c r="K181" s="14" t="s">
        <v>52</v>
      </c>
      <c r="L181" s="14"/>
      <c r="M181" s="12"/>
      <c r="P181" s="13" t="s">
        <v>49</v>
      </c>
      <c r="Q181" s="14"/>
      <c r="R181" s="97">
        <f>T177</f>
        <v>2016</v>
      </c>
      <c r="S181" s="14"/>
      <c r="T181" s="14"/>
      <c r="U181" s="14"/>
      <c r="V181" s="14"/>
      <c r="W181" s="15"/>
      <c r="X181" s="14"/>
      <c r="Y181" s="14" t="s">
        <v>51</v>
      </c>
      <c r="Z181" s="14" t="s">
        <v>52</v>
      </c>
      <c r="AA181" s="14"/>
      <c r="AB181" s="12"/>
      <c r="AC181" s="7"/>
    </row>
    <row r="182" spans="1:29">
      <c r="A182" s="16"/>
      <c r="B182" s="10"/>
      <c r="C182" s="10"/>
      <c r="D182" s="10"/>
      <c r="E182" s="10"/>
      <c r="F182" s="10"/>
      <c r="G182" s="10"/>
      <c r="H182" s="17"/>
      <c r="I182" s="10"/>
      <c r="J182" s="10"/>
      <c r="K182" s="10"/>
      <c r="L182" s="10"/>
      <c r="M182" s="18"/>
      <c r="P182" s="16"/>
      <c r="Q182" s="10"/>
      <c r="R182" s="10"/>
      <c r="S182" s="10"/>
      <c r="T182" s="10"/>
      <c r="U182" s="10"/>
      <c r="V182" s="10"/>
      <c r="W182" s="17"/>
      <c r="X182" s="10"/>
      <c r="Y182" s="10"/>
      <c r="Z182" s="10"/>
      <c r="AA182" s="10"/>
      <c r="AB182" s="18"/>
      <c r="AC182" s="19"/>
    </row>
    <row r="183" spans="1:29">
      <c r="A183" s="20" t="s">
        <v>53</v>
      </c>
      <c r="B183" s="21" t="s">
        <v>54</v>
      </c>
      <c r="C183" s="21" t="s">
        <v>55</v>
      </c>
      <c r="D183" s="21" t="s">
        <v>56</v>
      </c>
      <c r="E183" s="21" t="s">
        <v>57</v>
      </c>
      <c r="F183" s="21" t="s">
        <v>20</v>
      </c>
      <c r="G183" s="21" t="s">
        <v>58</v>
      </c>
      <c r="H183" s="21" t="s">
        <v>59</v>
      </c>
      <c r="I183" s="21" t="s">
        <v>60</v>
      </c>
      <c r="J183" s="21" t="s">
        <v>61</v>
      </c>
      <c r="K183" s="21" t="s">
        <v>62</v>
      </c>
      <c r="L183" s="21" t="s">
        <v>63</v>
      </c>
      <c r="M183" s="22" t="s">
        <v>64</v>
      </c>
      <c r="P183" s="20" t="s">
        <v>53</v>
      </c>
      <c r="Q183" s="21" t="s">
        <v>54</v>
      </c>
      <c r="R183" s="21" t="s">
        <v>55</v>
      </c>
      <c r="S183" s="21" t="s">
        <v>56</v>
      </c>
      <c r="T183" s="21" t="s">
        <v>57</v>
      </c>
      <c r="U183" s="21" t="s">
        <v>20</v>
      </c>
      <c r="V183" s="21" t="s">
        <v>58</v>
      </c>
      <c r="W183" s="21" t="s">
        <v>59</v>
      </c>
      <c r="X183" s="21" t="s">
        <v>60</v>
      </c>
      <c r="Y183" s="21" t="s">
        <v>61</v>
      </c>
      <c r="Z183" s="21" t="s">
        <v>62</v>
      </c>
      <c r="AA183" s="21" t="s">
        <v>63</v>
      </c>
      <c r="AB183" s="22" t="s">
        <v>64</v>
      </c>
      <c r="AC183" s="19"/>
    </row>
    <row r="184" spans="1:29">
      <c r="A184" s="23">
        <v>1</v>
      </c>
      <c r="B184" s="24">
        <v>0</v>
      </c>
      <c r="C184" s="24">
        <v>0</v>
      </c>
      <c r="D184" s="24">
        <v>0</v>
      </c>
      <c r="E184" s="24">
        <v>0</v>
      </c>
      <c r="F184" s="24">
        <v>0</v>
      </c>
      <c r="G184" s="24">
        <v>0</v>
      </c>
      <c r="H184" s="24">
        <v>0</v>
      </c>
      <c r="I184" s="24">
        <v>0</v>
      </c>
      <c r="J184" s="24">
        <v>19</v>
      </c>
      <c r="K184" s="24">
        <v>0</v>
      </c>
      <c r="L184" s="24">
        <v>0</v>
      </c>
      <c r="M184" s="24">
        <v>6</v>
      </c>
      <c r="P184" s="23">
        <v>1</v>
      </c>
      <c r="Q184" s="104">
        <v>26</v>
      </c>
      <c r="R184" s="104">
        <v>6</v>
      </c>
      <c r="S184" s="104">
        <v>23</v>
      </c>
      <c r="T184" s="104">
        <v>0</v>
      </c>
      <c r="U184" s="104">
        <v>30</v>
      </c>
      <c r="V184" s="105">
        <v>6</v>
      </c>
      <c r="W184" s="105">
        <v>0</v>
      </c>
      <c r="X184" s="105">
        <v>0</v>
      </c>
      <c r="Y184" s="105">
        <v>0</v>
      </c>
      <c r="Z184" s="105">
        <v>0</v>
      </c>
      <c r="AA184" s="105">
        <v>4</v>
      </c>
      <c r="AB184" s="105">
        <v>22</v>
      </c>
      <c r="AC184" s="7"/>
    </row>
    <row r="185" spans="1:29">
      <c r="A185" s="23">
        <v>2</v>
      </c>
      <c r="B185" s="24">
        <v>1</v>
      </c>
      <c r="C185" s="24">
        <v>0</v>
      </c>
      <c r="D185" s="24">
        <v>0</v>
      </c>
      <c r="E185" s="24">
        <v>0</v>
      </c>
      <c r="F185" s="24">
        <v>0</v>
      </c>
      <c r="G185" s="24">
        <v>0</v>
      </c>
      <c r="H185" s="24">
        <v>0</v>
      </c>
      <c r="I185" s="24">
        <v>0</v>
      </c>
      <c r="J185" s="24">
        <v>0</v>
      </c>
      <c r="K185" s="24">
        <v>0</v>
      </c>
      <c r="L185" s="24">
        <v>0</v>
      </c>
      <c r="M185" s="24">
        <v>0</v>
      </c>
      <c r="P185" s="23">
        <v>2</v>
      </c>
      <c r="Q185" s="104">
        <v>85</v>
      </c>
      <c r="R185" s="104">
        <v>4</v>
      </c>
      <c r="S185" s="104">
        <v>26</v>
      </c>
      <c r="T185" s="104">
        <v>6</v>
      </c>
      <c r="U185" s="104">
        <v>0</v>
      </c>
      <c r="V185" s="105">
        <v>3</v>
      </c>
      <c r="W185" s="105">
        <v>0</v>
      </c>
      <c r="X185" s="105">
        <v>0</v>
      </c>
      <c r="Y185" s="105">
        <v>30</v>
      </c>
      <c r="Z185" s="105">
        <v>6</v>
      </c>
      <c r="AA185" s="105">
        <v>9</v>
      </c>
      <c r="AB185" s="105">
        <v>40</v>
      </c>
      <c r="AC185" s="7"/>
    </row>
    <row r="186" spans="1:29">
      <c r="A186" s="23">
        <v>3</v>
      </c>
      <c r="B186" s="24">
        <v>0</v>
      </c>
      <c r="C186" s="24">
        <v>0</v>
      </c>
      <c r="D186" s="24">
        <v>0</v>
      </c>
      <c r="E186" s="24">
        <v>12</v>
      </c>
      <c r="F186" s="24">
        <v>0</v>
      </c>
      <c r="G186" s="24">
        <v>2</v>
      </c>
      <c r="H186" s="24">
        <v>0</v>
      </c>
      <c r="I186" s="24">
        <v>0</v>
      </c>
      <c r="J186" s="24">
        <v>0</v>
      </c>
      <c r="K186" s="24">
        <v>0</v>
      </c>
      <c r="L186" s="24">
        <v>8</v>
      </c>
      <c r="M186" s="24">
        <v>0</v>
      </c>
      <c r="P186" s="23">
        <v>3</v>
      </c>
      <c r="Q186" s="104">
        <v>37</v>
      </c>
      <c r="R186" s="104">
        <v>6</v>
      </c>
      <c r="S186" s="104">
        <v>5</v>
      </c>
      <c r="T186" s="104">
        <v>0</v>
      </c>
      <c r="U186" s="104">
        <v>2</v>
      </c>
      <c r="V186" s="105">
        <v>2</v>
      </c>
      <c r="W186" s="105">
        <v>0</v>
      </c>
      <c r="X186" s="105">
        <v>0</v>
      </c>
      <c r="Y186" s="105">
        <v>16</v>
      </c>
      <c r="Z186" s="105">
        <v>0</v>
      </c>
      <c r="AA186" s="105">
        <v>6</v>
      </c>
      <c r="AB186" s="105">
        <v>5</v>
      </c>
      <c r="AC186" s="7"/>
    </row>
    <row r="187" spans="1:29">
      <c r="A187" s="23">
        <v>4</v>
      </c>
      <c r="B187" s="24">
        <v>0</v>
      </c>
      <c r="C187" s="24">
        <v>0</v>
      </c>
      <c r="D187" s="24">
        <v>0</v>
      </c>
      <c r="E187" s="24">
        <v>0</v>
      </c>
      <c r="F187" s="24">
        <v>0</v>
      </c>
      <c r="G187" s="24">
        <v>0</v>
      </c>
      <c r="H187" s="24">
        <v>0</v>
      </c>
      <c r="I187" s="24">
        <v>0</v>
      </c>
      <c r="J187" s="24">
        <v>6</v>
      </c>
      <c r="K187" s="24">
        <v>0</v>
      </c>
      <c r="L187" s="24">
        <v>0</v>
      </c>
      <c r="M187" s="24">
        <v>10</v>
      </c>
      <c r="P187" s="23">
        <v>4</v>
      </c>
      <c r="Q187" s="104">
        <v>4</v>
      </c>
      <c r="R187" s="104">
        <v>12</v>
      </c>
      <c r="S187" s="104">
        <v>19</v>
      </c>
      <c r="T187" s="104">
        <v>3</v>
      </c>
      <c r="U187" s="104">
        <v>22</v>
      </c>
      <c r="V187" s="105">
        <v>4</v>
      </c>
      <c r="W187" s="105">
        <v>0</v>
      </c>
      <c r="X187" s="105">
        <v>0</v>
      </c>
      <c r="Y187" s="105">
        <v>0</v>
      </c>
      <c r="Z187" s="105">
        <v>0</v>
      </c>
      <c r="AA187" s="105">
        <v>7</v>
      </c>
      <c r="AB187" s="105">
        <v>0</v>
      </c>
      <c r="AC187" s="7"/>
    </row>
    <row r="188" spans="1:29">
      <c r="A188" s="23">
        <v>5</v>
      </c>
      <c r="B188" s="24">
        <v>11</v>
      </c>
      <c r="C188" s="24">
        <v>0</v>
      </c>
      <c r="D188" s="24">
        <v>19</v>
      </c>
      <c r="E188" s="24">
        <v>0</v>
      </c>
      <c r="F188" s="24">
        <v>0</v>
      </c>
      <c r="G188" s="24">
        <v>3</v>
      </c>
      <c r="H188" s="24">
        <v>0</v>
      </c>
      <c r="I188" s="24">
        <v>0</v>
      </c>
      <c r="J188" s="24">
        <v>0</v>
      </c>
      <c r="K188" s="24">
        <v>0</v>
      </c>
      <c r="L188" s="24">
        <v>0</v>
      </c>
      <c r="M188" s="24">
        <v>15</v>
      </c>
      <c r="P188" s="23">
        <v>5</v>
      </c>
      <c r="Q188" s="104">
        <v>0</v>
      </c>
      <c r="R188" s="104">
        <v>23</v>
      </c>
      <c r="S188" s="104">
        <v>5</v>
      </c>
      <c r="T188" s="104">
        <v>26</v>
      </c>
      <c r="U188" s="104">
        <v>0</v>
      </c>
      <c r="V188" s="105">
        <v>0</v>
      </c>
      <c r="W188" s="105">
        <v>0</v>
      </c>
      <c r="X188" s="105">
        <v>2</v>
      </c>
      <c r="Y188" s="105">
        <v>20</v>
      </c>
      <c r="Z188" s="105">
        <v>8</v>
      </c>
      <c r="AA188" s="105">
        <v>17</v>
      </c>
      <c r="AB188" s="105">
        <v>22</v>
      </c>
      <c r="AC188" s="7"/>
    </row>
    <row r="189" spans="1:29">
      <c r="A189" s="23">
        <v>6</v>
      </c>
      <c r="B189" s="24">
        <v>3</v>
      </c>
      <c r="C189" s="24">
        <v>2</v>
      </c>
      <c r="D189" s="24">
        <v>0</v>
      </c>
      <c r="E189" s="24">
        <v>0</v>
      </c>
      <c r="F189" s="24">
        <v>0</v>
      </c>
      <c r="G189" s="24">
        <v>0</v>
      </c>
      <c r="H189" s="24">
        <v>0</v>
      </c>
      <c r="I189" s="24">
        <v>0</v>
      </c>
      <c r="J189" s="24">
        <v>0</v>
      </c>
      <c r="K189" s="24">
        <v>0</v>
      </c>
      <c r="L189" s="24">
        <v>0</v>
      </c>
      <c r="M189" s="24">
        <v>1</v>
      </c>
      <c r="P189" s="23">
        <v>6</v>
      </c>
      <c r="Q189" s="104">
        <v>0</v>
      </c>
      <c r="R189" s="104">
        <v>4</v>
      </c>
      <c r="S189" s="104">
        <v>0</v>
      </c>
      <c r="T189" s="104">
        <v>3</v>
      </c>
      <c r="U189" s="104">
        <v>15</v>
      </c>
      <c r="V189" s="105">
        <v>0</v>
      </c>
      <c r="W189" s="105">
        <v>0</v>
      </c>
      <c r="X189" s="105">
        <v>0</v>
      </c>
      <c r="Y189" s="105">
        <v>2</v>
      </c>
      <c r="Z189" s="105">
        <v>10</v>
      </c>
      <c r="AA189" s="105">
        <v>78</v>
      </c>
      <c r="AB189" s="105">
        <v>0</v>
      </c>
      <c r="AC189" s="7"/>
    </row>
    <row r="190" spans="1:29">
      <c r="A190" s="23">
        <v>7</v>
      </c>
      <c r="B190" s="24">
        <v>20</v>
      </c>
      <c r="C190" s="24">
        <v>0</v>
      </c>
      <c r="D190" s="24">
        <v>0</v>
      </c>
      <c r="E190" s="24">
        <v>0</v>
      </c>
      <c r="F190" s="24">
        <v>134</v>
      </c>
      <c r="G190" s="24">
        <v>0</v>
      </c>
      <c r="H190" s="24">
        <v>0</v>
      </c>
      <c r="I190" s="24">
        <v>0</v>
      </c>
      <c r="J190" s="24">
        <v>3</v>
      </c>
      <c r="K190" s="24">
        <v>0</v>
      </c>
      <c r="L190" s="24">
        <v>0</v>
      </c>
      <c r="M190" s="24">
        <v>0</v>
      </c>
      <c r="P190" s="23">
        <v>7</v>
      </c>
      <c r="Q190" s="104">
        <v>45</v>
      </c>
      <c r="R190" s="104">
        <v>2</v>
      </c>
      <c r="S190" s="104">
        <v>26</v>
      </c>
      <c r="T190" s="104">
        <v>1</v>
      </c>
      <c r="U190" s="104">
        <v>68</v>
      </c>
      <c r="V190" s="105">
        <v>0</v>
      </c>
      <c r="W190" s="105">
        <v>0</v>
      </c>
      <c r="X190" s="105">
        <v>0</v>
      </c>
      <c r="Y190" s="105">
        <v>4</v>
      </c>
      <c r="Z190" s="105">
        <v>2</v>
      </c>
      <c r="AA190" s="105">
        <v>0</v>
      </c>
      <c r="AB190" s="105">
        <v>0</v>
      </c>
      <c r="AC190" s="7"/>
    </row>
    <row r="191" spans="1:29">
      <c r="A191" s="23">
        <v>8</v>
      </c>
      <c r="B191" s="24">
        <v>0</v>
      </c>
      <c r="C191" s="24">
        <v>8</v>
      </c>
      <c r="D191" s="24">
        <v>0</v>
      </c>
      <c r="E191" s="24">
        <v>0</v>
      </c>
      <c r="F191" s="24">
        <v>0</v>
      </c>
      <c r="G191" s="24">
        <v>36</v>
      </c>
      <c r="H191" s="24">
        <v>0</v>
      </c>
      <c r="I191" s="24">
        <v>0</v>
      </c>
      <c r="J191" s="24">
        <v>0</v>
      </c>
      <c r="K191" s="24">
        <v>0</v>
      </c>
      <c r="L191" s="24">
        <v>0</v>
      </c>
      <c r="M191" s="24">
        <v>4</v>
      </c>
      <c r="P191" s="23">
        <v>8</v>
      </c>
      <c r="Q191" s="104">
        <v>49</v>
      </c>
      <c r="R191" s="104">
        <v>0</v>
      </c>
      <c r="S191" s="104">
        <v>1</v>
      </c>
      <c r="T191" s="104">
        <v>0</v>
      </c>
      <c r="U191" s="104">
        <v>0</v>
      </c>
      <c r="V191" s="105">
        <v>0</v>
      </c>
      <c r="W191" s="105">
        <v>0</v>
      </c>
      <c r="X191" s="105">
        <v>0</v>
      </c>
      <c r="Y191" s="105">
        <v>50</v>
      </c>
      <c r="Z191" s="105">
        <v>0</v>
      </c>
      <c r="AA191" s="105">
        <v>0</v>
      </c>
      <c r="AB191" s="105">
        <v>12</v>
      </c>
      <c r="AC191" s="7"/>
    </row>
    <row r="192" spans="1:29">
      <c r="A192" s="23">
        <v>9</v>
      </c>
      <c r="B192" s="24">
        <v>0</v>
      </c>
      <c r="C192" s="24">
        <v>0</v>
      </c>
      <c r="D192" s="24">
        <v>0</v>
      </c>
      <c r="E192" s="24">
        <v>0</v>
      </c>
      <c r="F192" s="24">
        <v>0</v>
      </c>
      <c r="G192" s="24">
        <v>8</v>
      </c>
      <c r="H192" s="24">
        <v>0</v>
      </c>
      <c r="I192" s="24">
        <v>0</v>
      </c>
      <c r="J192" s="24">
        <v>7</v>
      </c>
      <c r="K192" s="24">
        <v>0</v>
      </c>
      <c r="L192" s="24">
        <v>0</v>
      </c>
      <c r="M192" s="24">
        <v>0</v>
      </c>
      <c r="P192" s="23">
        <v>9</v>
      </c>
      <c r="Q192" s="104">
        <v>3</v>
      </c>
      <c r="R192" s="104">
        <v>13</v>
      </c>
      <c r="S192" s="104">
        <v>8</v>
      </c>
      <c r="T192" s="104">
        <v>0</v>
      </c>
      <c r="U192" s="104">
        <v>1</v>
      </c>
      <c r="V192" s="105">
        <v>0</v>
      </c>
      <c r="W192" s="105">
        <v>0</v>
      </c>
      <c r="X192" s="105">
        <v>0</v>
      </c>
      <c r="Y192" s="105">
        <v>0</v>
      </c>
      <c r="Z192" s="105">
        <v>58</v>
      </c>
      <c r="AA192" s="105">
        <v>12</v>
      </c>
      <c r="AB192" s="105">
        <v>30</v>
      </c>
      <c r="AC192" s="7"/>
    </row>
    <row r="193" spans="1:29">
      <c r="A193" s="23">
        <v>10</v>
      </c>
      <c r="B193" s="24">
        <v>19</v>
      </c>
      <c r="C193" s="24">
        <v>0</v>
      </c>
      <c r="D193" s="24">
        <v>0</v>
      </c>
      <c r="E193" s="24">
        <v>1</v>
      </c>
      <c r="F193" s="24">
        <v>0</v>
      </c>
      <c r="G193" s="24">
        <v>0</v>
      </c>
      <c r="H193" s="24">
        <v>0</v>
      </c>
      <c r="I193" s="24">
        <v>0</v>
      </c>
      <c r="J193" s="24">
        <v>0</v>
      </c>
      <c r="K193" s="24">
        <v>0</v>
      </c>
      <c r="L193" s="24">
        <v>0</v>
      </c>
      <c r="M193" s="24">
        <v>6</v>
      </c>
      <c r="P193" s="23">
        <v>10</v>
      </c>
      <c r="Q193" s="104">
        <v>16</v>
      </c>
      <c r="R193" s="104">
        <v>57</v>
      </c>
      <c r="S193" s="104">
        <v>0</v>
      </c>
      <c r="T193" s="104">
        <v>0</v>
      </c>
      <c r="U193" s="104">
        <v>23</v>
      </c>
      <c r="V193" s="105">
        <v>0</v>
      </c>
      <c r="W193" s="105">
        <v>0</v>
      </c>
      <c r="X193" s="105">
        <v>0</v>
      </c>
      <c r="Y193" s="105">
        <v>0</v>
      </c>
      <c r="Z193" s="105">
        <v>0</v>
      </c>
      <c r="AA193" s="105">
        <v>0</v>
      </c>
      <c r="AB193" s="105">
        <v>30</v>
      </c>
      <c r="AC193" s="7"/>
    </row>
    <row r="194" spans="1:29">
      <c r="A194" s="23">
        <v>11</v>
      </c>
      <c r="B194" s="24">
        <v>0</v>
      </c>
      <c r="C194" s="24">
        <v>0</v>
      </c>
      <c r="D194" s="24">
        <v>0</v>
      </c>
      <c r="E194" s="24">
        <v>10</v>
      </c>
      <c r="F194" s="24">
        <v>0</v>
      </c>
      <c r="G194" s="24">
        <v>0</v>
      </c>
      <c r="H194" s="24">
        <v>0</v>
      </c>
      <c r="I194" s="24">
        <v>0</v>
      </c>
      <c r="J194" s="24">
        <v>10</v>
      </c>
      <c r="K194" s="24">
        <v>0</v>
      </c>
      <c r="L194" s="24">
        <v>40</v>
      </c>
      <c r="M194" s="24">
        <v>0</v>
      </c>
      <c r="P194" s="23">
        <v>11</v>
      </c>
      <c r="Q194" s="104">
        <v>0</v>
      </c>
      <c r="R194" s="104">
        <v>1</v>
      </c>
      <c r="S194" s="104">
        <v>2</v>
      </c>
      <c r="T194" s="104">
        <v>0</v>
      </c>
      <c r="U194" s="104">
        <v>4</v>
      </c>
      <c r="V194" s="105">
        <v>23</v>
      </c>
      <c r="W194" s="105">
        <v>0</v>
      </c>
      <c r="X194" s="105">
        <v>6</v>
      </c>
      <c r="Y194" s="105">
        <v>0</v>
      </c>
      <c r="Z194" s="105">
        <v>0</v>
      </c>
      <c r="AA194" s="105">
        <v>30</v>
      </c>
      <c r="AB194" s="105">
        <v>15</v>
      </c>
      <c r="AC194" s="7"/>
    </row>
    <row r="195" spans="1:29">
      <c r="A195" s="23">
        <v>12</v>
      </c>
      <c r="B195" s="24">
        <v>0</v>
      </c>
      <c r="C195" s="24">
        <v>24</v>
      </c>
      <c r="D195" s="24">
        <v>0</v>
      </c>
      <c r="E195" s="24">
        <v>0</v>
      </c>
      <c r="F195" s="24">
        <v>0</v>
      </c>
      <c r="G195" s="24">
        <v>0</v>
      </c>
      <c r="H195" s="24">
        <v>0</v>
      </c>
      <c r="I195" s="24">
        <v>0</v>
      </c>
      <c r="J195" s="24">
        <v>0</v>
      </c>
      <c r="K195" s="24">
        <v>26</v>
      </c>
      <c r="L195" s="24">
        <v>0</v>
      </c>
      <c r="M195" s="24">
        <v>16</v>
      </c>
      <c r="P195" s="23">
        <v>12</v>
      </c>
      <c r="Q195" s="104">
        <v>0</v>
      </c>
      <c r="R195" s="104">
        <v>0</v>
      </c>
      <c r="S195" s="104">
        <v>15</v>
      </c>
      <c r="T195" s="104">
        <v>0</v>
      </c>
      <c r="U195" s="104">
        <v>18</v>
      </c>
      <c r="V195" s="105">
        <v>0</v>
      </c>
      <c r="W195" s="105">
        <v>0</v>
      </c>
      <c r="X195" s="105">
        <v>0</v>
      </c>
      <c r="Y195" s="105">
        <v>0</v>
      </c>
      <c r="Z195" s="105">
        <v>0</v>
      </c>
      <c r="AA195" s="105">
        <v>2</v>
      </c>
      <c r="AB195" s="105">
        <v>8</v>
      </c>
      <c r="AC195" s="7"/>
    </row>
    <row r="196" spans="1:29">
      <c r="A196" s="23">
        <v>13</v>
      </c>
      <c r="B196" s="24">
        <v>21</v>
      </c>
      <c r="C196" s="24">
        <v>0</v>
      </c>
      <c r="D196" s="24">
        <v>0</v>
      </c>
      <c r="E196" s="24">
        <v>0</v>
      </c>
      <c r="F196" s="24">
        <v>3</v>
      </c>
      <c r="G196" s="24">
        <v>0</v>
      </c>
      <c r="H196" s="24">
        <v>0</v>
      </c>
      <c r="I196" s="24">
        <v>0</v>
      </c>
      <c r="J196" s="24">
        <v>3</v>
      </c>
      <c r="K196" s="24">
        <v>0</v>
      </c>
      <c r="L196" s="24">
        <v>0</v>
      </c>
      <c r="M196" s="24">
        <v>20</v>
      </c>
      <c r="P196" s="23">
        <v>13</v>
      </c>
      <c r="Q196" s="104">
        <v>68</v>
      </c>
      <c r="R196" s="104">
        <v>26</v>
      </c>
      <c r="S196" s="104">
        <v>0</v>
      </c>
      <c r="T196" s="104">
        <v>0</v>
      </c>
      <c r="U196" s="104">
        <v>44</v>
      </c>
      <c r="V196" s="105">
        <v>0</v>
      </c>
      <c r="W196" s="105">
        <v>0</v>
      </c>
      <c r="X196" s="105">
        <v>0</v>
      </c>
      <c r="Y196" s="105">
        <v>0</v>
      </c>
      <c r="Z196" s="105">
        <v>0</v>
      </c>
      <c r="AA196" s="105">
        <v>0</v>
      </c>
      <c r="AB196" s="105">
        <v>2</v>
      </c>
      <c r="AC196" s="7"/>
    </row>
    <row r="197" spans="1:29">
      <c r="A197" s="23">
        <v>14</v>
      </c>
      <c r="B197" s="24">
        <v>0</v>
      </c>
      <c r="C197" s="24">
        <v>0</v>
      </c>
      <c r="D197" s="24">
        <v>0</v>
      </c>
      <c r="E197" s="24">
        <v>29</v>
      </c>
      <c r="F197" s="24">
        <v>49</v>
      </c>
      <c r="G197" s="24">
        <v>0</v>
      </c>
      <c r="H197" s="24">
        <v>0</v>
      </c>
      <c r="I197" s="24">
        <v>0</v>
      </c>
      <c r="J197" s="24">
        <v>0</v>
      </c>
      <c r="K197" s="24">
        <v>4</v>
      </c>
      <c r="L197" s="24">
        <v>0</v>
      </c>
      <c r="M197" s="24">
        <v>29</v>
      </c>
      <c r="P197" s="23">
        <v>14</v>
      </c>
      <c r="Q197" s="104">
        <v>49</v>
      </c>
      <c r="R197" s="104">
        <v>36</v>
      </c>
      <c r="S197" s="104">
        <v>0</v>
      </c>
      <c r="T197" s="104">
        <v>18</v>
      </c>
      <c r="U197" s="104">
        <v>20</v>
      </c>
      <c r="V197" s="105">
        <v>0</v>
      </c>
      <c r="W197" s="105">
        <v>0</v>
      </c>
      <c r="X197" s="105">
        <v>0</v>
      </c>
      <c r="Y197" s="105">
        <v>0</v>
      </c>
      <c r="Z197" s="105">
        <v>0</v>
      </c>
      <c r="AA197" s="105">
        <v>10</v>
      </c>
      <c r="AB197" s="105">
        <v>0</v>
      </c>
      <c r="AC197" s="7"/>
    </row>
    <row r="198" spans="1:29">
      <c r="A198" s="23">
        <v>15</v>
      </c>
      <c r="B198" s="24">
        <v>0</v>
      </c>
      <c r="C198" s="24">
        <v>89</v>
      </c>
      <c r="D198" s="24">
        <v>0</v>
      </c>
      <c r="E198" s="24">
        <v>0</v>
      </c>
      <c r="F198" s="24">
        <v>59</v>
      </c>
      <c r="G198" s="24">
        <v>0</v>
      </c>
      <c r="H198" s="24">
        <v>0</v>
      </c>
      <c r="I198" s="24">
        <v>0</v>
      </c>
      <c r="J198" s="24">
        <v>24</v>
      </c>
      <c r="K198" s="24">
        <v>0</v>
      </c>
      <c r="L198" s="24">
        <v>58</v>
      </c>
      <c r="M198" s="24">
        <v>0</v>
      </c>
      <c r="P198" s="23">
        <v>15</v>
      </c>
      <c r="Q198" s="104">
        <v>9</v>
      </c>
      <c r="R198" s="104">
        <v>0</v>
      </c>
      <c r="S198" s="104">
        <v>4</v>
      </c>
      <c r="T198" s="104">
        <v>0</v>
      </c>
      <c r="U198" s="104">
        <v>37</v>
      </c>
      <c r="V198" s="105">
        <v>57</v>
      </c>
      <c r="W198" s="105">
        <v>14</v>
      </c>
      <c r="X198" s="105">
        <v>0</v>
      </c>
      <c r="Y198" s="105">
        <v>0</v>
      </c>
      <c r="Z198" s="105">
        <v>36</v>
      </c>
      <c r="AA198" s="105">
        <v>2</v>
      </c>
      <c r="AB198" s="105">
        <v>0</v>
      </c>
      <c r="AC198" s="7"/>
    </row>
    <row r="199" spans="1:29">
      <c r="A199" s="23">
        <v>16</v>
      </c>
      <c r="B199" s="24">
        <v>3</v>
      </c>
      <c r="C199" s="24">
        <v>0</v>
      </c>
      <c r="D199" s="24">
        <v>0</v>
      </c>
      <c r="E199" s="24">
        <v>4</v>
      </c>
      <c r="F199" s="24">
        <v>2</v>
      </c>
      <c r="G199" s="24">
        <v>4</v>
      </c>
      <c r="H199" s="24">
        <v>1</v>
      </c>
      <c r="I199" s="24">
        <v>0</v>
      </c>
      <c r="J199" s="24">
        <v>14</v>
      </c>
      <c r="K199" s="24">
        <v>0</v>
      </c>
      <c r="L199" s="24">
        <v>6</v>
      </c>
      <c r="M199" s="24">
        <v>49</v>
      </c>
      <c r="P199" s="23">
        <v>16</v>
      </c>
      <c r="Q199" s="104">
        <v>27</v>
      </c>
      <c r="R199" s="104">
        <v>6</v>
      </c>
      <c r="S199" s="104">
        <v>0</v>
      </c>
      <c r="T199" s="104">
        <v>0</v>
      </c>
      <c r="U199" s="104">
        <v>36</v>
      </c>
      <c r="V199" s="105">
        <v>0</v>
      </c>
      <c r="W199" s="105">
        <v>80</v>
      </c>
      <c r="X199" s="105">
        <v>0</v>
      </c>
      <c r="Y199" s="105">
        <v>0</v>
      </c>
      <c r="Z199" s="105">
        <v>0</v>
      </c>
      <c r="AA199" s="105">
        <v>5</v>
      </c>
      <c r="AB199" s="105">
        <v>0</v>
      </c>
      <c r="AC199" s="7"/>
    </row>
    <row r="200" spans="1:29">
      <c r="A200" s="23">
        <v>17</v>
      </c>
      <c r="B200" s="24">
        <v>0</v>
      </c>
      <c r="C200" s="24">
        <v>0</v>
      </c>
      <c r="D200" s="24">
        <v>0</v>
      </c>
      <c r="E200" s="24">
        <v>23</v>
      </c>
      <c r="F200" s="24">
        <v>0</v>
      </c>
      <c r="G200" s="24">
        <v>0</v>
      </c>
      <c r="H200" s="24">
        <v>3</v>
      </c>
      <c r="I200" s="24">
        <v>0</v>
      </c>
      <c r="J200" s="24">
        <v>8</v>
      </c>
      <c r="K200" s="24">
        <v>0</v>
      </c>
      <c r="L200" s="24">
        <v>0</v>
      </c>
      <c r="M200" s="24">
        <v>15</v>
      </c>
      <c r="P200" s="23">
        <v>17</v>
      </c>
      <c r="Q200" s="104">
        <v>64</v>
      </c>
      <c r="R200" s="104">
        <v>0</v>
      </c>
      <c r="S200" s="104">
        <v>0</v>
      </c>
      <c r="T200" s="104">
        <v>43</v>
      </c>
      <c r="U200" s="104">
        <v>2</v>
      </c>
      <c r="V200" s="105">
        <v>57</v>
      </c>
      <c r="W200" s="105">
        <v>0</v>
      </c>
      <c r="X200" s="105">
        <v>0</v>
      </c>
      <c r="Y200" s="105">
        <v>0</v>
      </c>
      <c r="Z200" s="105">
        <v>6</v>
      </c>
      <c r="AA200" s="105">
        <v>10</v>
      </c>
      <c r="AB200" s="105">
        <v>0</v>
      </c>
      <c r="AC200" s="7"/>
    </row>
    <row r="201" spans="1:29">
      <c r="A201" s="23">
        <v>18</v>
      </c>
      <c r="B201" s="24">
        <v>8</v>
      </c>
      <c r="C201" s="24">
        <v>0</v>
      </c>
      <c r="D201" s="24">
        <v>15</v>
      </c>
      <c r="E201" s="24">
        <v>0</v>
      </c>
      <c r="F201" s="24">
        <v>0</v>
      </c>
      <c r="G201" s="24">
        <v>0</v>
      </c>
      <c r="H201" s="24">
        <v>0</v>
      </c>
      <c r="I201" s="24">
        <v>0</v>
      </c>
      <c r="J201" s="24">
        <v>5</v>
      </c>
      <c r="K201" s="24">
        <v>0</v>
      </c>
      <c r="L201" s="24">
        <v>9</v>
      </c>
      <c r="M201" s="24">
        <v>6</v>
      </c>
      <c r="P201" s="23">
        <v>18</v>
      </c>
      <c r="Q201" s="104">
        <v>0</v>
      </c>
      <c r="R201" s="104">
        <v>0</v>
      </c>
      <c r="S201" s="104">
        <v>4</v>
      </c>
      <c r="T201" s="104">
        <v>8</v>
      </c>
      <c r="U201" s="104">
        <v>1</v>
      </c>
      <c r="V201" s="105">
        <v>7</v>
      </c>
      <c r="W201" s="105">
        <v>61</v>
      </c>
      <c r="X201" s="105">
        <v>0</v>
      </c>
      <c r="Y201" s="105">
        <v>0</v>
      </c>
      <c r="Z201" s="105">
        <v>7</v>
      </c>
      <c r="AA201" s="105">
        <v>3</v>
      </c>
      <c r="AB201" s="105">
        <v>0</v>
      </c>
      <c r="AC201" s="7"/>
    </row>
    <row r="202" spans="1:29">
      <c r="A202" s="23">
        <v>19</v>
      </c>
      <c r="B202" s="24">
        <v>2</v>
      </c>
      <c r="C202" s="24">
        <v>0</v>
      </c>
      <c r="D202" s="24">
        <v>0</v>
      </c>
      <c r="E202" s="24">
        <v>0</v>
      </c>
      <c r="F202" s="24">
        <v>0</v>
      </c>
      <c r="G202" s="24">
        <v>0</v>
      </c>
      <c r="H202" s="24">
        <v>0</v>
      </c>
      <c r="I202" s="24">
        <v>0</v>
      </c>
      <c r="J202" s="24">
        <v>0</v>
      </c>
      <c r="K202" s="24">
        <v>0</v>
      </c>
      <c r="L202" s="24">
        <v>4</v>
      </c>
      <c r="M202" s="24">
        <v>14</v>
      </c>
      <c r="P202" s="23">
        <v>19</v>
      </c>
      <c r="Q202" s="104">
        <v>0</v>
      </c>
      <c r="R202" s="104">
        <v>26</v>
      </c>
      <c r="S202" s="104">
        <v>0</v>
      </c>
      <c r="T202" s="104">
        <v>6</v>
      </c>
      <c r="U202" s="104">
        <v>10</v>
      </c>
      <c r="V202" s="105">
        <v>20</v>
      </c>
      <c r="W202" s="105">
        <v>6</v>
      </c>
      <c r="X202" s="105">
        <v>0</v>
      </c>
      <c r="Y202" s="105">
        <v>0</v>
      </c>
      <c r="Z202" s="105">
        <v>0</v>
      </c>
      <c r="AA202" s="105">
        <v>55</v>
      </c>
      <c r="AB202" s="105">
        <v>0</v>
      </c>
      <c r="AC202" s="7"/>
    </row>
    <row r="203" spans="1:29">
      <c r="A203" s="23">
        <v>20</v>
      </c>
      <c r="B203" s="24">
        <v>0</v>
      </c>
      <c r="C203" s="24">
        <v>0</v>
      </c>
      <c r="D203" s="24">
        <v>0</v>
      </c>
      <c r="E203" s="24">
        <v>38</v>
      </c>
      <c r="F203" s="24">
        <v>0</v>
      </c>
      <c r="G203" s="24">
        <v>3</v>
      </c>
      <c r="H203" s="24">
        <v>6</v>
      </c>
      <c r="I203" s="24">
        <v>43</v>
      </c>
      <c r="J203" s="24">
        <v>0</v>
      </c>
      <c r="K203" s="24">
        <v>0</v>
      </c>
      <c r="L203" s="24">
        <v>27</v>
      </c>
      <c r="M203" s="24">
        <v>10</v>
      </c>
      <c r="P203" s="23">
        <v>20</v>
      </c>
      <c r="Q203" s="104">
        <v>20</v>
      </c>
      <c r="R203" s="104">
        <v>17</v>
      </c>
      <c r="S203" s="104">
        <v>0</v>
      </c>
      <c r="T203" s="104">
        <v>0</v>
      </c>
      <c r="U203" s="104">
        <v>3</v>
      </c>
      <c r="V203" s="105">
        <v>23</v>
      </c>
      <c r="W203" s="105">
        <v>28</v>
      </c>
      <c r="X203" s="105">
        <v>0</v>
      </c>
      <c r="Y203" s="105">
        <v>17</v>
      </c>
      <c r="Z203" s="105">
        <v>0</v>
      </c>
      <c r="AA203" s="105">
        <v>0</v>
      </c>
      <c r="AB203" s="105">
        <v>13</v>
      </c>
      <c r="AC203" s="7"/>
    </row>
    <row r="204" spans="1:29">
      <c r="A204" s="23">
        <v>21</v>
      </c>
      <c r="B204" s="24">
        <v>0</v>
      </c>
      <c r="C204" s="24">
        <v>0</v>
      </c>
      <c r="D204" s="24">
        <v>0</v>
      </c>
      <c r="E204" s="24">
        <v>0</v>
      </c>
      <c r="F204" s="24">
        <v>17</v>
      </c>
      <c r="G204" s="24">
        <v>5</v>
      </c>
      <c r="H204" s="24">
        <v>23</v>
      </c>
      <c r="I204" s="24">
        <v>0</v>
      </c>
      <c r="J204" s="24">
        <v>0</v>
      </c>
      <c r="K204" s="24">
        <v>0</v>
      </c>
      <c r="L204" s="24">
        <v>9</v>
      </c>
      <c r="M204" s="24">
        <v>0</v>
      </c>
      <c r="P204" s="23">
        <v>21</v>
      </c>
      <c r="Q204" s="104">
        <v>54</v>
      </c>
      <c r="R204" s="104">
        <v>5</v>
      </c>
      <c r="S204" s="104">
        <v>20</v>
      </c>
      <c r="T204" s="104">
        <v>40</v>
      </c>
      <c r="U204" s="104">
        <v>0</v>
      </c>
      <c r="V204" s="105">
        <v>0</v>
      </c>
      <c r="W204" s="105">
        <v>18</v>
      </c>
      <c r="X204" s="105">
        <v>0</v>
      </c>
      <c r="Y204" s="105">
        <v>13</v>
      </c>
      <c r="Z204" s="105">
        <v>0</v>
      </c>
      <c r="AA204" s="105">
        <v>23</v>
      </c>
      <c r="AB204" s="105">
        <v>0</v>
      </c>
      <c r="AC204" s="7"/>
    </row>
    <row r="205" spans="1:29">
      <c r="A205" s="23">
        <v>22</v>
      </c>
      <c r="B205" s="24">
        <v>0</v>
      </c>
      <c r="C205" s="24">
        <v>10</v>
      </c>
      <c r="D205" s="24">
        <v>43</v>
      </c>
      <c r="E205" s="24">
        <v>6</v>
      </c>
      <c r="F205" s="24">
        <v>0</v>
      </c>
      <c r="G205" s="24">
        <v>0</v>
      </c>
      <c r="H205" s="24">
        <v>0</v>
      </c>
      <c r="I205" s="24">
        <v>0</v>
      </c>
      <c r="J205" s="24">
        <v>0</v>
      </c>
      <c r="K205" s="24">
        <v>0</v>
      </c>
      <c r="L205" s="24">
        <v>40</v>
      </c>
      <c r="M205" s="24">
        <v>0</v>
      </c>
      <c r="P205" s="23">
        <v>22</v>
      </c>
      <c r="Q205" s="104">
        <v>0</v>
      </c>
      <c r="R205" s="104">
        <v>5</v>
      </c>
      <c r="S205" s="104">
        <v>0</v>
      </c>
      <c r="T205" s="104">
        <v>30</v>
      </c>
      <c r="U205" s="104">
        <v>23</v>
      </c>
      <c r="V205" s="105">
        <v>0</v>
      </c>
      <c r="W205" s="105">
        <v>24</v>
      </c>
      <c r="X205" s="105">
        <v>0</v>
      </c>
      <c r="Y205" s="105">
        <v>3</v>
      </c>
      <c r="Z205" s="105">
        <v>7</v>
      </c>
      <c r="AA205" s="105">
        <v>25</v>
      </c>
      <c r="AB205" s="105">
        <v>0</v>
      </c>
      <c r="AC205" s="7"/>
    </row>
    <row r="206" spans="1:29">
      <c r="A206" s="23">
        <v>23</v>
      </c>
      <c r="B206" s="24">
        <v>0</v>
      </c>
      <c r="C206" s="24">
        <v>0</v>
      </c>
      <c r="D206" s="24">
        <v>0</v>
      </c>
      <c r="E206" s="24">
        <v>0</v>
      </c>
      <c r="F206" s="24">
        <v>37</v>
      </c>
      <c r="G206" s="24">
        <v>0</v>
      </c>
      <c r="H206" s="24">
        <v>0</v>
      </c>
      <c r="I206" s="24">
        <v>12</v>
      </c>
      <c r="J206" s="24">
        <v>7</v>
      </c>
      <c r="K206" s="24">
        <v>14</v>
      </c>
      <c r="L206" s="24">
        <v>0</v>
      </c>
      <c r="M206" s="24">
        <v>0</v>
      </c>
      <c r="P206" s="23">
        <v>23</v>
      </c>
      <c r="Q206" s="104">
        <v>17</v>
      </c>
      <c r="R206" s="104">
        <v>0</v>
      </c>
      <c r="S206" s="104">
        <v>0</v>
      </c>
      <c r="T206" s="104">
        <v>0</v>
      </c>
      <c r="U206" s="104">
        <v>9</v>
      </c>
      <c r="V206" s="105">
        <v>13</v>
      </c>
      <c r="W206" s="105">
        <v>3</v>
      </c>
      <c r="X206" s="105">
        <v>0</v>
      </c>
      <c r="Y206" s="105">
        <v>7</v>
      </c>
      <c r="Z206" s="105">
        <v>51</v>
      </c>
      <c r="AA206" s="105">
        <v>0</v>
      </c>
      <c r="AB206" s="105">
        <v>10</v>
      </c>
      <c r="AC206" s="7"/>
    </row>
    <row r="207" spans="1:29">
      <c r="A207" s="23">
        <v>24</v>
      </c>
      <c r="B207" s="24">
        <v>0</v>
      </c>
      <c r="C207" s="24">
        <v>0</v>
      </c>
      <c r="D207" s="24">
        <v>0</v>
      </c>
      <c r="E207" s="24">
        <v>43</v>
      </c>
      <c r="F207" s="24">
        <v>10</v>
      </c>
      <c r="G207" s="24">
        <v>21</v>
      </c>
      <c r="H207" s="24">
        <v>0</v>
      </c>
      <c r="I207" s="24">
        <v>7</v>
      </c>
      <c r="J207" s="24">
        <v>0</v>
      </c>
      <c r="K207" s="24">
        <v>30</v>
      </c>
      <c r="L207" s="24">
        <v>1</v>
      </c>
      <c r="M207" s="24">
        <v>0</v>
      </c>
      <c r="P207" s="23">
        <v>24</v>
      </c>
      <c r="Q207" s="104">
        <v>49</v>
      </c>
      <c r="R207" s="104">
        <v>14</v>
      </c>
      <c r="S207" s="104">
        <v>0</v>
      </c>
      <c r="T207" s="104">
        <v>58</v>
      </c>
      <c r="U207" s="104">
        <v>0</v>
      </c>
      <c r="V207" s="105">
        <v>0</v>
      </c>
      <c r="W207" s="105">
        <v>20</v>
      </c>
      <c r="X207" s="105">
        <v>0</v>
      </c>
      <c r="Y207" s="105">
        <v>0</v>
      </c>
      <c r="Z207" s="105">
        <v>0</v>
      </c>
      <c r="AA207" s="105">
        <v>0</v>
      </c>
      <c r="AB207" s="105">
        <v>0</v>
      </c>
      <c r="AC207" s="7"/>
    </row>
    <row r="208" spans="1:29">
      <c r="A208" s="23">
        <v>25</v>
      </c>
      <c r="B208" s="24">
        <v>0</v>
      </c>
      <c r="C208" s="24">
        <v>0</v>
      </c>
      <c r="D208" s="24">
        <v>0</v>
      </c>
      <c r="E208" s="24">
        <v>0</v>
      </c>
      <c r="F208" s="24">
        <v>0</v>
      </c>
      <c r="G208" s="24">
        <v>22</v>
      </c>
      <c r="H208" s="24">
        <v>0</v>
      </c>
      <c r="I208" s="24">
        <v>0</v>
      </c>
      <c r="J208" s="24">
        <v>0</v>
      </c>
      <c r="K208" s="24">
        <v>15</v>
      </c>
      <c r="L208" s="24">
        <v>43</v>
      </c>
      <c r="M208" s="24">
        <v>18</v>
      </c>
      <c r="P208" s="23">
        <v>25</v>
      </c>
      <c r="Q208" s="104">
        <v>0</v>
      </c>
      <c r="R208" s="104">
        <v>31</v>
      </c>
      <c r="S208" s="104">
        <v>0</v>
      </c>
      <c r="T208" s="104">
        <v>0</v>
      </c>
      <c r="U208" s="104">
        <v>2</v>
      </c>
      <c r="V208" s="105">
        <v>0</v>
      </c>
      <c r="W208" s="105">
        <v>42</v>
      </c>
      <c r="X208" s="105">
        <v>0</v>
      </c>
      <c r="Y208" s="105">
        <v>0</v>
      </c>
      <c r="Z208" s="105">
        <v>0</v>
      </c>
      <c r="AA208" s="105">
        <v>0</v>
      </c>
      <c r="AB208" s="105">
        <v>5</v>
      </c>
      <c r="AC208" s="7"/>
    </row>
    <row r="209" spans="1:29">
      <c r="A209" s="23">
        <v>26</v>
      </c>
      <c r="B209" s="24">
        <v>0</v>
      </c>
      <c r="C209" s="24">
        <v>23</v>
      </c>
      <c r="D209" s="24">
        <v>5</v>
      </c>
      <c r="E209" s="24">
        <v>0</v>
      </c>
      <c r="F209" s="24">
        <v>24</v>
      </c>
      <c r="G209" s="24">
        <v>37</v>
      </c>
      <c r="H209" s="24">
        <v>0</v>
      </c>
      <c r="I209" s="24">
        <v>0</v>
      </c>
      <c r="J209" s="24">
        <v>0</v>
      </c>
      <c r="K209" s="24">
        <v>10</v>
      </c>
      <c r="L209" s="24">
        <v>0</v>
      </c>
      <c r="M209" s="24">
        <v>0</v>
      </c>
      <c r="P209" s="23">
        <v>26</v>
      </c>
      <c r="Q209" s="104">
        <v>0</v>
      </c>
      <c r="R209" s="104">
        <v>0</v>
      </c>
      <c r="S209" s="104">
        <v>0</v>
      </c>
      <c r="T209" s="104">
        <v>26</v>
      </c>
      <c r="U209" s="104">
        <v>14</v>
      </c>
      <c r="V209" s="105">
        <v>30</v>
      </c>
      <c r="W209" s="105">
        <v>9</v>
      </c>
      <c r="X209" s="105">
        <v>3</v>
      </c>
      <c r="Y209" s="105">
        <v>0</v>
      </c>
      <c r="Z209" s="105">
        <v>0</v>
      </c>
      <c r="AA209" s="105">
        <v>0</v>
      </c>
      <c r="AB209" s="105">
        <v>30</v>
      </c>
      <c r="AC209" s="7"/>
    </row>
    <row r="210" spans="1:29">
      <c r="A210" s="23">
        <v>27</v>
      </c>
      <c r="B210" s="24">
        <v>0</v>
      </c>
      <c r="C210" s="24">
        <v>109</v>
      </c>
      <c r="D210" s="24">
        <v>4</v>
      </c>
      <c r="E210" s="24">
        <v>0</v>
      </c>
      <c r="F210" s="24">
        <v>2</v>
      </c>
      <c r="G210" s="24">
        <v>0</v>
      </c>
      <c r="H210" s="24">
        <v>3</v>
      </c>
      <c r="I210" s="24">
        <v>0</v>
      </c>
      <c r="J210" s="24">
        <v>0</v>
      </c>
      <c r="K210" s="24">
        <v>0</v>
      </c>
      <c r="L210" s="24">
        <v>5</v>
      </c>
      <c r="M210" s="24">
        <v>12</v>
      </c>
      <c r="P210" s="23">
        <v>27</v>
      </c>
      <c r="Q210" s="104">
        <v>0</v>
      </c>
      <c r="R210" s="104">
        <v>1</v>
      </c>
      <c r="S210" s="104">
        <v>19</v>
      </c>
      <c r="T210" s="104">
        <v>5</v>
      </c>
      <c r="U210" s="104">
        <v>35</v>
      </c>
      <c r="V210" s="105">
        <v>0</v>
      </c>
      <c r="W210" s="105">
        <v>0</v>
      </c>
      <c r="X210" s="105">
        <v>2</v>
      </c>
      <c r="Y210" s="105">
        <v>4</v>
      </c>
      <c r="Z210" s="105">
        <v>5</v>
      </c>
      <c r="AA210" s="105">
        <v>15</v>
      </c>
      <c r="AB210" s="105">
        <v>13</v>
      </c>
      <c r="AC210" s="7"/>
    </row>
    <row r="211" spans="1:29">
      <c r="A211" s="23">
        <v>28</v>
      </c>
      <c r="B211" s="24">
        <v>0</v>
      </c>
      <c r="C211" s="24">
        <v>0</v>
      </c>
      <c r="D211" s="24">
        <v>0</v>
      </c>
      <c r="E211" s="24">
        <v>2</v>
      </c>
      <c r="F211" s="24">
        <v>0</v>
      </c>
      <c r="G211" s="24">
        <v>0</v>
      </c>
      <c r="H211" s="24">
        <v>0</v>
      </c>
      <c r="I211" s="24">
        <v>44</v>
      </c>
      <c r="J211" s="24">
        <v>0</v>
      </c>
      <c r="K211" s="24">
        <v>0</v>
      </c>
      <c r="L211" s="24">
        <v>1</v>
      </c>
      <c r="M211" s="24">
        <v>40</v>
      </c>
      <c r="P211" s="23">
        <v>28</v>
      </c>
      <c r="Q211" s="104">
        <v>0</v>
      </c>
      <c r="R211" s="104">
        <v>2</v>
      </c>
      <c r="S211" s="104">
        <v>0</v>
      </c>
      <c r="T211" s="104">
        <v>0</v>
      </c>
      <c r="U211" s="104">
        <v>0</v>
      </c>
      <c r="V211" s="105">
        <v>0</v>
      </c>
      <c r="W211" s="105">
        <v>0</v>
      </c>
      <c r="X211" s="105">
        <v>0</v>
      </c>
      <c r="Y211" s="105">
        <v>0</v>
      </c>
      <c r="Z211" s="105">
        <v>23</v>
      </c>
      <c r="AA211" s="105">
        <v>79</v>
      </c>
      <c r="AB211" s="105">
        <v>19</v>
      </c>
      <c r="AC211" s="7"/>
    </row>
    <row r="212" spans="1:29">
      <c r="A212" s="23">
        <v>29</v>
      </c>
      <c r="B212" s="24">
        <v>0</v>
      </c>
      <c r="C212" s="24"/>
      <c r="D212" s="24">
        <v>0</v>
      </c>
      <c r="E212" s="24">
        <v>0</v>
      </c>
      <c r="F212" s="24">
        <v>40</v>
      </c>
      <c r="G212" s="24">
        <v>0</v>
      </c>
      <c r="H212" s="24">
        <v>20</v>
      </c>
      <c r="I212" s="24">
        <v>53</v>
      </c>
      <c r="J212" s="24">
        <v>0</v>
      </c>
      <c r="K212" s="24">
        <v>0</v>
      </c>
      <c r="L212" s="24">
        <v>5</v>
      </c>
      <c r="M212" s="24">
        <v>6</v>
      </c>
      <c r="P212" s="23">
        <v>29</v>
      </c>
      <c r="Q212" s="104">
        <v>0</v>
      </c>
      <c r="R212" s="104">
        <v>23</v>
      </c>
      <c r="S212" s="104">
        <v>26</v>
      </c>
      <c r="T212" s="104">
        <v>0</v>
      </c>
      <c r="U212" s="104">
        <v>4</v>
      </c>
      <c r="V212" s="105">
        <v>0</v>
      </c>
      <c r="W212" s="105">
        <v>0</v>
      </c>
      <c r="X212" s="105">
        <v>0</v>
      </c>
      <c r="Y212" s="105">
        <v>0</v>
      </c>
      <c r="Z212" s="105">
        <v>0</v>
      </c>
      <c r="AA212" s="105">
        <v>29</v>
      </c>
      <c r="AB212" s="105">
        <v>0</v>
      </c>
      <c r="AC212" s="7" t="s">
        <v>71</v>
      </c>
    </row>
    <row r="213" spans="1:29">
      <c r="A213" s="23">
        <v>30</v>
      </c>
      <c r="B213" s="24">
        <v>0</v>
      </c>
      <c r="C213" s="24"/>
      <c r="D213" s="24">
        <v>0</v>
      </c>
      <c r="E213" s="24">
        <v>0</v>
      </c>
      <c r="F213" s="24">
        <v>0</v>
      </c>
      <c r="G213" s="24">
        <v>0</v>
      </c>
      <c r="H213" s="24">
        <v>0</v>
      </c>
      <c r="I213" s="24">
        <v>0</v>
      </c>
      <c r="J213" s="24">
        <v>0</v>
      </c>
      <c r="K213" s="24">
        <v>0</v>
      </c>
      <c r="L213" s="24">
        <v>0</v>
      </c>
      <c r="M213" s="24">
        <v>96</v>
      </c>
      <c r="P213" s="23">
        <v>30</v>
      </c>
      <c r="Q213" s="104">
        <v>0</v>
      </c>
      <c r="R213" s="104">
        <v>0</v>
      </c>
      <c r="S213" s="104">
        <v>33</v>
      </c>
      <c r="T213" s="104">
        <v>21</v>
      </c>
      <c r="U213" s="104">
        <v>0</v>
      </c>
      <c r="V213" s="105">
        <v>0</v>
      </c>
      <c r="W213" s="105">
        <v>8</v>
      </c>
      <c r="X213" s="105">
        <v>0</v>
      </c>
      <c r="Y213" s="105">
        <v>0</v>
      </c>
      <c r="Z213" s="105">
        <v>10</v>
      </c>
      <c r="AA213" s="105">
        <v>40</v>
      </c>
      <c r="AB213" s="105">
        <v>0</v>
      </c>
      <c r="AC213" s="7"/>
    </row>
    <row r="214" spans="1:29">
      <c r="A214" s="23">
        <v>31</v>
      </c>
      <c r="B214" s="24">
        <v>0</v>
      </c>
      <c r="C214" s="24"/>
      <c r="D214" s="24">
        <v>0</v>
      </c>
      <c r="E214" s="24"/>
      <c r="F214" s="24">
        <v>2</v>
      </c>
      <c r="G214" s="24"/>
      <c r="H214" s="24">
        <v>24</v>
      </c>
      <c r="I214" s="24">
        <v>0</v>
      </c>
      <c r="J214" s="24"/>
      <c r="K214" s="24">
        <v>0</v>
      </c>
      <c r="L214" s="24"/>
      <c r="M214" s="24">
        <v>8</v>
      </c>
      <c r="P214" s="23">
        <v>31</v>
      </c>
      <c r="Q214" s="104">
        <v>0</v>
      </c>
      <c r="R214" s="104">
        <v>0</v>
      </c>
      <c r="S214" s="104">
        <v>0</v>
      </c>
      <c r="T214" s="104">
        <v>0</v>
      </c>
      <c r="U214" s="104">
        <v>13</v>
      </c>
      <c r="V214" s="105">
        <v>0</v>
      </c>
      <c r="W214" s="105">
        <v>0</v>
      </c>
      <c r="X214" s="105">
        <v>0</v>
      </c>
      <c r="Y214" s="105">
        <v>0</v>
      </c>
      <c r="Z214" s="105">
        <v>0</v>
      </c>
      <c r="AA214" s="105">
        <v>0</v>
      </c>
      <c r="AB214" s="105">
        <v>0</v>
      </c>
      <c r="AC214" s="7"/>
    </row>
    <row r="215" spans="1:29">
      <c r="A215" s="88"/>
      <c r="B215" s="89"/>
      <c r="C215" s="89"/>
      <c r="D215" s="89"/>
      <c r="E215" s="90"/>
      <c r="F215" s="89"/>
      <c r="G215" s="89"/>
      <c r="H215" s="89"/>
      <c r="I215" s="89"/>
      <c r="J215" s="89"/>
      <c r="K215" s="89"/>
      <c r="L215" s="89"/>
      <c r="M215" s="91"/>
      <c r="P215" s="88"/>
      <c r="Q215" s="89"/>
      <c r="R215" s="89"/>
      <c r="S215" s="89"/>
      <c r="T215" s="90"/>
      <c r="U215" s="89"/>
      <c r="V215" s="89"/>
      <c r="W215" s="89"/>
      <c r="X215" s="89"/>
      <c r="Y215" s="89"/>
      <c r="Z215" s="89"/>
      <c r="AA215" s="89"/>
      <c r="AB215" s="91"/>
      <c r="AC215" s="7"/>
    </row>
    <row r="216" spans="1:29">
      <c r="A216" s="25" t="s">
        <v>65</v>
      </c>
      <c r="B216" s="92">
        <f t="shared" ref="B216:M216" si="16">SUM(B184:B214)</f>
        <v>88</v>
      </c>
      <c r="C216" s="92">
        <f t="shared" si="16"/>
        <v>265</v>
      </c>
      <c r="D216" s="92">
        <f t="shared" si="16"/>
        <v>86</v>
      </c>
      <c r="E216" s="92">
        <f t="shared" si="16"/>
        <v>168</v>
      </c>
      <c r="F216" s="92">
        <f t="shared" si="16"/>
        <v>379</v>
      </c>
      <c r="G216" s="92">
        <f t="shared" si="16"/>
        <v>141</v>
      </c>
      <c r="H216" s="92">
        <f t="shared" si="16"/>
        <v>80</v>
      </c>
      <c r="I216" s="92">
        <f t="shared" si="16"/>
        <v>159</v>
      </c>
      <c r="J216" s="92">
        <f t="shared" si="16"/>
        <v>106</v>
      </c>
      <c r="K216" s="92">
        <f t="shared" si="16"/>
        <v>99</v>
      </c>
      <c r="L216" s="92">
        <f t="shared" si="16"/>
        <v>256</v>
      </c>
      <c r="M216" s="93">
        <f t="shared" si="16"/>
        <v>381</v>
      </c>
      <c r="P216" s="25" t="s">
        <v>65</v>
      </c>
      <c r="Q216" s="92">
        <f>SUM(Q184:Q214)</f>
        <v>622</v>
      </c>
      <c r="R216" s="92">
        <f t="shared" ref="R216:AB216" si="17">SUM(R184:R214)</f>
        <v>320</v>
      </c>
      <c r="S216" s="92">
        <f t="shared" si="17"/>
        <v>236</v>
      </c>
      <c r="T216" s="92">
        <f t="shared" si="17"/>
        <v>294</v>
      </c>
      <c r="U216" s="92">
        <f t="shared" si="17"/>
        <v>436</v>
      </c>
      <c r="V216" s="92">
        <f t="shared" si="17"/>
        <v>245</v>
      </c>
      <c r="W216" s="92">
        <f t="shared" si="17"/>
        <v>313</v>
      </c>
      <c r="X216" s="92">
        <f t="shared" si="17"/>
        <v>13</v>
      </c>
      <c r="Y216" s="92">
        <f t="shared" si="17"/>
        <v>166</v>
      </c>
      <c r="Z216" s="92">
        <f t="shared" si="17"/>
        <v>229</v>
      </c>
      <c r="AA216" s="92">
        <f t="shared" si="17"/>
        <v>461</v>
      </c>
      <c r="AB216" s="93">
        <f t="shared" si="17"/>
        <v>276</v>
      </c>
      <c r="AC216" s="9">
        <f>SUM(Q216:AB216)</f>
        <v>3611</v>
      </c>
    </row>
    <row r="217" spans="1:29">
      <c r="A217" s="88" t="s">
        <v>66</v>
      </c>
      <c r="B217" s="94">
        <f t="shared" ref="B217:M217" si="18">MAX(B184:B214)</f>
        <v>21</v>
      </c>
      <c r="C217" s="94">
        <f t="shared" si="18"/>
        <v>109</v>
      </c>
      <c r="D217" s="94">
        <f t="shared" si="18"/>
        <v>43</v>
      </c>
      <c r="E217" s="94">
        <f t="shared" si="18"/>
        <v>43</v>
      </c>
      <c r="F217" s="94">
        <f t="shared" si="18"/>
        <v>134</v>
      </c>
      <c r="G217" s="94">
        <f t="shared" si="18"/>
        <v>37</v>
      </c>
      <c r="H217" s="94">
        <f t="shared" si="18"/>
        <v>24</v>
      </c>
      <c r="I217" s="94">
        <f t="shared" si="18"/>
        <v>53</v>
      </c>
      <c r="J217" s="94">
        <f t="shared" si="18"/>
        <v>24</v>
      </c>
      <c r="K217" s="94">
        <f t="shared" si="18"/>
        <v>30</v>
      </c>
      <c r="L217" s="94">
        <f t="shared" si="18"/>
        <v>58</v>
      </c>
      <c r="M217" s="30">
        <f t="shared" si="18"/>
        <v>96</v>
      </c>
      <c r="P217" s="88" t="s">
        <v>66</v>
      </c>
      <c r="Q217" s="94">
        <f t="shared" ref="Q217:AB217" si="19">MAX(Q184:Q214)</f>
        <v>85</v>
      </c>
      <c r="R217" s="94">
        <f t="shared" si="19"/>
        <v>57</v>
      </c>
      <c r="S217" s="94">
        <f t="shared" si="19"/>
        <v>33</v>
      </c>
      <c r="T217" s="94">
        <f t="shared" si="19"/>
        <v>58</v>
      </c>
      <c r="U217" s="94">
        <f t="shared" si="19"/>
        <v>68</v>
      </c>
      <c r="V217" s="94">
        <f t="shared" si="19"/>
        <v>57</v>
      </c>
      <c r="W217" s="94">
        <f t="shared" si="19"/>
        <v>80</v>
      </c>
      <c r="X217" s="94">
        <f t="shared" si="19"/>
        <v>6</v>
      </c>
      <c r="Y217" s="94">
        <f t="shared" si="19"/>
        <v>50</v>
      </c>
      <c r="Z217" s="94">
        <f t="shared" si="19"/>
        <v>58</v>
      </c>
      <c r="AA217" s="94">
        <f t="shared" si="19"/>
        <v>79</v>
      </c>
      <c r="AB217" s="30">
        <f t="shared" si="19"/>
        <v>40</v>
      </c>
      <c r="AC217" s="9">
        <f>MAX(Q217:AB217)</f>
        <v>85</v>
      </c>
    </row>
    <row r="218" spans="1:29">
      <c r="A218" s="31"/>
      <c r="B218" s="7"/>
      <c r="C218" s="7"/>
      <c r="D218" s="7"/>
      <c r="E218" s="7"/>
      <c r="F218" s="7"/>
      <c r="G218" s="7"/>
      <c r="H218" s="32"/>
      <c r="I218" s="7"/>
      <c r="J218" s="7"/>
      <c r="K218" s="7"/>
      <c r="L218" s="7"/>
      <c r="M218" s="95"/>
      <c r="P218" s="7"/>
      <c r="Q218" s="7"/>
      <c r="R218" s="7"/>
      <c r="S218" s="7"/>
      <c r="T218" s="7"/>
      <c r="U218" s="7"/>
      <c r="V218" s="7"/>
      <c r="W218" s="32"/>
      <c r="X218" s="7"/>
      <c r="Y218" s="7"/>
      <c r="Z218" s="7"/>
      <c r="AA218" s="7"/>
      <c r="AB218" s="7"/>
      <c r="AC218" s="7"/>
    </row>
    <row r="219" spans="1:29">
      <c r="A219" s="33" t="s">
        <v>67</v>
      </c>
      <c r="B219" s="34">
        <v>0</v>
      </c>
      <c r="C219" s="35" t="s">
        <v>68</v>
      </c>
      <c r="D219" s="19"/>
      <c r="E219" s="7"/>
      <c r="F219" s="7"/>
      <c r="G219" s="7"/>
      <c r="H219" s="32"/>
      <c r="I219" s="7"/>
      <c r="J219" s="7"/>
      <c r="K219" s="7"/>
      <c r="L219" s="7"/>
      <c r="M219" s="7"/>
      <c r="P219" s="96" t="s">
        <v>67</v>
      </c>
      <c r="Q219" s="34">
        <v>0</v>
      </c>
      <c r="R219" s="35" t="s">
        <v>68</v>
      </c>
      <c r="S219" s="19"/>
      <c r="T219" s="7"/>
      <c r="U219" s="7"/>
      <c r="V219" s="7"/>
      <c r="W219" s="32"/>
      <c r="X219" s="7"/>
      <c r="Y219" s="7"/>
      <c r="Z219" s="7"/>
      <c r="AA219" s="7"/>
      <c r="AB219" s="7"/>
      <c r="AC219" s="7"/>
    </row>
    <row r="221" spans="1:29" ht="18">
      <c r="A221" s="1" t="s">
        <v>41</v>
      </c>
      <c r="B221" s="2"/>
      <c r="C221" s="2"/>
      <c r="D221" s="2"/>
      <c r="E221" s="3">
        <v>2007</v>
      </c>
      <c r="F221" s="4"/>
      <c r="G221" s="4"/>
      <c r="H221" s="5"/>
      <c r="I221" s="4"/>
      <c r="J221" s="4"/>
      <c r="K221" s="4"/>
      <c r="L221" s="4"/>
      <c r="M221" s="6"/>
      <c r="N221" s="7"/>
      <c r="P221" s="1" t="s">
        <v>41</v>
      </c>
      <c r="Q221" s="2"/>
      <c r="R221" s="2"/>
      <c r="S221" s="2"/>
      <c r="T221" s="3">
        <v>2017</v>
      </c>
      <c r="U221" s="4"/>
      <c r="V221" s="4"/>
      <c r="W221" s="5"/>
      <c r="X221" s="4"/>
      <c r="Y221" s="4"/>
      <c r="Z221" s="4"/>
      <c r="AA221" s="4"/>
      <c r="AB221" s="6"/>
      <c r="AC221" s="7"/>
    </row>
    <row r="222" spans="1:29">
      <c r="A222" s="8"/>
      <c r="B222" s="9"/>
      <c r="C222" s="9"/>
      <c r="D222" s="9"/>
      <c r="E222" s="10"/>
      <c r="F222" s="10"/>
      <c r="G222" s="10"/>
      <c r="H222" s="11"/>
      <c r="I222" s="9"/>
      <c r="J222" s="9"/>
      <c r="K222" s="9"/>
      <c r="L222" s="9"/>
      <c r="M222" s="12"/>
      <c r="N222" s="7"/>
      <c r="P222" s="8"/>
      <c r="Q222" s="9"/>
      <c r="R222" s="9"/>
      <c r="S222" s="9"/>
      <c r="T222" s="10"/>
      <c r="U222" s="10"/>
      <c r="V222" s="10"/>
      <c r="W222" s="11"/>
      <c r="X222" s="9"/>
      <c r="Y222" s="9"/>
      <c r="Z222" s="9"/>
      <c r="AA222" s="9"/>
      <c r="AB222" s="12"/>
      <c r="AC222" s="7"/>
    </row>
    <row r="223" spans="1:29" ht="15.75">
      <c r="A223" s="13" t="s">
        <v>42</v>
      </c>
      <c r="B223" s="14"/>
      <c r="C223" s="14" t="s">
        <v>43</v>
      </c>
      <c r="D223" s="14"/>
      <c r="E223" s="14"/>
      <c r="F223" s="14"/>
      <c r="G223" s="14"/>
      <c r="H223" s="15"/>
      <c r="I223" s="14"/>
      <c r="J223" s="14" t="s">
        <v>44</v>
      </c>
      <c r="K223" s="14" t="s">
        <v>45</v>
      </c>
      <c r="L223" s="14"/>
      <c r="M223" s="12"/>
      <c r="N223" s="7"/>
      <c r="P223" s="13" t="s">
        <v>42</v>
      </c>
      <c r="Q223" s="14"/>
      <c r="R223" s="14" t="s">
        <v>43</v>
      </c>
      <c r="S223" s="14"/>
      <c r="T223" s="14"/>
      <c r="U223" s="14"/>
      <c r="V223" s="14"/>
      <c r="W223" s="15"/>
      <c r="X223" s="14"/>
      <c r="Y223" s="14" t="s">
        <v>44</v>
      </c>
      <c r="Z223" s="14" t="s">
        <v>45</v>
      </c>
      <c r="AA223" s="14"/>
      <c r="AB223" s="12"/>
      <c r="AC223" s="7"/>
    </row>
    <row r="224" spans="1:29" ht="15.75">
      <c r="A224" s="13" t="s">
        <v>46</v>
      </c>
      <c r="B224" s="14"/>
      <c r="C224" s="14" t="s">
        <v>47</v>
      </c>
      <c r="D224" s="14"/>
      <c r="E224" s="14"/>
      <c r="F224" s="14"/>
      <c r="G224" s="14"/>
      <c r="H224" s="15"/>
      <c r="I224" s="14"/>
      <c r="J224" s="14" t="s">
        <v>48</v>
      </c>
      <c r="K224" s="14" t="s">
        <v>45</v>
      </c>
      <c r="L224" s="14"/>
      <c r="M224" s="12"/>
      <c r="N224" s="7"/>
      <c r="P224" s="13" t="s">
        <v>46</v>
      </c>
      <c r="Q224" s="14"/>
      <c r="R224" s="14" t="s">
        <v>47</v>
      </c>
      <c r="S224" s="14"/>
      <c r="T224" s="14"/>
      <c r="U224" s="14"/>
      <c r="V224" s="14"/>
      <c r="W224" s="15"/>
      <c r="X224" s="14"/>
      <c r="Y224" s="14" t="s">
        <v>48</v>
      </c>
      <c r="Z224" s="14" t="s">
        <v>45</v>
      </c>
      <c r="AA224" s="14"/>
      <c r="AB224" s="12"/>
      <c r="AC224" s="7"/>
    </row>
    <row r="225" spans="1:29" ht="15.75">
      <c r="A225" s="13" t="s">
        <v>49</v>
      </c>
      <c r="B225" s="14"/>
      <c r="C225" s="97">
        <f>E221</f>
        <v>2007</v>
      </c>
      <c r="D225" s="14"/>
      <c r="E225" s="14"/>
      <c r="F225" s="14"/>
      <c r="G225" s="14"/>
      <c r="H225" s="15"/>
      <c r="I225" s="14"/>
      <c r="J225" s="14" t="s">
        <v>51</v>
      </c>
      <c r="K225" s="14" t="s">
        <v>52</v>
      </c>
      <c r="L225" s="14"/>
      <c r="M225" s="12"/>
      <c r="N225" s="7"/>
      <c r="P225" s="13" t="s">
        <v>49</v>
      </c>
      <c r="Q225" s="14"/>
      <c r="R225" s="97">
        <f>T221</f>
        <v>2017</v>
      </c>
      <c r="S225" s="14"/>
      <c r="T225" s="14"/>
      <c r="U225" s="14"/>
      <c r="V225" s="14"/>
      <c r="W225" s="15"/>
      <c r="X225" s="14"/>
      <c r="Y225" s="14" t="s">
        <v>51</v>
      </c>
      <c r="Z225" s="14" t="s">
        <v>52</v>
      </c>
      <c r="AA225" s="14"/>
      <c r="AB225" s="12"/>
      <c r="AC225" s="7"/>
    </row>
    <row r="226" spans="1:29">
      <c r="A226" s="16"/>
      <c r="B226" s="10"/>
      <c r="C226" s="10"/>
      <c r="D226" s="10"/>
      <c r="E226" s="10"/>
      <c r="F226" s="10"/>
      <c r="G226" s="10"/>
      <c r="H226" s="17"/>
      <c r="I226" s="10"/>
      <c r="J226" s="10"/>
      <c r="K226" s="10"/>
      <c r="L226" s="10"/>
      <c r="M226" s="18"/>
      <c r="N226" s="19"/>
      <c r="P226" s="16"/>
      <c r="Q226" s="10"/>
      <c r="R226" s="10"/>
      <c r="S226" s="10"/>
      <c r="T226" s="10"/>
      <c r="U226" s="10"/>
      <c r="V226" s="10"/>
      <c r="W226" s="17"/>
      <c r="X226" s="10"/>
      <c r="Y226" s="10"/>
      <c r="Z226" s="10"/>
      <c r="AA226" s="10"/>
      <c r="AB226" s="18"/>
      <c r="AC226" s="19"/>
    </row>
    <row r="227" spans="1:29">
      <c r="A227" s="20" t="s">
        <v>53</v>
      </c>
      <c r="B227" s="21" t="s">
        <v>54</v>
      </c>
      <c r="C227" s="21" t="s">
        <v>55</v>
      </c>
      <c r="D227" s="21" t="s">
        <v>56</v>
      </c>
      <c r="E227" s="21" t="s">
        <v>57</v>
      </c>
      <c r="F227" s="21" t="s">
        <v>20</v>
      </c>
      <c r="G227" s="21" t="s">
        <v>58</v>
      </c>
      <c r="H227" s="21" t="s">
        <v>59</v>
      </c>
      <c r="I227" s="21" t="s">
        <v>60</v>
      </c>
      <c r="J227" s="21" t="s">
        <v>61</v>
      </c>
      <c r="K227" s="21" t="s">
        <v>62</v>
      </c>
      <c r="L227" s="21" t="s">
        <v>63</v>
      </c>
      <c r="M227" s="22" t="s">
        <v>64</v>
      </c>
      <c r="N227" s="19"/>
      <c r="P227" s="20" t="s">
        <v>53</v>
      </c>
      <c r="Q227" s="21" t="s">
        <v>54</v>
      </c>
      <c r="R227" s="21" t="s">
        <v>55</v>
      </c>
      <c r="S227" s="21" t="s">
        <v>56</v>
      </c>
      <c r="T227" s="21" t="s">
        <v>57</v>
      </c>
      <c r="U227" s="21" t="s">
        <v>20</v>
      </c>
      <c r="V227" s="21" t="s">
        <v>58</v>
      </c>
      <c r="W227" s="21" t="s">
        <v>59</v>
      </c>
      <c r="X227" s="21" t="s">
        <v>60</v>
      </c>
      <c r="Y227" s="21" t="s">
        <v>61</v>
      </c>
      <c r="Z227" s="21" t="s">
        <v>62</v>
      </c>
      <c r="AA227" s="21" t="s">
        <v>63</v>
      </c>
      <c r="AB227" s="22" t="s">
        <v>64</v>
      </c>
      <c r="AC227" s="19"/>
    </row>
    <row r="228" spans="1:29">
      <c r="A228" s="23">
        <v>1</v>
      </c>
      <c r="B228" s="24">
        <v>114</v>
      </c>
      <c r="C228" s="24">
        <v>0</v>
      </c>
      <c r="D228" s="24">
        <v>0</v>
      </c>
      <c r="E228" s="24">
        <v>26</v>
      </c>
      <c r="F228" s="24">
        <v>4</v>
      </c>
      <c r="G228" s="24">
        <v>37.5</v>
      </c>
      <c r="H228" s="24">
        <v>0</v>
      </c>
      <c r="I228" s="24">
        <v>0</v>
      </c>
      <c r="J228" s="24">
        <v>0</v>
      </c>
      <c r="K228" s="24">
        <v>0</v>
      </c>
      <c r="L228" s="24">
        <v>49</v>
      </c>
      <c r="M228" s="24">
        <v>12</v>
      </c>
      <c r="N228" s="7"/>
      <c r="P228" s="23">
        <v>1</v>
      </c>
      <c r="Q228" s="104">
        <v>0</v>
      </c>
      <c r="R228" s="104">
        <v>2</v>
      </c>
      <c r="S228" s="104">
        <v>35</v>
      </c>
      <c r="T228" s="104">
        <v>0</v>
      </c>
      <c r="U228" s="105">
        <v>8</v>
      </c>
      <c r="V228" s="105">
        <v>10</v>
      </c>
      <c r="W228" s="105">
        <v>0</v>
      </c>
      <c r="X228" s="105">
        <v>0</v>
      </c>
      <c r="Y228" s="24">
        <v>0</v>
      </c>
      <c r="Z228" s="24">
        <v>44</v>
      </c>
      <c r="AA228" s="24">
        <v>5</v>
      </c>
      <c r="AB228" s="24">
        <v>3</v>
      </c>
      <c r="AC228" s="7"/>
    </row>
    <row r="229" spans="1:29">
      <c r="A229" s="23">
        <v>2</v>
      </c>
      <c r="B229" s="24">
        <v>25</v>
      </c>
      <c r="C229" s="24">
        <v>0</v>
      </c>
      <c r="D229" s="24">
        <v>44</v>
      </c>
      <c r="E229" s="24">
        <v>16</v>
      </c>
      <c r="F229" s="24">
        <v>44</v>
      </c>
      <c r="G229" s="24">
        <v>1</v>
      </c>
      <c r="H229" s="24">
        <v>0</v>
      </c>
      <c r="I229" s="24">
        <v>0</v>
      </c>
      <c r="J229" s="24">
        <v>27.5</v>
      </c>
      <c r="K229" s="24">
        <v>0</v>
      </c>
      <c r="L229" s="24">
        <v>60</v>
      </c>
      <c r="M229" s="24">
        <v>0</v>
      </c>
      <c r="N229" s="7"/>
      <c r="P229" s="23">
        <v>2</v>
      </c>
      <c r="Q229" s="104">
        <v>0</v>
      </c>
      <c r="R229" s="104">
        <v>26</v>
      </c>
      <c r="S229" s="104">
        <v>7</v>
      </c>
      <c r="T229" s="104">
        <v>0</v>
      </c>
      <c r="U229" s="105">
        <v>50</v>
      </c>
      <c r="V229" s="105">
        <v>12</v>
      </c>
      <c r="W229" s="105">
        <v>0</v>
      </c>
      <c r="X229" s="105">
        <v>0</v>
      </c>
      <c r="Y229" s="24">
        <v>0</v>
      </c>
      <c r="Z229" s="24">
        <v>16</v>
      </c>
      <c r="AA229" s="24">
        <v>10</v>
      </c>
      <c r="AB229" s="24">
        <v>0</v>
      </c>
      <c r="AC229" s="7"/>
    </row>
    <row r="230" spans="1:29">
      <c r="A230" s="23">
        <v>3</v>
      </c>
      <c r="B230" s="24">
        <v>7</v>
      </c>
      <c r="C230" s="24">
        <v>0</v>
      </c>
      <c r="D230" s="24">
        <v>0</v>
      </c>
      <c r="E230" s="24">
        <v>0</v>
      </c>
      <c r="F230" s="24">
        <v>5</v>
      </c>
      <c r="G230" s="24">
        <v>0</v>
      </c>
      <c r="H230" s="24">
        <v>0</v>
      </c>
      <c r="I230" s="24">
        <v>0</v>
      </c>
      <c r="J230" s="24">
        <v>61</v>
      </c>
      <c r="K230" s="24">
        <v>0</v>
      </c>
      <c r="L230" s="24">
        <v>15</v>
      </c>
      <c r="M230" s="24">
        <v>1</v>
      </c>
      <c r="N230" s="7"/>
      <c r="P230" s="23">
        <v>3</v>
      </c>
      <c r="Q230" s="104">
        <v>0</v>
      </c>
      <c r="R230" s="104">
        <v>0</v>
      </c>
      <c r="S230" s="104">
        <v>0</v>
      </c>
      <c r="T230" s="104">
        <v>9</v>
      </c>
      <c r="U230" s="105">
        <v>4</v>
      </c>
      <c r="V230" s="105">
        <v>0</v>
      </c>
      <c r="W230" s="105">
        <v>0</v>
      </c>
      <c r="X230" s="105">
        <v>0</v>
      </c>
      <c r="Y230" s="24">
        <v>0</v>
      </c>
      <c r="Z230" s="24">
        <v>22</v>
      </c>
      <c r="AA230" s="24">
        <v>0</v>
      </c>
      <c r="AB230" s="24">
        <v>0</v>
      </c>
      <c r="AC230" s="7"/>
    </row>
    <row r="231" spans="1:29">
      <c r="A231" s="23">
        <v>4</v>
      </c>
      <c r="B231" s="24">
        <v>15</v>
      </c>
      <c r="C231" s="24">
        <v>0</v>
      </c>
      <c r="D231" s="24">
        <v>0</v>
      </c>
      <c r="E231" s="24">
        <v>13</v>
      </c>
      <c r="F231" s="24">
        <v>11</v>
      </c>
      <c r="G231" s="24">
        <v>0</v>
      </c>
      <c r="H231" s="24">
        <v>0</v>
      </c>
      <c r="I231" s="24">
        <v>0</v>
      </c>
      <c r="J231" s="24">
        <v>18</v>
      </c>
      <c r="K231" s="24">
        <v>0</v>
      </c>
      <c r="L231" s="24">
        <v>1</v>
      </c>
      <c r="M231" s="24">
        <v>0</v>
      </c>
      <c r="N231" s="7"/>
      <c r="P231" s="23">
        <v>4</v>
      </c>
      <c r="Q231" s="104">
        <v>0</v>
      </c>
      <c r="R231" s="104">
        <v>0</v>
      </c>
      <c r="S231" s="104">
        <v>4</v>
      </c>
      <c r="T231" s="104">
        <v>0</v>
      </c>
      <c r="U231" s="105">
        <v>0</v>
      </c>
      <c r="V231" s="105">
        <v>0</v>
      </c>
      <c r="W231" s="105">
        <v>38</v>
      </c>
      <c r="X231" s="105">
        <v>0</v>
      </c>
      <c r="Y231" s="24">
        <v>6</v>
      </c>
      <c r="Z231" s="24">
        <v>7</v>
      </c>
      <c r="AA231" s="24">
        <v>0</v>
      </c>
      <c r="AB231" s="24">
        <v>0</v>
      </c>
      <c r="AC231" s="7"/>
    </row>
    <row r="232" spans="1:29">
      <c r="A232" s="23">
        <v>5</v>
      </c>
      <c r="B232" s="24">
        <v>60</v>
      </c>
      <c r="C232" s="24">
        <v>0</v>
      </c>
      <c r="D232" s="24">
        <v>0</v>
      </c>
      <c r="E232" s="24">
        <v>0</v>
      </c>
      <c r="F232" s="24">
        <v>7</v>
      </c>
      <c r="G232" s="24">
        <v>5</v>
      </c>
      <c r="H232" s="24">
        <v>57</v>
      </c>
      <c r="I232" s="24">
        <v>0</v>
      </c>
      <c r="J232" s="24">
        <v>14</v>
      </c>
      <c r="K232" s="24">
        <v>0</v>
      </c>
      <c r="L232" s="24">
        <v>3</v>
      </c>
      <c r="M232" s="24">
        <v>5</v>
      </c>
      <c r="N232" s="7"/>
      <c r="P232" s="23">
        <v>5</v>
      </c>
      <c r="Q232" s="104">
        <v>0</v>
      </c>
      <c r="R232" s="104">
        <v>0</v>
      </c>
      <c r="S232" s="104">
        <v>0</v>
      </c>
      <c r="T232" s="104">
        <v>0</v>
      </c>
      <c r="U232" s="105">
        <v>66</v>
      </c>
      <c r="V232" s="105">
        <v>0</v>
      </c>
      <c r="W232" s="105">
        <v>0</v>
      </c>
      <c r="X232" s="105">
        <v>0</v>
      </c>
      <c r="Y232" s="24">
        <v>0</v>
      </c>
      <c r="Z232" s="24">
        <v>0</v>
      </c>
      <c r="AA232" s="24">
        <v>76</v>
      </c>
      <c r="AB232" s="24">
        <v>0</v>
      </c>
      <c r="AC232" s="7"/>
    </row>
    <row r="233" spans="1:29">
      <c r="A233" s="23">
        <v>6</v>
      </c>
      <c r="B233" s="24">
        <v>2</v>
      </c>
      <c r="C233" s="24">
        <v>0</v>
      </c>
      <c r="D233" s="24">
        <v>0</v>
      </c>
      <c r="E233" s="24">
        <v>10</v>
      </c>
      <c r="F233" s="24">
        <v>0</v>
      </c>
      <c r="G233" s="24">
        <v>1</v>
      </c>
      <c r="H233" s="24">
        <v>0</v>
      </c>
      <c r="I233" s="24">
        <v>0</v>
      </c>
      <c r="J233" s="24">
        <v>0</v>
      </c>
      <c r="K233" s="24">
        <v>0</v>
      </c>
      <c r="L233" s="24">
        <v>45</v>
      </c>
      <c r="M233" s="24">
        <v>10</v>
      </c>
      <c r="N233" s="7"/>
      <c r="P233" s="23">
        <v>6</v>
      </c>
      <c r="Q233" s="104">
        <v>0</v>
      </c>
      <c r="R233" s="104">
        <v>0</v>
      </c>
      <c r="S233" s="104">
        <v>3</v>
      </c>
      <c r="T233" s="104">
        <v>0</v>
      </c>
      <c r="U233" s="105">
        <v>0</v>
      </c>
      <c r="V233" s="105">
        <v>0</v>
      </c>
      <c r="W233" s="105">
        <v>20</v>
      </c>
      <c r="X233" s="105">
        <v>23</v>
      </c>
      <c r="Y233" s="24">
        <v>15</v>
      </c>
      <c r="Z233" s="24">
        <v>0</v>
      </c>
      <c r="AA233" s="24">
        <v>8</v>
      </c>
      <c r="AB233" s="24">
        <v>0</v>
      </c>
      <c r="AC233" s="7"/>
    </row>
    <row r="234" spans="1:29">
      <c r="A234" s="23">
        <v>7</v>
      </c>
      <c r="B234" s="24">
        <v>0</v>
      </c>
      <c r="C234" s="24">
        <v>0</v>
      </c>
      <c r="D234" s="24">
        <v>0</v>
      </c>
      <c r="E234" s="24">
        <v>6</v>
      </c>
      <c r="F234" s="24">
        <v>18</v>
      </c>
      <c r="G234" s="24">
        <v>2</v>
      </c>
      <c r="H234" s="24">
        <v>0</v>
      </c>
      <c r="I234" s="24">
        <v>0</v>
      </c>
      <c r="J234" s="24">
        <v>37</v>
      </c>
      <c r="K234" s="24">
        <v>26</v>
      </c>
      <c r="L234" s="24">
        <v>6</v>
      </c>
      <c r="M234" s="24">
        <v>15</v>
      </c>
      <c r="N234" s="7"/>
      <c r="P234" s="23">
        <v>7</v>
      </c>
      <c r="Q234" s="104">
        <v>0</v>
      </c>
      <c r="R234" s="104">
        <v>0</v>
      </c>
      <c r="S234" s="104">
        <v>0</v>
      </c>
      <c r="T234" s="104">
        <v>0</v>
      </c>
      <c r="U234" s="105">
        <v>16</v>
      </c>
      <c r="V234" s="105">
        <v>0</v>
      </c>
      <c r="W234" s="105">
        <v>41</v>
      </c>
      <c r="X234" s="105">
        <v>31</v>
      </c>
      <c r="Y234" s="24">
        <v>2</v>
      </c>
      <c r="Z234" s="24">
        <v>0</v>
      </c>
      <c r="AA234" s="24">
        <v>0</v>
      </c>
      <c r="AB234" s="24">
        <v>0</v>
      </c>
      <c r="AC234" s="7"/>
    </row>
    <row r="235" spans="1:29">
      <c r="A235" s="23">
        <v>8</v>
      </c>
      <c r="B235" s="24">
        <v>0</v>
      </c>
      <c r="C235" s="24">
        <v>0</v>
      </c>
      <c r="D235" s="24">
        <v>0</v>
      </c>
      <c r="E235" s="24">
        <v>4</v>
      </c>
      <c r="F235" s="24">
        <v>2</v>
      </c>
      <c r="G235" s="24">
        <v>0</v>
      </c>
      <c r="H235" s="24">
        <v>0</v>
      </c>
      <c r="I235" s="24">
        <v>0</v>
      </c>
      <c r="J235" s="24">
        <v>0</v>
      </c>
      <c r="K235" s="24">
        <v>37</v>
      </c>
      <c r="L235" s="24">
        <v>25</v>
      </c>
      <c r="M235" s="24">
        <v>0</v>
      </c>
      <c r="N235" s="7"/>
      <c r="P235" s="23">
        <v>8</v>
      </c>
      <c r="Q235" s="104">
        <v>0</v>
      </c>
      <c r="R235" s="104">
        <v>0</v>
      </c>
      <c r="S235" s="104">
        <v>0</v>
      </c>
      <c r="T235" s="104">
        <v>0</v>
      </c>
      <c r="U235" s="105">
        <v>0</v>
      </c>
      <c r="V235" s="105">
        <v>0</v>
      </c>
      <c r="W235" s="105">
        <v>0</v>
      </c>
      <c r="X235" s="105">
        <v>2</v>
      </c>
      <c r="Y235" s="24">
        <v>0</v>
      </c>
      <c r="Z235" s="24">
        <v>35</v>
      </c>
      <c r="AA235" s="24">
        <v>43</v>
      </c>
      <c r="AB235" s="24">
        <v>0</v>
      </c>
      <c r="AC235" s="7"/>
    </row>
    <row r="236" spans="1:29">
      <c r="A236" s="23">
        <v>9</v>
      </c>
      <c r="B236" s="24">
        <v>0</v>
      </c>
      <c r="C236" s="24">
        <v>0</v>
      </c>
      <c r="D236" s="24">
        <v>0</v>
      </c>
      <c r="E236" s="24">
        <v>5</v>
      </c>
      <c r="F236" s="24">
        <v>0</v>
      </c>
      <c r="G236" s="24">
        <v>5.5</v>
      </c>
      <c r="H236" s="24">
        <v>1</v>
      </c>
      <c r="I236" s="24">
        <v>0</v>
      </c>
      <c r="J236" s="24">
        <v>2</v>
      </c>
      <c r="K236" s="24">
        <v>31</v>
      </c>
      <c r="L236" s="24">
        <v>11</v>
      </c>
      <c r="M236" s="24">
        <v>0</v>
      </c>
      <c r="N236" s="7"/>
      <c r="P236" s="23">
        <v>9</v>
      </c>
      <c r="Q236" s="104">
        <v>0</v>
      </c>
      <c r="R236" s="104">
        <v>0</v>
      </c>
      <c r="S236" s="104">
        <v>0</v>
      </c>
      <c r="T236" s="104">
        <v>0</v>
      </c>
      <c r="U236" s="105">
        <v>0</v>
      </c>
      <c r="V236" s="105">
        <v>0</v>
      </c>
      <c r="W236" s="105">
        <v>67</v>
      </c>
      <c r="X236" s="105">
        <v>0</v>
      </c>
      <c r="Y236" s="24">
        <v>4</v>
      </c>
      <c r="Z236" s="24">
        <v>0</v>
      </c>
      <c r="AA236" s="24">
        <v>1</v>
      </c>
      <c r="AB236" s="24">
        <v>1</v>
      </c>
      <c r="AC236" s="7"/>
    </row>
    <row r="237" spans="1:29">
      <c r="A237" s="23">
        <v>10</v>
      </c>
      <c r="B237" s="24">
        <v>0</v>
      </c>
      <c r="C237" s="24">
        <v>0</v>
      </c>
      <c r="D237" s="24">
        <v>0</v>
      </c>
      <c r="E237" s="24">
        <v>0</v>
      </c>
      <c r="F237" s="24">
        <v>2</v>
      </c>
      <c r="G237" s="24">
        <v>95</v>
      </c>
      <c r="H237" s="24">
        <v>6</v>
      </c>
      <c r="I237" s="24">
        <v>0</v>
      </c>
      <c r="J237" s="24">
        <v>0</v>
      </c>
      <c r="K237" s="24">
        <v>0</v>
      </c>
      <c r="L237" s="24">
        <v>13</v>
      </c>
      <c r="M237" s="24">
        <v>54</v>
      </c>
      <c r="N237" s="7"/>
      <c r="P237" s="23">
        <v>10</v>
      </c>
      <c r="Q237" s="104">
        <v>0</v>
      </c>
      <c r="R237" s="104">
        <v>0</v>
      </c>
      <c r="S237" s="104">
        <v>0</v>
      </c>
      <c r="T237" s="104">
        <v>0</v>
      </c>
      <c r="U237" s="105">
        <v>0</v>
      </c>
      <c r="V237" s="105">
        <v>17</v>
      </c>
      <c r="W237" s="105">
        <v>5</v>
      </c>
      <c r="X237" s="105">
        <v>38</v>
      </c>
      <c r="Y237" s="24">
        <v>42</v>
      </c>
      <c r="Z237" s="24">
        <v>33</v>
      </c>
      <c r="AA237" s="24">
        <v>0</v>
      </c>
      <c r="AB237" s="24">
        <v>70</v>
      </c>
      <c r="AC237" s="7"/>
    </row>
    <row r="238" spans="1:29">
      <c r="A238" s="23">
        <v>11</v>
      </c>
      <c r="B238" s="24">
        <v>0</v>
      </c>
      <c r="C238" s="24">
        <v>10</v>
      </c>
      <c r="D238" s="24">
        <v>0</v>
      </c>
      <c r="E238" s="24">
        <v>0</v>
      </c>
      <c r="F238" s="24">
        <v>0</v>
      </c>
      <c r="G238" s="24">
        <v>4</v>
      </c>
      <c r="H238" s="24">
        <v>0</v>
      </c>
      <c r="I238" s="24">
        <v>0</v>
      </c>
      <c r="J238" s="24">
        <v>0</v>
      </c>
      <c r="K238" s="24">
        <v>0</v>
      </c>
      <c r="L238" s="24">
        <v>38</v>
      </c>
      <c r="M238" s="24">
        <v>7</v>
      </c>
      <c r="N238" s="7"/>
      <c r="P238" s="23">
        <v>11</v>
      </c>
      <c r="Q238" s="104">
        <v>0</v>
      </c>
      <c r="R238" s="104">
        <v>0</v>
      </c>
      <c r="S238" s="104">
        <v>127</v>
      </c>
      <c r="T238" s="104">
        <v>0</v>
      </c>
      <c r="U238" s="105">
        <v>33</v>
      </c>
      <c r="V238" s="105">
        <v>0</v>
      </c>
      <c r="W238" s="105">
        <v>0</v>
      </c>
      <c r="X238" s="105">
        <v>13</v>
      </c>
      <c r="Y238" s="24">
        <v>23</v>
      </c>
      <c r="Z238" s="24">
        <v>0</v>
      </c>
      <c r="AA238" s="24">
        <v>0</v>
      </c>
      <c r="AB238" s="24">
        <v>0</v>
      </c>
      <c r="AC238" s="7"/>
    </row>
    <row r="239" spans="1:29">
      <c r="A239" s="23">
        <v>12</v>
      </c>
      <c r="B239" s="24">
        <v>7</v>
      </c>
      <c r="C239" s="24">
        <v>0</v>
      </c>
      <c r="D239" s="24">
        <v>0</v>
      </c>
      <c r="E239" s="24">
        <v>0</v>
      </c>
      <c r="F239" s="24">
        <v>0</v>
      </c>
      <c r="G239" s="24">
        <v>1</v>
      </c>
      <c r="H239" s="24">
        <v>0</v>
      </c>
      <c r="I239" s="24">
        <v>32</v>
      </c>
      <c r="J239" s="24">
        <v>0</v>
      </c>
      <c r="K239" s="24">
        <v>6</v>
      </c>
      <c r="L239" s="24">
        <v>3</v>
      </c>
      <c r="M239" s="24">
        <v>0</v>
      </c>
      <c r="N239" s="7"/>
      <c r="P239" s="23">
        <v>12</v>
      </c>
      <c r="Q239" s="104">
        <v>0</v>
      </c>
      <c r="R239" s="104">
        <v>0</v>
      </c>
      <c r="S239" s="104">
        <v>0</v>
      </c>
      <c r="T239" s="104">
        <v>0</v>
      </c>
      <c r="U239" s="105">
        <v>20</v>
      </c>
      <c r="V239" s="105">
        <v>0</v>
      </c>
      <c r="W239" s="105">
        <v>78</v>
      </c>
      <c r="X239" s="105">
        <v>0</v>
      </c>
      <c r="Y239" s="24">
        <v>0</v>
      </c>
      <c r="Z239" s="24">
        <v>5</v>
      </c>
      <c r="AA239" s="24">
        <v>0</v>
      </c>
      <c r="AB239" s="24">
        <v>0</v>
      </c>
      <c r="AC239" s="7"/>
    </row>
    <row r="240" spans="1:29">
      <c r="A240" s="23">
        <v>13</v>
      </c>
      <c r="B240" s="24">
        <v>0</v>
      </c>
      <c r="C240" s="24">
        <v>0</v>
      </c>
      <c r="D240" s="24">
        <v>0</v>
      </c>
      <c r="E240" s="24">
        <v>57</v>
      </c>
      <c r="F240" s="24">
        <v>0</v>
      </c>
      <c r="G240" s="24">
        <v>30</v>
      </c>
      <c r="H240" s="24">
        <v>0</v>
      </c>
      <c r="I240" s="24">
        <v>0</v>
      </c>
      <c r="J240" s="24">
        <v>34</v>
      </c>
      <c r="K240" s="24">
        <v>29</v>
      </c>
      <c r="L240" s="24">
        <v>0</v>
      </c>
      <c r="M240" s="24">
        <v>22</v>
      </c>
      <c r="N240" s="7"/>
      <c r="P240" s="23">
        <v>13</v>
      </c>
      <c r="Q240" s="104">
        <v>4</v>
      </c>
      <c r="R240" s="104">
        <v>0</v>
      </c>
      <c r="S240" s="104">
        <v>0</v>
      </c>
      <c r="T240" s="104">
        <v>0</v>
      </c>
      <c r="U240" s="105">
        <v>0</v>
      </c>
      <c r="V240" s="105">
        <v>0</v>
      </c>
      <c r="W240" s="105">
        <v>0</v>
      </c>
      <c r="X240" s="105">
        <v>45</v>
      </c>
      <c r="Y240" s="24">
        <v>0</v>
      </c>
      <c r="Z240" s="24">
        <v>0</v>
      </c>
      <c r="AA240" s="24">
        <v>0</v>
      </c>
      <c r="AB240" s="24">
        <v>0</v>
      </c>
      <c r="AC240" s="7"/>
    </row>
    <row r="241" spans="1:29">
      <c r="A241" s="23">
        <v>14</v>
      </c>
      <c r="B241" s="24">
        <v>0</v>
      </c>
      <c r="C241" s="24">
        <v>8</v>
      </c>
      <c r="D241" s="24">
        <v>0</v>
      </c>
      <c r="E241" s="24">
        <v>5</v>
      </c>
      <c r="F241" s="24">
        <v>26</v>
      </c>
      <c r="G241" s="24">
        <v>64</v>
      </c>
      <c r="H241" s="24">
        <v>0</v>
      </c>
      <c r="I241" s="24">
        <v>0</v>
      </c>
      <c r="J241" s="24">
        <v>0</v>
      </c>
      <c r="K241" s="24">
        <v>0</v>
      </c>
      <c r="L241" s="24">
        <v>0</v>
      </c>
      <c r="M241" s="24">
        <v>0</v>
      </c>
      <c r="N241" s="7"/>
      <c r="P241" s="23">
        <v>14</v>
      </c>
      <c r="Q241" s="104">
        <v>0</v>
      </c>
      <c r="R241" s="104">
        <v>11</v>
      </c>
      <c r="S241" s="104">
        <v>0</v>
      </c>
      <c r="T241" s="104">
        <v>0</v>
      </c>
      <c r="U241" s="105">
        <v>9</v>
      </c>
      <c r="V241" s="105">
        <v>0</v>
      </c>
      <c r="W241" s="105">
        <v>0</v>
      </c>
      <c r="X241" s="105">
        <v>91</v>
      </c>
      <c r="Y241" s="24">
        <v>0</v>
      </c>
      <c r="Z241" s="24">
        <v>0</v>
      </c>
      <c r="AA241" s="24">
        <v>0</v>
      </c>
      <c r="AB241" s="24">
        <v>17</v>
      </c>
      <c r="AC241" s="7"/>
    </row>
    <row r="242" spans="1:29">
      <c r="A242" s="23">
        <v>15</v>
      </c>
      <c r="B242" s="24">
        <v>0</v>
      </c>
      <c r="C242" s="24">
        <v>3</v>
      </c>
      <c r="D242" s="24">
        <v>16</v>
      </c>
      <c r="E242" s="24">
        <v>19</v>
      </c>
      <c r="F242" s="24">
        <v>33</v>
      </c>
      <c r="G242" s="24">
        <v>7</v>
      </c>
      <c r="H242" s="24">
        <v>0</v>
      </c>
      <c r="I242" s="24">
        <v>0</v>
      </c>
      <c r="J242" s="24">
        <v>2</v>
      </c>
      <c r="K242" s="24">
        <v>10</v>
      </c>
      <c r="L242" s="24">
        <v>0</v>
      </c>
      <c r="M242" s="24">
        <v>0</v>
      </c>
      <c r="N242" s="7"/>
      <c r="P242" s="23">
        <v>15</v>
      </c>
      <c r="Q242" s="104">
        <v>0</v>
      </c>
      <c r="R242" s="104">
        <v>0</v>
      </c>
      <c r="S242" s="104">
        <v>0</v>
      </c>
      <c r="T242" s="104">
        <v>48</v>
      </c>
      <c r="U242" s="105">
        <v>0</v>
      </c>
      <c r="V242" s="105">
        <v>32</v>
      </c>
      <c r="W242" s="105">
        <v>0</v>
      </c>
      <c r="X242" s="105">
        <v>0</v>
      </c>
      <c r="Y242" s="24">
        <v>0</v>
      </c>
      <c r="Z242" s="24">
        <v>0</v>
      </c>
      <c r="AA242" s="24">
        <v>0</v>
      </c>
      <c r="AB242" s="24">
        <v>0</v>
      </c>
      <c r="AC242" s="7"/>
    </row>
    <row r="243" spans="1:29">
      <c r="A243" s="23">
        <v>16</v>
      </c>
      <c r="B243" s="24">
        <v>22</v>
      </c>
      <c r="C243" s="24">
        <v>0</v>
      </c>
      <c r="D243" s="24">
        <v>3</v>
      </c>
      <c r="E243" s="24">
        <v>0</v>
      </c>
      <c r="F243" s="24">
        <v>0</v>
      </c>
      <c r="G243" s="24">
        <v>8</v>
      </c>
      <c r="H243" s="24">
        <v>25</v>
      </c>
      <c r="I243" s="24">
        <v>0</v>
      </c>
      <c r="J243" s="24">
        <v>0</v>
      </c>
      <c r="K243" s="24">
        <v>54</v>
      </c>
      <c r="L243" s="24">
        <v>3</v>
      </c>
      <c r="M243" s="24">
        <v>0</v>
      </c>
      <c r="N243" s="7"/>
      <c r="P243" s="23">
        <v>16</v>
      </c>
      <c r="Q243" s="104">
        <v>0</v>
      </c>
      <c r="R243" s="104">
        <v>165</v>
      </c>
      <c r="S243" s="104">
        <v>0</v>
      </c>
      <c r="T243" s="104">
        <v>45</v>
      </c>
      <c r="U243" s="105">
        <v>0</v>
      </c>
      <c r="V243" s="105">
        <v>3</v>
      </c>
      <c r="W243" s="105">
        <v>27</v>
      </c>
      <c r="X243" s="105">
        <v>10</v>
      </c>
      <c r="Y243" s="24">
        <v>0</v>
      </c>
      <c r="Z243" s="24">
        <v>0</v>
      </c>
      <c r="AA243" s="24">
        <v>19</v>
      </c>
      <c r="AB243" s="24">
        <v>0</v>
      </c>
      <c r="AC243" s="7"/>
    </row>
    <row r="244" spans="1:29">
      <c r="A244" s="23">
        <v>17</v>
      </c>
      <c r="B244" s="24">
        <v>0</v>
      </c>
      <c r="C244" s="24">
        <v>6</v>
      </c>
      <c r="D244" s="24">
        <v>1</v>
      </c>
      <c r="E244" s="24">
        <v>0</v>
      </c>
      <c r="F244" s="24">
        <v>0</v>
      </c>
      <c r="G244" s="24">
        <v>90</v>
      </c>
      <c r="H244" s="24">
        <v>8.6</v>
      </c>
      <c r="I244" s="24">
        <v>0</v>
      </c>
      <c r="J244" s="24">
        <v>2</v>
      </c>
      <c r="K244" s="24">
        <v>0</v>
      </c>
      <c r="L244" s="24">
        <v>0</v>
      </c>
      <c r="M244" s="24">
        <v>0</v>
      </c>
      <c r="N244" s="7"/>
      <c r="P244" s="23">
        <v>17</v>
      </c>
      <c r="Q244" s="104">
        <v>0</v>
      </c>
      <c r="R244" s="104">
        <v>0</v>
      </c>
      <c r="S244" s="104">
        <v>13</v>
      </c>
      <c r="T244" s="104">
        <v>17</v>
      </c>
      <c r="U244" s="105">
        <v>3</v>
      </c>
      <c r="V244" s="105">
        <v>1</v>
      </c>
      <c r="W244" s="105">
        <v>0</v>
      </c>
      <c r="X244" s="105">
        <v>0</v>
      </c>
      <c r="Y244" s="24">
        <v>0</v>
      </c>
      <c r="Z244" s="24">
        <v>6</v>
      </c>
      <c r="AA244" s="24">
        <v>0</v>
      </c>
      <c r="AB244" s="24">
        <v>6</v>
      </c>
      <c r="AC244" s="7"/>
    </row>
    <row r="245" spans="1:29">
      <c r="A245" s="23">
        <v>18</v>
      </c>
      <c r="B245" s="24">
        <v>0</v>
      </c>
      <c r="C245" s="24">
        <v>14</v>
      </c>
      <c r="D245" s="24">
        <v>3</v>
      </c>
      <c r="E245" s="24">
        <v>0</v>
      </c>
      <c r="F245" s="24">
        <v>10</v>
      </c>
      <c r="G245" s="24">
        <v>21</v>
      </c>
      <c r="H245" s="24">
        <v>5</v>
      </c>
      <c r="I245" s="24">
        <v>0</v>
      </c>
      <c r="J245" s="24">
        <v>0</v>
      </c>
      <c r="K245" s="24">
        <v>0</v>
      </c>
      <c r="L245" s="24">
        <v>0</v>
      </c>
      <c r="M245" s="24">
        <v>36</v>
      </c>
      <c r="N245" s="7"/>
      <c r="P245" s="23">
        <v>18</v>
      </c>
      <c r="Q245" s="104">
        <v>0</v>
      </c>
      <c r="R245" s="104">
        <v>0</v>
      </c>
      <c r="S245" s="104">
        <v>6</v>
      </c>
      <c r="T245" s="104">
        <v>0</v>
      </c>
      <c r="U245" s="105">
        <v>0</v>
      </c>
      <c r="V245" s="105">
        <v>3</v>
      </c>
      <c r="W245" s="105">
        <v>13</v>
      </c>
      <c r="X245" s="105">
        <v>0</v>
      </c>
      <c r="Y245" s="24">
        <v>19</v>
      </c>
      <c r="Z245" s="24">
        <v>0</v>
      </c>
      <c r="AA245" s="24">
        <v>0</v>
      </c>
      <c r="AB245" s="24">
        <v>6</v>
      </c>
      <c r="AC245" s="7"/>
    </row>
    <row r="246" spans="1:29">
      <c r="A246" s="23">
        <v>19</v>
      </c>
      <c r="B246" s="24">
        <v>0</v>
      </c>
      <c r="C246" s="24">
        <v>4</v>
      </c>
      <c r="D246" s="24">
        <v>0</v>
      </c>
      <c r="E246" s="24">
        <v>0</v>
      </c>
      <c r="F246" s="24">
        <v>15</v>
      </c>
      <c r="G246" s="24">
        <v>17</v>
      </c>
      <c r="H246" s="24">
        <v>7</v>
      </c>
      <c r="I246" s="24">
        <v>0</v>
      </c>
      <c r="J246" s="24">
        <v>0</v>
      </c>
      <c r="K246" s="24">
        <v>0</v>
      </c>
      <c r="L246" s="24">
        <v>0</v>
      </c>
      <c r="M246" s="24">
        <v>0</v>
      </c>
      <c r="N246" s="7"/>
      <c r="P246" s="23">
        <v>19</v>
      </c>
      <c r="Q246" s="104">
        <v>0</v>
      </c>
      <c r="R246" s="104">
        <v>0</v>
      </c>
      <c r="S246" s="104">
        <v>36</v>
      </c>
      <c r="T246" s="104">
        <v>0</v>
      </c>
      <c r="U246" s="105">
        <v>30</v>
      </c>
      <c r="V246" s="105">
        <v>9</v>
      </c>
      <c r="W246" s="105">
        <v>0</v>
      </c>
      <c r="X246" s="105">
        <v>0</v>
      </c>
      <c r="Y246" s="24">
        <v>1</v>
      </c>
      <c r="Z246" s="24">
        <v>0</v>
      </c>
      <c r="AA246" s="24">
        <v>0</v>
      </c>
      <c r="AB246" s="24">
        <v>0</v>
      </c>
      <c r="AC246" s="7"/>
    </row>
    <row r="247" spans="1:29">
      <c r="A247" s="23">
        <v>20</v>
      </c>
      <c r="B247" s="24">
        <v>11</v>
      </c>
      <c r="C247" s="24">
        <v>15</v>
      </c>
      <c r="D247" s="24">
        <v>0</v>
      </c>
      <c r="E247" s="24">
        <v>0</v>
      </c>
      <c r="F247" s="24">
        <v>2</v>
      </c>
      <c r="G247" s="24">
        <v>76</v>
      </c>
      <c r="H247" s="24">
        <v>12</v>
      </c>
      <c r="I247" s="24">
        <v>1</v>
      </c>
      <c r="J247" s="24">
        <v>15</v>
      </c>
      <c r="K247" s="24">
        <v>68</v>
      </c>
      <c r="L247" s="24">
        <v>0</v>
      </c>
      <c r="M247" s="24">
        <v>0</v>
      </c>
      <c r="N247" s="7"/>
      <c r="P247" s="23">
        <v>20</v>
      </c>
      <c r="Q247" s="104">
        <v>2</v>
      </c>
      <c r="R247" s="104">
        <v>0</v>
      </c>
      <c r="S247" s="104">
        <v>0</v>
      </c>
      <c r="T247" s="104">
        <v>0</v>
      </c>
      <c r="U247" s="105">
        <v>2</v>
      </c>
      <c r="V247" s="105">
        <v>0</v>
      </c>
      <c r="W247" s="105">
        <v>0</v>
      </c>
      <c r="X247" s="105">
        <v>0</v>
      </c>
      <c r="Y247" s="24">
        <v>0</v>
      </c>
      <c r="Z247" s="24">
        <v>0</v>
      </c>
      <c r="AA247" s="24">
        <v>0</v>
      </c>
      <c r="AB247" s="24">
        <v>0</v>
      </c>
      <c r="AC247" s="7"/>
    </row>
    <row r="248" spans="1:29">
      <c r="A248" s="23">
        <v>21</v>
      </c>
      <c r="B248" s="24">
        <v>0</v>
      </c>
      <c r="C248" s="24">
        <v>0</v>
      </c>
      <c r="D248" s="24">
        <v>5</v>
      </c>
      <c r="E248" s="24">
        <v>0</v>
      </c>
      <c r="F248" s="24">
        <v>20</v>
      </c>
      <c r="G248" s="24">
        <v>0</v>
      </c>
      <c r="H248" s="24">
        <v>4</v>
      </c>
      <c r="I248" s="24">
        <v>36</v>
      </c>
      <c r="J248" s="24">
        <v>0</v>
      </c>
      <c r="K248" s="24">
        <v>3</v>
      </c>
      <c r="L248" s="24">
        <v>10</v>
      </c>
      <c r="M248" s="24">
        <v>26</v>
      </c>
      <c r="N248" s="7"/>
      <c r="P248" s="23">
        <v>21</v>
      </c>
      <c r="Q248" s="104">
        <v>0</v>
      </c>
      <c r="R248" s="104">
        <v>0</v>
      </c>
      <c r="S248" s="104">
        <v>12</v>
      </c>
      <c r="T248" s="104">
        <v>0</v>
      </c>
      <c r="U248" s="105">
        <v>5</v>
      </c>
      <c r="V248" s="105">
        <v>0</v>
      </c>
      <c r="W248" s="105">
        <v>0</v>
      </c>
      <c r="X248" s="105">
        <v>13</v>
      </c>
      <c r="Y248" s="24">
        <v>0</v>
      </c>
      <c r="Z248" s="24">
        <v>0</v>
      </c>
      <c r="AA248" s="24">
        <v>24</v>
      </c>
      <c r="AB248" s="24">
        <v>0</v>
      </c>
      <c r="AC248" s="7"/>
    </row>
    <row r="249" spans="1:29">
      <c r="A249" s="23">
        <v>22</v>
      </c>
      <c r="B249" s="24">
        <v>0</v>
      </c>
      <c r="C249" s="24">
        <v>0</v>
      </c>
      <c r="D249" s="24">
        <v>8</v>
      </c>
      <c r="E249" s="24">
        <v>0</v>
      </c>
      <c r="F249" s="24">
        <v>18</v>
      </c>
      <c r="G249" s="24">
        <v>0</v>
      </c>
      <c r="H249" s="24">
        <v>7</v>
      </c>
      <c r="I249" s="24">
        <v>8</v>
      </c>
      <c r="J249" s="24">
        <v>0</v>
      </c>
      <c r="K249" s="24">
        <v>129</v>
      </c>
      <c r="L249" s="24">
        <v>50</v>
      </c>
      <c r="M249" s="24">
        <v>7</v>
      </c>
      <c r="N249" s="7"/>
      <c r="P249" s="23">
        <v>22</v>
      </c>
      <c r="Q249" s="104">
        <v>1</v>
      </c>
      <c r="R249" s="104">
        <v>7</v>
      </c>
      <c r="S249" s="104">
        <v>0</v>
      </c>
      <c r="T249" s="104">
        <v>18</v>
      </c>
      <c r="U249" s="105">
        <v>0</v>
      </c>
      <c r="V249" s="105">
        <v>0</v>
      </c>
      <c r="W249" s="105">
        <v>0</v>
      </c>
      <c r="X249" s="105">
        <v>0</v>
      </c>
      <c r="Y249" s="24">
        <v>0</v>
      </c>
      <c r="Z249" s="24">
        <v>0</v>
      </c>
      <c r="AA249" s="24">
        <v>0</v>
      </c>
      <c r="AB249" s="24">
        <v>0</v>
      </c>
      <c r="AC249" s="7"/>
    </row>
    <row r="250" spans="1:29">
      <c r="A250" s="23">
        <v>23</v>
      </c>
      <c r="B250" s="24">
        <v>96</v>
      </c>
      <c r="C250" s="24">
        <v>0</v>
      </c>
      <c r="D250" s="24">
        <v>2</v>
      </c>
      <c r="E250" s="24">
        <v>29</v>
      </c>
      <c r="F250" s="24">
        <v>80</v>
      </c>
      <c r="G250" s="24">
        <v>0</v>
      </c>
      <c r="H250" s="24">
        <v>45</v>
      </c>
      <c r="I250" s="24">
        <v>78</v>
      </c>
      <c r="J250" s="24">
        <v>0</v>
      </c>
      <c r="K250" s="24">
        <v>8</v>
      </c>
      <c r="L250" s="24">
        <v>0</v>
      </c>
      <c r="M250" s="24">
        <v>0</v>
      </c>
      <c r="N250" s="7"/>
      <c r="P250" s="23">
        <v>23</v>
      </c>
      <c r="Q250" s="104">
        <v>0</v>
      </c>
      <c r="R250" s="104">
        <v>4</v>
      </c>
      <c r="S250" s="104">
        <v>7</v>
      </c>
      <c r="T250" s="104">
        <v>13</v>
      </c>
      <c r="U250" s="105">
        <v>0</v>
      </c>
      <c r="V250" s="105">
        <v>0</v>
      </c>
      <c r="W250" s="105">
        <v>0</v>
      </c>
      <c r="X250" s="105">
        <v>34</v>
      </c>
      <c r="Y250" s="24">
        <v>0</v>
      </c>
      <c r="Z250" s="24">
        <v>0</v>
      </c>
      <c r="AA250" s="24">
        <v>0</v>
      </c>
      <c r="AB250" s="24">
        <v>0</v>
      </c>
      <c r="AC250" s="7"/>
    </row>
    <row r="251" spans="1:29">
      <c r="A251" s="23">
        <v>24</v>
      </c>
      <c r="B251" s="24">
        <v>0</v>
      </c>
      <c r="C251" s="24">
        <v>1</v>
      </c>
      <c r="D251" s="24">
        <v>10</v>
      </c>
      <c r="E251" s="24">
        <v>0</v>
      </c>
      <c r="F251" s="24">
        <v>2</v>
      </c>
      <c r="G251" s="24">
        <v>0</v>
      </c>
      <c r="H251" s="24">
        <v>11</v>
      </c>
      <c r="I251" s="24">
        <v>0</v>
      </c>
      <c r="J251" s="24">
        <v>0</v>
      </c>
      <c r="K251" s="24">
        <v>35</v>
      </c>
      <c r="L251" s="24">
        <v>0</v>
      </c>
      <c r="M251" s="24">
        <v>0</v>
      </c>
      <c r="N251" s="7"/>
      <c r="P251" s="23">
        <v>24</v>
      </c>
      <c r="Q251" s="104">
        <v>3</v>
      </c>
      <c r="R251" s="104">
        <v>17</v>
      </c>
      <c r="S251" s="104">
        <v>0</v>
      </c>
      <c r="T251" s="104">
        <v>0</v>
      </c>
      <c r="U251" s="105">
        <v>0</v>
      </c>
      <c r="V251" s="105">
        <v>0</v>
      </c>
      <c r="W251" s="105">
        <v>0</v>
      </c>
      <c r="X251" s="105">
        <v>0</v>
      </c>
      <c r="Y251" s="24">
        <v>0</v>
      </c>
      <c r="Z251" s="24">
        <v>0</v>
      </c>
      <c r="AA251" s="24">
        <v>5</v>
      </c>
      <c r="AB251" s="24">
        <v>0</v>
      </c>
      <c r="AC251" s="7"/>
    </row>
    <row r="252" spans="1:29">
      <c r="A252" s="23">
        <v>25</v>
      </c>
      <c r="B252" s="24">
        <v>52</v>
      </c>
      <c r="C252" s="24">
        <v>0</v>
      </c>
      <c r="D252" s="24">
        <v>0</v>
      </c>
      <c r="E252" s="24">
        <v>10</v>
      </c>
      <c r="F252" s="24">
        <v>3</v>
      </c>
      <c r="G252" s="24">
        <v>0</v>
      </c>
      <c r="H252" s="24">
        <v>2</v>
      </c>
      <c r="I252" s="24">
        <v>12</v>
      </c>
      <c r="J252" s="24">
        <v>0</v>
      </c>
      <c r="K252" s="24">
        <v>5</v>
      </c>
      <c r="L252" s="24">
        <v>0</v>
      </c>
      <c r="M252" s="24">
        <v>0</v>
      </c>
      <c r="N252" s="7"/>
      <c r="P252" s="23">
        <v>25</v>
      </c>
      <c r="Q252" s="104">
        <v>5</v>
      </c>
      <c r="R252" s="104">
        <v>14</v>
      </c>
      <c r="S252" s="104">
        <v>0</v>
      </c>
      <c r="T252" s="104">
        <v>5</v>
      </c>
      <c r="U252" s="105">
        <v>0</v>
      </c>
      <c r="V252" s="105">
        <v>0</v>
      </c>
      <c r="W252" s="105">
        <v>0</v>
      </c>
      <c r="X252" s="105">
        <v>30</v>
      </c>
      <c r="Y252" s="24">
        <v>0</v>
      </c>
      <c r="Z252" s="24">
        <v>0</v>
      </c>
      <c r="AA252" s="24">
        <v>2</v>
      </c>
      <c r="AB252" s="24">
        <v>23</v>
      </c>
      <c r="AC252" s="7"/>
    </row>
    <row r="253" spans="1:29">
      <c r="A253" s="23">
        <v>26</v>
      </c>
      <c r="B253" s="24">
        <v>0</v>
      </c>
      <c r="C253" s="24">
        <v>3</v>
      </c>
      <c r="D253" s="24">
        <v>0</v>
      </c>
      <c r="E253" s="24">
        <v>15</v>
      </c>
      <c r="F253" s="24">
        <v>0</v>
      </c>
      <c r="G253" s="24">
        <v>6</v>
      </c>
      <c r="H253" s="24">
        <v>16</v>
      </c>
      <c r="I253" s="24">
        <v>1</v>
      </c>
      <c r="J253" s="24">
        <v>0</v>
      </c>
      <c r="K253" s="24">
        <v>2</v>
      </c>
      <c r="L253" s="24">
        <v>14</v>
      </c>
      <c r="M253" s="24">
        <v>36</v>
      </c>
      <c r="N253" s="7"/>
      <c r="P253" s="23">
        <v>26</v>
      </c>
      <c r="Q253" s="104">
        <v>25</v>
      </c>
      <c r="R253" s="104">
        <v>0</v>
      </c>
      <c r="S253" s="104">
        <v>0</v>
      </c>
      <c r="T253" s="104">
        <v>0</v>
      </c>
      <c r="U253" s="105">
        <v>0</v>
      </c>
      <c r="V253" s="105">
        <v>18</v>
      </c>
      <c r="W253" s="105">
        <v>0</v>
      </c>
      <c r="X253" s="105">
        <v>29</v>
      </c>
      <c r="Y253" s="24">
        <v>0</v>
      </c>
      <c r="Z253" s="24">
        <v>0</v>
      </c>
      <c r="AA253" s="24">
        <v>0</v>
      </c>
      <c r="AB253" s="24">
        <v>0</v>
      </c>
      <c r="AC253" s="7"/>
    </row>
    <row r="254" spans="1:29">
      <c r="A254" s="23">
        <v>27</v>
      </c>
      <c r="B254" s="24">
        <v>5</v>
      </c>
      <c r="C254" s="24">
        <v>0</v>
      </c>
      <c r="D254" s="24">
        <v>0</v>
      </c>
      <c r="E254" s="24">
        <v>6</v>
      </c>
      <c r="F254" s="24">
        <v>0</v>
      </c>
      <c r="G254" s="24">
        <v>2</v>
      </c>
      <c r="H254" s="24">
        <v>0</v>
      </c>
      <c r="I254" s="24">
        <v>28</v>
      </c>
      <c r="J254" s="24">
        <v>0</v>
      </c>
      <c r="K254" s="24">
        <v>24</v>
      </c>
      <c r="L254" s="24">
        <v>1</v>
      </c>
      <c r="M254" s="24">
        <v>0</v>
      </c>
      <c r="N254" s="7"/>
      <c r="P254" s="23">
        <v>27</v>
      </c>
      <c r="Q254" s="104">
        <v>3</v>
      </c>
      <c r="R254" s="104">
        <v>0</v>
      </c>
      <c r="S254" s="104">
        <v>0</v>
      </c>
      <c r="T254" s="104">
        <v>0</v>
      </c>
      <c r="U254" s="105">
        <v>0</v>
      </c>
      <c r="V254" s="105">
        <v>0</v>
      </c>
      <c r="W254" s="105">
        <v>0</v>
      </c>
      <c r="X254" s="105">
        <v>0</v>
      </c>
      <c r="Y254" s="24">
        <v>0</v>
      </c>
      <c r="Z254" s="24">
        <v>0</v>
      </c>
      <c r="AA254" s="24">
        <v>0</v>
      </c>
      <c r="AB254" s="24">
        <v>0</v>
      </c>
      <c r="AC254" s="7"/>
    </row>
    <row r="255" spans="1:29">
      <c r="A255" s="23">
        <v>28</v>
      </c>
      <c r="B255" s="24">
        <v>40</v>
      </c>
      <c r="C255" s="24">
        <v>0</v>
      </c>
      <c r="D255" s="24">
        <v>0</v>
      </c>
      <c r="E255" s="24">
        <v>0</v>
      </c>
      <c r="F255" s="24">
        <v>18</v>
      </c>
      <c r="G255" s="24">
        <v>0</v>
      </c>
      <c r="H255" s="24">
        <v>0</v>
      </c>
      <c r="I255" s="24">
        <v>0</v>
      </c>
      <c r="J255" s="24">
        <v>0</v>
      </c>
      <c r="K255" s="24">
        <v>14</v>
      </c>
      <c r="L255" s="24">
        <v>0</v>
      </c>
      <c r="M255" s="24">
        <v>0</v>
      </c>
      <c r="N255" s="7"/>
      <c r="P255" s="23">
        <v>28</v>
      </c>
      <c r="Q255" s="104">
        <v>20</v>
      </c>
      <c r="R255" s="104">
        <v>0</v>
      </c>
      <c r="S255" s="104">
        <v>82</v>
      </c>
      <c r="T255" s="104">
        <v>0</v>
      </c>
      <c r="U255" s="105">
        <v>0</v>
      </c>
      <c r="V255" s="105">
        <v>0</v>
      </c>
      <c r="W255" s="105">
        <v>0</v>
      </c>
      <c r="X255" s="105">
        <v>15</v>
      </c>
      <c r="Y255" s="24">
        <v>0</v>
      </c>
      <c r="Z255" s="24">
        <v>6</v>
      </c>
      <c r="AA255" s="24">
        <v>0</v>
      </c>
      <c r="AB255" s="24">
        <v>0</v>
      </c>
      <c r="AC255" s="7"/>
    </row>
    <row r="256" spans="1:29">
      <c r="A256" s="23">
        <v>29</v>
      </c>
      <c r="B256" s="24">
        <v>0</v>
      </c>
      <c r="C256" s="24"/>
      <c r="D256" s="24">
        <v>0</v>
      </c>
      <c r="E256" s="24">
        <v>4</v>
      </c>
      <c r="F256" s="24">
        <v>0</v>
      </c>
      <c r="G256" s="24">
        <v>0</v>
      </c>
      <c r="H256" s="24">
        <v>0</v>
      </c>
      <c r="I256" s="24">
        <v>0</v>
      </c>
      <c r="J256" s="24">
        <v>0</v>
      </c>
      <c r="K256" s="24">
        <v>3</v>
      </c>
      <c r="L256" s="24">
        <v>0</v>
      </c>
      <c r="M256" s="24">
        <v>0</v>
      </c>
      <c r="N256" s="7"/>
      <c r="P256" s="23">
        <v>29</v>
      </c>
      <c r="Q256" s="104">
        <v>40</v>
      </c>
      <c r="R256" s="104"/>
      <c r="S256" s="104">
        <v>2</v>
      </c>
      <c r="T256" s="104">
        <v>5</v>
      </c>
      <c r="U256" s="105">
        <v>68</v>
      </c>
      <c r="V256" s="105">
        <v>32</v>
      </c>
      <c r="W256" s="105">
        <v>0</v>
      </c>
      <c r="X256" s="105">
        <v>47</v>
      </c>
      <c r="Y256" s="24">
        <v>0</v>
      </c>
      <c r="Z256" s="24">
        <v>0</v>
      </c>
      <c r="AA256" s="24">
        <v>0</v>
      </c>
      <c r="AB256" s="24">
        <v>0</v>
      </c>
      <c r="AC256" s="7"/>
    </row>
    <row r="257" spans="1:29">
      <c r="A257" s="23">
        <v>30</v>
      </c>
      <c r="B257" s="24">
        <v>0</v>
      </c>
      <c r="C257" s="24"/>
      <c r="D257" s="24">
        <v>7</v>
      </c>
      <c r="E257" s="24">
        <v>18</v>
      </c>
      <c r="F257" s="24">
        <v>0</v>
      </c>
      <c r="G257" s="24">
        <v>0</v>
      </c>
      <c r="H257" s="24">
        <v>0</v>
      </c>
      <c r="I257" s="24">
        <v>0</v>
      </c>
      <c r="J257" s="24">
        <v>0</v>
      </c>
      <c r="K257" s="24">
        <v>11</v>
      </c>
      <c r="L257" s="24">
        <v>13</v>
      </c>
      <c r="M257" s="24">
        <v>0</v>
      </c>
      <c r="N257" s="7"/>
      <c r="P257" s="23">
        <v>30</v>
      </c>
      <c r="Q257" s="104">
        <v>70</v>
      </c>
      <c r="R257" s="104"/>
      <c r="S257" s="104">
        <v>0</v>
      </c>
      <c r="T257" s="104">
        <v>0</v>
      </c>
      <c r="U257" s="105">
        <v>6</v>
      </c>
      <c r="V257" s="105">
        <v>0</v>
      </c>
      <c r="W257" s="105">
        <v>0</v>
      </c>
      <c r="X257" s="105">
        <v>25</v>
      </c>
      <c r="Y257" s="24">
        <v>52</v>
      </c>
      <c r="Z257" s="24">
        <v>2</v>
      </c>
      <c r="AA257" s="24">
        <v>23</v>
      </c>
      <c r="AB257" s="24">
        <v>0</v>
      </c>
      <c r="AC257" s="7"/>
    </row>
    <row r="258" spans="1:29">
      <c r="A258" s="23">
        <v>31</v>
      </c>
      <c r="B258" s="24">
        <v>0</v>
      </c>
      <c r="C258" s="24"/>
      <c r="D258" s="24">
        <v>47</v>
      </c>
      <c r="E258" s="24"/>
      <c r="F258" s="24">
        <v>0</v>
      </c>
      <c r="G258" s="24"/>
      <c r="H258" s="24">
        <v>29.8</v>
      </c>
      <c r="I258" s="24">
        <v>16</v>
      </c>
      <c r="J258" s="24"/>
      <c r="K258" s="24">
        <v>0</v>
      </c>
      <c r="L258" s="24"/>
      <c r="M258" s="24">
        <v>0</v>
      </c>
      <c r="N258" s="7"/>
      <c r="P258" s="23">
        <v>31</v>
      </c>
      <c r="Q258" s="104">
        <v>1</v>
      </c>
      <c r="R258" s="104"/>
      <c r="S258" s="104">
        <v>0</v>
      </c>
      <c r="T258" s="104"/>
      <c r="U258" s="105">
        <v>0</v>
      </c>
      <c r="V258" s="105"/>
      <c r="W258" s="105">
        <v>15</v>
      </c>
      <c r="X258" s="105">
        <v>0</v>
      </c>
      <c r="Y258" s="24"/>
      <c r="Z258" s="24">
        <v>15</v>
      </c>
      <c r="AA258" s="24"/>
      <c r="AB258" s="24">
        <v>0</v>
      </c>
      <c r="AC258" s="7"/>
    </row>
    <row r="259" spans="1:29">
      <c r="A259" s="88"/>
      <c r="B259" s="99"/>
      <c r="C259" s="99"/>
      <c r="D259" s="99"/>
      <c r="E259" s="109"/>
      <c r="F259" s="99"/>
      <c r="G259" s="99"/>
      <c r="H259" s="99"/>
      <c r="I259" s="99"/>
      <c r="J259" s="99"/>
      <c r="K259" s="99"/>
      <c r="L259" s="99"/>
      <c r="M259" s="103"/>
      <c r="N259" s="7"/>
      <c r="P259" s="88"/>
      <c r="Q259" s="89"/>
      <c r="R259" s="89"/>
      <c r="S259" s="89"/>
      <c r="T259" s="90"/>
      <c r="U259" s="89"/>
      <c r="V259" s="89"/>
      <c r="W259" s="89"/>
      <c r="X259" s="89"/>
      <c r="Y259" s="89"/>
      <c r="Z259" s="89"/>
      <c r="AA259" s="89"/>
      <c r="AB259" s="91"/>
      <c r="AC259" s="7"/>
    </row>
    <row r="260" spans="1:29">
      <c r="A260" s="25" t="s">
        <v>65</v>
      </c>
      <c r="B260" s="110">
        <f t="shared" ref="B260:M260" si="20">SUM(B228:B258)</f>
        <v>456</v>
      </c>
      <c r="C260" s="110">
        <f t="shared" si="20"/>
        <v>64</v>
      </c>
      <c r="D260" s="110">
        <f t="shared" si="20"/>
        <v>146</v>
      </c>
      <c r="E260" s="110">
        <f t="shared" si="20"/>
        <v>243</v>
      </c>
      <c r="F260" s="110">
        <f t="shared" si="20"/>
        <v>320</v>
      </c>
      <c r="G260" s="110">
        <f t="shared" si="20"/>
        <v>473</v>
      </c>
      <c r="H260" s="110">
        <f t="shared" si="20"/>
        <v>236.4</v>
      </c>
      <c r="I260" s="110">
        <f t="shared" si="20"/>
        <v>212</v>
      </c>
      <c r="J260" s="110">
        <f t="shared" si="20"/>
        <v>212.5</v>
      </c>
      <c r="K260" s="110">
        <f t="shared" si="20"/>
        <v>495</v>
      </c>
      <c r="L260" s="110">
        <f t="shared" si="20"/>
        <v>360</v>
      </c>
      <c r="M260" s="111">
        <f t="shared" si="20"/>
        <v>231</v>
      </c>
      <c r="N260" s="9">
        <f>SUM(B260:M260)</f>
        <v>3448.9</v>
      </c>
      <c r="P260" s="25" t="s">
        <v>65</v>
      </c>
      <c r="Q260" s="92">
        <f t="shared" ref="Q260:AB260" si="21">SUM(Q228:Q258)</f>
        <v>174</v>
      </c>
      <c r="R260" s="92">
        <f t="shared" si="21"/>
        <v>246</v>
      </c>
      <c r="S260" s="92">
        <f t="shared" si="21"/>
        <v>334</v>
      </c>
      <c r="T260" s="92">
        <f t="shared" si="21"/>
        <v>160</v>
      </c>
      <c r="U260" s="92">
        <f t="shared" si="21"/>
        <v>320</v>
      </c>
      <c r="V260" s="92">
        <f t="shared" si="21"/>
        <v>137</v>
      </c>
      <c r="W260" s="92">
        <f t="shared" si="21"/>
        <v>304</v>
      </c>
      <c r="X260" s="92">
        <f t="shared" si="21"/>
        <v>446</v>
      </c>
      <c r="Y260" s="92">
        <f t="shared" si="21"/>
        <v>164</v>
      </c>
      <c r="Z260" s="92">
        <f t="shared" si="21"/>
        <v>191</v>
      </c>
      <c r="AA260" s="92">
        <f t="shared" si="21"/>
        <v>216</v>
      </c>
      <c r="AB260" s="30">
        <f t="shared" si="21"/>
        <v>126</v>
      </c>
      <c r="AC260" s="9">
        <f>SUM(Q260:AB260)</f>
        <v>2818</v>
      </c>
    </row>
    <row r="261" spans="1:29">
      <c r="A261" s="88" t="s">
        <v>66</v>
      </c>
      <c r="B261" s="112">
        <f t="shared" ref="B261:M261" si="22">MAX(B228:B258)</f>
        <v>114</v>
      </c>
      <c r="C261" s="112">
        <f t="shared" si="22"/>
        <v>15</v>
      </c>
      <c r="D261" s="112">
        <f t="shared" si="22"/>
        <v>47</v>
      </c>
      <c r="E261" s="112">
        <f t="shared" si="22"/>
        <v>57</v>
      </c>
      <c r="F261" s="112">
        <f t="shared" si="22"/>
        <v>80</v>
      </c>
      <c r="G261" s="112">
        <f t="shared" si="22"/>
        <v>95</v>
      </c>
      <c r="H261" s="112">
        <f t="shared" si="22"/>
        <v>57</v>
      </c>
      <c r="I261" s="112">
        <f t="shared" si="22"/>
        <v>78</v>
      </c>
      <c r="J261" s="112">
        <f t="shared" si="22"/>
        <v>61</v>
      </c>
      <c r="K261" s="112">
        <f t="shared" si="22"/>
        <v>129</v>
      </c>
      <c r="L261" s="112">
        <f t="shared" si="22"/>
        <v>60</v>
      </c>
      <c r="M261" s="111">
        <f t="shared" si="22"/>
        <v>54</v>
      </c>
      <c r="N261" s="9">
        <f>MAX(B261:M261)</f>
        <v>129</v>
      </c>
      <c r="P261" s="88" t="s">
        <v>66</v>
      </c>
      <c r="Q261" s="94">
        <f t="shared" ref="Q261:AB261" si="23">MAX(Q228:Q258)</f>
        <v>70</v>
      </c>
      <c r="R261" s="94">
        <f t="shared" si="23"/>
        <v>165</v>
      </c>
      <c r="S261" s="94">
        <f t="shared" si="23"/>
        <v>127</v>
      </c>
      <c r="T261" s="94">
        <f t="shared" si="23"/>
        <v>48</v>
      </c>
      <c r="U261" s="94">
        <f t="shared" si="23"/>
        <v>68</v>
      </c>
      <c r="V261" s="94">
        <f t="shared" si="23"/>
        <v>32</v>
      </c>
      <c r="W261" s="94">
        <f t="shared" si="23"/>
        <v>78</v>
      </c>
      <c r="X261" s="94">
        <f t="shared" si="23"/>
        <v>91</v>
      </c>
      <c r="Y261" s="94">
        <f t="shared" si="23"/>
        <v>52</v>
      </c>
      <c r="Z261" s="94">
        <f t="shared" si="23"/>
        <v>44</v>
      </c>
      <c r="AA261" s="94">
        <f t="shared" si="23"/>
        <v>76</v>
      </c>
      <c r="AB261" s="30">
        <f t="shared" si="23"/>
        <v>70</v>
      </c>
      <c r="AC261" s="9">
        <f>MAX(Q261:AB261)</f>
        <v>165</v>
      </c>
    </row>
    <row r="262" spans="1:29">
      <c r="A262" s="31"/>
      <c r="B262" s="7"/>
      <c r="C262" s="7"/>
      <c r="D262" s="7"/>
      <c r="E262" s="7"/>
      <c r="F262" s="7"/>
      <c r="G262" s="7"/>
      <c r="H262" s="32"/>
      <c r="I262" s="7"/>
      <c r="J262" s="7"/>
      <c r="K262" s="7"/>
      <c r="L262" s="7"/>
      <c r="M262" s="7"/>
      <c r="N262" s="7"/>
      <c r="P262" s="95"/>
      <c r="Q262" s="7"/>
      <c r="R262" s="7"/>
      <c r="S262" s="7"/>
      <c r="T262" s="7"/>
      <c r="U262" s="7"/>
      <c r="V262" s="7"/>
      <c r="W262" s="32"/>
      <c r="X262" s="7"/>
      <c r="Y262" s="7"/>
      <c r="Z262" s="7"/>
      <c r="AA262" s="7"/>
      <c r="AB262" s="7"/>
      <c r="AC262" s="7"/>
    </row>
    <row r="263" spans="1:29">
      <c r="A263" s="33" t="s">
        <v>67</v>
      </c>
      <c r="B263" s="34">
        <v>0</v>
      </c>
      <c r="C263" s="35" t="s">
        <v>68</v>
      </c>
      <c r="D263" s="19"/>
      <c r="E263" s="7"/>
      <c r="F263" s="7"/>
      <c r="G263" s="7"/>
      <c r="H263" s="32"/>
      <c r="I263" s="7"/>
      <c r="J263" s="7"/>
      <c r="K263" s="7"/>
      <c r="L263" s="7"/>
      <c r="M263" s="7"/>
      <c r="N263" s="7"/>
      <c r="P263" s="96" t="s">
        <v>67</v>
      </c>
      <c r="Q263" s="34">
        <v>0</v>
      </c>
      <c r="R263" s="35" t="s">
        <v>68</v>
      </c>
      <c r="S263" s="19"/>
      <c r="T263" s="7"/>
      <c r="U263" s="7"/>
      <c r="V263" s="7"/>
      <c r="W263" s="32"/>
      <c r="X263" s="7"/>
      <c r="Y263" s="7"/>
      <c r="Z263" s="7"/>
      <c r="AA263" s="7"/>
      <c r="AB263" s="7"/>
      <c r="AC263" s="7"/>
    </row>
    <row r="265" spans="1:29" ht="18">
      <c r="A265" s="1" t="s">
        <v>41</v>
      </c>
      <c r="B265" s="2"/>
      <c r="C265" s="2"/>
      <c r="D265" s="2"/>
      <c r="E265" s="3">
        <v>2008</v>
      </c>
      <c r="F265" s="4"/>
      <c r="G265" s="4"/>
      <c r="H265" s="5"/>
      <c r="I265" s="4"/>
      <c r="J265" s="4"/>
      <c r="K265" s="4"/>
      <c r="L265" s="4"/>
      <c r="M265" s="6"/>
      <c r="N265" s="7"/>
      <c r="P265" s="1" t="s">
        <v>41</v>
      </c>
      <c r="Q265" s="2"/>
      <c r="R265" s="2"/>
      <c r="S265" s="2"/>
      <c r="T265" s="3">
        <v>2018</v>
      </c>
      <c r="U265" s="4"/>
      <c r="V265" s="4"/>
      <c r="W265" s="5"/>
      <c r="X265" s="4"/>
      <c r="Y265" s="4"/>
      <c r="Z265" s="4"/>
      <c r="AA265" s="4"/>
      <c r="AB265" s="6"/>
      <c r="AC265" s="7"/>
    </row>
    <row r="266" spans="1:29">
      <c r="A266" s="8"/>
      <c r="B266" s="9"/>
      <c r="C266" s="9"/>
      <c r="D266" s="9"/>
      <c r="E266" s="10"/>
      <c r="F266" s="10"/>
      <c r="G266" s="10"/>
      <c r="H266" s="11"/>
      <c r="I266" s="9"/>
      <c r="J266" s="9"/>
      <c r="K266" s="9"/>
      <c r="L266" s="9"/>
      <c r="M266" s="12"/>
      <c r="N266" s="7"/>
      <c r="P266" s="8"/>
      <c r="Q266" s="9"/>
      <c r="R266" s="9"/>
      <c r="S266" s="9"/>
      <c r="T266" s="10"/>
      <c r="U266" s="10"/>
      <c r="V266" s="10"/>
      <c r="W266" s="11"/>
      <c r="X266" s="9"/>
      <c r="Y266" s="9"/>
      <c r="Z266" s="9"/>
      <c r="AA266" s="9"/>
      <c r="AB266" s="12"/>
      <c r="AC266" s="7"/>
    </row>
    <row r="267" spans="1:29" ht="15.75">
      <c r="A267" s="13" t="s">
        <v>42</v>
      </c>
      <c r="B267" s="14"/>
      <c r="C267" s="14" t="s">
        <v>43</v>
      </c>
      <c r="D267" s="14"/>
      <c r="E267" s="14"/>
      <c r="F267" s="14"/>
      <c r="G267" s="14"/>
      <c r="H267" s="15"/>
      <c r="I267" s="14"/>
      <c r="J267" s="14" t="s">
        <v>44</v>
      </c>
      <c r="K267" s="14" t="s">
        <v>45</v>
      </c>
      <c r="L267" s="14"/>
      <c r="M267" s="12"/>
      <c r="N267" s="7"/>
      <c r="P267" s="13" t="s">
        <v>42</v>
      </c>
      <c r="Q267" s="14"/>
      <c r="R267" s="14" t="s">
        <v>43</v>
      </c>
      <c r="S267" s="14"/>
      <c r="T267" s="14"/>
      <c r="U267" s="14"/>
      <c r="V267" s="14"/>
      <c r="W267" s="15"/>
      <c r="X267" s="14"/>
      <c r="Y267" s="14" t="s">
        <v>44</v>
      </c>
      <c r="Z267" s="14" t="s">
        <v>45</v>
      </c>
      <c r="AA267" s="14"/>
      <c r="AB267" s="12"/>
      <c r="AC267" s="7"/>
    </row>
    <row r="268" spans="1:29" ht="15.75">
      <c r="A268" s="13" t="s">
        <v>46</v>
      </c>
      <c r="B268" s="14"/>
      <c r="C268" s="14" t="s">
        <v>47</v>
      </c>
      <c r="D268" s="14"/>
      <c r="E268" s="14"/>
      <c r="F268" s="14"/>
      <c r="G268" s="14"/>
      <c r="H268" s="15"/>
      <c r="I268" s="14"/>
      <c r="J268" s="14" t="s">
        <v>48</v>
      </c>
      <c r="K268" s="14" t="s">
        <v>45</v>
      </c>
      <c r="L268" s="14"/>
      <c r="M268" s="12"/>
      <c r="N268" s="7"/>
      <c r="P268" s="13" t="s">
        <v>46</v>
      </c>
      <c r="Q268" s="14"/>
      <c r="R268" s="14" t="s">
        <v>47</v>
      </c>
      <c r="S268" s="14"/>
      <c r="T268" s="14"/>
      <c r="U268" s="14"/>
      <c r="V268" s="14"/>
      <c r="W268" s="15"/>
      <c r="X268" s="14"/>
      <c r="Y268" s="14" t="s">
        <v>48</v>
      </c>
      <c r="Z268" s="14" t="s">
        <v>45</v>
      </c>
      <c r="AA268" s="14"/>
      <c r="AB268" s="12"/>
      <c r="AC268" s="7"/>
    </row>
    <row r="269" spans="1:29" ht="15.75">
      <c r="A269" s="13" t="s">
        <v>49</v>
      </c>
      <c r="B269" s="14"/>
      <c r="C269" s="97">
        <f>E265</f>
        <v>2008</v>
      </c>
      <c r="D269" s="14"/>
      <c r="E269" s="14"/>
      <c r="F269" s="14"/>
      <c r="G269" s="14"/>
      <c r="H269" s="15"/>
      <c r="I269" s="14"/>
      <c r="J269" s="14" t="s">
        <v>51</v>
      </c>
      <c r="K269" s="14" t="s">
        <v>52</v>
      </c>
      <c r="L269" s="14"/>
      <c r="M269" s="12"/>
      <c r="N269" s="7"/>
      <c r="P269" s="13" t="s">
        <v>49</v>
      </c>
      <c r="Q269" s="14"/>
      <c r="R269" s="97">
        <f>T265</f>
        <v>2018</v>
      </c>
      <c r="S269" s="14"/>
      <c r="T269" s="14"/>
      <c r="U269" s="14"/>
      <c r="V269" s="14"/>
      <c r="W269" s="15"/>
      <c r="X269" s="14"/>
      <c r="Y269" s="14" t="s">
        <v>51</v>
      </c>
      <c r="Z269" s="14" t="s">
        <v>52</v>
      </c>
      <c r="AA269" s="14"/>
      <c r="AB269" s="12"/>
      <c r="AC269" s="7"/>
    </row>
    <row r="270" spans="1:29">
      <c r="A270" s="16"/>
      <c r="B270" s="10"/>
      <c r="C270" s="10"/>
      <c r="D270" s="10"/>
      <c r="E270" s="10"/>
      <c r="F270" s="10"/>
      <c r="G270" s="10"/>
      <c r="H270" s="17"/>
      <c r="I270" s="10"/>
      <c r="J270" s="10"/>
      <c r="K270" s="10"/>
      <c r="L270" s="10"/>
      <c r="M270" s="18"/>
      <c r="N270" s="19"/>
      <c r="P270" s="16"/>
      <c r="Q270" s="10"/>
      <c r="R270" s="10"/>
      <c r="S270" s="10"/>
      <c r="T270" s="10"/>
      <c r="U270" s="10"/>
      <c r="V270" s="10"/>
      <c r="W270" s="17"/>
      <c r="X270" s="10"/>
      <c r="Y270" s="10"/>
      <c r="Z270" s="10"/>
      <c r="AA270" s="10"/>
      <c r="AB270" s="18"/>
      <c r="AC270" s="19"/>
    </row>
    <row r="271" spans="1:29">
      <c r="A271" s="20" t="s">
        <v>53</v>
      </c>
      <c r="B271" s="21" t="s">
        <v>54</v>
      </c>
      <c r="C271" s="21" t="s">
        <v>55</v>
      </c>
      <c r="D271" s="21" t="s">
        <v>56</v>
      </c>
      <c r="E271" s="21" t="s">
        <v>57</v>
      </c>
      <c r="F271" s="21" t="s">
        <v>20</v>
      </c>
      <c r="G271" s="21" t="s">
        <v>58</v>
      </c>
      <c r="H271" s="21" t="s">
        <v>59</v>
      </c>
      <c r="I271" s="21" t="s">
        <v>60</v>
      </c>
      <c r="J271" s="21" t="s">
        <v>61</v>
      </c>
      <c r="K271" s="21" t="s">
        <v>62</v>
      </c>
      <c r="L271" s="21" t="s">
        <v>63</v>
      </c>
      <c r="M271" s="22" t="s">
        <v>64</v>
      </c>
      <c r="N271" s="19"/>
      <c r="P271" s="20" t="s">
        <v>53</v>
      </c>
      <c r="Q271" s="21" t="s">
        <v>54</v>
      </c>
      <c r="R271" s="21" t="s">
        <v>55</v>
      </c>
      <c r="S271" s="21" t="s">
        <v>56</v>
      </c>
      <c r="T271" s="21" t="s">
        <v>57</v>
      </c>
      <c r="U271" s="21" t="s">
        <v>20</v>
      </c>
      <c r="V271" s="21" t="s">
        <v>58</v>
      </c>
      <c r="W271" s="21" t="s">
        <v>59</v>
      </c>
      <c r="X271" s="21" t="s">
        <v>60</v>
      </c>
      <c r="Y271" s="21" t="s">
        <v>61</v>
      </c>
      <c r="Z271" s="21" t="s">
        <v>62</v>
      </c>
      <c r="AA271" s="21" t="s">
        <v>63</v>
      </c>
      <c r="AB271" s="22" t="s">
        <v>64</v>
      </c>
      <c r="AC271" s="19"/>
    </row>
    <row r="272" spans="1:29">
      <c r="A272" s="23">
        <v>1</v>
      </c>
      <c r="B272" s="24">
        <v>0</v>
      </c>
      <c r="C272" s="24">
        <v>10</v>
      </c>
      <c r="D272" s="24">
        <v>34</v>
      </c>
      <c r="E272" s="24">
        <v>0</v>
      </c>
      <c r="F272" s="24">
        <v>0</v>
      </c>
      <c r="G272" s="24">
        <v>10</v>
      </c>
      <c r="H272" s="24">
        <v>0</v>
      </c>
      <c r="I272" s="24">
        <v>0</v>
      </c>
      <c r="J272" s="24">
        <v>2</v>
      </c>
      <c r="K272" s="24">
        <v>0</v>
      </c>
      <c r="L272" s="24">
        <v>0</v>
      </c>
      <c r="M272" s="24">
        <v>0</v>
      </c>
      <c r="N272" s="7"/>
      <c r="P272" s="23">
        <v>1</v>
      </c>
      <c r="Q272" s="104">
        <v>0</v>
      </c>
      <c r="R272" s="104">
        <v>0</v>
      </c>
      <c r="S272" s="104">
        <v>0</v>
      </c>
      <c r="T272" s="104">
        <v>0</v>
      </c>
      <c r="U272" s="105">
        <v>42</v>
      </c>
      <c r="V272" s="105">
        <v>0</v>
      </c>
      <c r="W272" s="105" t="s">
        <v>73</v>
      </c>
      <c r="X272" s="105">
        <v>0</v>
      </c>
      <c r="Y272" s="24">
        <v>0</v>
      </c>
      <c r="Z272" s="24">
        <v>81</v>
      </c>
      <c r="AA272" s="24">
        <v>0</v>
      </c>
      <c r="AB272" s="24">
        <v>0</v>
      </c>
      <c r="AC272" s="7"/>
    </row>
    <row r="273" spans="1:29">
      <c r="A273" s="23">
        <v>2</v>
      </c>
      <c r="B273" s="24">
        <v>0</v>
      </c>
      <c r="C273" s="24">
        <v>7</v>
      </c>
      <c r="D273" s="24">
        <v>0</v>
      </c>
      <c r="E273" s="24">
        <v>0</v>
      </c>
      <c r="F273" s="24">
        <v>3</v>
      </c>
      <c r="G273" s="24">
        <v>0</v>
      </c>
      <c r="H273" s="24">
        <v>17</v>
      </c>
      <c r="I273" s="24">
        <v>0</v>
      </c>
      <c r="J273" s="24">
        <v>3</v>
      </c>
      <c r="K273" s="24">
        <v>22</v>
      </c>
      <c r="L273" s="24">
        <v>0</v>
      </c>
      <c r="M273" s="24">
        <v>15</v>
      </c>
      <c r="N273" s="7"/>
      <c r="P273" s="23">
        <v>2</v>
      </c>
      <c r="Q273" s="104">
        <v>0</v>
      </c>
      <c r="R273" s="104">
        <v>0</v>
      </c>
      <c r="S273" s="104">
        <v>0</v>
      </c>
      <c r="T273" s="104">
        <v>0</v>
      </c>
      <c r="U273" s="105">
        <v>0</v>
      </c>
      <c r="V273" s="105">
        <v>17</v>
      </c>
      <c r="W273" s="105" t="s">
        <v>73</v>
      </c>
      <c r="X273" s="105">
        <v>0</v>
      </c>
      <c r="Y273" s="24">
        <v>32</v>
      </c>
      <c r="Z273" s="24">
        <v>0</v>
      </c>
      <c r="AA273" s="24">
        <v>0</v>
      </c>
      <c r="AB273" s="24">
        <v>0</v>
      </c>
      <c r="AC273" s="7"/>
    </row>
    <row r="274" spans="1:29">
      <c r="A274" s="23">
        <v>3</v>
      </c>
      <c r="B274" s="24">
        <v>34</v>
      </c>
      <c r="C274" s="24">
        <v>0</v>
      </c>
      <c r="D274" s="24">
        <v>0</v>
      </c>
      <c r="E274" s="24">
        <v>0</v>
      </c>
      <c r="F274" s="24">
        <v>0</v>
      </c>
      <c r="G274" s="24">
        <v>2</v>
      </c>
      <c r="H274" s="24">
        <v>0</v>
      </c>
      <c r="I274" s="24">
        <v>0</v>
      </c>
      <c r="J274" s="24">
        <v>1</v>
      </c>
      <c r="K274" s="24">
        <v>0</v>
      </c>
      <c r="L274" s="24">
        <v>0</v>
      </c>
      <c r="M274" s="24">
        <v>0</v>
      </c>
      <c r="N274" s="7"/>
      <c r="P274" s="23">
        <v>3</v>
      </c>
      <c r="Q274" s="104">
        <v>0</v>
      </c>
      <c r="R274" s="104">
        <v>0</v>
      </c>
      <c r="S274" s="104">
        <v>0</v>
      </c>
      <c r="T274" s="104">
        <v>0</v>
      </c>
      <c r="U274" s="105">
        <v>0</v>
      </c>
      <c r="V274" s="105">
        <v>0</v>
      </c>
      <c r="W274" s="105" t="s">
        <v>73</v>
      </c>
      <c r="X274" s="105">
        <v>0</v>
      </c>
      <c r="Y274" s="24">
        <v>0</v>
      </c>
      <c r="Z274" s="24">
        <v>31</v>
      </c>
      <c r="AA274" s="24">
        <v>0</v>
      </c>
      <c r="AB274" s="24">
        <v>68</v>
      </c>
      <c r="AC274" s="7"/>
    </row>
    <row r="275" spans="1:29">
      <c r="A275" s="23">
        <v>4</v>
      </c>
      <c r="B275" s="24">
        <v>0</v>
      </c>
      <c r="C275" s="24">
        <v>11</v>
      </c>
      <c r="D275" s="24">
        <v>30</v>
      </c>
      <c r="E275" s="24">
        <v>0</v>
      </c>
      <c r="F275" s="24">
        <v>0</v>
      </c>
      <c r="G275" s="24">
        <v>25</v>
      </c>
      <c r="H275" s="24">
        <v>0</v>
      </c>
      <c r="I275" s="24">
        <v>0</v>
      </c>
      <c r="J275" s="24">
        <v>13</v>
      </c>
      <c r="K275" s="24">
        <v>76</v>
      </c>
      <c r="L275" s="24">
        <v>1</v>
      </c>
      <c r="M275" s="24">
        <v>0</v>
      </c>
      <c r="N275" s="7"/>
      <c r="P275" s="23">
        <v>4</v>
      </c>
      <c r="Q275" s="104">
        <v>0</v>
      </c>
      <c r="R275" s="104">
        <v>5</v>
      </c>
      <c r="S275" s="104">
        <v>0</v>
      </c>
      <c r="T275" s="104">
        <v>0</v>
      </c>
      <c r="U275" s="105">
        <v>0</v>
      </c>
      <c r="V275" s="105">
        <v>0</v>
      </c>
      <c r="W275" s="105" t="s">
        <v>73</v>
      </c>
      <c r="X275" s="105">
        <v>0</v>
      </c>
      <c r="Y275" s="24">
        <v>0</v>
      </c>
      <c r="Z275" s="24">
        <v>5</v>
      </c>
      <c r="AA275" s="24">
        <v>13</v>
      </c>
      <c r="AB275" s="24">
        <v>0</v>
      </c>
      <c r="AC275" s="7"/>
    </row>
    <row r="276" spans="1:29">
      <c r="A276" s="23">
        <v>5</v>
      </c>
      <c r="B276" s="24">
        <v>0</v>
      </c>
      <c r="C276" s="24">
        <v>0</v>
      </c>
      <c r="D276" s="24">
        <v>21</v>
      </c>
      <c r="E276" s="24">
        <v>0</v>
      </c>
      <c r="F276" s="24">
        <v>13</v>
      </c>
      <c r="G276" s="24">
        <v>0</v>
      </c>
      <c r="H276" s="24">
        <v>1</v>
      </c>
      <c r="I276" s="24">
        <v>0</v>
      </c>
      <c r="J276" s="24">
        <v>0</v>
      </c>
      <c r="K276" s="24">
        <v>31</v>
      </c>
      <c r="L276" s="24">
        <v>14</v>
      </c>
      <c r="M276" s="24">
        <v>0</v>
      </c>
      <c r="N276" s="7"/>
      <c r="P276" s="23">
        <v>5</v>
      </c>
      <c r="Q276" s="104">
        <v>7</v>
      </c>
      <c r="R276" s="104">
        <v>0</v>
      </c>
      <c r="S276" s="104">
        <v>0</v>
      </c>
      <c r="T276" s="104">
        <v>21</v>
      </c>
      <c r="U276" s="105">
        <v>0</v>
      </c>
      <c r="V276" s="105">
        <v>0</v>
      </c>
      <c r="W276" s="105" t="s">
        <v>73</v>
      </c>
      <c r="X276" s="105">
        <v>0</v>
      </c>
      <c r="Y276" s="24">
        <v>0</v>
      </c>
      <c r="Z276" s="24">
        <v>0</v>
      </c>
      <c r="AA276" s="24">
        <v>25</v>
      </c>
      <c r="AB276" s="24">
        <v>91</v>
      </c>
      <c r="AC276" s="7"/>
    </row>
    <row r="277" spans="1:29">
      <c r="A277" s="23">
        <v>6</v>
      </c>
      <c r="B277" s="24">
        <v>1</v>
      </c>
      <c r="C277" s="24">
        <v>6</v>
      </c>
      <c r="D277" s="24">
        <v>0</v>
      </c>
      <c r="E277" s="24">
        <v>14</v>
      </c>
      <c r="F277" s="24">
        <v>0</v>
      </c>
      <c r="G277" s="24">
        <v>5</v>
      </c>
      <c r="H277" s="24">
        <v>0</v>
      </c>
      <c r="I277" s="24">
        <v>0</v>
      </c>
      <c r="J277" s="24">
        <v>28</v>
      </c>
      <c r="K277" s="24">
        <v>32</v>
      </c>
      <c r="L277" s="24">
        <v>0</v>
      </c>
      <c r="M277" s="24">
        <v>0</v>
      </c>
      <c r="N277" s="7"/>
      <c r="P277" s="23">
        <v>6</v>
      </c>
      <c r="Q277" s="104">
        <v>2</v>
      </c>
      <c r="R277" s="104">
        <v>24</v>
      </c>
      <c r="S277" s="104">
        <v>0</v>
      </c>
      <c r="T277" s="104">
        <v>44</v>
      </c>
      <c r="U277" s="105">
        <v>0</v>
      </c>
      <c r="V277" s="105">
        <v>0</v>
      </c>
      <c r="W277" s="105" t="s">
        <v>73</v>
      </c>
      <c r="X277" s="105">
        <v>0</v>
      </c>
      <c r="Y277" s="24">
        <v>0</v>
      </c>
      <c r="Z277" s="24">
        <v>0</v>
      </c>
      <c r="AA277" s="24">
        <v>34</v>
      </c>
      <c r="AB277" s="24">
        <v>0</v>
      </c>
      <c r="AC277" s="7"/>
    </row>
    <row r="278" spans="1:29">
      <c r="A278" s="23">
        <v>7</v>
      </c>
      <c r="B278" s="24">
        <v>0</v>
      </c>
      <c r="C278" s="24">
        <v>0</v>
      </c>
      <c r="D278" s="24">
        <v>0</v>
      </c>
      <c r="E278" s="24">
        <v>8</v>
      </c>
      <c r="F278" s="24">
        <v>0</v>
      </c>
      <c r="G278" s="24">
        <v>0</v>
      </c>
      <c r="H278" s="24">
        <v>0</v>
      </c>
      <c r="I278" s="24">
        <v>0</v>
      </c>
      <c r="J278" s="24">
        <v>0</v>
      </c>
      <c r="K278" s="24">
        <v>4</v>
      </c>
      <c r="L278" s="24">
        <v>0</v>
      </c>
      <c r="M278" s="24">
        <v>0</v>
      </c>
      <c r="N278" s="7"/>
      <c r="P278" s="23">
        <v>7</v>
      </c>
      <c r="Q278" s="104">
        <v>33</v>
      </c>
      <c r="R278" s="104">
        <v>0</v>
      </c>
      <c r="S278" s="104">
        <v>15</v>
      </c>
      <c r="T278" s="104">
        <v>0</v>
      </c>
      <c r="U278" s="105">
        <v>0</v>
      </c>
      <c r="V278" s="105">
        <v>0</v>
      </c>
      <c r="W278" s="105" t="s">
        <v>73</v>
      </c>
      <c r="X278" s="105">
        <v>0</v>
      </c>
      <c r="Y278" s="24">
        <v>0</v>
      </c>
      <c r="Z278" s="24">
        <v>0</v>
      </c>
      <c r="AA278" s="24">
        <v>64</v>
      </c>
      <c r="AB278" s="24">
        <v>0</v>
      </c>
      <c r="AC278" s="7"/>
    </row>
    <row r="279" spans="1:29">
      <c r="A279" s="23">
        <v>8</v>
      </c>
      <c r="B279" s="24">
        <v>0</v>
      </c>
      <c r="C279" s="24">
        <v>0</v>
      </c>
      <c r="D279" s="24">
        <v>15</v>
      </c>
      <c r="E279" s="24">
        <v>13</v>
      </c>
      <c r="F279" s="24">
        <v>0</v>
      </c>
      <c r="G279" s="24">
        <v>0</v>
      </c>
      <c r="H279" s="24">
        <v>0</v>
      </c>
      <c r="I279" s="24">
        <v>0</v>
      </c>
      <c r="J279" s="24">
        <v>40</v>
      </c>
      <c r="K279" s="24">
        <v>21</v>
      </c>
      <c r="L279" s="24">
        <v>0</v>
      </c>
      <c r="M279" s="24">
        <v>56</v>
      </c>
      <c r="N279" s="7"/>
      <c r="P279" s="23">
        <v>8</v>
      </c>
      <c r="Q279" s="104">
        <v>0</v>
      </c>
      <c r="R279" s="104">
        <v>0</v>
      </c>
      <c r="S279" s="104">
        <v>21</v>
      </c>
      <c r="T279" s="104">
        <v>5</v>
      </c>
      <c r="U279" s="105">
        <v>13</v>
      </c>
      <c r="V279" s="105">
        <v>28</v>
      </c>
      <c r="W279" s="105" t="s">
        <v>73</v>
      </c>
      <c r="X279" s="105">
        <v>0</v>
      </c>
      <c r="Y279" s="24">
        <v>0</v>
      </c>
      <c r="Z279" s="24">
        <v>8</v>
      </c>
      <c r="AA279" s="24">
        <v>0</v>
      </c>
      <c r="AB279" s="24">
        <v>0</v>
      </c>
      <c r="AC279" s="7"/>
    </row>
    <row r="280" spans="1:29">
      <c r="A280" s="23">
        <v>9</v>
      </c>
      <c r="B280" s="24">
        <v>0</v>
      </c>
      <c r="C280" s="24">
        <v>0</v>
      </c>
      <c r="D280" s="24">
        <v>0</v>
      </c>
      <c r="E280" s="24">
        <v>11</v>
      </c>
      <c r="F280" s="24">
        <v>4</v>
      </c>
      <c r="G280" s="24">
        <v>26</v>
      </c>
      <c r="H280" s="24">
        <v>13</v>
      </c>
      <c r="I280" s="24">
        <v>10</v>
      </c>
      <c r="J280" s="24">
        <v>0</v>
      </c>
      <c r="K280" s="24">
        <v>17</v>
      </c>
      <c r="L280" s="24">
        <v>0</v>
      </c>
      <c r="M280" s="24">
        <v>76</v>
      </c>
      <c r="N280" s="7"/>
      <c r="P280" s="23">
        <v>9</v>
      </c>
      <c r="Q280" s="104">
        <v>0</v>
      </c>
      <c r="R280" s="104">
        <v>0</v>
      </c>
      <c r="S280" s="104">
        <v>0</v>
      </c>
      <c r="T280" s="104">
        <v>77</v>
      </c>
      <c r="U280" s="105">
        <v>0</v>
      </c>
      <c r="V280" s="105">
        <v>0</v>
      </c>
      <c r="W280" s="105" t="s">
        <v>73</v>
      </c>
      <c r="X280" s="105">
        <v>0</v>
      </c>
      <c r="Y280" s="24">
        <v>21</v>
      </c>
      <c r="Z280" s="24">
        <v>0</v>
      </c>
      <c r="AA280" s="24">
        <v>0</v>
      </c>
      <c r="AB280" s="24">
        <v>83</v>
      </c>
      <c r="AC280" s="7"/>
    </row>
    <row r="281" spans="1:29">
      <c r="A281" s="23">
        <v>10</v>
      </c>
      <c r="B281" s="24">
        <v>2</v>
      </c>
      <c r="C281" s="24">
        <v>1</v>
      </c>
      <c r="D281" s="24">
        <v>4</v>
      </c>
      <c r="E281" s="24">
        <v>8</v>
      </c>
      <c r="F281" s="24">
        <v>0</v>
      </c>
      <c r="G281" s="24">
        <v>0</v>
      </c>
      <c r="H281" s="24">
        <v>28</v>
      </c>
      <c r="I281" s="24">
        <v>18</v>
      </c>
      <c r="J281" s="24">
        <v>0</v>
      </c>
      <c r="K281" s="24">
        <v>0</v>
      </c>
      <c r="L281" s="24">
        <v>0</v>
      </c>
      <c r="M281" s="24">
        <v>3</v>
      </c>
      <c r="N281" s="7"/>
      <c r="P281" s="23">
        <v>10</v>
      </c>
      <c r="Q281" s="104">
        <v>0</v>
      </c>
      <c r="R281" s="104">
        <v>0</v>
      </c>
      <c r="S281" s="104">
        <v>0</v>
      </c>
      <c r="T281" s="104">
        <v>43</v>
      </c>
      <c r="U281" s="105">
        <v>0</v>
      </c>
      <c r="V281" s="105">
        <v>0</v>
      </c>
      <c r="W281" s="105" t="s">
        <v>73</v>
      </c>
      <c r="X281" s="105">
        <v>0</v>
      </c>
      <c r="Y281" s="24">
        <v>5</v>
      </c>
      <c r="Z281" s="24">
        <v>0</v>
      </c>
      <c r="AA281" s="24">
        <v>7</v>
      </c>
      <c r="AB281" s="24">
        <v>0</v>
      </c>
      <c r="AC281" s="7"/>
    </row>
    <row r="282" spans="1:29">
      <c r="A282" s="23">
        <v>11</v>
      </c>
      <c r="B282" s="24">
        <v>0</v>
      </c>
      <c r="C282" s="24">
        <v>11</v>
      </c>
      <c r="D282" s="24">
        <v>3</v>
      </c>
      <c r="E282" s="24">
        <v>14</v>
      </c>
      <c r="F282" s="24">
        <v>12</v>
      </c>
      <c r="G282" s="24">
        <v>0</v>
      </c>
      <c r="H282" s="24">
        <v>43</v>
      </c>
      <c r="I282" s="24">
        <v>0</v>
      </c>
      <c r="J282" s="24">
        <v>0</v>
      </c>
      <c r="K282" s="24">
        <v>14</v>
      </c>
      <c r="L282" s="24">
        <v>7</v>
      </c>
      <c r="M282" s="24">
        <v>19</v>
      </c>
      <c r="N282" s="7"/>
      <c r="P282" s="23">
        <v>11</v>
      </c>
      <c r="Q282" s="104">
        <v>3</v>
      </c>
      <c r="R282" s="104">
        <v>0</v>
      </c>
      <c r="S282" s="104">
        <v>0</v>
      </c>
      <c r="T282" s="104">
        <v>3</v>
      </c>
      <c r="U282" s="105">
        <v>54</v>
      </c>
      <c r="V282" s="105">
        <v>0</v>
      </c>
      <c r="W282" s="105" t="s">
        <v>73</v>
      </c>
      <c r="X282" s="105">
        <v>0</v>
      </c>
      <c r="Y282" s="24">
        <v>0</v>
      </c>
      <c r="Z282" s="24">
        <v>0</v>
      </c>
      <c r="AA282" s="24">
        <v>3</v>
      </c>
      <c r="AB282" s="24">
        <v>0</v>
      </c>
      <c r="AC282" s="7"/>
    </row>
    <row r="283" spans="1:29">
      <c r="A283" s="23">
        <v>12</v>
      </c>
      <c r="B283" s="24">
        <v>0</v>
      </c>
      <c r="C283" s="24">
        <v>0</v>
      </c>
      <c r="D283" s="24">
        <v>1</v>
      </c>
      <c r="E283" s="24">
        <v>52</v>
      </c>
      <c r="F283" s="24">
        <v>3</v>
      </c>
      <c r="G283" s="24">
        <v>0</v>
      </c>
      <c r="H283" s="24">
        <v>43</v>
      </c>
      <c r="I283" s="24">
        <v>0</v>
      </c>
      <c r="J283" s="24">
        <v>12</v>
      </c>
      <c r="K283" s="24">
        <v>14</v>
      </c>
      <c r="L283" s="24">
        <v>17</v>
      </c>
      <c r="M283" s="24">
        <v>0</v>
      </c>
      <c r="N283" s="7"/>
      <c r="P283" s="23">
        <v>12</v>
      </c>
      <c r="Q283" s="104">
        <v>73</v>
      </c>
      <c r="R283" s="104">
        <v>0</v>
      </c>
      <c r="S283" s="104">
        <v>0</v>
      </c>
      <c r="T283" s="104">
        <v>0</v>
      </c>
      <c r="U283" s="105">
        <v>0</v>
      </c>
      <c r="V283" s="105">
        <v>0</v>
      </c>
      <c r="W283" s="105" t="s">
        <v>73</v>
      </c>
      <c r="X283" s="105">
        <v>0</v>
      </c>
      <c r="Y283" s="24">
        <v>0</v>
      </c>
      <c r="Z283" s="24">
        <v>100</v>
      </c>
      <c r="AA283" s="24">
        <v>0</v>
      </c>
      <c r="AB283" s="24">
        <v>0</v>
      </c>
      <c r="AC283" s="7"/>
    </row>
    <row r="284" spans="1:29">
      <c r="A284" s="23">
        <v>13</v>
      </c>
      <c r="B284" s="24">
        <v>0</v>
      </c>
      <c r="C284" s="24">
        <v>0</v>
      </c>
      <c r="D284" s="24">
        <v>27</v>
      </c>
      <c r="E284" s="24">
        <v>0</v>
      </c>
      <c r="F284" s="24">
        <v>0</v>
      </c>
      <c r="G284" s="24">
        <v>0</v>
      </c>
      <c r="H284" s="24">
        <v>0</v>
      </c>
      <c r="I284" s="24">
        <v>0</v>
      </c>
      <c r="J284" s="24">
        <v>13</v>
      </c>
      <c r="K284" s="24">
        <v>16</v>
      </c>
      <c r="L284" s="24">
        <v>0</v>
      </c>
      <c r="M284" s="24">
        <v>0</v>
      </c>
      <c r="N284" s="7"/>
      <c r="P284" s="23">
        <v>13</v>
      </c>
      <c r="Q284" s="104">
        <v>111</v>
      </c>
      <c r="R284" s="104">
        <v>0</v>
      </c>
      <c r="S284" s="104">
        <v>0</v>
      </c>
      <c r="T284" s="104">
        <v>21</v>
      </c>
      <c r="U284" s="105">
        <v>21</v>
      </c>
      <c r="V284" s="105">
        <v>0</v>
      </c>
      <c r="W284" s="105" t="s">
        <v>73</v>
      </c>
      <c r="X284" s="105">
        <v>0</v>
      </c>
      <c r="Y284" s="24">
        <v>0</v>
      </c>
      <c r="Z284" s="24">
        <v>9</v>
      </c>
      <c r="AA284" s="24">
        <v>0</v>
      </c>
      <c r="AB284" s="24">
        <v>0</v>
      </c>
      <c r="AC284" s="7"/>
    </row>
    <row r="285" spans="1:29">
      <c r="A285" s="23">
        <v>14</v>
      </c>
      <c r="B285" s="24">
        <v>0</v>
      </c>
      <c r="C285" s="24">
        <v>0</v>
      </c>
      <c r="D285" s="24">
        <v>0</v>
      </c>
      <c r="E285" s="24">
        <v>22</v>
      </c>
      <c r="F285" s="24">
        <v>0</v>
      </c>
      <c r="G285" s="24">
        <v>0</v>
      </c>
      <c r="H285" s="24">
        <v>0</v>
      </c>
      <c r="I285" s="24">
        <v>36</v>
      </c>
      <c r="J285" s="24">
        <v>17</v>
      </c>
      <c r="K285" s="24">
        <v>28</v>
      </c>
      <c r="L285" s="24">
        <v>0</v>
      </c>
      <c r="M285" s="24">
        <v>0</v>
      </c>
      <c r="N285" s="7"/>
      <c r="P285" s="23">
        <v>14</v>
      </c>
      <c r="Q285" s="104">
        <v>70</v>
      </c>
      <c r="R285" s="104">
        <v>0</v>
      </c>
      <c r="S285" s="104">
        <v>0</v>
      </c>
      <c r="T285" s="104">
        <v>4</v>
      </c>
      <c r="U285" s="105">
        <v>0</v>
      </c>
      <c r="V285" s="105">
        <v>0</v>
      </c>
      <c r="W285" s="105" t="s">
        <v>73</v>
      </c>
      <c r="X285" s="105">
        <v>0</v>
      </c>
      <c r="Y285" s="24">
        <v>0</v>
      </c>
      <c r="Z285" s="24">
        <v>115</v>
      </c>
      <c r="AA285" s="24">
        <v>8</v>
      </c>
      <c r="AB285" s="24">
        <v>0</v>
      </c>
      <c r="AC285" s="7"/>
    </row>
    <row r="286" spans="1:29">
      <c r="A286" s="23">
        <v>15</v>
      </c>
      <c r="B286" s="24">
        <v>0</v>
      </c>
      <c r="C286" s="24">
        <v>0</v>
      </c>
      <c r="D286" s="24">
        <v>0</v>
      </c>
      <c r="E286" s="24">
        <v>0</v>
      </c>
      <c r="F286" s="24">
        <v>0</v>
      </c>
      <c r="G286" s="24">
        <v>0</v>
      </c>
      <c r="H286" s="24">
        <v>25</v>
      </c>
      <c r="I286" s="24">
        <v>0</v>
      </c>
      <c r="J286" s="24">
        <v>23</v>
      </c>
      <c r="K286" s="24">
        <v>0</v>
      </c>
      <c r="L286" s="24">
        <v>0</v>
      </c>
      <c r="M286" s="24">
        <v>22</v>
      </c>
      <c r="N286" s="7"/>
      <c r="P286" s="23">
        <v>15</v>
      </c>
      <c r="Q286" s="104">
        <v>5</v>
      </c>
      <c r="R286" s="104">
        <v>0</v>
      </c>
      <c r="S286" s="104">
        <v>0</v>
      </c>
      <c r="T286" s="104">
        <v>9</v>
      </c>
      <c r="U286" s="105">
        <v>0</v>
      </c>
      <c r="V286" s="105">
        <v>0</v>
      </c>
      <c r="W286" s="105" t="s">
        <v>73</v>
      </c>
      <c r="X286" s="105">
        <v>0</v>
      </c>
      <c r="Y286" s="24">
        <v>0</v>
      </c>
      <c r="Z286" s="24">
        <v>0</v>
      </c>
      <c r="AA286" s="24">
        <v>0</v>
      </c>
      <c r="AB286" s="24">
        <v>0</v>
      </c>
      <c r="AC286" s="7"/>
    </row>
    <row r="287" spans="1:29">
      <c r="A287" s="23">
        <v>16</v>
      </c>
      <c r="B287" s="24">
        <v>0</v>
      </c>
      <c r="C287" s="24">
        <v>0</v>
      </c>
      <c r="D287" s="24">
        <v>23</v>
      </c>
      <c r="E287" s="24">
        <v>9</v>
      </c>
      <c r="F287" s="24">
        <v>0</v>
      </c>
      <c r="G287" s="24">
        <v>0</v>
      </c>
      <c r="H287" s="24">
        <v>11</v>
      </c>
      <c r="I287" s="24">
        <v>0</v>
      </c>
      <c r="J287" s="24">
        <v>0</v>
      </c>
      <c r="K287" s="24">
        <v>41</v>
      </c>
      <c r="L287" s="24">
        <v>0</v>
      </c>
      <c r="M287" s="24">
        <v>64</v>
      </c>
      <c r="N287" s="7"/>
      <c r="P287" s="23">
        <v>16</v>
      </c>
      <c r="Q287" s="104">
        <v>0</v>
      </c>
      <c r="R287" s="104">
        <v>0</v>
      </c>
      <c r="S287" s="104">
        <v>0</v>
      </c>
      <c r="T287" s="104">
        <v>5</v>
      </c>
      <c r="U287" s="105">
        <v>94</v>
      </c>
      <c r="V287" s="105">
        <v>0</v>
      </c>
      <c r="W287" s="105" t="s">
        <v>73</v>
      </c>
      <c r="X287" s="105">
        <v>0</v>
      </c>
      <c r="Y287" s="24">
        <v>0</v>
      </c>
      <c r="Z287" s="24">
        <v>0</v>
      </c>
      <c r="AA287" s="24">
        <v>23</v>
      </c>
      <c r="AB287" s="24">
        <v>0</v>
      </c>
      <c r="AC287" s="7"/>
    </row>
    <row r="288" spans="1:29">
      <c r="A288" s="23">
        <v>17</v>
      </c>
      <c r="B288" s="24">
        <v>0</v>
      </c>
      <c r="C288" s="24">
        <v>0</v>
      </c>
      <c r="D288" s="24">
        <v>0</v>
      </c>
      <c r="E288" s="24">
        <v>2</v>
      </c>
      <c r="F288" s="24">
        <v>0</v>
      </c>
      <c r="G288" s="24">
        <v>0</v>
      </c>
      <c r="H288" s="24">
        <v>1</v>
      </c>
      <c r="I288" s="24">
        <v>0</v>
      </c>
      <c r="J288" s="24">
        <v>0</v>
      </c>
      <c r="K288" s="24">
        <v>4</v>
      </c>
      <c r="L288" s="24">
        <v>0</v>
      </c>
      <c r="M288" s="24">
        <v>14</v>
      </c>
      <c r="N288" s="7"/>
      <c r="P288" s="23">
        <v>17</v>
      </c>
      <c r="Q288" s="104">
        <v>0</v>
      </c>
      <c r="R288" s="104">
        <v>0</v>
      </c>
      <c r="S288" s="104">
        <v>0</v>
      </c>
      <c r="T288" s="104">
        <v>8</v>
      </c>
      <c r="U288" s="105">
        <v>0</v>
      </c>
      <c r="V288" s="105">
        <v>0</v>
      </c>
      <c r="W288" s="105" t="s">
        <v>73</v>
      </c>
      <c r="X288" s="105">
        <v>0</v>
      </c>
      <c r="Y288" s="24">
        <v>0</v>
      </c>
      <c r="Z288" s="24">
        <v>0</v>
      </c>
      <c r="AA288" s="24">
        <v>0</v>
      </c>
      <c r="AB288" s="24">
        <v>0</v>
      </c>
      <c r="AC288" s="7"/>
    </row>
    <row r="289" spans="1:29">
      <c r="A289" s="23">
        <v>18</v>
      </c>
      <c r="B289" s="24">
        <v>0</v>
      </c>
      <c r="C289" s="24">
        <v>0</v>
      </c>
      <c r="D289" s="24">
        <v>0</v>
      </c>
      <c r="E289" s="24">
        <v>0</v>
      </c>
      <c r="F289" s="24">
        <v>0</v>
      </c>
      <c r="G289" s="24">
        <v>0</v>
      </c>
      <c r="H289" s="24">
        <v>0</v>
      </c>
      <c r="I289" s="24">
        <v>70</v>
      </c>
      <c r="J289" s="24">
        <v>0</v>
      </c>
      <c r="K289" s="24">
        <v>0</v>
      </c>
      <c r="L289" s="24">
        <v>5</v>
      </c>
      <c r="M289" s="24">
        <v>0</v>
      </c>
      <c r="N289" s="7"/>
      <c r="P289" s="23">
        <v>18</v>
      </c>
      <c r="Q289" s="104">
        <v>0</v>
      </c>
      <c r="R289" s="104">
        <v>0</v>
      </c>
      <c r="S289" s="104">
        <v>0</v>
      </c>
      <c r="T289" s="104">
        <v>0</v>
      </c>
      <c r="U289" s="105">
        <v>0</v>
      </c>
      <c r="V289" s="105">
        <v>0</v>
      </c>
      <c r="W289" s="105" t="s">
        <v>73</v>
      </c>
      <c r="X289" s="105">
        <v>0</v>
      </c>
      <c r="Y289" s="24">
        <v>0</v>
      </c>
      <c r="Z289" s="24">
        <v>20</v>
      </c>
      <c r="AA289" s="24">
        <v>0</v>
      </c>
      <c r="AB289" s="24">
        <v>0</v>
      </c>
      <c r="AC289" s="7"/>
    </row>
    <row r="290" spans="1:29">
      <c r="A290" s="23">
        <v>19</v>
      </c>
      <c r="B290" s="24">
        <v>0</v>
      </c>
      <c r="C290" s="24">
        <v>0</v>
      </c>
      <c r="D290" s="24">
        <v>31</v>
      </c>
      <c r="E290" s="24">
        <v>2</v>
      </c>
      <c r="F290" s="24">
        <v>0</v>
      </c>
      <c r="G290" s="24">
        <v>2</v>
      </c>
      <c r="H290" s="24">
        <v>13</v>
      </c>
      <c r="I290" s="24">
        <v>5</v>
      </c>
      <c r="J290" s="24">
        <v>1</v>
      </c>
      <c r="K290" s="24">
        <v>32</v>
      </c>
      <c r="L290" s="24">
        <v>0</v>
      </c>
      <c r="M290" s="24">
        <v>0</v>
      </c>
      <c r="N290" s="7"/>
      <c r="P290" s="23">
        <v>19</v>
      </c>
      <c r="Q290" s="104">
        <v>0</v>
      </c>
      <c r="R290" s="104">
        <v>0</v>
      </c>
      <c r="S290" s="104">
        <v>0</v>
      </c>
      <c r="T290" s="104">
        <v>0</v>
      </c>
      <c r="U290" s="105">
        <v>0</v>
      </c>
      <c r="V290" s="105">
        <v>0</v>
      </c>
      <c r="W290" s="105" t="s">
        <v>73</v>
      </c>
      <c r="X290" s="105">
        <v>0</v>
      </c>
      <c r="Y290" s="24">
        <v>22</v>
      </c>
      <c r="Z290" s="24">
        <v>21</v>
      </c>
      <c r="AA290" s="24">
        <v>28</v>
      </c>
      <c r="AB290" s="24">
        <v>0</v>
      </c>
      <c r="AC290" s="7"/>
    </row>
    <row r="291" spans="1:29">
      <c r="A291" s="23">
        <v>20</v>
      </c>
      <c r="B291" s="24">
        <v>0</v>
      </c>
      <c r="C291" s="24">
        <v>0</v>
      </c>
      <c r="D291" s="24">
        <v>0</v>
      </c>
      <c r="E291" s="24">
        <v>14</v>
      </c>
      <c r="F291" s="24">
        <v>0</v>
      </c>
      <c r="G291" s="24">
        <v>0</v>
      </c>
      <c r="H291" s="24">
        <v>0</v>
      </c>
      <c r="I291" s="24">
        <v>0</v>
      </c>
      <c r="J291" s="24">
        <v>0</v>
      </c>
      <c r="K291" s="24">
        <v>8</v>
      </c>
      <c r="L291" s="24">
        <v>102</v>
      </c>
      <c r="M291" s="24">
        <v>0</v>
      </c>
      <c r="N291" s="7"/>
      <c r="P291" s="23">
        <v>20</v>
      </c>
      <c r="Q291" s="104">
        <v>4</v>
      </c>
      <c r="R291" s="104">
        <v>0</v>
      </c>
      <c r="S291" s="104">
        <v>0</v>
      </c>
      <c r="T291" s="104">
        <v>5</v>
      </c>
      <c r="U291" s="105">
        <v>0</v>
      </c>
      <c r="V291" s="105">
        <v>0</v>
      </c>
      <c r="W291" s="105" t="s">
        <v>73</v>
      </c>
      <c r="X291" s="105">
        <v>0</v>
      </c>
      <c r="Y291" s="24">
        <v>0</v>
      </c>
      <c r="Z291" s="24">
        <v>0</v>
      </c>
      <c r="AA291" s="24">
        <v>0</v>
      </c>
      <c r="AB291" s="24">
        <v>0</v>
      </c>
      <c r="AC291" s="7"/>
    </row>
    <row r="292" spans="1:29">
      <c r="A292" s="23">
        <v>21</v>
      </c>
      <c r="B292" s="24">
        <v>0</v>
      </c>
      <c r="C292" s="24">
        <v>3</v>
      </c>
      <c r="D292" s="24">
        <v>19</v>
      </c>
      <c r="E292" s="24">
        <v>26</v>
      </c>
      <c r="F292" s="24">
        <v>0</v>
      </c>
      <c r="G292" s="24">
        <v>0</v>
      </c>
      <c r="H292" s="24">
        <v>30</v>
      </c>
      <c r="I292" s="24">
        <v>0</v>
      </c>
      <c r="J292" s="24">
        <v>34</v>
      </c>
      <c r="K292" s="24">
        <v>0</v>
      </c>
      <c r="L292" s="24">
        <v>0</v>
      </c>
      <c r="M292" s="24">
        <v>0</v>
      </c>
      <c r="N292" s="7"/>
      <c r="P292" s="23">
        <v>21</v>
      </c>
      <c r="Q292" s="104">
        <v>0</v>
      </c>
      <c r="R292" s="104">
        <v>0</v>
      </c>
      <c r="S292" s="104">
        <v>0</v>
      </c>
      <c r="T292" s="104">
        <v>9</v>
      </c>
      <c r="U292" s="105">
        <v>72</v>
      </c>
      <c r="V292" s="105">
        <v>0</v>
      </c>
      <c r="W292" s="105" t="s">
        <v>73</v>
      </c>
      <c r="X292" s="105">
        <v>0</v>
      </c>
      <c r="Y292" s="24">
        <v>0</v>
      </c>
      <c r="Z292" s="24">
        <v>20</v>
      </c>
      <c r="AA292" s="24">
        <v>0</v>
      </c>
      <c r="AB292" s="24">
        <v>0</v>
      </c>
      <c r="AC292" s="7"/>
    </row>
    <row r="293" spans="1:29">
      <c r="A293" s="23">
        <v>22</v>
      </c>
      <c r="B293" s="24">
        <v>0</v>
      </c>
      <c r="C293" s="24">
        <v>0</v>
      </c>
      <c r="D293" s="24">
        <v>0</v>
      </c>
      <c r="E293" s="24">
        <v>0</v>
      </c>
      <c r="F293" s="24">
        <v>0</v>
      </c>
      <c r="G293" s="24">
        <v>0</v>
      </c>
      <c r="H293" s="24">
        <v>48</v>
      </c>
      <c r="I293" s="24">
        <v>14</v>
      </c>
      <c r="J293" s="24">
        <v>0</v>
      </c>
      <c r="K293" s="24">
        <v>61</v>
      </c>
      <c r="L293" s="24">
        <v>0</v>
      </c>
      <c r="M293" s="24">
        <v>16</v>
      </c>
      <c r="N293" s="7"/>
      <c r="P293" s="23">
        <v>22</v>
      </c>
      <c r="Q293" s="104">
        <v>0</v>
      </c>
      <c r="R293" s="104">
        <v>0</v>
      </c>
      <c r="S293" s="104">
        <v>0</v>
      </c>
      <c r="T293" s="104">
        <v>4</v>
      </c>
      <c r="U293" s="105">
        <v>43</v>
      </c>
      <c r="V293" s="105">
        <v>0</v>
      </c>
      <c r="W293" s="105" t="s">
        <v>73</v>
      </c>
      <c r="X293" s="105">
        <v>0</v>
      </c>
      <c r="Y293" s="24">
        <v>0</v>
      </c>
      <c r="Z293" s="24">
        <v>0</v>
      </c>
      <c r="AA293" s="24">
        <v>0</v>
      </c>
      <c r="AB293" s="24">
        <v>0</v>
      </c>
      <c r="AC293" s="7"/>
    </row>
    <row r="294" spans="1:29">
      <c r="A294" s="23">
        <v>23</v>
      </c>
      <c r="B294" s="24">
        <v>0</v>
      </c>
      <c r="C294" s="24">
        <v>0</v>
      </c>
      <c r="D294" s="24">
        <v>0</v>
      </c>
      <c r="E294" s="24">
        <v>13</v>
      </c>
      <c r="F294" s="24">
        <v>37</v>
      </c>
      <c r="G294" s="24">
        <v>0</v>
      </c>
      <c r="H294" s="24">
        <v>1</v>
      </c>
      <c r="I294" s="24">
        <v>30</v>
      </c>
      <c r="J294" s="24">
        <v>26</v>
      </c>
      <c r="K294" s="24">
        <v>60</v>
      </c>
      <c r="L294" s="24">
        <v>0</v>
      </c>
      <c r="M294" s="24">
        <v>0</v>
      </c>
      <c r="N294" s="7"/>
      <c r="P294" s="23">
        <v>23</v>
      </c>
      <c r="Q294" s="104">
        <v>0</v>
      </c>
      <c r="R294" s="104">
        <v>4</v>
      </c>
      <c r="S294" s="104">
        <v>0</v>
      </c>
      <c r="T294" s="104">
        <v>5</v>
      </c>
      <c r="U294" s="105">
        <v>0</v>
      </c>
      <c r="V294" s="105">
        <v>105</v>
      </c>
      <c r="W294" s="105" t="s">
        <v>73</v>
      </c>
      <c r="X294" s="105">
        <v>0</v>
      </c>
      <c r="Y294" s="24">
        <v>0</v>
      </c>
      <c r="Z294" s="24">
        <v>0</v>
      </c>
      <c r="AA294" s="24">
        <v>6</v>
      </c>
      <c r="AB294" s="24">
        <v>0</v>
      </c>
      <c r="AC294" s="7"/>
    </row>
    <row r="295" spans="1:29">
      <c r="A295" s="23">
        <v>24</v>
      </c>
      <c r="B295" s="24">
        <v>11</v>
      </c>
      <c r="C295" s="24">
        <v>0</v>
      </c>
      <c r="D295" s="24">
        <v>1</v>
      </c>
      <c r="E295" s="24">
        <v>2</v>
      </c>
      <c r="F295" s="24">
        <v>76</v>
      </c>
      <c r="G295" s="24">
        <v>0</v>
      </c>
      <c r="H295" s="24">
        <v>0</v>
      </c>
      <c r="I295" s="24">
        <v>0</v>
      </c>
      <c r="J295" s="24">
        <v>0</v>
      </c>
      <c r="K295" s="24">
        <v>68</v>
      </c>
      <c r="L295" s="24">
        <v>0</v>
      </c>
      <c r="M295" s="24">
        <v>0</v>
      </c>
      <c r="N295" s="7"/>
      <c r="P295" s="23">
        <v>24</v>
      </c>
      <c r="Q295" s="104">
        <v>0</v>
      </c>
      <c r="R295" s="104">
        <v>12</v>
      </c>
      <c r="S295" s="104">
        <v>0</v>
      </c>
      <c r="T295" s="104">
        <v>0</v>
      </c>
      <c r="U295" s="105">
        <v>0</v>
      </c>
      <c r="V295" s="105">
        <v>66</v>
      </c>
      <c r="W295" s="105" t="s">
        <v>73</v>
      </c>
      <c r="X295" s="105">
        <v>0</v>
      </c>
      <c r="Y295" s="24">
        <v>33</v>
      </c>
      <c r="Z295" s="24">
        <v>0</v>
      </c>
      <c r="AA295" s="24">
        <v>0</v>
      </c>
      <c r="AB295" s="24">
        <v>0</v>
      </c>
      <c r="AC295" s="7"/>
    </row>
    <row r="296" spans="1:29">
      <c r="A296" s="23">
        <v>25</v>
      </c>
      <c r="B296" s="24">
        <v>2</v>
      </c>
      <c r="C296" s="24">
        <v>0</v>
      </c>
      <c r="D296" s="24">
        <v>0</v>
      </c>
      <c r="E296" s="24">
        <v>73</v>
      </c>
      <c r="F296" s="24">
        <v>0</v>
      </c>
      <c r="G296" s="24">
        <v>0</v>
      </c>
      <c r="H296" s="24">
        <v>0</v>
      </c>
      <c r="I296" s="24">
        <v>17</v>
      </c>
      <c r="J296" s="24">
        <v>0</v>
      </c>
      <c r="K296" s="24">
        <v>10</v>
      </c>
      <c r="L296" s="24">
        <v>21</v>
      </c>
      <c r="M296" s="24">
        <v>42</v>
      </c>
      <c r="N296" s="7"/>
      <c r="P296" s="23">
        <v>25</v>
      </c>
      <c r="Q296" s="104">
        <v>0</v>
      </c>
      <c r="R296" s="104">
        <v>0</v>
      </c>
      <c r="S296" s="104">
        <v>0</v>
      </c>
      <c r="T296" s="104">
        <v>0</v>
      </c>
      <c r="U296" s="105">
        <v>0</v>
      </c>
      <c r="V296" s="105">
        <v>80</v>
      </c>
      <c r="W296" s="105" t="s">
        <v>73</v>
      </c>
      <c r="X296" s="105">
        <v>0</v>
      </c>
      <c r="Y296" s="24">
        <v>0</v>
      </c>
      <c r="Z296" s="24">
        <v>25</v>
      </c>
      <c r="AA296" s="24">
        <v>30</v>
      </c>
      <c r="AB296" s="24">
        <v>0</v>
      </c>
      <c r="AC296" s="7"/>
    </row>
    <row r="297" spans="1:29">
      <c r="A297" s="23">
        <v>26</v>
      </c>
      <c r="B297" s="24">
        <v>37</v>
      </c>
      <c r="C297" s="24">
        <v>0</v>
      </c>
      <c r="D297" s="24">
        <v>0</v>
      </c>
      <c r="E297" s="24">
        <v>0</v>
      </c>
      <c r="F297" s="24">
        <v>0</v>
      </c>
      <c r="G297" s="24">
        <v>0</v>
      </c>
      <c r="H297" s="24">
        <v>29</v>
      </c>
      <c r="I297" s="24">
        <v>6</v>
      </c>
      <c r="J297" s="24">
        <v>0</v>
      </c>
      <c r="K297" s="24">
        <v>1</v>
      </c>
      <c r="L297" s="24">
        <v>0</v>
      </c>
      <c r="M297" s="24">
        <v>47</v>
      </c>
      <c r="N297" s="7"/>
      <c r="P297" s="23">
        <v>26</v>
      </c>
      <c r="Q297" s="104">
        <v>8</v>
      </c>
      <c r="R297" s="104">
        <v>0</v>
      </c>
      <c r="S297" s="104">
        <v>0</v>
      </c>
      <c r="T297" s="104">
        <v>0</v>
      </c>
      <c r="U297" s="105">
        <v>0</v>
      </c>
      <c r="V297" s="105">
        <v>16</v>
      </c>
      <c r="W297" s="105" t="s">
        <v>73</v>
      </c>
      <c r="X297" s="105">
        <v>0</v>
      </c>
      <c r="Y297" s="24">
        <v>13</v>
      </c>
      <c r="Z297" s="24">
        <v>2</v>
      </c>
      <c r="AA297" s="24">
        <v>0</v>
      </c>
      <c r="AB297" s="24">
        <v>0</v>
      </c>
      <c r="AC297" s="7"/>
    </row>
    <row r="298" spans="1:29">
      <c r="A298" s="23">
        <v>27</v>
      </c>
      <c r="B298" s="24">
        <v>0</v>
      </c>
      <c r="C298" s="24">
        <v>0</v>
      </c>
      <c r="D298" s="24">
        <v>0</v>
      </c>
      <c r="E298" s="24">
        <v>1</v>
      </c>
      <c r="F298" s="24">
        <v>106</v>
      </c>
      <c r="G298" s="24">
        <v>0</v>
      </c>
      <c r="H298" s="24">
        <v>0</v>
      </c>
      <c r="I298" s="24">
        <v>10</v>
      </c>
      <c r="J298" s="24">
        <v>0</v>
      </c>
      <c r="K298" s="24">
        <v>1</v>
      </c>
      <c r="L298" s="24">
        <v>57</v>
      </c>
      <c r="M298" s="24">
        <v>0</v>
      </c>
      <c r="N298" s="7"/>
      <c r="P298" s="23">
        <v>27</v>
      </c>
      <c r="Q298" s="104">
        <v>0</v>
      </c>
      <c r="R298" s="104">
        <v>35</v>
      </c>
      <c r="S298" s="104">
        <v>0</v>
      </c>
      <c r="T298" s="104">
        <v>0</v>
      </c>
      <c r="U298" s="105">
        <v>54</v>
      </c>
      <c r="V298" s="105">
        <v>0</v>
      </c>
      <c r="W298" s="105" t="s">
        <v>73</v>
      </c>
      <c r="X298" s="105">
        <v>0</v>
      </c>
      <c r="Y298" s="24">
        <v>0</v>
      </c>
      <c r="Z298" s="24">
        <v>0</v>
      </c>
      <c r="AA298" s="24">
        <v>0</v>
      </c>
      <c r="AB298" s="24">
        <v>0</v>
      </c>
      <c r="AC298" s="7"/>
    </row>
    <row r="299" spans="1:29">
      <c r="A299" s="23">
        <v>28</v>
      </c>
      <c r="B299" s="24">
        <v>31</v>
      </c>
      <c r="C299" s="24">
        <v>3</v>
      </c>
      <c r="D299" s="24">
        <v>0</v>
      </c>
      <c r="E299" s="24">
        <v>0</v>
      </c>
      <c r="F299" s="24">
        <v>0</v>
      </c>
      <c r="G299" s="24">
        <v>109</v>
      </c>
      <c r="H299" s="24">
        <v>6</v>
      </c>
      <c r="I299" s="24">
        <v>38</v>
      </c>
      <c r="J299" s="24">
        <v>0</v>
      </c>
      <c r="K299" s="24">
        <v>0</v>
      </c>
      <c r="L299" s="24">
        <v>0</v>
      </c>
      <c r="M299" s="24">
        <v>0</v>
      </c>
      <c r="N299" s="7"/>
      <c r="P299" s="23">
        <v>28</v>
      </c>
      <c r="Q299" s="104">
        <v>0</v>
      </c>
      <c r="R299" s="104">
        <v>8</v>
      </c>
      <c r="S299" s="104">
        <v>0</v>
      </c>
      <c r="T299" s="104">
        <v>5</v>
      </c>
      <c r="U299" s="105">
        <v>0</v>
      </c>
      <c r="V299" s="105">
        <v>0</v>
      </c>
      <c r="W299" s="105" t="s">
        <v>73</v>
      </c>
      <c r="X299" s="105">
        <v>10</v>
      </c>
      <c r="Y299" s="24">
        <v>0</v>
      </c>
      <c r="Z299" s="24">
        <v>12</v>
      </c>
      <c r="AA299" s="24">
        <v>0</v>
      </c>
      <c r="AB299" s="24">
        <v>0</v>
      </c>
      <c r="AC299" s="7"/>
    </row>
    <row r="300" spans="1:29">
      <c r="A300" s="23">
        <v>29</v>
      </c>
      <c r="B300" s="24">
        <v>0</v>
      </c>
      <c r="C300" s="24"/>
      <c r="D300" s="24">
        <v>0</v>
      </c>
      <c r="E300" s="24">
        <v>0</v>
      </c>
      <c r="F300" s="24">
        <v>0</v>
      </c>
      <c r="G300" s="24">
        <v>0</v>
      </c>
      <c r="H300" s="24">
        <v>0</v>
      </c>
      <c r="I300" s="24">
        <v>7</v>
      </c>
      <c r="J300" s="24">
        <v>0</v>
      </c>
      <c r="K300" s="24">
        <v>0</v>
      </c>
      <c r="L300" s="24">
        <v>0</v>
      </c>
      <c r="M300" s="24">
        <v>0</v>
      </c>
      <c r="N300" s="7"/>
      <c r="P300" s="23">
        <v>29</v>
      </c>
      <c r="Q300" s="104">
        <v>0</v>
      </c>
      <c r="R300" s="104"/>
      <c r="S300" s="104">
        <v>0</v>
      </c>
      <c r="T300" s="104">
        <v>5</v>
      </c>
      <c r="U300" s="105">
        <v>47</v>
      </c>
      <c r="V300" s="105">
        <v>80</v>
      </c>
      <c r="W300" s="105" t="s">
        <v>73</v>
      </c>
      <c r="X300" s="105">
        <v>12</v>
      </c>
      <c r="Y300" s="24">
        <v>33</v>
      </c>
      <c r="Z300" s="24">
        <v>0</v>
      </c>
      <c r="AA300" s="24">
        <v>59</v>
      </c>
      <c r="AB300" s="24">
        <v>0</v>
      </c>
      <c r="AC300" s="7"/>
    </row>
    <row r="301" spans="1:29">
      <c r="A301" s="23">
        <v>30</v>
      </c>
      <c r="B301" s="24">
        <v>0</v>
      </c>
      <c r="C301" s="24"/>
      <c r="D301" s="24">
        <v>0</v>
      </c>
      <c r="E301" s="24">
        <v>7</v>
      </c>
      <c r="F301" s="24">
        <v>0</v>
      </c>
      <c r="G301" s="24">
        <v>58</v>
      </c>
      <c r="H301" s="24">
        <v>0</v>
      </c>
      <c r="I301" s="24">
        <v>11</v>
      </c>
      <c r="J301" s="24">
        <v>0</v>
      </c>
      <c r="K301" s="24">
        <v>0</v>
      </c>
      <c r="L301" s="24">
        <v>0</v>
      </c>
      <c r="M301" s="24">
        <v>2</v>
      </c>
      <c r="N301" s="7"/>
      <c r="P301" s="23">
        <v>30</v>
      </c>
      <c r="Q301" s="104">
        <v>30</v>
      </c>
      <c r="R301" s="104"/>
      <c r="S301" s="104">
        <v>0</v>
      </c>
      <c r="T301" s="104">
        <v>7</v>
      </c>
      <c r="U301" s="105">
        <v>0</v>
      </c>
      <c r="V301" s="105">
        <v>83</v>
      </c>
      <c r="W301" s="105" t="s">
        <v>73</v>
      </c>
      <c r="X301" s="105">
        <v>42</v>
      </c>
      <c r="Y301" s="24">
        <v>0</v>
      </c>
      <c r="Z301" s="24">
        <v>0</v>
      </c>
      <c r="AA301" s="24">
        <v>3</v>
      </c>
      <c r="AB301" s="24">
        <v>0</v>
      </c>
      <c r="AC301" s="7"/>
    </row>
    <row r="302" spans="1:29">
      <c r="A302" s="23">
        <v>31</v>
      </c>
      <c r="B302" s="24">
        <v>5</v>
      </c>
      <c r="C302" s="24"/>
      <c r="D302" s="24">
        <v>0</v>
      </c>
      <c r="E302" s="24"/>
      <c r="F302" s="24">
        <v>0</v>
      </c>
      <c r="G302" s="24"/>
      <c r="H302" s="24">
        <v>0</v>
      </c>
      <c r="I302" s="24">
        <v>90</v>
      </c>
      <c r="J302" s="24"/>
      <c r="K302" s="24">
        <v>0</v>
      </c>
      <c r="L302" s="24"/>
      <c r="M302" s="24">
        <v>0</v>
      </c>
      <c r="N302" s="7"/>
      <c r="P302" s="23">
        <v>31</v>
      </c>
      <c r="Q302" s="104">
        <v>0</v>
      </c>
      <c r="R302" s="104"/>
      <c r="S302" s="104">
        <v>0</v>
      </c>
      <c r="T302" s="104"/>
      <c r="U302" s="105">
        <v>0</v>
      </c>
      <c r="V302" s="105"/>
      <c r="W302" s="105" t="s">
        <v>73</v>
      </c>
      <c r="X302" s="105">
        <v>0</v>
      </c>
      <c r="Y302" s="24"/>
      <c r="Z302" s="24">
        <v>92</v>
      </c>
      <c r="AA302" s="24"/>
      <c r="AB302" s="24">
        <v>0</v>
      </c>
      <c r="AC302" s="7"/>
    </row>
    <row r="303" spans="1:29">
      <c r="A303" s="88"/>
      <c r="B303" s="89"/>
      <c r="C303" s="89"/>
      <c r="D303" s="89"/>
      <c r="E303" s="90"/>
      <c r="F303" s="89"/>
      <c r="G303" s="89"/>
      <c r="H303" s="89"/>
      <c r="I303" s="89"/>
      <c r="J303" s="89"/>
      <c r="K303" s="89"/>
      <c r="L303" s="89"/>
      <c r="M303" s="91"/>
      <c r="N303" s="7"/>
      <c r="P303" s="88"/>
      <c r="Q303" s="89"/>
      <c r="R303" s="89"/>
      <c r="S303" s="89"/>
      <c r="T303" s="90"/>
      <c r="U303" s="89"/>
      <c r="V303" s="89"/>
      <c r="W303" s="89"/>
      <c r="X303" s="89"/>
      <c r="Y303" s="89"/>
      <c r="Z303" s="89"/>
      <c r="AA303" s="89"/>
      <c r="AB303" s="91"/>
      <c r="AC303" s="7"/>
    </row>
    <row r="304" spans="1:29">
      <c r="A304" s="25" t="s">
        <v>65</v>
      </c>
      <c r="B304" s="92">
        <f>SUM(B272:B302)</f>
        <v>123</v>
      </c>
      <c r="C304" s="92">
        <f t="shared" ref="C304:M304" si="24">SUM(C272:C302)</f>
        <v>52</v>
      </c>
      <c r="D304" s="92">
        <f t="shared" si="24"/>
        <v>209</v>
      </c>
      <c r="E304" s="92">
        <f t="shared" si="24"/>
        <v>291</v>
      </c>
      <c r="F304" s="92">
        <f>SUM(F272:F302)</f>
        <v>254</v>
      </c>
      <c r="G304" s="92">
        <f t="shared" si="24"/>
        <v>237</v>
      </c>
      <c r="H304" s="92">
        <f t="shared" si="24"/>
        <v>309</v>
      </c>
      <c r="I304" s="92">
        <f t="shared" si="24"/>
        <v>362</v>
      </c>
      <c r="J304" s="92">
        <f t="shared" si="24"/>
        <v>213</v>
      </c>
      <c r="K304" s="92">
        <f t="shared" si="24"/>
        <v>561</v>
      </c>
      <c r="L304" s="92">
        <f t="shared" si="24"/>
        <v>224</v>
      </c>
      <c r="M304" s="93">
        <f t="shared" si="24"/>
        <v>376</v>
      </c>
      <c r="N304" s="9">
        <f>SUM(B304:M304)</f>
        <v>3211</v>
      </c>
      <c r="P304" s="25" t="s">
        <v>65</v>
      </c>
      <c r="Q304" s="92">
        <f>SUM(Q272:Q302)</f>
        <v>346</v>
      </c>
      <c r="R304" s="92">
        <f t="shared" ref="R304:AB304" si="25">SUM(R272:R302)</f>
        <v>88</v>
      </c>
      <c r="S304" s="92">
        <f t="shared" si="25"/>
        <v>36</v>
      </c>
      <c r="T304" s="92">
        <f t="shared" si="25"/>
        <v>280</v>
      </c>
      <c r="U304" s="92">
        <f t="shared" si="25"/>
        <v>440</v>
      </c>
      <c r="V304" s="92">
        <f t="shared" si="25"/>
        <v>475</v>
      </c>
      <c r="W304" s="92">
        <f t="shared" si="25"/>
        <v>0</v>
      </c>
      <c r="X304" s="92">
        <f t="shared" si="25"/>
        <v>64</v>
      </c>
      <c r="Y304" s="92">
        <f t="shared" si="25"/>
        <v>159</v>
      </c>
      <c r="Z304" s="92">
        <f t="shared" si="25"/>
        <v>541</v>
      </c>
      <c r="AA304" s="92">
        <f t="shared" si="25"/>
        <v>303</v>
      </c>
      <c r="AB304" s="30">
        <f t="shared" si="25"/>
        <v>242</v>
      </c>
      <c r="AC304" s="9">
        <f>SUM(Q304:AB304)</f>
        <v>2974</v>
      </c>
    </row>
    <row r="305" spans="1:29">
      <c r="A305" s="88" t="s">
        <v>66</v>
      </c>
      <c r="B305" s="94">
        <f>MAX(B272:B302)</f>
        <v>37</v>
      </c>
      <c r="C305" s="94">
        <f t="shared" ref="C305:M305" si="26">MAX(C272:C302)</f>
        <v>11</v>
      </c>
      <c r="D305" s="94">
        <f t="shared" si="26"/>
        <v>34</v>
      </c>
      <c r="E305" s="94">
        <f t="shared" si="26"/>
        <v>73</v>
      </c>
      <c r="F305" s="94">
        <f t="shared" si="26"/>
        <v>106</v>
      </c>
      <c r="G305" s="94">
        <f t="shared" si="26"/>
        <v>109</v>
      </c>
      <c r="H305" s="94">
        <f t="shared" si="26"/>
        <v>48</v>
      </c>
      <c r="I305" s="94">
        <f t="shared" si="26"/>
        <v>90</v>
      </c>
      <c r="J305" s="94">
        <f t="shared" si="26"/>
        <v>40</v>
      </c>
      <c r="K305" s="94">
        <f t="shared" si="26"/>
        <v>76</v>
      </c>
      <c r="L305" s="94">
        <f t="shared" si="26"/>
        <v>102</v>
      </c>
      <c r="M305" s="30">
        <f t="shared" si="26"/>
        <v>76</v>
      </c>
      <c r="N305" s="9">
        <f>MAX(B305:M305)</f>
        <v>109</v>
      </c>
      <c r="P305" s="88" t="s">
        <v>66</v>
      </c>
      <c r="Q305" s="94">
        <f t="shared" ref="Q305:AB305" si="27">MAX(Q272:Q302)</f>
        <v>111</v>
      </c>
      <c r="R305" s="94">
        <f t="shared" si="27"/>
        <v>35</v>
      </c>
      <c r="S305" s="94">
        <f t="shared" si="27"/>
        <v>21</v>
      </c>
      <c r="T305" s="94">
        <f t="shared" si="27"/>
        <v>77</v>
      </c>
      <c r="U305" s="94">
        <f t="shared" si="27"/>
        <v>94</v>
      </c>
      <c r="V305" s="94">
        <f t="shared" si="27"/>
        <v>105</v>
      </c>
      <c r="W305" s="94">
        <f t="shared" si="27"/>
        <v>0</v>
      </c>
      <c r="X305" s="94">
        <f t="shared" si="27"/>
        <v>42</v>
      </c>
      <c r="Y305" s="94">
        <f t="shared" si="27"/>
        <v>33</v>
      </c>
      <c r="Z305" s="94">
        <f t="shared" si="27"/>
        <v>115</v>
      </c>
      <c r="AA305" s="94">
        <f t="shared" si="27"/>
        <v>64</v>
      </c>
      <c r="AB305" s="30">
        <f t="shared" si="27"/>
        <v>91</v>
      </c>
      <c r="AC305" s="9">
        <f>MAX(Q305:AB305)</f>
        <v>115</v>
      </c>
    </row>
    <row r="306" spans="1:29">
      <c r="A306" s="31"/>
      <c r="B306" s="7"/>
      <c r="C306" s="7"/>
      <c r="D306" s="7"/>
      <c r="E306" s="7"/>
      <c r="F306" s="7"/>
      <c r="G306" s="7"/>
      <c r="H306" s="32"/>
      <c r="I306" s="7"/>
      <c r="J306" s="7"/>
      <c r="K306" s="7"/>
      <c r="L306" s="7"/>
      <c r="M306" s="7"/>
      <c r="N306" s="7"/>
      <c r="P306" s="95"/>
      <c r="Q306" s="7"/>
      <c r="R306" s="7"/>
      <c r="S306" s="7"/>
      <c r="T306" s="7"/>
      <c r="U306" s="7"/>
      <c r="V306" s="7"/>
      <c r="W306" s="32"/>
      <c r="X306" s="7"/>
      <c r="Y306" s="7"/>
      <c r="Z306" s="7"/>
      <c r="AA306" s="7"/>
      <c r="AB306" s="95"/>
      <c r="AC306" s="7"/>
    </row>
    <row r="307" spans="1:29">
      <c r="A307" s="33" t="s">
        <v>67</v>
      </c>
      <c r="B307" s="34">
        <v>0</v>
      </c>
      <c r="C307" s="35" t="s">
        <v>68</v>
      </c>
      <c r="D307" s="19"/>
      <c r="E307" s="7"/>
      <c r="F307" s="7"/>
      <c r="G307" s="7"/>
      <c r="H307" s="32"/>
      <c r="I307" s="7"/>
      <c r="J307" s="7"/>
      <c r="K307" s="7"/>
      <c r="L307" s="7"/>
      <c r="M307" s="7"/>
      <c r="N307" s="7"/>
      <c r="P307" s="96" t="s">
        <v>67</v>
      </c>
      <c r="Q307" s="34">
        <v>0</v>
      </c>
      <c r="R307" s="35" t="s">
        <v>68</v>
      </c>
      <c r="S307" s="19"/>
      <c r="T307" s="7"/>
      <c r="U307" s="7"/>
      <c r="V307" s="7"/>
      <c r="W307" s="32"/>
      <c r="X307" s="7"/>
      <c r="Y307" s="7"/>
      <c r="Z307" s="7"/>
      <c r="AA307" s="7"/>
      <c r="AB307" s="7"/>
      <c r="AC307" s="7"/>
    </row>
    <row r="309" spans="1:29" ht="18">
      <c r="A309" s="1" t="s">
        <v>41</v>
      </c>
      <c r="B309" s="2"/>
      <c r="C309" s="2"/>
      <c r="D309" s="2"/>
      <c r="E309" s="3">
        <v>2009</v>
      </c>
      <c r="F309" s="4"/>
      <c r="G309" s="4"/>
      <c r="H309" s="5"/>
      <c r="I309" s="4"/>
      <c r="J309" s="4"/>
      <c r="K309" s="4"/>
      <c r="L309" s="4"/>
      <c r="M309" s="6"/>
      <c r="N309" s="7"/>
      <c r="P309" s="1" t="s">
        <v>41</v>
      </c>
      <c r="Q309" s="2"/>
      <c r="R309" s="2"/>
      <c r="S309" s="2"/>
      <c r="T309" s="3">
        <v>2019</v>
      </c>
      <c r="U309" s="4"/>
      <c r="V309" s="4"/>
      <c r="W309" s="5"/>
      <c r="X309" s="4"/>
      <c r="Y309" s="4"/>
      <c r="Z309" s="4"/>
      <c r="AA309" s="4"/>
      <c r="AB309" s="6"/>
      <c r="AC309" s="7"/>
    </row>
    <row r="310" spans="1:29">
      <c r="A310" s="8"/>
      <c r="B310" s="9"/>
      <c r="C310" s="9"/>
      <c r="D310" s="9"/>
      <c r="E310" s="10"/>
      <c r="F310" s="10"/>
      <c r="G310" s="10"/>
      <c r="H310" s="11"/>
      <c r="I310" s="9"/>
      <c r="J310" s="9"/>
      <c r="K310" s="9"/>
      <c r="L310" s="9"/>
      <c r="M310" s="12"/>
      <c r="N310" s="7"/>
      <c r="P310" s="8"/>
      <c r="Q310" s="9"/>
      <c r="R310" s="9"/>
      <c r="S310" s="9"/>
      <c r="T310" s="10"/>
      <c r="U310" s="10"/>
      <c r="V310" s="10"/>
      <c r="W310" s="11"/>
      <c r="X310" s="9"/>
      <c r="Y310" s="9"/>
      <c r="Z310" s="9"/>
      <c r="AA310" s="9"/>
      <c r="AB310" s="12"/>
      <c r="AC310" s="7"/>
    </row>
    <row r="311" spans="1:29" ht="15.75">
      <c r="A311" s="13" t="s">
        <v>42</v>
      </c>
      <c r="B311" s="14"/>
      <c r="C311" s="14" t="s">
        <v>43</v>
      </c>
      <c r="D311" s="15"/>
      <c r="E311" s="14"/>
      <c r="F311" s="14"/>
      <c r="G311" s="14"/>
      <c r="H311" s="15"/>
      <c r="I311" s="14"/>
      <c r="J311" s="14" t="s">
        <v>44</v>
      </c>
      <c r="K311" s="14" t="s">
        <v>45</v>
      </c>
      <c r="L311" s="14"/>
      <c r="M311" s="12"/>
      <c r="N311" s="7"/>
      <c r="P311" s="13" t="s">
        <v>42</v>
      </c>
      <c r="Q311" s="14"/>
      <c r="R311" s="14" t="s">
        <v>43</v>
      </c>
      <c r="S311" s="14"/>
      <c r="T311" s="14"/>
      <c r="U311" s="14"/>
      <c r="V311" s="14"/>
      <c r="W311" s="15"/>
      <c r="X311" s="14"/>
      <c r="Y311" s="14" t="s">
        <v>44</v>
      </c>
      <c r="Z311" s="14" t="s">
        <v>45</v>
      </c>
      <c r="AA311" s="14"/>
      <c r="AB311" s="12"/>
      <c r="AC311" s="7"/>
    </row>
    <row r="312" spans="1:29" ht="15.75">
      <c r="A312" s="13" t="s">
        <v>46</v>
      </c>
      <c r="B312" s="14"/>
      <c r="C312" s="14" t="s">
        <v>47</v>
      </c>
      <c r="D312" s="15"/>
      <c r="E312" s="14"/>
      <c r="F312" s="14"/>
      <c r="G312" s="14"/>
      <c r="H312" s="15"/>
      <c r="I312" s="14"/>
      <c r="J312" s="14" t="s">
        <v>48</v>
      </c>
      <c r="K312" s="14" t="s">
        <v>45</v>
      </c>
      <c r="L312" s="14"/>
      <c r="M312" s="12"/>
      <c r="N312" s="7"/>
      <c r="P312" s="13" t="s">
        <v>46</v>
      </c>
      <c r="Q312" s="14"/>
      <c r="R312" s="14" t="s">
        <v>47</v>
      </c>
      <c r="S312" s="14"/>
      <c r="T312" s="14"/>
      <c r="U312" s="14"/>
      <c r="V312" s="14"/>
      <c r="W312" s="15"/>
      <c r="X312" s="14"/>
      <c r="Y312" s="14" t="s">
        <v>48</v>
      </c>
      <c r="Z312" s="14" t="s">
        <v>45</v>
      </c>
      <c r="AA312" s="14"/>
      <c r="AB312" s="12"/>
      <c r="AC312" s="7"/>
    </row>
    <row r="313" spans="1:29" ht="15.75">
      <c r="A313" s="13" t="s">
        <v>49</v>
      </c>
      <c r="B313" s="14"/>
      <c r="C313" s="97">
        <f>E309</f>
        <v>2009</v>
      </c>
      <c r="D313" s="14"/>
      <c r="E313" s="14"/>
      <c r="F313" s="14"/>
      <c r="G313" s="14"/>
      <c r="H313" s="15"/>
      <c r="I313" s="14"/>
      <c r="J313" s="14" t="s">
        <v>51</v>
      </c>
      <c r="K313" s="14" t="s">
        <v>52</v>
      </c>
      <c r="L313" s="14"/>
      <c r="M313" s="12"/>
      <c r="N313" s="7"/>
      <c r="P313" s="13" t="s">
        <v>49</v>
      </c>
      <c r="Q313" s="14"/>
      <c r="R313" s="97">
        <f>T309</f>
        <v>2019</v>
      </c>
      <c r="S313" s="14"/>
      <c r="T313" s="14"/>
      <c r="U313" s="14"/>
      <c r="V313" s="14"/>
      <c r="W313" s="15"/>
      <c r="X313" s="14"/>
      <c r="Y313" s="14" t="s">
        <v>51</v>
      </c>
      <c r="Z313" s="14" t="s">
        <v>52</v>
      </c>
      <c r="AA313" s="14"/>
      <c r="AB313" s="12"/>
      <c r="AC313" s="7"/>
    </row>
    <row r="314" spans="1:29">
      <c r="A314" s="16"/>
      <c r="B314" s="10"/>
      <c r="C314" s="10"/>
      <c r="D314" s="10"/>
      <c r="E314" s="10"/>
      <c r="F314" s="10"/>
      <c r="G314" s="10"/>
      <c r="H314" s="17"/>
      <c r="I314" s="10"/>
      <c r="J314" s="10"/>
      <c r="K314" s="10"/>
      <c r="L314" s="10"/>
      <c r="M314" s="18"/>
      <c r="N314" s="19"/>
      <c r="P314" s="16"/>
      <c r="Q314" s="10"/>
      <c r="R314" s="10"/>
      <c r="S314" s="10"/>
      <c r="T314" s="10"/>
      <c r="U314" s="10"/>
      <c r="V314" s="10"/>
      <c r="W314" s="17"/>
      <c r="X314" s="10"/>
      <c r="Y314" s="10"/>
      <c r="Z314" s="10"/>
      <c r="AA314" s="10"/>
      <c r="AB314" s="18"/>
      <c r="AC314" s="19"/>
    </row>
    <row r="315" spans="1:29">
      <c r="A315" s="20" t="s">
        <v>53</v>
      </c>
      <c r="B315" s="21" t="s">
        <v>54</v>
      </c>
      <c r="C315" s="21" t="s">
        <v>55</v>
      </c>
      <c r="D315" s="21" t="s">
        <v>56</v>
      </c>
      <c r="E315" s="21" t="s">
        <v>57</v>
      </c>
      <c r="F315" s="21" t="s">
        <v>20</v>
      </c>
      <c r="G315" s="21" t="s">
        <v>58</v>
      </c>
      <c r="H315" s="21" t="s">
        <v>59</v>
      </c>
      <c r="I315" s="21" t="s">
        <v>60</v>
      </c>
      <c r="J315" s="21" t="s">
        <v>61</v>
      </c>
      <c r="K315" s="21" t="s">
        <v>62</v>
      </c>
      <c r="L315" s="21" t="s">
        <v>63</v>
      </c>
      <c r="M315" s="22" t="s">
        <v>64</v>
      </c>
      <c r="N315" s="19"/>
      <c r="P315" s="20" t="s">
        <v>53</v>
      </c>
      <c r="Q315" s="21" t="s">
        <v>54</v>
      </c>
      <c r="R315" s="21" t="s">
        <v>55</v>
      </c>
      <c r="S315" s="21" t="s">
        <v>56</v>
      </c>
      <c r="T315" s="21" t="s">
        <v>57</v>
      </c>
      <c r="U315" s="21" t="s">
        <v>20</v>
      </c>
      <c r="V315" s="21" t="s">
        <v>58</v>
      </c>
      <c r="W315" s="21" t="s">
        <v>59</v>
      </c>
      <c r="X315" s="21" t="s">
        <v>60</v>
      </c>
      <c r="Y315" s="21" t="s">
        <v>61</v>
      </c>
      <c r="Z315" s="21" t="s">
        <v>62</v>
      </c>
      <c r="AA315" s="21" t="s">
        <v>63</v>
      </c>
      <c r="AB315" s="22" t="s">
        <v>64</v>
      </c>
      <c r="AC315" s="19"/>
    </row>
    <row r="316" spans="1:29">
      <c r="A316" s="23">
        <v>1</v>
      </c>
      <c r="B316" s="24">
        <v>0</v>
      </c>
      <c r="C316" s="24">
        <v>0</v>
      </c>
      <c r="D316" s="24">
        <v>0</v>
      </c>
      <c r="E316" s="24">
        <v>0</v>
      </c>
      <c r="F316" s="24">
        <v>0</v>
      </c>
      <c r="G316" s="24">
        <v>0</v>
      </c>
      <c r="H316" s="24">
        <v>0</v>
      </c>
      <c r="I316" s="24">
        <v>0</v>
      </c>
      <c r="J316" s="24">
        <v>5</v>
      </c>
      <c r="K316" s="24">
        <v>0</v>
      </c>
      <c r="L316" s="24">
        <v>15</v>
      </c>
      <c r="M316" s="24">
        <v>28</v>
      </c>
      <c r="N316" s="7"/>
      <c r="P316" s="23">
        <v>1</v>
      </c>
      <c r="Q316" s="104">
        <v>0</v>
      </c>
      <c r="R316" s="104">
        <v>0</v>
      </c>
      <c r="S316" s="104">
        <v>0</v>
      </c>
      <c r="T316" s="104">
        <v>0</v>
      </c>
      <c r="U316" s="105">
        <v>0</v>
      </c>
      <c r="V316" s="105">
        <v>0</v>
      </c>
      <c r="W316" s="105">
        <v>0</v>
      </c>
      <c r="X316" s="105">
        <v>0</v>
      </c>
      <c r="Y316" s="24">
        <v>0</v>
      </c>
      <c r="Z316" s="24">
        <v>43</v>
      </c>
      <c r="AA316" s="24">
        <v>0</v>
      </c>
      <c r="AB316" s="24">
        <v>69</v>
      </c>
      <c r="AC316" s="7"/>
    </row>
    <row r="317" spans="1:29">
      <c r="A317" s="23">
        <v>2</v>
      </c>
      <c r="B317" s="24">
        <v>19</v>
      </c>
      <c r="C317" s="24">
        <v>45</v>
      </c>
      <c r="D317" s="24">
        <v>0</v>
      </c>
      <c r="E317" s="24">
        <v>89</v>
      </c>
      <c r="F317" s="24">
        <v>10</v>
      </c>
      <c r="G317" s="24">
        <v>19</v>
      </c>
      <c r="H317" s="24">
        <v>29</v>
      </c>
      <c r="I317" s="24">
        <v>0</v>
      </c>
      <c r="J317" s="24">
        <v>0</v>
      </c>
      <c r="K317" s="24">
        <v>21</v>
      </c>
      <c r="L317" s="24">
        <v>7</v>
      </c>
      <c r="M317" s="24">
        <v>4</v>
      </c>
      <c r="N317" s="7"/>
      <c r="P317" s="23">
        <v>2</v>
      </c>
      <c r="Q317" s="104">
        <v>0</v>
      </c>
      <c r="R317" s="104">
        <v>0</v>
      </c>
      <c r="S317" s="104">
        <v>0</v>
      </c>
      <c r="T317" s="104">
        <v>0</v>
      </c>
      <c r="U317" s="105">
        <v>0</v>
      </c>
      <c r="V317" s="105">
        <v>0</v>
      </c>
      <c r="W317" s="105">
        <v>0</v>
      </c>
      <c r="X317" s="105">
        <v>0</v>
      </c>
      <c r="Y317" s="24">
        <v>0</v>
      </c>
      <c r="Z317" s="24">
        <v>9</v>
      </c>
      <c r="AA317" s="24">
        <v>0</v>
      </c>
      <c r="AB317" s="24">
        <v>52</v>
      </c>
      <c r="AC317" s="7"/>
    </row>
    <row r="318" spans="1:29">
      <c r="A318" s="23">
        <v>3</v>
      </c>
      <c r="B318" s="24">
        <v>0</v>
      </c>
      <c r="C318" s="24">
        <v>0</v>
      </c>
      <c r="D318" s="24">
        <v>0</v>
      </c>
      <c r="E318" s="24">
        <v>5</v>
      </c>
      <c r="F318" s="24">
        <v>10</v>
      </c>
      <c r="G318" s="24">
        <v>3</v>
      </c>
      <c r="H318" s="24">
        <v>0</v>
      </c>
      <c r="I318" s="24">
        <v>0</v>
      </c>
      <c r="J318" s="24">
        <v>0</v>
      </c>
      <c r="K318" s="24">
        <v>31</v>
      </c>
      <c r="L318" s="24">
        <v>3</v>
      </c>
      <c r="M318" s="24">
        <v>3</v>
      </c>
      <c r="N318" s="7"/>
      <c r="P318" s="23">
        <v>3</v>
      </c>
      <c r="Q318" s="104">
        <v>0</v>
      </c>
      <c r="R318" s="104">
        <v>0</v>
      </c>
      <c r="S318" s="104">
        <v>0</v>
      </c>
      <c r="T318" s="104">
        <v>0</v>
      </c>
      <c r="U318" s="105">
        <v>0</v>
      </c>
      <c r="V318" s="105">
        <v>0</v>
      </c>
      <c r="W318" s="105">
        <v>0</v>
      </c>
      <c r="X318" s="105">
        <v>0</v>
      </c>
      <c r="Y318" s="24">
        <v>0</v>
      </c>
      <c r="Z318" s="24">
        <v>15</v>
      </c>
      <c r="AA318" s="24">
        <v>0</v>
      </c>
      <c r="AB318" s="24">
        <v>89</v>
      </c>
      <c r="AC318" s="7"/>
    </row>
    <row r="319" spans="1:29">
      <c r="A319" s="23">
        <v>4</v>
      </c>
      <c r="B319" s="24">
        <v>50</v>
      </c>
      <c r="C319" s="24">
        <v>0</v>
      </c>
      <c r="D319" s="24">
        <v>0</v>
      </c>
      <c r="E319" s="24">
        <v>40</v>
      </c>
      <c r="F319" s="24">
        <v>20</v>
      </c>
      <c r="G319" s="24">
        <v>10</v>
      </c>
      <c r="H319" s="24">
        <v>18</v>
      </c>
      <c r="I319" s="24">
        <v>0</v>
      </c>
      <c r="J319" s="24">
        <v>0</v>
      </c>
      <c r="K319" s="24">
        <v>63</v>
      </c>
      <c r="L319" s="24">
        <v>8</v>
      </c>
      <c r="M319" s="24">
        <v>6</v>
      </c>
      <c r="N319" s="7"/>
      <c r="P319" s="23">
        <v>4</v>
      </c>
      <c r="Q319" s="104">
        <v>0</v>
      </c>
      <c r="R319" s="104">
        <v>0</v>
      </c>
      <c r="S319" s="104">
        <v>0</v>
      </c>
      <c r="T319" s="104">
        <v>0</v>
      </c>
      <c r="U319" s="105">
        <v>0</v>
      </c>
      <c r="V319" s="105">
        <v>0</v>
      </c>
      <c r="W319" s="105">
        <v>36</v>
      </c>
      <c r="X319" s="105">
        <v>0</v>
      </c>
      <c r="Y319" s="24">
        <v>0</v>
      </c>
      <c r="Z319" s="24">
        <v>27</v>
      </c>
      <c r="AA319" s="24">
        <v>0</v>
      </c>
      <c r="AB319" s="24">
        <v>0</v>
      </c>
      <c r="AC319" s="7"/>
    </row>
    <row r="320" spans="1:29">
      <c r="A320" s="23">
        <v>5</v>
      </c>
      <c r="B320" s="24">
        <v>0</v>
      </c>
      <c r="C320" s="24">
        <v>0</v>
      </c>
      <c r="D320" s="24">
        <v>0</v>
      </c>
      <c r="E320" s="24">
        <v>6</v>
      </c>
      <c r="F320" s="24">
        <v>15</v>
      </c>
      <c r="G320" s="24">
        <v>38</v>
      </c>
      <c r="H320" s="24">
        <v>4</v>
      </c>
      <c r="I320" s="24">
        <v>0</v>
      </c>
      <c r="J320" s="24">
        <v>0</v>
      </c>
      <c r="K320" s="24">
        <v>1</v>
      </c>
      <c r="L320" s="24">
        <v>8</v>
      </c>
      <c r="M320" s="24">
        <v>0</v>
      </c>
      <c r="N320" s="7"/>
      <c r="P320" s="23">
        <v>5</v>
      </c>
      <c r="Q320" s="104">
        <v>0</v>
      </c>
      <c r="R320" s="104">
        <v>61</v>
      </c>
      <c r="S320" s="104">
        <v>0</v>
      </c>
      <c r="T320" s="104">
        <v>56</v>
      </c>
      <c r="U320" s="105">
        <v>0</v>
      </c>
      <c r="V320" s="105">
        <v>0</v>
      </c>
      <c r="W320" s="105">
        <v>14</v>
      </c>
      <c r="X320" s="105">
        <v>0</v>
      </c>
      <c r="Y320" s="24">
        <v>0</v>
      </c>
      <c r="Z320" s="24">
        <v>0</v>
      </c>
      <c r="AA320" s="24">
        <v>0</v>
      </c>
      <c r="AB320" s="24">
        <v>0</v>
      </c>
      <c r="AC320" s="7"/>
    </row>
    <row r="321" spans="1:29">
      <c r="A321" s="23">
        <v>6</v>
      </c>
      <c r="B321" s="24">
        <v>6</v>
      </c>
      <c r="C321" s="24">
        <v>0</v>
      </c>
      <c r="D321" s="24">
        <v>0</v>
      </c>
      <c r="E321" s="24">
        <v>0</v>
      </c>
      <c r="F321" s="24">
        <v>0</v>
      </c>
      <c r="G321" s="24">
        <v>0</v>
      </c>
      <c r="H321" s="24">
        <v>40</v>
      </c>
      <c r="I321" s="24">
        <v>0</v>
      </c>
      <c r="J321" s="24">
        <v>0</v>
      </c>
      <c r="K321" s="24">
        <v>0</v>
      </c>
      <c r="L321" s="24">
        <v>6</v>
      </c>
      <c r="M321" s="24">
        <v>7</v>
      </c>
      <c r="N321" s="7"/>
      <c r="P321" s="23">
        <v>6</v>
      </c>
      <c r="Q321" s="104">
        <v>0</v>
      </c>
      <c r="R321" s="104">
        <v>0</v>
      </c>
      <c r="S321" s="104">
        <v>0</v>
      </c>
      <c r="T321" s="104">
        <v>14</v>
      </c>
      <c r="U321" s="105">
        <v>0</v>
      </c>
      <c r="V321" s="105">
        <v>0</v>
      </c>
      <c r="W321" s="105">
        <v>0</v>
      </c>
      <c r="X321" s="105">
        <v>0</v>
      </c>
      <c r="Y321" s="24">
        <v>0</v>
      </c>
      <c r="Z321" s="24">
        <v>25</v>
      </c>
      <c r="AA321" s="24">
        <v>0</v>
      </c>
      <c r="AB321" s="24">
        <v>0</v>
      </c>
      <c r="AC321" s="7"/>
    </row>
    <row r="322" spans="1:29">
      <c r="A322" s="23">
        <v>7</v>
      </c>
      <c r="B322" s="24">
        <v>0</v>
      </c>
      <c r="C322" s="24">
        <v>0</v>
      </c>
      <c r="D322" s="24">
        <v>0</v>
      </c>
      <c r="E322" s="24">
        <v>6</v>
      </c>
      <c r="F322" s="24">
        <v>0</v>
      </c>
      <c r="G322" s="24">
        <v>0</v>
      </c>
      <c r="H322" s="24">
        <v>0</v>
      </c>
      <c r="I322" s="24">
        <v>0</v>
      </c>
      <c r="J322" s="24">
        <v>0</v>
      </c>
      <c r="K322" s="24">
        <v>19</v>
      </c>
      <c r="L322" s="24">
        <v>0</v>
      </c>
      <c r="M322" s="24">
        <v>0</v>
      </c>
      <c r="N322" s="7"/>
      <c r="P322" s="23">
        <v>7</v>
      </c>
      <c r="Q322" s="104">
        <v>0</v>
      </c>
      <c r="R322" s="104">
        <v>0</v>
      </c>
      <c r="S322" s="104">
        <v>0</v>
      </c>
      <c r="T322" s="104">
        <v>3</v>
      </c>
      <c r="U322" s="105">
        <v>0</v>
      </c>
      <c r="V322" s="105">
        <v>16</v>
      </c>
      <c r="W322" s="105">
        <v>52</v>
      </c>
      <c r="X322" s="105">
        <v>0</v>
      </c>
      <c r="Y322" s="24">
        <v>0</v>
      </c>
      <c r="Z322" s="24">
        <v>21</v>
      </c>
      <c r="AA322" s="24">
        <v>0</v>
      </c>
      <c r="AB322" s="24">
        <v>0</v>
      </c>
      <c r="AC322" s="7"/>
    </row>
    <row r="323" spans="1:29">
      <c r="A323" s="23">
        <v>8</v>
      </c>
      <c r="B323" s="24">
        <v>3</v>
      </c>
      <c r="C323" s="24">
        <v>0</v>
      </c>
      <c r="D323" s="24">
        <v>4</v>
      </c>
      <c r="E323" s="24">
        <v>23</v>
      </c>
      <c r="F323" s="24">
        <v>0</v>
      </c>
      <c r="G323" s="24">
        <v>0</v>
      </c>
      <c r="H323" s="24">
        <v>0</v>
      </c>
      <c r="I323" s="24">
        <v>0</v>
      </c>
      <c r="J323" s="24">
        <v>0</v>
      </c>
      <c r="K323" s="24">
        <v>13</v>
      </c>
      <c r="L323" s="24">
        <v>11</v>
      </c>
      <c r="M323" s="24">
        <v>63</v>
      </c>
      <c r="N323" s="7"/>
      <c r="P323" s="23">
        <v>8</v>
      </c>
      <c r="Q323" s="104">
        <v>0</v>
      </c>
      <c r="R323" s="104">
        <v>0</v>
      </c>
      <c r="S323" s="104">
        <v>0</v>
      </c>
      <c r="T323" s="104">
        <v>75</v>
      </c>
      <c r="U323" s="105">
        <v>0</v>
      </c>
      <c r="V323" s="105">
        <v>0</v>
      </c>
      <c r="W323" s="105">
        <v>0</v>
      </c>
      <c r="X323" s="105">
        <v>0</v>
      </c>
      <c r="Y323" s="24">
        <v>0</v>
      </c>
      <c r="Z323" s="24">
        <v>0</v>
      </c>
      <c r="AA323" s="24">
        <v>0</v>
      </c>
      <c r="AB323" s="24">
        <v>0</v>
      </c>
      <c r="AC323" s="7"/>
    </row>
    <row r="324" spans="1:29">
      <c r="A324" s="23">
        <v>9</v>
      </c>
      <c r="B324" s="24">
        <v>53</v>
      </c>
      <c r="C324" s="24">
        <v>0</v>
      </c>
      <c r="D324" s="24">
        <v>38</v>
      </c>
      <c r="E324" s="24">
        <v>4</v>
      </c>
      <c r="F324" s="24">
        <v>5</v>
      </c>
      <c r="G324" s="24">
        <v>0</v>
      </c>
      <c r="H324" s="24">
        <v>0</v>
      </c>
      <c r="I324" s="24">
        <v>0</v>
      </c>
      <c r="J324" s="24">
        <v>0</v>
      </c>
      <c r="K324" s="24">
        <v>11</v>
      </c>
      <c r="L324" s="24">
        <v>0</v>
      </c>
      <c r="M324" s="24">
        <v>47</v>
      </c>
      <c r="N324" s="7"/>
      <c r="P324" s="23">
        <v>9</v>
      </c>
      <c r="Q324" s="104">
        <v>86</v>
      </c>
      <c r="R324" s="104">
        <v>0</v>
      </c>
      <c r="S324" s="104">
        <v>0</v>
      </c>
      <c r="T324" s="104">
        <v>12</v>
      </c>
      <c r="U324" s="105">
        <v>0</v>
      </c>
      <c r="V324" s="105">
        <v>20</v>
      </c>
      <c r="W324" s="105">
        <v>0</v>
      </c>
      <c r="X324" s="105">
        <v>0</v>
      </c>
      <c r="Y324" s="24">
        <v>0</v>
      </c>
      <c r="Z324" s="24">
        <v>67</v>
      </c>
      <c r="AA324" s="24">
        <v>0</v>
      </c>
      <c r="AB324" s="24">
        <v>0</v>
      </c>
      <c r="AC324" s="7"/>
    </row>
    <row r="325" spans="1:29">
      <c r="A325" s="23">
        <v>10</v>
      </c>
      <c r="B325" s="24">
        <v>15</v>
      </c>
      <c r="C325" s="24">
        <v>0</v>
      </c>
      <c r="D325" s="24">
        <v>0</v>
      </c>
      <c r="E325" s="24">
        <v>20</v>
      </c>
      <c r="F325" s="24">
        <v>0</v>
      </c>
      <c r="G325" s="24">
        <v>0</v>
      </c>
      <c r="H325" s="24">
        <v>0</v>
      </c>
      <c r="I325" s="24">
        <v>0</v>
      </c>
      <c r="J325" s="24">
        <v>0</v>
      </c>
      <c r="K325" s="24">
        <v>0</v>
      </c>
      <c r="L325" s="24">
        <v>29</v>
      </c>
      <c r="M325" s="24">
        <v>0</v>
      </c>
      <c r="N325" s="7"/>
      <c r="P325" s="23">
        <v>10</v>
      </c>
      <c r="Q325" s="104">
        <v>0</v>
      </c>
      <c r="R325" s="104">
        <v>0</v>
      </c>
      <c r="S325" s="104">
        <v>0</v>
      </c>
      <c r="T325" s="104">
        <v>4</v>
      </c>
      <c r="U325" s="105">
        <v>56</v>
      </c>
      <c r="V325" s="105">
        <v>23</v>
      </c>
      <c r="W325" s="105">
        <v>0</v>
      </c>
      <c r="X325" s="105">
        <v>0</v>
      </c>
      <c r="Y325" s="24">
        <v>0</v>
      </c>
      <c r="Z325" s="24">
        <v>93</v>
      </c>
      <c r="AA325" s="24">
        <v>22</v>
      </c>
      <c r="AB325" s="24">
        <v>27</v>
      </c>
      <c r="AC325" s="7"/>
    </row>
    <row r="326" spans="1:29">
      <c r="A326" s="23">
        <v>11</v>
      </c>
      <c r="B326" s="24">
        <v>20</v>
      </c>
      <c r="C326" s="24">
        <v>0</v>
      </c>
      <c r="D326" s="24">
        <v>0</v>
      </c>
      <c r="E326" s="24">
        <v>20</v>
      </c>
      <c r="F326" s="24">
        <v>0</v>
      </c>
      <c r="G326" s="24">
        <v>0</v>
      </c>
      <c r="H326" s="24">
        <v>0</v>
      </c>
      <c r="I326" s="24">
        <v>0</v>
      </c>
      <c r="J326" s="24">
        <v>0</v>
      </c>
      <c r="K326" s="24">
        <v>0</v>
      </c>
      <c r="L326" s="24">
        <v>15</v>
      </c>
      <c r="M326" s="24">
        <v>0</v>
      </c>
      <c r="N326" s="7"/>
      <c r="P326" s="23">
        <v>11</v>
      </c>
      <c r="Q326" s="104">
        <v>9</v>
      </c>
      <c r="R326" s="104">
        <v>0</v>
      </c>
      <c r="S326" s="104">
        <v>0</v>
      </c>
      <c r="T326" s="104">
        <v>7</v>
      </c>
      <c r="U326" s="105">
        <v>4</v>
      </c>
      <c r="V326" s="105">
        <v>14</v>
      </c>
      <c r="W326" s="105">
        <v>0</v>
      </c>
      <c r="X326" s="105">
        <v>0</v>
      </c>
      <c r="Y326" s="24">
        <v>0</v>
      </c>
      <c r="Z326" s="24">
        <v>20</v>
      </c>
      <c r="AA326" s="24">
        <v>0</v>
      </c>
      <c r="AB326" s="24">
        <v>19</v>
      </c>
      <c r="AC326" s="7"/>
    </row>
    <row r="327" spans="1:29">
      <c r="A327" s="23">
        <v>12</v>
      </c>
      <c r="B327" s="24">
        <v>0</v>
      </c>
      <c r="C327" s="24">
        <v>0</v>
      </c>
      <c r="D327" s="24">
        <v>0</v>
      </c>
      <c r="E327" s="24">
        <v>28</v>
      </c>
      <c r="F327" s="24">
        <v>0</v>
      </c>
      <c r="G327" s="24">
        <v>0</v>
      </c>
      <c r="H327" s="24">
        <v>0</v>
      </c>
      <c r="I327" s="24">
        <v>0</v>
      </c>
      <c r="J327" s="24">
        <v>0</v>
      </c>
      <c r="K327" s="24">
        <v>5</v>
      </c>
      <c r="L327" s="24">
        <v>6</v>
      </c>
      <c r="M327" s="24">
        <v>0</v>
      </c>
      <c r="N327" s="7"/>
      <c r="P327" s="23">
        <v>12</v>
      </c>
      <c r="Q327" s="104">
        <v>0</v>
      </c>
      <c r="R327" s="104">
        <v>3</v>
      </c>
      <c r="S327" s="104">
        <v>0</v>
      </c>
      <c r="T327" s="104">
        <v>112</v>
      </c>
      <c r="U327" s="105">
        <v>0</v>
      </c>
      <c r="V327" s="105">
        <v>6</v>
      </c>
      <c r="W327" s="105">
        <v>0</v>
      </c>
      <c r="X327" s="105">
        <v>0</v>
      </c>
      <c r="Y327" s="24">
        <v>0</v>
      </c>
      <c r="Z327" s="24">
        <v>0</v>
      </c>
      <c r="AA327" s="24">
        <v>49</v>
      </c>
      <c r="AB327" s="24">
        <v>0</v>
      </c>
      <c r="AC327" s="7"/>
    </row>
    <row r="328" spans="1:29">
      <c r="A328" s="23">
        <v>13</v>
      </c>
      <c r="B328" s="24">
        <v>0</v>
      </c>
      <c r="C328" s="24">
        <v>0</v>
      </c>
      <c r="D328" s="24">
        <v>0</v>
      </c>
      <c r="E328" s="24">
        <v>0</v>
      </c>
      <c r="F328" s="24">
        <v>0</v>
      </c>
      <c r="G328" s="24">
        <v>0</v>
      </c>
      <c r="H328" s="24">
        <v>0</v>
      </c>
      <c r="I328" s="24">
        <v>0</v>
      </c>
      <c r="J328" s="24">
        <v>0</v>
      </c>
      <c r="K328" s="24">
        <v>0</v>
      </c>
      <c r="L328" s="24">
        <v>9</v>
      </c>
      <c r="M328" s="24">
        <v>0</v>
      </c>
      <c r="N328" s="7"/>
      <c r="P328" s="23">
        <v>13</v>
      </c>
      <c r="Q328" s="104">
        <v>0</v>
      </c>
      <c r="R328" s="104">
        <v>0</v>
      </c>
      <c r="S328" s="104">
        <v>0</v>
      </c>
      <c r="T328" s="104">
        <v>6</v>
      </c>
      <c r="U328" s="105">
        <v>17</v>
      </c>
      <c r="V328" s="105">
        <v>0</v>
      </c>
      <c r="W328" s="105">
        <v>0</v>
      </c>
      <c r="X328" s="105">
        <v>0</v>
      </c>
      <c r="Y328" s="24">
        <v>0</v>
      </c>
      <c r="Z328" s="24">
        <v>11</v>
      </c>
      <c r="AA328" s="24">
        <v>0</v>
      </c>
      <c r="AB328" s="24">
        <v>72</v>
      </c>
      <c r="AC328" s="7"/>
    </row>
    <row r="329" spans="1:29">
      <c r="A329" s="23">
        <v>14</v>
      </c>
      <c r="B329" s="24">
        <v>0</v>
      </c>
      <c r="C329" s="24">
        <v>0</v>
      </c>
      <c r="D329" s="24">
        <v>10</v>
      </c>
      <c r="E329" s="24">
        <v>26</v>
      </c>
      <c r="F329" s="24">
        <v>50</v>
      </c>
      <c r="G329" s="24">
        <v>53</v>
      </c>
      <c r="H329" s="24">
        <v>0</v>
      </c>
      <c r="I329" s="24">
        <v>0</v>
      </c>
      <c r="J329" s="24">
        <v>0</v>
      </c>
      <c r="K329" s="24">
        <v>39</v>
      </c>
      <c r="L329" s="24">
        <v>133</v>
      </c>
      <c r="M329" s="24">
        <v>72</v>
      </c>
      <c r="N329" s="7"/>
      <c r="P329" s="23">
        <v>14</v>
      </c>
      <c r="Q329" s="104">
        <v>14</v>
      </c>
      <c r="R329" s="104">
        <v>0</v>
      </c>
      <c r="S329" s="104">
        <v>0</v>
      </c>
      <c r="T329" s="104">
        <v>9</v>
      </c>
      <c r="U329" s="105">
        <v>14</v>
      </c>
      <c r="V329" s="105">
        <v>67</v>
      </c>
      <c r="W329" s="105">
        <v>0</v>
      </c>
      <c r="X329" s="105">
        <v>0</v>
      </c>
      <c r="Y329" s="24">
        <v>0</v>
      </c>
      <c r="Z329" s="24">
        <v>9</v>
      </c>
      <c r="AA329" s="24">
        <v>0</v>
      </c>
      <c r="AB329" s="24">
        <v>37</v>
      </c>
      <c r="AC329" s="7"/>
    </row>
    <row r="330" spans="1:29">
      <c r="A330" s="23">
        <v>15</v>
      </c>
      <c r="B330" s="24">
        <v>0</v>
      </c>
      <c r="C330" s="24">
        <v>0</v>
      </c>
      <c r="D330" s="24">
        <v>15</v>
      </c>
      <c r="E330" s="24">
        <v>0</v>
      </c>
      <c r="F330" s="24">
        <v>0</v>
      </c>
      <c r="G330" s="24">
        <v>0</v>
      </c>
      <c r="H330" s="24">
        <v>0</v>
      </c>
      <c r="I330" s="24">
        <v>8</v>
      </c>
      <c r="J330" s="24">
        <v>29</v>
      </c>
      <c r="K330" s="24">
        <v>44</v>
      </c>
      <c r="L330" s="24">
        <v>0</v>
      </c>
      <c r="M330" s="24">
        <v>27</v>
      </c>
      <c r="N330" s="7"/>
      <c r="P330" s="23">
        <v>15</v>
      </c>
      <c r="Q330" s="104">
        <v>0</v>
      </c>
      <c r="R330" s="104">
        <v>50</v>
      </c>
      <c r="S330" s="104">
        <v>0</v>
      </c>
      <c r="T330" s="104">
        <v>33</v>
      </c>
      <c r="U330" s="105">
        <v>75</v>
      </c>
      <c r="V330" s="105">
        <v>96</v>
      </c>
      <c r="W330" s="105">
        <v>0</v>
      </c>
      <c r="X330" s="105">
        <v>0</v>
      </c>
      <c r="Y330" s="24">
        <v>0</v>
      </c>
      <c r="Z330" s="24">
        <v>16</v>
      </c>
      <c r="AA330" s="24">
        <v>0</v>
      </c>
      <c r="AB330" s="24">
        <v>0</v>
      </c>
      <c r="AC330" s="7"/>
    </row>
    <row r="331" spans="1:29">
      <c r="A331" s="23">
        <v>16</v>
      </c>
      <c r="B331" s="24">
        <v>0</v>
      </c>
      <c r="C331" s="24">
        <v>0</v>
      </c>
      <c r="D331" s="24">
        <v>0</v>
      </c>
      <c r="E331" s="24">
        <v>45</v>
      </c>
      <c r="F331" s="24">
        <v>0</v>
      </c>
      <c r="G331" s="24">
        <v>0</v>
      </c>
      <c r="H331" s="24">
        <v>0</v>
      </c>
      <c r="I331" s="24">
        <v>11</v>
      </c>
      <c r="J331" s="24">
        <v>20</v>
      </c>
      <c r="K331" s="24">
        <v>0</v>
      </c>
      <c r="L331" s="24">
        <v>4</v>
      </c>
      <c r="M331" s="24">
        <v>0</v>
      </c>
      <c r="N331" s="7"/>
      <c r="P331" s="23">
        <v>16</v>
      </c>
      <c r="Q331" s="104">
        <v>0</v>
      </c>
      <c r="R331" s="104">
        <v>0</v>
      </c>
      <c r="S331" s="104">
        <v>0</v>
      </c>
      <c r="T331" s="104">
        <v>2</v>
      </c>
      <c r="U331" s="105">
        <v>60</v>
      </c>
      <c r="V331" s="105">
        <v>0</v>
      </c>
      <c r="W331" s="105">
        <v>0</v>
      </c>
      <c r="X331" s="105">
        <v>0</v>
      </c>
      <c r="Y331" s="24">
        <v>0</v>
      </c>
      <c r="Z331" s="24">
        <v>20</v>
      </c>
      <c r="AA331" s="24">
        <v>0</v>
      </c>
      <c r="AB331" s="24">
        <v>24</v>
      </c>
      <c r="AC331" s="7"/>
    </row>
    <row r="332" spans="1:29">
      <c r="A332" s="23">
        <v>17</v>
      </c>
      <c r="B332" s="24">
        <v>0</v>
      </c>
      <c r="C332" s="24">
        <v>0</v>
      </c>
      <c r="D332" s="24">
        <v>0</v>
      </c>
      <c r="E332" s="24">
        <v>0</v>
      </c>
      <c r="F332" s="24">
        <v>0</v>
      </c>
      <c r="G332" s="24">
        <v>5</v>
      </c>
      <c r="H332" s="24">
        <v>0</v>
      </c>
      <c r="I332" s="24">
        <v>93</v>
      </c>
      <c r="J332" s="24">
        <v>7</v>
      </c>
      <c r="K332" s="24">
        <v>9</v>
      </c>
      <c r="L332" s="24">
        <v>85</v>
      </c>
      <c r="M332" s="24">
        <v>0</v>
      </c>
      <c r="N332" s="7"/>
      <c r="P332" s="23">
        <v>17</v>
      </c>
      <c r="Q332" s="104">
        <v>0</v>
      </c>
      <c r="R332" s="104">
        <v>0</v>
      </c>
      <c r="S332" s="104">
        <v>0</v>
      </c>
      <c r="T332" s="104">
        <v>0</v>
      </c>
      <c r="U332" s="105">
        <v>99</v>
      </c>
      <c r="V332" s="105">
        <v>0</v>
      </c>
      <c r="W332" s="105">
        <v>0</v>
      </c>
      <c r="X332" s="105">
        <v>0</v>
      </c>
      <c r="Y332" s="24">
        <v>0</v>
      </c>
      <c r="Z332" s="24">
        <v>0</v>
      </c>
      <c r="AA332" s="24">
        <v>0</v>
      </c>
      <c r="AB332" s="24">
        <v>19</v>
      </c>
      <c r="AC332" s="7"/>
    </row>
    <row r="333" spans="1:29">
      <c r="A333" s="23">
        <v>18</v>
      </c>
      <c r="B333" s="24">
        <v>7</v>
      </c>
      <c r="C333" s="24">
        <v>0</v>
      </c>
      <c r="D333" s="24">
        <v>1</v>
      </c>
      <c r="E333" s="24">
        <v>31</v>
      </c>
      <c r="F333" s="24">
        <v>27</v>
      </c>
      <c r="G333" s="24">
        <v>0</v>
      </c>
      <c r="H333" s="24">
        <v>0</v>
      </c>
      <c r="I333" s="24">
        <v>9</v>
      </c>
      <c r="J333" s="24">
        <v>14</v>
      </c>
      <c r="K333" s="24">
        <v>0</v>
      </c>
      <c r="L333" s="24">
        <v>25</v>
      </c>
      <c r="M333" s="24">
        <v>54</v>
      </c>
      <c r="N333" s="7"/>
      <c r="P333" s="23">
        <v>18</v>
      </c>
      <c r="Q333" s="104">
        <v>8</v>
      </c>
      <c r="R333" s="104">
        <v>0</v>
      </c>
      <c r="S333" s="104">
        <v>0</v>
      </c>
      <c r="T333" s="104">
        <v>59</v>
      </c>
      <c r="U333" s="105">
        <v>65</v>
      </c>
      <c r="V333" s="105">
        <v>0</v>
      </c>
      <c r="W333" s="105">
        <v>0</v>
      </c>
      <c r="X333" s="105">
        <v>0</v>
      </c>
      <c r="Y333" s="24">
        <v>0</v>
      </c>
      <c r="Z333" s="24">
        <v>0</v>
      </c>
      <c r="AA333" s="24">
        <v>0</v>
      </c>
      <c r="AB333" s="24">
        <v>0</v>
      </c>
      <c r="AC333" s="7"/>
    </row>
    <row r="334" spans="1:29">
      <c r="A334" s="23">
        <v>19</v>
      </c>
      <c r="B334" s="24">
        <v>0</v>
      </c>
      <c r="C334" s="24">
        <v>0</v>
      </c>
      <c r="D334" s="24">
        <v>0</v>
      </c>
      <c r="E334" s="24">
        <v>75</v>
      </c>
      <c r="F334" s="24">
        <v>0</v>
      </c>
      <c r="G334" s="24">
        <v>0</v>
      </c>
      <c r="H334" s="24">
        <v>0</v>
      </c>
      <c r="I334" s="24">
        <v>0</v>
      </c>
      <c r="J334" s="24">
        <v>0</v>
      </c>
      <c r="K334" s="24">
        <v>13</v>
      </c>
      <c r="L334" s="24">
        <v>1</v>
      </c>
      <c r="M334" s="24">
        <v>10</v>
      </c>
      <c r="N334" s="7"/>
      <c r="P334" s="23">
        <v>19</v>
      </c>
      <c r="Q334" s="104">
        <v>0</v>
      </c>
      <c r="R334" s="104">
        <v>0</v>
      </c>
      <c r="S334" s="104">
        <v>0</v>
      </c>
      <c r="T334" s="104">
        <v>0</v>
      </c>
      <c r="U334" s="105">
        <v>0</v>
      </c>
      <c r="V334" s="105">
        <v>0</v>
      </c>
      <c r="W334" s="105">
        <v>0</v>
      </c>
      <c r="X334" s="105">
        <v>0</v>
      </c>
      <c r="Y334" s="24">
        <v>0</v>
      </c>
      <c r="Z334" s="24">
        <v>83</v>
      </c>
      <c r="AA334" s="24">
        <v>0</v>
      </c>
      <c r="AB334" s="24">
        <v>69</v>
      </c>
      <c r="AC334" s="7"/>
    </row>
    <row r="335" spans="1:29">
      <c r="A335" s="23">
        <v>20</v>
      </c>
      <c r="B335" s="24">
        <v>0</v>
      </c>
      <c r="C335" s="24">
        <v>0</v>
      </c>
      <c r="D335" s="24">
        <v>0</v>
      </c>
      <c r="E335" s="24">
        <v>0</v>
      </c>
      <c r="F335" s="24">
        <v>0</v>
      </c>
      <c r="G335" s="24">
        <v>0</v>
      </c>
      <c r="H335" s="24">
        <v>0</v>
      </c>
      <c r="I335" s="24">
        <v>0</v>
      </c>
      <c r="J335" s="24">
        <v>0</v>
      </c>
      <c r="K335" s="24">
        <v>19</v>
      </c>
      <c r="L335" s="24">
        <v>23</v>
      </c>
      <c r="M335" s="24">
        <v>2</v>
      </c>
      <c r="N335" s="7"/>
      <c r="P335" s="23">
        <v>20</v>
      </c>
      <c r="Q335" s="104">
        <v>16</v>
      </c>
      <c r="R335" s="104">
        <v>0</v>
      </c>
      <c r="S335" s="104">
        <v>0</v>
      </c>
      <c r="T335" s="104">
        <v>22</v>
      </c>
      <c r="U335" s="105">
        <v>0</v>
      </c>
      <c r="V335" s="105">
        <v>0</v>
      </c>
      <c r="W335" s="105">
        <v>0</v>
      </c>
      <c r="X335" s="105">
        <v>0</v>
      </c>
      <c r="Y335" s="24">
        <v>0</v>
      </c>
      <c r="Z335" s="24">
        <v>0</v>
      </c>
      <c r="AA335" s="24">
        <v>0</v>
      </c>
      <c r="AB335" s="24">
        <v>0</v>
      </c>
      <c r="AC335" s="7"/>
    </row>
    <row r="336" spans="1:29">
      <c r="A336" s="23">
        <v>21</v>
      </c>
      <c r="B336" s="24">
        <v>0</v>
      </c>
      <c r="C336" s="24">
        <v>5</v>
      </c>
      <c r="D336" s="24">
        <v>0</v>
      </c>
      <c r="E336" s="24">
        <v>0</v>
      </c>
      <c r="F336" s="24">
        <v>0</v>
      </c>
      <c r="G336" s="24">
        <v>28</v>
      </c>
      <c r="H336" s="24">
        <v>0</v>
      </c>
      <c r="I336" s="24">
        <v>0</v>
      </c>
      <c r="J336" s="24">
        <v>0</v>
      </c>
      <c r="K336" s="24">
        <v>0</v>
      </c>
      <c r="L336" s="24">
        <v>4</v>
      </c>
      <c r="M336" s="24">
        <v>0</v>
      </c>
      <c r="N336" s="7"/>
      <c r="P336" s="23">
        <v>21</v>
      </c>
      <c r="Q336" s="104">
        <v>0</v>
      </c>
      <c r="R336" s="104">
        <v>0</v>
      </c>
      <c r="S336" s="104">
        <v>0</v>
      </c>
      <c r="T336" s="104">
        <v>4</v>
      </c>
      <c r="U336" s="105">
        <v>0</v>
      </c>
      <c r="V336" s="105">
        <v>0</v>
      </c>
      <c r="W336" s="105">
        <v>0</v>
      </c>
      <c r="X336" s="105">
        <v>0</v>
      </c>
      <c r="Y336" s="24">
        <v>0</v>
      </c>
      <c r="Z336" s="24">
        <v>0</v>
      </c>
      <c r="AA336" s="24">
        <v>0</v>
      </c>
      <c r="AB336" s="24">
        <v>0</v>
      </c>
      <c r="AC336" s="7"/>
    </row>
    <row r="337" spans="1:29">
      <c r="A337" s="23">
        <v>22</v>
      </c>
      <c r="B337" s="24">
        <v>0</v>
      </c>
      <c r="C337" s="24">
        <v>0</v>
      </c>
      <c r="D337" s="24">
        <v>0</v>
      </c>
      <c r="E337" s="24">
        <v>0</v>
      </c>
      <c r="F337" s="24">
        <v>0</v>
      </c>
      <c r="G337" s="24">
        <v>0</v>
      </c>
      <c r="H337" s="24">
        <v>0</v>
      </c>
      <c r="I337" s="24">
        <v>0</v>
      </c>
      <c r="J337" s="24">
        <v>0</v>
      </c>
      <c r="K337" s="24">
        <v>112</v>
      </c>
      <c r="L337" s="24">
        <v>10</v>
      </c>
      <c r="M337" s="24">
        <v>0</v>
      </c>
      <c r="N337" s="7"/>
      <c r="P337" s="23">
        <v>22</v>
      </c>
      <c r="Q337" s="104">
        <v>0</v>
      </c>
      <c r="R337" s="104">
        <v>0</v>
      </c>
      <c r="S337" s="104">
        <v>0</v>
      </c>
      <c r="T337" s="104">
        <v>7</v>
      </c>
      <c r="U337" s="105">
        <v>0</v>
      </c>
      <c r="V337" s="105">
        <v>0</v>
      </c>
      <c r="W337" s="105">
        <v>0</v>
      </c>
      <c r="X337" s="105">
        <v>34</v>
      </c>
      <c r="Y337" s="24">
        <v>0</v>
      </c>
      <c r="Z337" s="24">
        <v>67</v>
      </c>
      <c r="AA337" s="24">
        <v>0</v>
      </c>
      <c r="AB337" s="24">
        <v>0</v>
      </c>
      <c r="AC337" s="7"/>
    </row>
    <row r="338" spans="1:29">
      <c r="A338" s="23">
        <v>23</v>
      </c>
      <c r="B338" s="24">
        <v>0</v>
      </c>
      <c r="C338" s="24">
        <v>0</v>
      </c>
      <c r="D338" s="24">
        <v>0</v>
      </c>
      <c r="E338" s="24">
        <v>0</v>
      </c>
      <c r="F338" s="24">
        <v>0</v>
      </c>
      <c r="G338" s="24">
        <v>64</v>
      </c>
      <c r="H338" s="24">
        <v>0</v>
      </c>
      <c r="I338" s="24">
        <v>0</v>
      </c>
      <c r="J338" s="24">
        <v>0</v>
      </c>
      <c r="K338" s="24">
        <v>9</v>
      </c>
      <c r="L338" s="24">
        <v>65</v>
      </c>
      <c r="M338" s="24">
        <v>35</v>
      </c>
      <c r="N338" s="7"/>
      <c r="P338" s="23">
        <v>23</v>
      </c>
      <c r="Q338" s="104">
        <v>0</v>
      </c>
      <c r="R338" s="104">
        <v>3</v>
      </c>
      <c r="S338" s="104">
        <v>0</v>
      </c>
      <c r="T338" s="104">
        <v>0</v>
      </c>
      <c r="U338" s="105">
        <v>0</v>
      </c>
      <c r="V338" s="105">
        <v>0</v>
      </c>
      <c r="W338" s="105">
        <v>0</v>
      </c>
      <c r="X338" s="105">
        <v>0</v>
      </c>
      <c r="Y338" s="24">
        <v>0</v>
      </c>
      <c r="Z338" s="24">
        <v>13</v>
      </c>
      <c r="AA338" s="24">
        <v>0</v>
      </c>
      <c r="AB338" s="24">
        <v>0</v>
      </c>
      <c r="AC338" s="7"/>
    </row>
    <row r="339" spans="1:29">
      <c r="A339" s="23">
        <v>24</v>
      </c>
      <c r="B339" s="24">
        <v>0</v>
      </c>
      <c r="C339" s="24">
        <v>0</v>
      </c>
      <c r="D339" s="24">
        <v>0</v>
      </c>
      <c r="E339" s="24">
        <v>0</v>
      </c>
      <c r="F339" s="24">
        <v>0</v>
      </c>
      <c r="G339" s="24">
        <v>8</v>
      </c>
      <c r="H339" s="24">
        <v>0</v>
      </c>
      <c r="I339" s="24">
        <v>0</v>
      </c>
      <c r="J339" s="24">
        <v>0</v>
      </c>
      <c r="K339" s="24">
        <v>0</v>
      </c>
      <c r="L339" s="24">
        <v>0</v>
      </c>
      <c r="M339" s="24">
        <v>0</v>
      </c>
      <c r="N339" s="7"/>
      <c r="P339" s="23">
        <v>24</v>
      </c>
      <c r="Q339" s="104">
        <v>0</v>
      </c>
      <c r="R339" s="104">
        <v>0</v>
      </c>
      <c r="S339" s="104">
        <v>0</v>
      </c>
      <c r="T339" s="104">
        <v>16</v>
      </c>
      <c r="U339" s="105">
        <v>0</v>
      </c>
      <c r="V339" s="105">
        <v>0</v>
      </c>
      <c r="W339" s="105">
        <v>0</v>
      </c>
      <c r="X339" s="105">
        <v>0</v>
      </c>
      <c r="Y339" s="24">
        <v>0</v>
      </c>
      <c r="Z339" s="24">
        <v>9</v>
      </c>
      <c r="AA339" s="24">
        <v>0</v>
      </c>
      <c r="AB339" s="24">
        <v>0</v>
      </c>
      <c r="AC339" s="7"/>
    </row>
    <row r="340" spans="1:29">
      <c r="A340" s="23">
        <v>25</v>
      </c>
      <c r="B340" s="24">
        <v>0</v>
      </c>
      <c r="C340" s="24">
        <v>0</v>
      </c>
      <c r="D340" s="24">
        <v>0</v>
      </c>
      <c r="E340" s="24">
        <v>0</v>
      </c>
      <c r="F340" s="24">
        <v>0</v>
      </c>
      <c r="G340" s="24">
        <v>3</v>
      </c>
      <c r="H340" s="24">
        <v>0</v>
      </c>
      <c r="I340" s="24">
        <v>0</v>
      </c>
      <c r="J340" s="24">
        <v>0</v>
      </c>
      <c r="K340" s="24">
        <v>10</v>
      </c>
      <c r="L340" s="24">
        <v>0</v>
      </c>
      <c r="M340" s="24">
        <v>19</v>
      </c>
      <c r="N340" s="7"/>
      <c r="P340" s="23">
        <v>25</v>
      </c>
      <c r="Q340" s="104">
        <v>0</v>
      </c>
      <c r="R340" s="104">
        <v>0</v>
      </c>
      <c r="S340" s="104">
        <v>0</v>
      </c>
      <c r="T340" s="104">
        <v>22</v>
      </c>
      <c r="U340" s="105">
        <v>0</v>
      </c>
      <c r="V340" s="105">
        <v>0</v>
      </c>
      <c r="W340" s="105">
        <v>0</v>
      </c>
      <c r="X340" s="105">
        <v>0</v>
      </c>
      <c r="Y340" s="24">
        <v>0</v>
      </c>
      <c r="Z340" s="24">
        <v>0</v>
      </c>
      <c r="AA340" s="24">
        <v>0</v>
      </c>
      <c r="AB340" s="24">
        <v>14</v>
      </c>
      <c r="AC340" s="7"/>
    </row>
    <row r="341" spans="1:29">
      <c r="A341" s="23">
        <v>26</v>
      </c>
      <c r="B341" s="24">
        <v>1</v>
      </c>
      <c r="C341" s="24">
        <v>9</v>
      </c>
      <c r="D341" s="24">
        <v>0</v>
      </c>
      <c r="E341" s="24">
        <v>0</v>
      </c>
      <c r="F341" s="24">
        <v>12</v>
      </c>
      <c r="G341" s="24">
        <v>0</v>
      </c>
      <c r="H341" s="24">
        <v>54</v>
      </c>
      <c r="I341" s="24">
        <v>0</v>
      </c>
      <c r="J341" s="24">
        <v>0</v>
      </c>
      <c r="K341" s="24">
        <v>24</v>
      </c>
      <c r="L341" s="24">
        <v>0</v>
      </c>
      <c r="M341" s="24">
        <v>0</v>
      </c>
      <c r="N341" s="7"/>
      <c r="P341" s="23">
        <v>26</v>
      </c>
      <c r="Q341" s="104">
        <v>0</v>
      </c>
      <c r="R341" s="104">
        <v>0</v>
      </c>
      <c r="S341" s="104">
        <v>0</v>
      </c>
      <c r="T341" s="104">
        <v>96</v>
      </c>
      <c r="U341" s="105">
        <v>0</v>
      </c>
      <c r="V341" s="105">
        <v>0</v>
      </c>
      <c r="W341" s="105">
        <v>0</v>
      </c>
      <c r="X341" s="105">
        <v>0</v>
      </c>
      <c r="Y341" s="24">
        <v>0</v>
      </c>
      <c r="Z341" s="24">
        <v>0</v>
      </c>
      <c r="AA341" s="24">
        <v>39</v>
      </c>
      <c r="AB341" s="24">
        <v>42</v>
      </c>
      <c r="AC341" s="7"/>
    </row>
    <row r="342" spans="1:29">
      <c r="A342" s="23">
        <v>27</v>
      </c>
      <c r="B342" s="24">
        <v>0</v>
      </c>
      <c r="C342" s="24">
        <v>0</v>
      </c>
      <c r="D342" s="24">
        <v>21</v>
      </c>
      <c r="E342" s="24">
        <v>8</v>
      </c>
      <c r="F342" s="24">
        <v>0</v>
      </c>
      <c r="G342" s="24">
        <v>3</v>
      </c>
      <c r="H342" s="24">
        <v>0</v>
      </c>
      <c r="I342" s="24">
        <v>0</v>
      </c>
      <c r="J342" s="24">
        <v>0</v>
      </c>
      <c r="K342" s="24">
        <v>0</v>
      </c>
      <c r="L342" s="24">
        <v>0</v>
      </c>
      <c r="M342" s="24">
        <v>3</v>
      </c>
      <c r="N342" s="7"/>
      <c r="P342" s="23">
        <v>27</v>
      </c>
      <c r="Q342" s="104">
        <v>0</v>
      </c>
      <c r="R342" s="104">
        <v>0</v>
      </c>
      <c r="S342" s="104">
        <v>96</v>
      </c>
      <c r="T342" s="104">
        <v>0</v>
      </c>
      <c r="U342" s="105">
        <v>0</v>
      </c>
      <c r="V342" s="105">
        <v>0</v>
      </c>
      <c r="W342" s="105">
        <v>13</v>
      </c>
      <c r="X342" s="105">
        <v>0</v>
      </c>
      <c r="Y342" s="24">
        <v>13</v>
      </c>
      <c r="Z342" s="24">
        <v>29</v>
      </c>
      <c r="AA342" s="24">
        <v>0</v>
      </c>
      <c r="AB342" s="24">
        <v>73</v>
      </c>
      <c r="AC342" s="7"/>
    </row>
    <row r="343" spans="1:29">
      <c r="A343" s="23">
        <v>28</v>
      </c>
      <c r="B343" s="24">
        <v>24</v>
      </c>
      <c r="C343" s="24">
        <v>0</v>
      </c>
      <c r="D343" s="24">
        <v>0</v>
      </c>
      <c r="E343" s="24">
        <v>0</v>
      </c>
      <c r="F343" s="24">
        <v>0</v>
      </c>
      <c r="G343" s="24">
        <v>0</v>
      </c>
      <c r="H343" s="24">
        <v>0</v>
      </c>
      <c r="I343" s="24">
        <v>0</v>
      </c>
      <c r="J343" s="24">
        <v>0</v>
      </c>
      <c r="K343" s="24">
        <v>0</v>
      </c>
      <c r="L343" s="24">
        <v>0</v>
      </c>
      <c r="M343" s="24">
        <v>0</v>
      </c>
      <c r="N343" s="7"/>
      <c r="P343" s="23">
        <v>28</v>
      </c>
      <c r="Q343" s="104">
        <v>29</v>
      </c>
      <c r="R343" s="104">
        <v>0</v>
      </c>
      <c r="S343" s="104">
        <v>0</v>
      </c>
      <c r="T343" s="104">
        <v>0</v>
      </c>
      <c r="U343" s="105">
        <v>0</v>
      </c>
      <c r="V343" s="105">
        <v>0</v>
      </c>
      <c r="W343" s="105">
        <v>0</v>
      </c>
      <c r="X343" s="105">
        <v>0</v>
      </c>
      <c r="Y343" s="24">
        <v>7</v>
      </c>
      <c r="Z343" s="24">
        <v>0</v>
      </c>
      <c r="AA343" s="24">
        <v>42</v>
      </c>
      <c r="AB343" s="24">
        <v>0</v>
      </c>
      <c r="AC343" s="7"/>
    </row>
    <row r="344" spans="1:29">
      <c r="A344" s="23">
        <v>29</v>
      </c>
      <c r="B344" s="24">
        <v>23</v>
      </c>
      <c r="C344" s="24"/>
      <c r="D344" s="24">
        <v>0</v>
      </c>
      <c r="E344" s="24">
        <v>0</v>
      </c>
      <c r="F344" s="24">
        <v>0</v>
      </c>
      <c r="G344" s="24">
        <v>24</v>
      </c>
      <c r="H344" s="24">
        <v>2</v>
      </c>
      <c r="I344" s="24">
        <v>0</v>
      </c>
      <c r="J344" s="24">
        <v>0</v>
      </c>
      <c r="K344" s="24">
        <v>2</v>
      </c>
      <c r="L344" s="24">
        <v>10</v>
      </c>
      <c r="M344" s="24">
        <v>9</v>
      </c>
      <c r="N344" s="7"/>
      <c r="P344" s="23">
        <v>29</v>
      </c>
      <c r="Q344" s="104">
        <v>0</v>
      </c>
      <c r="R344" s="104"/>
      <c r="S344" s="104">
        <v>112</v>
      </c>
      <c r="T344" s="104">
        <v>0</v>
      </c>
      <c r="U344" s="105">
        <v>0</v>
      </c>
      <c r="V344" s="105">
        <v>0</v>
      </c>
      <c r="W344" s="105">
        <v>0</v>
      </c>
      <c r="X344" s="105">
        <v>0</v>
      </c>
      <c r="Y344" s="24">
        <v>36</v>
      </c>
      <c r="Z344" s="24">
        <v>16</v>
      </c>
      <c r="AA344" s="24">
        <v>23</v>
      </c>
      <c r="AB344" s="24">
        <v>0</v>
      </c>
      <c r="AC344" s="7"/>
    </row>
    <row r="345" spans="1:29">
      <c r="A345" s="23">
        <v>30</v>
      </c>
      <c r="B345" s="24">
        <v>16</v>
      </c>
      <c r="C345" s="24"/>
      <c r="D345" s="24">
        <v>14</v>
      </c>
      <c r="E345" s="24">
        <v>0</v>
      </c>
      <c r="F345" s="24">
        <v>0</v>
      </c>
      <c r="G345" s="24">
        <v>0</v>
      </c>
      <c r="H345" s="24">
        <v>0</v>
      </c>
      <c r="I345" s="24">
        <v>0</v>
      </c>
      <c r="J345" s="24">
        <v>0</v>
      </c>
      <c r="K345" s="24">
        <v>5</v>
      </c>
      <c r="L345" s="24">
        <v>7</v>
      </c>
      <c r="M345" s="24">
        <v>0</v>
      </c>
      <c r="N345" s="7"/>
      <c r="P345" s="23">
        <v>30</v>
      </c>
      <c r="Q345" s="104">
        <v>0</v>
      </c>
      <c r="R345" s="104"/>
      <c r="S345" s="104">
        <v>0</v>
      </c>
      <c r="T345" s="104">
        <v>0</v>
      </c>
      <c r="U345" s="105">
        <v>0</v>
      </c>
      <c r="V345" s="105">
        <v>0</v>
      </c>
      <c r="W345" s="105">
        <v>0</v>
      </c>
      <c r="X345" s="105">
        <v>0</v>
      </c>
      <c r="Y345" s="24">
        <v>0</v>
      </c>
      <c r="Z345" s="24">
        <v>37</v>
      </c>
      <c r="AA345" s="24">
        <v>0</v>
      </c>
      <c r="AB345" s="24">
        <v>0</v>
      </c>
      <c r="AC345" s="7"/>
    </row>
    <row r="346" spans="1:29">
      <c r="A346" s="23">
        <v>31</v>
      </c>
      <c r="B346" s="24">
        <v>0</v>
      </c>
      <c r="C346" s="24"/>
      <c r="D346" s="24">
        <v>39</v>
      </c>
      <c r="E346" s="24"/>
      <c r="F346" s="24">
        <v>0</v>
      </c>
      <c r="G346" s="24"/>
      <c r="H346" s="24">
        <v>0</v>
      </c>
      <c r="I346" s="24">
        <v>0</v>
      </c>
      <c r="J346" s="24"/>
      <c r="K346" s="24">
        <v>0</v>
      </c>
      <c r="L346" s="24"/>
      <c r="M346" s="24">
        <v>10</v>
      </c>
      <c r="N346" s="7"/>
      <c r="P346" s="23">
        <v>31</v>
      </c>
      <c r="Q346" s="104">
        <v>0</v>
      </c>
      <c r="R346" s="104"/>
      <c r="S346" s="104">
        <v>0</v>
      </c>
      <c r="T346" s="104"/>
      <c r="U346" s="105">
        <v>0</v>
      </c>
      <c r="V346" s="105"/>
      <c r="W346" s="105">
        <v>0</v>
      </c>
      <c r="X346" s="105">
        <v>0</v>
      </c>
      <c r="Y346" s="24"/>
      <c r="Z346" s="24">
        <v>26</v>
      </c>
      <c r="AA346" s="24"/>
      <c r="AB346" s="24">
        <v>0</v>
      </c>
      <c r="AC346" s="7"/>
    </row>
    <row r="347" spans="1:29">
      <c r="A347" s="88"/>
      <c r="B347" s="113"/>
      <c r="C347" s="113"/>
      <c r="D347" s="113"/>
      <c r="E347" s="114"/>
      <c r="F347" s="113"/>
      <c r="G347" s="113"/>
      <c r="H347" s="113"/>
      <c r="I347" s="113"/>
      <c r="J347" s="113"/>
      <c r="K347" s="113"/>
      <c r="L347" s="113"/>
      <c r="M347" s="115"/>
      <c r="N347" s="7"/>
      <c r="P347" s="88"/>
      <c r="Q347" s="89"/>
      <c r="R347" s="89"/>
      <c r="S347" s="89"/>
      <c r="T347" s="90"/>
      <c r="U347" s="89"/>
      <c r="V347" s="89"/>
      <c r="W347" s="89"/>
      <c r="X347" s="89"/>
      <c r="Y347" s="89"/>
      <c r="Z347" s="89"/>
      <c r="AA347" s="89"/>
      <c r="AB347" s="91"/>
      <c r="AC347" s="7"/>
    </row>
    <row r="348" spans="1:29">
      <c r="A348" s="25" t="s">
        <v>65</v>
      </c>
      <c r="B348" s="92">
        <f t="shared" ref="B348:M348" si="28">SUM(B316:B346)</f>
        <v>237</v>
      </c>
      <c r="C348" s="92">
        <f t="shared" si="28"/>
        <v>59</v>
      </c>
      <c r="D348" s="92">
        <f t="shared" si="28"/>
        <v>142</v>
      </c>
      <c r="E348" s="92">
        <f t="shared" si="28"/>
        <v>426</v>
      </c>
      <c r="F348" s="92">
        <f t="shared" si="28"/>
        <v>149</v>
      </c>
      <c r="G348" s="92">
        <f t="shared" si="28"/>
        <v>258</v>
      </c>
      <c r="H348" s="92">
        <f t="shared" si="28"/>
        <v>147</v>
      </c>
      <c r="I348" s="92">
        <f t="shared" si="28"/>
        <v>121</v>
      </c>
      <c r="J348" s="92">
        <f t="shared" si="28"/>
        <v>75</v>
      </c>
      <c r="K348" s="92">
        <f t="shared" si="28"/>
        <v>450</v>
      </c>
      <c r="L348" s="92">
        <f t="shared" si="28"/>
        <v>484</v>
      </c>
      <c r="M348" s="93">
        <f t="shared" si="28"/>
        <v>399</v>
      </c>
      <c r="N348" s="9">
        <f>SUM(B348:M348)</f>
        <v>2947</v>
      </c>
      <c r="P348" s="25" t="s">
        <v>65</v>
      </c>
      <c r="Q348" s="92">
        <f>SUM(Q316:Q346)</f>
        <v>162</v>
      </c>
      <c r="R348" s="92">
        <f t="shared" ref="R348:AB348" si="29">SUM(R316:R346)</f>
        <v>117</v>
      </c>
      <c r="S348" s="92">
        <f t="shared" si="29"/>
        <v>208</v>
      </c>
      <c r="T348" s="92">
        <f t="shared" si="29"/>
        <v>559</v>
      </c>
      <c r="U348" s="92">
        <f t="shared" si="29"/>
        <v>390</v>
      </c>
      <c r="V348" s="92">
        <f t="shared" si="29"/>
        <v>242</v>
      </c>
      <c r="W348" s="92">
        <f t="shared" si="29"/>
        <v>115</v>
      </c>
      <c r="X348" s="92">
        <f t="shared" si="29"/>
        <v>34</v>
      </c>
      <c r="Y348" s="92">
        <f t="shared" si="29"/>
        <v>56</v>
      </c>
      <c r="Z348" s="92">
        <f t="shared" si="29"/>
        <v>656</v>
      </c>
      <c r="AA348" s="92">
        <f t="shared" si="29"/>
        <v>175</v>
      </c>
      <c r="AB348" s="30">
        <f t="shared" si="29"/>
        <v>606</v>
      </c>
      <c r="AC348" s="9">
        <f>SUM(Q348:AB348)</f>
        <v>3320</v>
      </c>
    </row>
    <row r="349" spans="1:29">
      <c r="A349" s="88" t="s">
        <v>66</v>
      </c>
      <c r="B349" s="94">
        <f t="shared" ref="B349:M349" si="30">MAX(B316:B346)</f>
        <v>53</v>
      </c>
      <c r="C349" s="94">
        <f t="shared" si="30"/>
        <v>45</v>
      </c>
      <c r="D349" s="94">
        <f t="shared" si="30"/>
        <v>39</v>
      </c>
      <c r="E349" s="94">
        <f t="shared" si="30"/>
        <v>89</v>
      </c>
      <c r="F349" s="94">
        <f t="shared" si="30"/>
        <v>50</v>
      </c>
      <c r="G349" s="94">
        <f t="shared" si="30"/>
        <v>64</v>
      </c>
      <c r="H349" s="94">
        <f t="shared" si="30"/>
        <v>54</v>
      </c>
      <c r="I349" s="94">
        <f t="shared" si="30"/>
        <v>93</v>
      </c>
      <c r="J349" s="94">
        <f t="shared" si="30"/>
        <v>29</v>
      </c>
      <c r="K349" s="94">
        <f t="shared" si="30"/>
        <v>112</v>
      </c>
      <c r="L349" s="94">
        <f t="shared" si="30"/>
        <v>133</v>
      </c>
      <c r="M349" s="30">
        <f t="shared" si="30"/>
        <v>72</v>
      </c>
      <c r="N349" s="9">
        <f>MAX(B349:M349)</f>
        <v>133</v>
      </c>
      <c r="P349" s="88" t="s">
        <v>66</v>
      </c>
      <c r="Q349" s="94">
        <f t="shared" ref="Q349:AB349" si="31">MAX(Q316:Q346)</f>
        <v>86</v>
      </c>
      <c r="R349" s="94">
        <f t="shared" si="31"/>
        <v>61</v>
      </c>
      <c r="S349" s="94">
        <f t="shared" si="31"/>
        <v>112</v>
      </c>
      <c r="T349" s="94">
        <f t="shared" si="31"/>
        <v>112</v>
      </c>
      <c r="U349" s="94">
        <f t="shared" si="31"/>
        <v>99</v>
      </c>
      <c r="V349" s="94">
        <f t="shared" si="31"/>
        <v>96</v>
      </c>
      <c r="W349" s="94">
        <f t="shared" si="31"/>
        <v>52</v>
      </c>
      <c r="X349" s="94">
        <f t="shared" si="31"/>
        <v>34</v>
      </c>
      <c r="Y349" s="94">
        <f t="shared" si="31"/>
        <v>36</v>
      </c>
      <c r="Z349" s="94">
        <f t="shared" si="31"/>
        <v>93</v>
      </c>
      <c r="AA349" s="94">
        <f t="shared" si="31"/>
        <v>49</v>
      </c>
      <c r="AB349" s="30">
        <f t="shared" si="31"/>
        <v>89</v>
      </c>
      <c r="AC349" s="9">
        <f>MAX(Q349:AB349)</f>
        <v>112</v>
      </c>
    </row>
    <row r="350" spans="1:29">
      <c r="A350" s="31"/>
      <c r="B350" s="7"/>
      <c r="C350" s="7"/>
      <c r="D350" s="7"/>
      <c r="E350" s="7"/>
      <c r="F350" s="7"/>
      <c r="G350" s="7"/>
      <c r="H350" s="32"/>
      <c r="I350" s="7"/>
      <c r="J350" s="7"/>
      <c r="K350" s="7"/>
      <c r="L350" s="7"/>
      <c r="M350" s="7"/>
      <c r="N350" s="7"/>
      <c r="P350" s="95"/>
      <c r="Q350" s="7"/>
      <c r="R350" s="7"/>
      <c r="S350" s="7"/>
      <c r="T350" s="7"/>
      <c r="U350" s="7"/>
      <c r="V350" s="7"/>
      <c r="W350" s="32"/>
      <c r="X350" s="7"/>
      <c r="Y350" s="7"/>
      <c r="Z350" s="7"/>
      <c r="AA350" s="7"/>
      <c r="AB350" s="7"/>
      <c r="AC350" s="7"/>
    </row>
    <row r="351" spans="1:29">
      <c r="A351" s="33" t="s">
        <v>67</v>
      </c>
      <c r="B351" s="34">
        <v>0</v>
      </c>
      <c r="C351" s="35" t="s">
        <v>68</v>
      </c>
      <c r="D351" s="19"/>
      <c r="E351" s="7"/>
      <c r="F351" s="7"/>
      <c r="G351" s="7"/>
      <c r="H351" s="32"/>
      <c r="I351" s="7"/>
      <c r="J351" s="7"/>
      <c r="K351" s="7"/>
      <c r="L351" s="7"/>
      <c r="M351" s="7"/>
      <c r="N351" s="7"/>
      <c r="P351" s="19" t="s">
        <v>67</v>
      </c>
      <c r="Q351" s="34">
        <v>0</v>
      </c>
      <c r="R351" s="35" t="s">
        <v>68</v>
      </c>
      <c r="S351" s="19"/>
      <c r="T351" s="7"/>
      <c r="U351" s="7"/>
      <c r="V351" s="7"/>
      <c r="W351" s="32"/>
      <c r="X351" s="7"/>
      <c r="Y351" s="7"/>
      <c r="Z351" s="7"/>
      <c r="AA351" s="7"/>
      <c r="AB351" s="7"/>
      <c r="AC351" s="7"/>
    </row>
    <row r="353" spans="1:29" ht="18">
      <c r="A353" s="1" t="s">
        <v>41</v>
      </c>
      <c r="B353" s="2"/>
      <c r="C353" s="2"/>
      <c r="D353" s="2"/>
      <c r="E353" s="3">
        <v>2010</v>
      </c>
      <c r="F353" s="4"/>
      <c r="G353" s="4"/>
      <c r="H353" s="5"/>
      <c r="I353" s="4"/>
      <c r="J353" s="4"/>
      <c r="K353" s="4"/>
      <c r="L353" s="4"/>
      <c r="M353" s="6"/>
      <c r="N353" s="7"/>
      <c r="P353" s="1" t="s">
        <v>41</v>
      </c>
      <c r="Q353" s="2"/>
      <c r="R353" s="2"/>
      <c r="S353" s="2"/>
      <c r="T353" s="3">
        <v>2020</v>
      </c>
      <c r="U353" s="4"/>
      <c r="V353" s="4"/>
      <c r="W353" s="5"/>
      <c r="X353" s="4"/>
      <c r="Y353" s="4"/>
      <c r="Z353" s="4"/>
      <c r="AA353" s="4"/>
      <c r="AB353" s="6"/>
      <c r="AC353" s="7"/>
    </row>
    <row r="354" spans="1:29">
      <c r="A354" s="8"/>
      <c r="B354" s="9"/>
      <c r="C354" s="9"/>
      <c r="D354" s="9"/>
      <c r="E354" s="10"/>
      <c r="F354" s="10"/>
      <c r="G354" s="10"/>
      <c r="H354" s="11"/>
      <c r="I354" s="9"/>
      <c r="J354" s="9"/>
      <c r="K354" s="9"/>
      <c r="L354" s="9"/>
      <c r="M354" s="12"/>
      <c r="N354" s="7"/>
      <c r="P354" s="8"/>
      <c r="Q354" s="9"/>
      <c r="R354" s="9"/>
      <c r="S354" s="9"/>
      <c r="T354" s="10"/>
      <c r="U354" s="10"/>
      <c r="V354" s="10"/>
      <c r="W354" s="11"/>
      <c r="X354" s="9"/>
      <c r="Y354" s="9"/>
      <c r="Z354" s="9"/>
      <c r="AA354" s="9"/>
      <c r="AB354" s="12"/>
      <c r="AC354" s="7"/>
    </row>
    <row r="355" spans="1:29" ht="15.75">
      <c r="A355" s="13" t="s">
        <v>42</v>
      </c>
      <c r="B355" s="14"/>
      <c r="C355" s="14" t="s">
        <v>43</v>
      </c>
      <c r="D355" s="14"/>
      <c r="E355" s="14"/>
      <c r="F355" s="14"/>
      <c r="G355" s="14"/>
      <c r="H355" s="15"/>
      <c r="I355" s="14"/>
      <c r="J355" s="14" t="s">
        <v>44</v>
      </c>
      <c r="K355" s="14" t="s">
        <v>45</v>
      </c>
      <c r="L355" s="14"/>
      <c r="M355" s="12"/>
      <c r="N355" s="7"/>
      <c r="P355" s="13" t="s">
        <v>42</v>
      </c>
      <c r="Q355" s="14"/>
      <c r="R355" s="14" t="s">
        <v>43</v>
      </c>
      <c r="S355" s="14"/>
      <c r="T355" s="14"/>
      <c r="U355" s="14"/>
      <c r="V355" s="14"/>
      <c r="W355" s="15"/>
      <c r="X355" s="14"/>
      <c r="Y355" s="14" t="s">
        <v>44</v>
      </c>
      <c r="Z355" s="14" t="s">
        <v>45</v>
      </c>
      <c r="AA355" s="14"/>
      <c r="AB355" s="12"/>
      <c r="AC355" s="7"/>
    </row>
    <row r="356" spans="1:29" ht="15.75">
      <c r="A356" s="13" t="s">
        <v>46</v>
      </c>
      <c r="B356" s="14"/>
      <c r="C356" s="14" t="s">
        <v>47</v>
      </c>
      <c r="D356" s="14"/>
      <c r="E356" s="14"/>
      <c r="F356" s="14"/>
      <c r="G356" s="14"/>
      <c r="H356" s="15"/>
      <c r="I356" s="14"/>
      <c r="J356" s="14" t="s">
        <v>48</v>
      </c>
      <c r="K356" s="14" t="s">
        <v>45</v>
      </c>
      <c r="L356" s="14"/>
      <c r="M356" s="12"/>
      <c r="N356" s="7"/>
      <c r="P356" s="13" t="s">
        <v>46</v>
      </c>
      <c r="Q356" s="14"/>
      <c r="R356" s="14" t="s">
        <v>47</v>
      </c>
      <c r="S356" s="14"/>
      <c r="T356" s="14"/>
      <c r="U356" s="14"/>
      <c r="V356" s="14"/>
      <c r="W356" s="15"/>
      <c r="X356" s="14"/>
      <c r="Y356" s="14" t="s">
        <v>48</v>
      </c>
      <c r="Z356" s="14" t="s">
        <v>45</v>
      </c>
      <c r="AA356" s="14"/>
      <c r="AB356" s="12"/>
      <c r="AC356" s="7"/>
    </row>
    <row r="357" spans="1:29" ht="15.75">
      <c r="A357" s="13" t="s">
        <v>49</v>
      </c>
      <c r="B357" s="14"/>
      <c r="C357" s="97">
        <f>E353</f>
        <v>2010</v>
      </c>
      <c r="D357" s="14"/>
      <c r="E357" s="14"/>
      <c r="F357" s="14"/>
      <c r="G357" s="14"/>
      <c r="H357" s="15"/>
      <c r="I357" s="14"/>
      <c r="J357" s="14" t="s">
        <v>51</v>
      </c>
      <c r="K357" s="14" t="s">
        <v>52</v>
      </c>
      <c r="L357" s="14"/>
      <c r="M357" s="12"/>
      <c r="N357" s="7"/>
      <c r="P357" s="13" t="s">
        <v>49</v>
      </c>
      <c r="Q357" s="14"/>
      <c r="R357" s="97">
        <f>T353</f>
        <v>2020</v>
      </c>
      <c r="S357" s="14"/>
      <c r="T357" s="14"/>
      <c r="U357" s="14"/>
      <c r="V357" s="14"/>
      <c r="W357" s="15"/>
      <c r="X357" s="14"/>
      <c r="Y357" s="14" t="s">
        <v>51</v>
      </c>
      <c r="Z357" s="14" t="s">
        <v>52</v>
      </c>
      <c r="AA357" s="14"/>
      <c r="AB357" s="12"/>
      <c r="AC357" s="7"/>
    </row>
    <row r="358" spans="1:29">
      <c r="A358" s="16"/>
      <c r="B358" s="10"/>
      <c r="C358" s="10"/>
      <c r="D358" s="10"/>
      <c r="E358" s="10"/>
      <c r="F358" s="10"/>
      <c r="G358" s="10"/>
      <c r="H358" s="17"/>
      <c r="I358" s="10"/>
      <c r="J358" s="10"/>
      <c r="K358" s="10"/>
      <c r="L358" s="10"/>
      <c r="M358" s="18"/>
      <c r="N358" s="19"/>
      <c r="P358" s="16"/>
      <c r="Q358" s="10"/>
      <c r="R358" s="10"/>
      <c r="S358" s="10"/>
      <c r="T358" s="10"/>
      <c r="U358" s="10"/>
      <c r="V358" s="10"/>
      <c r="W358" s="17"/>
      <c r="X358" s="10"/>
      <c r="Y358" s="10"/>
      <c r="Z358" s="10"/>
      <c r="AA358" s="10"/>
      <c r="AB358" s="18"/>
      <c r="AC358" s="19"/>
    </row>
    <row r="359" spans="1:29">
      <c r="A359" s="20" t="s">
        <v>53</v>
      </c>
      <c r="B359" s="21" t="s">
        <v>54</v>
      </c>
      <c r="C359" s="21" t="s">
        <v>55</v>
      </c>
      <c r="D359" s="21" t="s">
        <v>56</v>
      </c>
      <c r="E359" s="21" t="s">
        <v>57</v>
      </c>
      <c r="F359" s="21" t="s">
        <v>20</v>
      </c>
      <c r="G359" s="21" t="s">
        <v>58</v>
      </c>
      <c r="H359" s="21" t="s">
        <v>59</v>
      </c>
      <c r="I359" s="21" t="s">
        <v>60</v>
      </c>
      <c r="J359" s="21" t="s">
        <v>61</v>
      </c>
      <c r="K359" s="21" t="s">
        <v>62</v>
      </c>
      <c r="L359" s="21" t="s">
        <v>63</v>
      </c>
      <c r="M359" s="22" t="s">
        <v>64</v>
      </c>
      <c r="N359" s="19"/>
      <c r="P359" s="20" t="s">
        <v>53</v>
      </c>
      <c r="Q359" s="21" t="s">
        <v>54</v>
      </c>
      <c r="R359" s="21" t="s">
        <v>55</v>
      </c>
      <c r="S359" s="21" t="s">
        <v>56</v>
      </c>
      <c r="T359" s="21" t="s">
        <v>57</v>
      </c>
      <c r="U359" s="21" t="s">
        <v>20</v>
      </c>
      <c r="V359" s="21" t="s">
        <v>58</v>
      </c>
      <c r="W359" s="21" t="s">
        <v>59</v>
      </c>
      <c r="X359" s="21" t="s">
        <v>60</v>
      </c>
      <c r="Y359" s="21" t="s">
        <v>61</v>
      </c>
      <c r="Z359" s="21" t="s">
        <v>62</v>
      </c>
      <c r="AA359" s="21" t="s">
        <v>63</v>
      </c>
      <c r="AB359" s="22" t="s">
        <v>64</v>
      </c>
      <c r="AC359" s="19"/>
    </row>
    <row r="360" spans="1:29">
      <c r="A360" s="23">
        <v>1</v>
      </c>
      <c r="B360" s="24">
        <v>45</v>
      </c>
      <c r="C360" s="24">
        <v>0</v>
      </c>
      <c r="D360" s="24">
        <v>46</v>
      </c>
      <c r="E360" s="24">
        <v>0</v>
      </c>
      <c r="F360" s="24">
        <v>0</v>
      </c>
      <c r="G360" s="24">
        <v>0</v>
      </c>
      <c r="H360" s="24">
        <v>0</v>
      </c>
      <c r="I360" s="24">
        <v>0</v>
      </c>
      <c r="J360" s="24">
        <v>0</v>
      </c>
      <c r="K360" s="24">
        <v>0</v>
      </c>
      <c r="L360" s="24">
        <v>4</v>
      </c>
      <c r="M360" s="24">
        <v>44</v>
      </c>
      <c r="N360" s="7"/>
      <c r="P360" s="87">
        <v>1</v>
      </c>
      <c r="Q360" s="116">
        <v>75</v>
      </c>
      <c r="R360" s="116">
        <v>0</v>
      </c>
      <c r="S360" s="116">
        <v>56</v>
      </c>
      <c r="T360" s="116">
        <v>0</v>
      </c>
      <c r="U360" s="117">
        <v>0</v>
      </c>
      <c r="V360" s="117">
        <v>84</v>
      </c>
      <c r="W360" s="117">
        <v>140</v>
      </c>
      <c r="X360" s="117">
        <v>0</v>
      </c>
      <c r="Y360" s="98">
        <v>9</v>
      </c>
      <c r="Z360" s="98">
        <v>0</v>
      </c>
      <c r="AA360" s="98">
        <v>0</v>
      </c>
      <c r="AB360" s="98">
        <v>0</v>
      </c>
      <c r="AC360" s="7"/>
    </row>
    <row r="361" spans="1:29">
      <c r="A361" s="23">
        <v>2</v>
      </c>
      <c r="B361" s="24">
        <v>0</v>
      </c>
      <c r="C361" s="24">
        <v>0</v>
      </c>
      <c r="D361" s="24">
        <v>0</v>
      </c>
      <c r="E361" s="24">
        <v>0</v>
      </c>
      <c r="F361" s="24">
        <v>11</v>
      </c>
      <c r="G361" s="24">
        <v>6</v>
      </c>
      <c r="H361" s="24">
        <v>0</v>
      </c>
      <c r="I361" s="24">
        <v>0</v>
      </c>
      <c r="J361" s="24">
        <v>0</v>
      </c>
      <c r="K361" s="24">
        <v>0</v>
      </c>
      <c r="L361" s="24">
        <v>7</v>
      </c>
      <c r="M361" s="24">
        <v>0</v>
      </c>
      <c r="N361" s="7"/>
      <c r="P361" s="87">
        <v>2</v>
      </c>
      <c r="Q361" s="116">
        <v>29</v>
      </c>
      <c r="R361" s="116">
        <v>0</v>
      </c>
      <c r="S361" s="116">
        <v>0</v>
      </c>
      <c r="T361" s="116">
        <v>0</v>
      </c>
      <c r="U361" s="117">
        <v>0</v>
      </c>
      <c r="V361" s="117">
        <v>0</v>
      </c>
      <c r="W361" s="117">
        <v>0</v>
      </c>
      <c r="X361" s="117">
        <v>0</v>
      </c>
      <c r="Y361" s="98">
        <v>37</v>
      </c>
      <c r="Z361" s="98">
        <v>0</v>
      </c>
      <c r="AA361" s="98">
        <v>30</v>
      </c>
      <c r="AB361" s="98">
        <v>0</v>
      </c>
      <c r="AC361" s="7"/>
    </row>
    <row r="362" spans="1:29">
      <c r="A362" s="23">
        <v>3</v>
      </c>
      <c r="B362" s="24">
        <v>9</v>
      </c>
      <c r="C362" s="24">
        <v>0</v>
      </c>
      <c r="D362" s="24">
        <v>0</v>
      </c>
      <c r="E362" s="24">
        <v>1</v>
      </c>
      <c r="F362" s="24">
        <v>0</v>
      </c>
      <c r="G362" s="24">
        <v>0</v>
      </c>
      <c r="H362" s="24">
        <v>20</v>
      </c>
      <c r="I362" s="24">
        <v>1</v>
      </c>
      <c r="J362" s="24">
        <v>25</v>
      </c>
      <c r="K362" s="24">
        <v>21</v>
      </c>
      <c r="L362" s="24">
        <v>15</v>
      </c>
      <c r="M362" s="24">
        <v>15</v>
      </c>
      <c r="N362" s="7"/>
      <c r="P362" s="87">
        <v>3</v>
      </c>
      <c r="Q362" s="116">
        <v>0</v>
      </c>
      <c r="R362" s="116">
        <v>95</v>
      </c>
      <c r="S362" s="116">
        <v>0</v>
      </c>
      <c r="T362" s="116">
        <v>0</v>
      </c>
      <c r="U362" s="117">
        <v>10</v>
      </c>
      <c r="V362" s="117">
        <v>0</v>
      </c>
      <c r="W362" s="117">
        <v>0</v>
      </c>
      <c r="X362" s="117">
        <v>0</v>
      </c>
      <c r="Y362" s="98">
        <v>44</v>
      </c>
      <c r="Z362" s="98">
        <v>0</v>
      </c>
      <c r="AA362" s="98">
        <v>30</v>
      </c>
      <c r="AB362" s="98">
        <v>0</v>
      </c>
      <c r="AC362" s="7"/>
    </row>
    <row r="363" spans="1:29">
      <c r="A363" s="23">
        <v>4</v>
      </c>
      <c r="B363" s="24">
        <v>11</v>
      </c>
      <c r="C363" s="24">
        <v>0</v>
      </c>
      <c r="D363" s="24">
        <v>0</v>
      </c>
      <c r="E363" s="24">
        <v>8</v>
      </c>
      <c r="F363" s="24">
        <v>0</v>
      </c>
      <c r="G363" s="24">
        <v>6</v>
      </c>
      <c r="H363" s="24">
        <v>53</v>
      </c>
      <c r="I363" s="24">
        <v>5</v>
      </c>
      <c r="J363" s="24">
        <v>0</v>
      </c>
      <c r="K363" s="24">
        <v>0</v>
      </c>
      <c r="L363" s="24">
        <v>14</v>
      </c>
      <c r="M363" s="24">
        <v>33</v>
      </c>
      <c r="N363" s="7"/>
      <c r="P363" s="87">
        <v>4</v>
      </c>
      <c r="Q363" s="116">
        <v>48</v>
      </c>
      <c r="R363" s="116">
        <v>18</v>
      </c>
      <c r="S363" s="116">
        <v>0</v>
      </c>
      <c r="T363" s="116">
        <v>37</v>
      </c>
      <c r="U363" s="117">
        <v>0</v>
      </c>
      <c r="V363" s="117">
        <v>41</v>
      </c>
      <c r="W363" s="117">
        <v>0</v>
      </c>
      <c r="X363" s="117">
        <v>26</v>
      </c>
      <c r="Y363" s="98">
        <v>72</v>
      </c>
      <c r="Z363" s="98">
        <v>0</v>
      </c>
      <c r="AA363" s="98">
        <v>90</v>
      </c>
      <c r="AB363" s="98">
        <v>0</v>
      </c>
      <c r="AC363" s="7"/>
    </row>
    <row r="364" spans="1:29">
      <c r="A364" s="23">
        <v>5</v>
      </c>
      <c r="B364" s="24">
        <v>12</v>
      </c>
      <c r="C364" s="24">
        <v>0</v>
      </c>
      <c r="D364" s="24">
        <v>0</v>
      </c>
      <c r="E364" s="24">
        <v>0</v>
      </c>
      <c r="F364" s="24">
        <v>0</v>
      </c>
      <c r="G364" s="24">
        <v>0</v>
      </c>
      <c r="H364" s="24">
        <v>89</v>
      </c>
      <c r="I364" s="24">
        <v>0</v>
      </c>
      <c r="J364" s="24">
        <v>0</v>
      </c>
      <c r="K364" s="24">
        <v>0</v>
      </c>
      <c r="L364" s="24">
        <v>12</v>
      </c>
      <c r="M364" s="24">
        <v>46</v>
      </c>
      <c r="N364" s="7"/>
      <c r="P364" s="87">
        <v>5</v>
      </c>
      <c r="Q364" s="116">
        <v>19</v>
      </c>
      <c r="R364" s="116">
        <v>0</v>
      </c>
      <c r="S364" s="116">
        <v>0</v>
      </c>
      <c r="T364" s="116">
        <v>96</v>
      </c>
      <c r="U364" s="117">
        <v>0</v>
      </c>
      <c r="V364" s="117">
        <v>150</v>
      </c>
      <c r="W364" s="117">
        <v>0</v>
      </c>
      <c r="X364" s="117">
        <v>0</v>
      </c>
      <c r="Y364" s="98">
        <v>0</v>
      </c>
      <c r="Z364" s="98">
        <v>0</v>
      </c>
      <c r="AA364" s="98">
        <v>0</v>
      </c>
      <c r="AB364" s="98">
        <v>0</v>
      </c>
      <c r="AC364" s="7"/>
    </row>
    <row r="365" spans="1:29">
      <c r="A365" s="23">
        <v>6</v>
      </c>
      <c r="B365" s="24">
        <v>29</v>
      </c>
      <c r="C365" s="24">
        <v>2</v>
      </c>
      <c r="D365" s="24">
        <v>0</v>
      </c>
      <c r="E365" s="24">
        <v>0</v>
      </c>
      <c r="F365" s="24">
        <v>0</v>
      </c>
      <c r="G365" s="24">
        <v>0</v>
      </c>
      <c r="H365" s="24">
        <v>0</v>
      </c>
      <c r="I365" s="24">
        <v>2</v>
      </c>
      <c r="J365" s="24">
        <v>0</v>
      </c>
      <c r="K365" s="24">
        <v>0</v>
      </c>
      <c r="L365" s="24">
        <v>0</v>
      </c>
      <c r="M365" s="24">
        <v>5</v>
      </c>
      <c r="N365" s="7"/>
      <c r="P365" s="87">
        <v>6</v>
      </c>
      <c r="Q365" s="116">
        <v>14</v>
      </c>
      <c r="R365" s="116">
        <v>100</v>
      </c>
      <c r="S365" s="116">
        <v>0</v>
      </c>
      <c r="T365" s="116">
        <v>0</v>
      </c>
      <c r="U365" s="117">
        <v>0</v>
      </c>
      <c r="V365" s="117">
        <v>82</v>
      </c>
      <c r="W365" s="117">
        <v>0</v>
      </c>
      <c r="X365" s="117">
        <v>0</v>
      </c>
      <c r="Y365" s="98">
        <v>83</v>
      </c>
      <c r="Z365" s="98">
        <v>0</v>
      </c>
      <c r="AA365" s="98">
        <v>0</v>
      </c>
      <c r="AB365" s="98">
        <v>0</v>
      </c>
      <c r="AC365" s="7"/>
    </row>
    <row r="366" spans="1:29">
      <c r="A366" s="23">
        <v>7</v>
      </c>
      <c r="B366" s="24">
        <v>0</v>
      </c>
      <c r="C366" s="24">
        <v>0</v>
      </c>
      <c r="D366" s="24">
        <v>0</v>
      </c>
      <c r="E366" s="24">
        <v>3</v>
      </c>
      <c r="F366" s="24">
        <v>0</v>
      </c>
      <c r="G366" s="24">
        <v>0</v>
      </c>
      <c r="H366" s="24">
        <v>0</v>
      </c>
      <c r="I366" s="24">
        <v>0</v>
      </c>
      <c r="J366" s="24">
        <v>76</v>
      </c>
      <c r="K366" s="24">
        <v>24</v>
      </c>
      <c r="L366" s="24">
        <v>91</v>
      </c>
      <c r="M366" s="24">
        <v>0</v>
      </c>
      <c r="N366" s="7"/>
      <c r="P366" s="87">
        <v>7</v>
      </c>
      <c r="Q366" s="116">
        <v>26</v>
      </c>
      <c r="R366" s="116">
        <v>43</v>
      </c>
      <c r="S366" s="116">
        <v>0</v>
      </c>
      <c r="T366" s="116">
        <v>0</v>
      </c>
      <c r="U366" s="117">
        <v>0</v>
      </c>
      <c r="V366" s="117">
        <v>0</v>
      </c>
      <c r="W366" s="117">
        <v>0</v>
      </c>
      <c r="X366" s="117">
        <v>0</v>
      </c>
      <c r="Y366" s="98">
        <v>0</v>
      </c>
      <c r="Z366" s="98">
        <v>0</v>
      </c>
      <c r="AA366" s="98">
        <v>0</v>
      </c>
      <c r="AB366" s="98">
        <v>0</v>
      </c>
      <c r="AC366" s="7"/>
    </row>
    <row r="367" spans="1:29">
      <c r="A367" s="23">
        <v>8</v>
      </c>
      <c r="B367" s="24">
        <v>0</v>
      </c>
      <c r="C367" s="24">
        <v>0</v>
      </c>
      <c r="D367" s="24">
        <v>0</v>
      </c>
      <c r="E367" s="24">
        <v>0</v>
      </c>
      <c r="F367" s="24">
        <v>22</v>
      </c>
      <c r="G367" s="24">
        <v>56</v>
      </c>
      <c r="H367" s="24">
        <v>0</v>
      </c>
      <c r="I367" s="24">
        <v>0</v>
      </c>
      <c r="J367" s="24">
        <v>0</v>
      </c>
      <c r="K367" s="24">
        <v>13</v>
      </c>
      <c r="L367" s="24">
        <v>3</v>
      </c>
      <c r="M367" s="24">
        <v>0</v>
      </c>
      <c r="N367" s="7"/>
      <c r="P367" s="87">
        <v>8</v>
      </c>
      <c r="Q367" s="116">
        <v>63</v>
      </c>
      <c r="R367" s="116">
        <v>75</v>
      </c>
      <c r="S367" s="116">
        <v>0</v>
      </c>
      <c r="T367" s="116">
        <v>0</v>
      </c>
      <c r="U367" s="117">
        <v>23</v>
      </c>
      <c r="V367" s="117">
        <v>0</v>
      </c>
      <c r="W367" s="117">
        <v>6</v>
      </c>
      <c r="X367" s="117">
        <v>0</v>
      </c>
      <c r="Y367" s="98">
        <v>0</v>
      </c>
      <c r="Z367" s="98">
        <v>0</v>
      </c>
      <c r="AA367" s="98">
        <v>0</v>
      </c>
      <c r="AB367" s="98">
        <v>0</v>
      </c>
      <c r="AC367" s="7"/>
    </row>
    <row r="368" spans="1:29">
      <c r="A368" s="23">
        <v>9</v>
      </c>
      <c r="B368" s="24">
        <v>14</v>
      </c>
      <c r="C368" s="24">
        <v>1</v>
      </c>
      <c r="D368" s="24">
        <v>20</v>
      </c>
      <c r="E368" s="24">
        <v>0</v>
      </c>
      <c r="F368" s="24">
        <v>0</v>
      </c>
      <c r="G368" s="24">
        <v>13</v>
      </c>
      <c r="H368" s="24">
        <v>34</v>
      </c>
      <c r="I368" s="24">
        <v>0</v>
      </c>
      <c r="J368" s="24">
        <v>13</v>
      </c>
      <c r="K368" s="24">
        <v>0</v>
      </c>
      <c r="L368" s="24">
        <v>21</v>
      </c>
      <c r="M368" s="24">
        <v>39</v>
      </c>
      <c r="N368" s="7"/>
      <c r="P368" s="87">
        <v>9</v>
      </c>
      <c r="Q368" s="116">
        <v>0</v>
      </c>
      <c r="R368" s="116">
        <v>0</v>
      </c>
      <c r="S368" s="116">
        <v>0</v>
      </c>
      <c r="T368" s="116">
        <v>0</v>
      </c>
      <c r="U368" s="117">
        <v>0</v>
      </c>
      <c r="V368" s="117">
        <v>0</v>
      </c>
      <c r="W368" s="117">
        <v>80</v>
      </c>
      <c r="X368" s="117">
        <v>0</v>
      </c>
      <c r="Y368" s="98">
        <v>98</v>
      </c>
      <c r="Z368" s="98">
        <v>0</v>
      </c>
      <c r="AA368" s="98">
        <v>0</v>
      </c>
      <c r="AB368" s="98">
        <v>0</v>
      </c>
      <c r="AC368" s="7"/>
    </row>
    <row r="369" spans="1:29">
      <c r="A369" s="23">
        <v>10</v>
      </c>
      <c r="B369" s="24">
        <v>0</v>
      </c>
      <c r="C369" s="24">
        <v>2</v>
      </c>
      <c r="D369" s="24">
        <v>0</v>
      </c>
      <c r="E369" s="24">
        <v>0</v>
      </c>
      <c r="F369" s="24">
        <v>0</v>
      </c>
      <c r="G369" s="24">
        <v>0</v>
      </c>
      <c r="H369" s="24">
        <v>0</v>
      </c>
      <c r="I369" s="24">
        <v>0</v>
      </c>
      <c r="J369" s="24">
        <v>0</v>
      </c>
      <c r="K369" s="24">
        <v>0</v>
      </c>
      <c r="L369" s="24">
        <v>0</v>
      </c>
      <c r="M369" s="24">
        <v>11</v>
      </c>
      <c r="N369" s="7"/>
      <c r="P369" s="87">
        <v>10</v>
      </c>
      <c r="Q369" s="116">
        <v>0</v>
      </c>
      <c r="R369" s="116">
        <v>0</v>
      </c>
      <c r="S369" s="116">
        <v>0</v>
      </c>
      <c r="T369" s="116">
        <v>25</v>
      </c>
      <c r="U369" s="117">
        <v>0</v>
      </c>
      <c r="V369" s="117">
        <v>0</v>
      </c>
      <c r="W369" s="117">
        <v>51</v>
      </c>
      <c r="X369" s="117">
        <v>0</v>
      </c>
      <c r="Y369" s="98">
        <v>75</v>
      </c>
      <c r="Z369" s="98">
        <v>0</v>
      </c>
      <c r="AA369" s="98">
        <v>0</v>
      </c>
      <c r="AB369" s="98">
        <v>0</v>
      </c>
      <c r="AC369" s="7"/>
    </row>
    <row r="370" spans="1:29">
      <c r="A370" s="23">
        <v>11</v>
      </c>
      <c r="B370" s="24">
        <v>0</v>
      </c>
      <c r="C370" s="24">
        <v>11</v>
      </c>
      <c r="D370" s="24">
        <v>46</v>
      </c>
      <c r="E370" s="24">
        <v>0</v>
      </c>
      <c r="F370" s="24">
        <v>0</v>
      </c>
      <c r="G370" s="24">
        <v>0</v>
      </c>
      <c r="H370" s="24">
        <v>10</v>
      </c>
      <c r="I370" s="24">
        <v>0</v>
      </c>
      <c r="J370" s="24">
        <v>0</v>
      </c>
      <c r="K370" s="24">
        <v>0</v>
      </c>
      <c r="L370" s="24">
        <v>16</v>
      </c>
      <c r="M370" s="24">
        <v>0</v>
      </c>
      <c r="N370" s="7"/>
      <c r="P370" s="87">
        <v>11</v>
      </c>
      <c r="Q370" s="116">
        <v>17</v>
      </c>
      <c r="R370" s="116">
        <v>0</v>
      </c>
      <c r="S370" s="116">
        <v>0</v>
      </c>
      <c r="T370" s="116">
        <v>90</v>
      </c>
      <c r="U370" s="117">
        <v>20</v>
      </c>
      <c r="V370" s="117">
        <v>0</v>
      </c>
      <c r="W370" s="117">
        <v>0</v>
      </c>
      <c r="X370" s="117">
        <v>10</v>
      </c>
      <c r="Y370" s="98">
        <v>0</v>
      </c>
      <c r="Z370" s="98">
        <v>0</v>
      </c>
      <c r="AA370" s="98">
        <v>0</v>
      </c>
      <c r="AB370" s="98">
        <v>0</v>
      </c>
      <c r="AC370" s="7"/>
    </row>
    <row r="371" spans="1:29">
      <c r="A371" s="23">
        <v>12</v>
      </c>
      <c r="B371" s="24">
        <v>0</v>
      </c>
      <c r="C371" s="24">
        <v>0</v>
      </c>
      <c r="D371" s="24">
        <v>3</v>
      </c>
      <c r="E371" s="24">
        <v>2</v>
      </c>
      <c r="F371" s="24">
        <v>0</v>
      </c>
      <c r="G371" s="24">
        <v>0</v>
      </c>
      <c r="H371" s="24">
        <v>9</v>
      </c>
      <c r="I371" s="24">
        <v>0</v>
      </c>
      <c r="J371" s="24">
        <v>16</v>
      </c>
      <c r="K371" s="24">
        <v>0</v>
      </c>
      <c r="L371" s="24">
        <v>0</v>
      </c>
      <c r="M371" s="24">
        <v>0</v>
      </c>
      <c r="N371" s="7"/>
      <c r="P371" s="87">
        <v>12</v>
      </c>
      <c r="Q371" s="116">
        <v>72</v>
      </c>
      <c r="R371" s="116">
        <v>0</v>
      </c>
      <c r="S371" s="116">
        <v>0</v>
      </c>
      <c r="T371" s="116">
        <v>12</v>
      </c>
      <c r="U371" s="117">
        <v>0</v>
      </c>
      <c r="V371" s="117">
        <v>60</v>
      </c>
      <c r="W371" s="117">
        <v>49</v>
      </c>
      <c r="X371" s="117">
        <v>0</v>
      </c>
      <c r="Y371" s="98">
        <v>0</v>
      </c>
      <c r="Z371" s="98">
        <v>25</v>
      </c>
      <c r="AA371" s="98">
        <v>41</v>
      </c>
      <c r="AB371" s="98">
        <v>10</v>
      </c>
      <c r="AC371" s="7"/>
    </row>
    <row r="372" spans="1:29">
      <c r="A372" s="23">
        <v>13</v>
      </c>
      <c r="B372" s="24">
        <v>0</v>
      </c>
      <c r="C372" s="24">
        <v>7</v>
      </c>
      <c r="D372" s="24">
        <v>0</v>
      </c>
      <c r="E372" s="24">
        <v>0</v>
      </c>
      <c r="F372" s="24">
        <v>5</v>
      </c>
      <c r="G372" s="24">
        <v>25</v>
      </c>
      <c r="H372" s="24">
        <v>4</v>
      </c>
      <c r="I372" s="24">
        <v>0</v>
      </c>
      <c r="J372" s="24">
        <v>0</v>
      </c>
      <c r="K372" s="24">
        <v>0</v>
      </c>
      <c r="L372" s="24">
        <v>0</v>
      </c>
      <c r="M372" s="24">
        <v>0</v>
      </c>
      <c r="N372" s="7"/>
      <c r="P372" s="87">
        <v>13</v>
      </c>
      <c r="Q372" s="116">
        <v>0</v>
      </c>
      <c r="R372" s="116">
        <v>0</v>
      </c>
      <c r="S372" s="116">
        <v>0</v>
      </c>
      <c r="T372" s="116">
        <v>0</v>
      </c>
      <c r="U372" s="117">
        <v>0</v>
      </c>
      <c r="V372" s="117">
        <v>13</v>
      </c>
      <c r="W372" s="117">
        <v>90</v>
      </c>
      <c r="X372" s="117">
        <v>0</v>
      </c>
      <c r="Y372" s="98">
        <v>0</v>
      </c>
      <c r="Z372" s="98">
        <v>32</v>
      </c>
      <c r="AA372" s="98">
        <v>0</v>
      </c>
      <c r="AB372" s="98">
        <v>0</v>
      </c>
      <c r="AC372" s="7"/>
    </row>
    <row r="373" spans="1:29">
      <c r="A373" s="23">
        <v>14</v>
      </c>
      <c r="B373" s="24">
        <v>0</v>
      </c>
      <c r="C373" s="24">
        <v>13</v>
      </c>
      <c r="D373" s="24">
        <v>0</v>
      </c>
      <c r="E373" s="24">
        <v>0</v>
      </c>
      <c r="F373" s="24">
        <v>0</v>
      </c>
      <c r="G373" s="24">
        <v>0</v>
      </c>
      <c r="H373" s="24">
        <v>0</v>
      </c>
      <c r="I373" s="24">
        <v>0</v>
      </c>
      <c r="J373" s="24">
        <v>0</v>
      </c>
      <c r="K373" s="24">
        <v>0</v>
      </c>
      <c r="L373" s="24">
        <v>0</v>
      </c>
      <c r="M373" s="24">
        <v>0</v>
      </c>
      <c r="N373" s="7"/>
      <c r="P373" s="87">
        <v>14</v>
      </c>
      <c r="Q373" s="116">
        <v>0</v>
      </c>
      <c r="R373" s="116">
        <v>17</v>
      </c>
      <c r="S373" s="116">
        <v>48</v>
      </c>
      <c r="T373" s="116">
        <v>0</v>
      </c>
      <c r="U373" s="117">
        <v>0</v>
      </c>
      <c r="V373" s="117">
        <v>37</v>
      </c>
      <c r="W373" s="117">
        <v>131</v>
      </c>
      <c r="X373" s="117">
        <v>0</v>
      </c>
      <c r="Y373" s="98">
        <v>50</v>
      </c>
      <c r="Z373" s="98">
        <v>50</v>
      </c>
      <c r="AA373" s="98">
        <v>0</v>
      </c>
      <c r="AB373" s="98">
        <v>0</v>
      </c>
      <c r="AC373" s="7"/>
    </row>
    <row r="374" spans="1:29">
      <c r="A374" s="23">
        <v>15</v>
      </c>
      <c r="B374" s="24">
        <v>0</v>
      </c>
      <c r="C374" s="24">
        <v>0</v>
      </c>
      <c r="D374" s="24">
        <v>0</v>
      </c>
      <c r="E374" s="24">
        <v>0</v>
      </c>
      <c r="F374" s="24">
        <v>0</v>
      </c>
      <c r="G374" s="24">
        <v>0</v>
      </c>
      <c r="H374" s="24">
        <v>9</v>
      </c>
      <c r="I374" s="24">
        <v>0</v>
      </c>
      <c r="J374" s="24">
        <v>0</v>
      </c>
      <c r="K374" s="24">
        <v>0</v>
      </c>
      <c r="L374" s="24">
        <v>41</v>
      </c>
      <c r="M374" s="24">
        <v>0</v>
      </c>
      <c r="N374" s="7"/>
      <c r="P374" s="87">
        <v>15</v>
      </c>
      <c r="Q374" s="116">
        <v>0</v>
      </c>
      <c r="R374" s="116">
        <v>89</v>
      </c>
      <c r="S374" s="116">
        <v>0</v>
      </c>
      <c r="T374" s="116">
        <v>17</v>
      </c>
      <c r="U374" s="117">
        <v>0</v>
      </c>
      <c r="V374" s="117">
        <v>0</v>
      </c>
      <c r="W374" s="117">
        <v>14</v>
      </c>
      <c r="X374" s="117">
        <v>0</v>
      </c>
      <c r="Y374" s="98">
        <v>0</v>
      </c>
      <c r="Z374" s="98">
        <v>0</v>
      </c>
      <c r="AA374" s="98">
        <v>0</v>
      </c>
      <c r="AB374" s="98">
        <v>0</v>
      </c>
      <c r="AC374" s="7"/>
    </row>
    <row r="375" spans="1:29">
      <c r="A375" s="23">
        <v>16</v>
      </c>
      <c r="B375" s="24">
        <v>0</v>
      </c>
      <c r="C375" s="24">
        <v>0</v>
      </c>
      <c r="D375" s="24">
        <v>55</v>
      </c>
      <c r="E375" s="24">
        <v>19</v>
      </c>
      <c r="F375" s="24">
        <v>0</v>
      </c>
      <c r="G375" s="24">
        <v>76</v>
      </c>
      <c r="H375" s="24">
        <v>0</v>
      </c>
      <c r="I375" s="24">
        <v>15</v>
      </c>
      <c r="J375" s="24">
        <v>31</v>
      </c>
      <c r="K375" s="24">
        <v>0</v>
      </c>
      <c r="L375" s="24">
        <v>0</v>
      </c>
      <c r="M375" s="24">
        <v>4</v>
      </c>
      <c r="N375" s="7"/>
      <c r="P375" s="87">
        <v>16</v>
      </c>
      <c r="Q375" s="116">
        <v>0</v>
      </c>
      <c r="R375" s="116">
        <v>72</v>
      </c>
      <c r="S375" s="116">
        <v>27</v>
      </c>
      <c r="T375" s="116">
        <v>60</v>
      </c>
      <c r="U375" s="117">
        <v>82</v>
      </c>
      <c r="V375" s="117">
        <v>0</v>
      </c>
      <c r="W375" s="117">
        <v>5</v>
      </c>
      <c r="X375" s="117">
        <v>0</v>
      </c>
      <c r="Y375" s="98">
        <v>0</v>
      </c>
      <c r="Z375" s="98">
        <v>0</v>
      </c>
      <c r="AA375" s="98">
        <v>60</v>
      </c>
      <c r="AB375" s="98">
        <v>0</v>
      </c>
      <c r="AC375" s="7"/>
    </row>
    <row r="376" spans="1:29">
      <c r="A376" s="23">
        <v>17</v>
      </c>
      <c r="B376" s="24">
        <v>0</v>
      </c>
      <c r="C376" s="24">
        <v>20</v>
      </c>
      <c r="D376" s="24">
        <v>0</v>
      </c>
      <c r="E376" s="24">
        <v>8</v>
      </c>
      <c r="F376" s="24">
        <v>0</v>
      </c>
      <c r="G376" s="24">
        <v>26</v>
      </c>
      <c r="H376" s="24">
        <v>50</v>
      </c>
      <c r="I376" s="24">
        <v>0</v>
      </c>
      <c r="J376" s="24">
        <v>0</v>
      </c>
      <c r="K376" s="24">
        <v>0</v>
      </c>
      <c r="L376" s="24">
        <v>15</v>
      </c>
      <c r="M376" s="24">
        <v>98</v>
      </c>
      <c r="N376" s="7"/>
      <c r="P376" s="87">
        <v>17</v>
      </c>
      <c r="Q376" s="116">
        <v>0</v>
      </c>
      <c r="R376" s="116">
        <v>0</v>
      </c>
      <c r="S376" s="116">
        <v>0</v>
      </c>
      <c r="T376" s="116">
        <v>0</v>
      </c>
      <c r="U376" s="117">
        <v>70</v>
      </c>
      <c r="V376" s="117">
        <v>5</v>
      </c>
      <c r="W376" s="117">
        <v>96</v>
      </c>
      <c r="X376" s="117">
        <v>0</v>
      </c>
      <c r="Y376" s="98">
        <v>0</v>
      </c>
      <c r="Z376" s="98">
        <v>0</v>
      </c>
      <c r="AA376" s="98">
        <v>25</v>
      </c>
      <c r="AB376" s="98">
        <v>60</v>
      </c>
      <c r="AC376" s="7"/>
    </row>
    <row r="377" spans="1:29">
      <c r="A377" s="23">
        <v>18</v>
      </c>
      <c r="B377" s="24">
        <v>2</v>
      </c>
      <c r="C377" s="24">
        <v>35</v>
      </c>
      <c r="D377" s="24">
        <v>0</v>
      </c>
      <c r="E377" s="24">
        <v>0</v>
      </c>
      <c r="F377" s="24">
        <v>0</v>
      </c>
      <c r="G377" s="24">
        <v>0</v>
      </c>
      <c r="H377" s="24">
        <v>14</v>
      </c>
      <c r="I377" s="24">
        <v>12</v>
      </c>
      <c r="J377" s="24">
        <v>10</v>
      </c>
      <c r="K377" s="24">
        <v>0</v>
      </c>
      <c r="L377" s="24">
        <v>0</v>
      </c>
      <c r="M377" s="24">
        <v>10</v>
      </c>
      <c r="N377" s="7"/>
      <c r="P377" s="87">
        <v>18</v>
      </c>
      <c r="Q377" s="116">
        <v>0</v>
      </c>
      <c r="R377" s="116">
        <v>0</v>
      </c>
      <c r="S377" s="116">
        <v>0</v>
      </c>
      <c r="T377" s="116">
        <v>0</v>
      </c>
      <c r="U377" s="117">
        <v>0</v>
      </c>
      <c r="V377" s="117">
        <v>43</v>
      </c>
      <c r="W377" s="117">
        <v>0</v>
      </c>
      <c r="X377" s="117">
        <v>0</v>
      </c>
      <c r="Y377" s="98">
        <v>0</v>
      </c>
      <c r="Z377" s="98">
        <v>0</v>
      </c>
      <c r="AA377" s="98">
        <v>35</v>
      </c>
      <c r="AB377" s="98">
        <v>25</v>
      </c>
      <c r="AC377" s="7"/>
    </row>
    <row r="378" spans="1:29">
      <c r="A378" s="23">
        <v>19</v>
      </c>
      <c r="B378" s="24">
        <v>0</v>
      </c>
      <c r="C378" s="24">
        <v>29</v>
      </c>
      <c r="D378" s="24">
        <v>9</v>
      </c>
      <c r="E378" s="24">
        <v>0</v>
      </c>
      <c r="F378" s="24">
        <v>0</v>
      </c>
      <c r="G378" s="24">
        <v>14</v>
      </c>
      <c r="H378" s="24">
        <v>0</v>
      </c>
      <c r="I378" s="24">
        <v>30</v>
      </c>
      <c r="J378" s="24">
        <v>0</v>
      </c>
      <c r="K378" s="24">
        <v>0</v>
      </c>
      <c r="L378" s="24">
        <v>2</v>
      </c>
      <c r="M378" s="24">
        <v>0</v>
      </c>
      <c r="N378" s="7"/>
      <c r="P378" s="87">
        <v>19</v>
      </c>
      <c r="Q378" s="116">
        <v>0</v>
      </c>
      <c r="R378" s="116">
        <v>0</v>
      </c>
      <c r="S378" s="116">
        <v>25</v>
      </c>
      <c r="T378" s="116">
        <v>0</v>
      </c>
      <c r="U378" s="117">
        <v>0</v>
      </c>
      <c r="V378" s="117">
        <v>40</v>
      </c>
      <c r="W378" s="117">
        <v>0</v>
      </c>
      <c r="X378" s="117">
        <v>0</v>
      </c>
      <c r="Y378" s="98">
        <v>0</v>
      </c>
      <c r="Z378" s="98">
        <v>0</v>
      </c>
      <c r="AA378" s="98">
        <v>154</v>
      </c>
      <c r="AB378" s="98">
        <v>15</v>
      </c>
      <c r="AC378" s="7"/>
    </row>
    <row r="379" spans="1:29">
      <c r="A379" s="23">
        <v>20</v>
      </c>
      <c r="B379" s="24">
        <v>0</v>
      </c>
      <c r="C379" s="24">
        <v>32</v>
      </c>
      <c r="D379" s="24">
        <v>0</v>
      </c>
      <c r="E379" s="24">
        <v>5</v>
      </c>
      <c r="F379" s="24">
        <v>0</v>
      </c>
      <c r="G379" s="24">
        <v>0</v>
      </c>
      <c r="H379" s="24">
        <v>0</v>
      </c>
      <c r="I379" s="24">
        <v>0</v>
      </c>
      <c r="J379" s="24">
        <v>10</v>
      </c>
      <c r="K379" s="24">
        <v>0</v>
      </c>
      <c r="L379" s="24">
        <v>0</v>
      </c>
      <c r="M379" s="24">
        <v>0</v>
      </c>
      <c r="N379" s="7"/>
      <c r="P379" s="87">
        <v>20</v>
      </c>
      <c r="Q379" s="116">
        <v>75</v>
      </c>
      <c r="R379" s="116">
        <v>0</v>
      </c>
      <c r="S379" s="116">
        <v>70</v>
      </c>
      <c r="T379" s="116">
        <v>0</v>
      </c>
      <c r="U379" s="117">
        <v>0</v>
      </c>
      <c r="V379" s="117">
        <v>50</v>
      </c>
      <c r="W379" s="117">
        <v>55</v>
      </c>
      <c r="X379" s="117">
        <v>0</v>
      </c>
      <c r="Y379" s="98">
        <v>45</v>
      </c>
      <c r="Z379" s="98">
        <v>0</v>
      </c>
      <c r="AA379" s="98">
        <v>150</v>
      </c>
      <c r="AB379" s="98">
        <v>45</v>
      </c>
      <c r="AC379" s="7"/>
    </row>
    <row r="380" spans="1:29">
      <c r="A380" s="23">
        <v>21</v>
      </c>
      <c r="B380" s="24">
        <v>0</v>
      </c>
      <c r="C380" s="24">
        <v>0</v>
      </c>
      <c r="D380" s="24">
        <v>0</v>
      </c>
      <c r="E380" s="24">
        <v>0</v>
      </c>
      <c r="F380" s="24">
        <v>9</v>
      </c>
      <c r="G380" s="24">
        <v>0</v>
      </c>
      <c r="H380" s="24">
        <v>4</v>
      </c>
      <c r="I380" s="24">
        <v>84</v>
      </c>
      <c r="J380" s="24">
        <v>0</v>
      </c>
      <c r="K380" s="24">
        <v>0</v>
      </c>
      <c r="L380" s="24">
        <v>0</v>
      </c>
      <c r="M380" s="24">
        <v>21</v>
      </c>
      <c r="N380" s="7"/>
      <c r="P380" s="87">
        <v>21</v>
      </c>
      <c r="Q380" s="116">
        <v>80</v>
      </c>
      <c r="R380" s="116">
        <v>120</v>
      </c>
      <c r="S380" s="116">
        <v>30</v>
      </c>
      <c r="T380" s="116">
        <v>19</v>
      </c>
      <c r="U380" s="117">
        <v>0</v>
      </c>
      <c r="V380" s="117">
        <v>47</v>
      </c>
      <c r="W380" s="117">
        <v>0</v>
      </c>
      <c r="X380" s="117">
        <v>0</v>
      </c>
      <c r="Y380" s="98">
        <v>0</v>
      </c>
      <c r="Z380" s="98">
        <v>0</v>
      </c>
      <c r="AA380" s="98">
        <v>0</v>
      </c>
      <c r="AB380" s="98">
        <v>0</v>
      </c>
      <c r="AC380" s="7"/>
    </row>
    <row r="381" spans="1:29">
      <c r="A381" s="23">
        <v>22</v>
      </c>
      <c r="B381" s="24">
        <v>0</v>
      </c>
      <c r="C381" s="24">
        <v>129</v>
      </c>
      <c r="D381" s="24">
        <v>69</v>
      </c>
      <c r="E381" s="24">
        <v>0</v>
      </c>
      <c r="F381" s="24">
        <v>1</v>
      </c>
      <c r="G381" s="24">
        <v>0</v>
      </c>
      <c r="H381" s="24">
        <v>28</v>
      </c>
      <c r="I381" s="24">
        <v>0</v>
      </c>
      <c r="J381" s="24">
        <v>15</v>
      </c>
      <c r="K381" s="24">
        <v>21</v>
      </c>
      <c r="L381" s="24">
        <v>48</v>
      </c>
      <c r="M381" s="24">
        <v>1</v>
      </c>
      <c r="N381" s="7"/>
      <c r="P381" s="87">
        <v>22</v>
      </c>
      <c r="Q381" s="116">
        <v>76</v>
      </c>
      <c r="R381" s="116">
        <v>108</v>
      </c>
      <c r="S381" s="116">
        <v>0</v>
      </c>
      <c r="T381" s="116">
        <v>0</v>
      </c>
      <c r="U381" s="117">
        <v>0</v>
      </c>
      <c r="V381" s="117">
        <v>50</v>
      </c>
      <c r="W381" s="117">
        <v>21</v>
      </c>
      <c r="X381" s="117">
        <v>27</v>
      </c>
      <c r="Y381" s="98">
        <v>25</v>
      </c>
      <c r="Z381" s="98">
        <v>0</v>
      </c>
      <c r="AA381" s="98">
        <v>30</v>
      </c>
      <c r="AB381" s="98">
        <v>0</v>
      </c>
      <c r="AC381" s="7"/>
    </row>
    <row r="382" spans="1:29">
      <c r="A382" s="23">
        <v>23</v>
      </c>
      <c r="B382" s="24">
        <v>3</v>
      </c>
      <c r="C382" s="24">
        <v>0</v>
      </c>
      <c r="D382" s="24">
        <v>0</v>
      </c>
      <c r="E382" s="24">
        <v>0</v>
      </c>
      <c r="F382" s="24">
        <v>0</v>
      </c>
      <c r="G382" s="24">
        <v>0</v>
      </c>
      <c r="H382" s="24">
        <v>13</v>
      </c>
      <c r="I382" s="24">
        <v>0</v>
      </c>
      <c r="J382" s="24">
        <v>0</v>
      </c>
      <c r="K382" s="24">
        <v>0</v>
      </c>
      <c r="L382" s="24">
        <v>0</v>
      </c>
      <c r="M382" s="24">
        <v>4</v>
      </c>
      <c r="N382" s="7"/>
      <c r="P382" s="87">
        <v>23</v>
      </c>
      <c r="Q382" s="116">
        <v>100</v>
      </c>
      <c r="R382" s="116">
        <v>0</v>
      </c>
      <c r="S382" s="116">
        <v>0</v>
      </c>
      <c r="T382" s="116">
        <v>53</v>
      </c>
      <c r="U382" s="117">
        <v>0</v>
      </c>
      <c r="V382" s="117">
        <v>51</v>
      </c>
      <c r="W382" s="117">
        <v>59</v>
      </c>
      <c r="X382" s="117">
        <v>23</v>
      </c>
      <c r="Y382" s="98">
        <v>20</v>
      </c>
      <c r="Z382" s="98">
        <v>25</v>
      </c>
      <c r="AA382" s="98">
        <v>25</v>
      </c>
      <c r="AB382" s="98">
        <v>0</v>
      </c>
      <c r="AC382" s="7"/>
    </row>
    <row r="383" spans="1:29">
      <c r="A383" s="23">
        <v>24</v>
      </c>
      <c r="B383" s="24">
        <v>21</v>
      </c>
      <c r="C383" s="24">
        <v>0</v>
      </c>
      <c r="D383" s="24">
        <v>5</v>
      </c>
      <c r="E383" s="24">
        <v>0</v>
      </c>
      <c r="F383" s="24">
        <v>0</v>
      </c>
      <c r="G383" s="24">
        <v>18</v>
      </c>
      <c r="H383" s="24">
        <v>0</v>
      </c>
      <c r="I383" s="24">
        <v>0</v>
      </c>
      <c r="J383" s="24">
        <v>0</v>
      </c>
      <c r="K383" s="24">
        <v>0</v>
      </c>
      <c r="L383" s="24">
        <v>21</v>
      </c>
      <c r="M383" s="24">
        <v>0</v>
      </c>
      <c r="N383" s="7"/>
      <c r="P383" s="87">
        <v>24</v>
      </c>
      <c r="Q383" s="116">
        <v>0</v>
      </c>
      <c r="R383" s="116">
        <v>0</v>
      </c>
      <c r="S383" s="116">
        <v>18</v>
      </c>
      <c r="T383" s="116">
        <v>104</v>
      </c>
      <c r="U383" s="117">
        <v>0</v>
      </c>
      <c r="V383" s="117">
        <v>53</v>
      </c>
      <c r="W383" s="117">
        <v>0</v>
      </c>
      <c r="X383" s="117">
        <v>0</v>
      </c>
      <c r="Y383" s="98">
        <v>31</v>
      </c>
      <c r="Z383" s="98">
        <v>20</v>
      </c>
      <c r="AA383" s="98">
        <v>26</v>
      </c>
      <c r="AB383" s="98">
        <v>0</v>
      </c>
      <c r="AC383" s="7"/>
    </row>
    <row r="384" spans="1:29">
      <c r="A384" s="23">
        <v>25</v>
      </c>
      <c r="B384" s="24">
        <v>0</v>
      </c>
      <c r="C384" s="24">
        <v>0</v>
      </c>
      <c r="D384" s="24">
        <v>0</v>
      </c>
      <c r="E384" s="24">
        <v>0</v>
      </c>
      <c r="F384" s="24">
        <v>15</v>
      </c>
      <c r="G384" s="24">
        <v>8</v>
      </c>
      <c r="H384" s="24">
        <v>0</v>
      </c>
      <c r="I384" s="24">
        <v>0</v>
      </c>
      <c r="J384" s="24">
        <v>11</v>
      </c>
      <c r="K384" s="24">
        <v>8</v>
      </c>
      <c r="L384" s="24">
        <v>0</v>
      </c>
      <c r="M384" s="24">
        <v>0</v>
      </c>
      <c r="N384" s="7"/>
      <c r="P384" s="87">
        <v>25</v>
      </c>
      <c r="Q384" s="116">
        <v>0</v>
      </c>
      <c r="R384" s="116">
        <v>0</v>
      </c>
      <c r="S384" s="116">
        <v>0</v>
      </c>
      <c r="T384" s="116">
        <v>0</v>
      </c>
      <c r="U384" s="117">
        <v>0</v>
      </c>
      <c r="V384" s="117">
        <v>10</v>
      </c>
      <c r="W384" s="117">
        <v>0</v>
      </c>
      <c r="X384" s="117">
        <v>0</v>
      </c>
      <c r="Y384" s="98">
        <v>83</v>
      </c>
      <c r="Z384" s="98">
        <v>13</v>
      </c>
      <c r="AA384" s="98">
        <v>0</v>
      </c>
      <c r="AB384" s="98">
        <v>19</v>
      </c>
      <c r="AC384" s="7"/>
    </row>
    <row r="385" spans="1:29">
      <c r="A385" s="23">
        <v>26</v>
      </c>
      <c r="B385" s="24">
        <v>24</v>
      </c>
      <c r="C385" s="24">
        <v>0</v>
      </c>
      <c r="D385" s="24">
        <v>0</v>
      </c>
      <c r="E385" s="24">
        <v>2</v>
      </c>
      <c r="F385" s="24">
        <v>6</v>
      </c>
      <c r="G385" s="24">
        <v>0</v>
      </c>
      <c r="H385" s="24">
        <v>20</v>
      </c>
      <c r="I385" s="24">
        <v>0</v>
      </c>
      <c r="J385" s="24">
        <v>85</v>
      </c>
      <c r="K385" s="24">
        <v>0</v>
      </c>
      <c r="L385" s="24">
        <v>36</v>
      </c>
      <c r="M385" s="24">
        <v>0</v>
      </c>
      <c r="N385" s="7"/>
      <c r="P385" s="87">
        <v>26</v>
      </c>
      <c r="Q385" s="116">
        <v>0</v>
      </c>
      <c r="R385" s="116">
        <v>62</v>
      </c>
      <c r="S385" s="116">
        <v>0</v>
      </c>
      <c r="T385" s="116">
        <v>50</v>
      </c>
      <c r="U385" s="117">
        <v>0</v>
      </c>
      <c r="V385" s="117">
        <v>0</v>
      </c>
      <c r="W385" s="117">
        <v>17</v>
      </c>
      <c r="X385" s="117">
        <v>20</v>
      </c>
      <c r="Y385" s="98">
        <v>111</v>
      </c>
      <c r="Z385" s="98">
        <v>0</v>
      </c>
      <c r="AA385" s="98">
        <v>0</v>
      </c>
      <c r="AB385" s="98">
        <v>0</v>
      </c>
      <c r="AC385" s="7"/>
    </row>
    <row r="386" spans="1:29">
      <c r="A386" s="23">
        <v>27</v>
      </c>
      <c r="B386" s="24">
        <v>0</v>
      </c>
      <c r="C386" s="24">
        <v>0</v>
      </c>
      <c r="D386" s="24">
        <v>0</v>
      </c>
      <c r="E386" s="24">
        <v>15</v>
      </c>
      <c r="F386" s="24">
        <v>0</v>
      </c>
      <c r="G386" s="24">
        <v>0</v>
      </c>
      <c r="H386" s="24">
        <v>41</v>
      </c>
      <c r="I386" s="24">
        <v>44</v>
      </c>
      <c r="J386" s="24">
        <v>39</v>
      </c>
      <c r="K386" s="24">
        <v>0</v>
      </c>
      <c r="L386" s="24">
        <v>0</v>
      </c>
      <c r="M386" s="24">
        <v>5</v>
      </c>
      <c r="N386" s="7"/>
      <c r="P386" s="87">
        <v>27</v>
      </c>
      <c r="Q386" s="116">
        <v>0</v>
      </c>
      <c r="R386" s="116">
        <v>78</v>
      </c>
      <c r="S386" s="116">
        <v>0</v>
      </c>
      <c r="T386" s="116">
        <v>37</v>
      </c>
      <c r="U386" s="117">
        <v>50</v>
      </c>
      <c r="V386" s="117">
        <v>0</v>
      </c>
      <c r="W386" s="117">
        <v>100</v>
      </c>
      <c r="X386" s="117">
        <v>0</v>
      </c>
      <c r="Y386" s="98">
        <v>4</v>
      </c>
      <c r="Z386" s="98">
        <v>20</v>
      </c>
      <c r="AA386" s="98">
        <v>0</v>
      </c>
      <c r="AB386" s="98">
        <v>0</v>
      </c>
      <c r="AC386" s="7"/>
    </row>
    <row r="387" spans="1:29">
      <c r="A387" s="23">
        <v>28</v>
      </c>
      <c r="B387" s="24">
        <v>46</v>
      </c>
      <c r="C387" s="24">
        <v>0</v>
      </c>
      <c r="D387" s="24">
        <v>12</v>
      </c>
      <c r="E387" s="24">
        <v>4</v>
      </c>
      <c r="F387" s="24">
        <v>0</v>
      </c>
      <c r="G387" s="24">
        <v>15</v>
      </c>
      <c r="H387" s="24">
        <v>0</v>
      </c>
      <c r="I387" s="24">
        <v>0</v>
      </c>
      <c r="J387" s="24">
        <v>12</v>
      </c>
      <c r="K387" s="24">
        <v>0</v>
      </c>
      <c r="L387" s="24">
        <v>6</v>
      </c>
      <c r="M387" s="24">
        <v>13</v>
      </c>
      <c r="N387" s="7"/>
      <c r="P387" s="87">
        <v>28</v>
      </c>
      <c r="Q387" s="116">
        <v>0</v>
      </c>
      <c r="R387" s="116">
        <v>0</v>
      </c>
      <c r="S387" s="116">
        <v>0</v>
      </c>
      <c r="T387" s="116">
        <v>100</v>
      </c>
      <c r="U387" s="117">
        <v>71</v>
      </c>
      <c r="V387" s="117">
        <v>0</v>
      </c>
      <c r="W387" s="117">
        <v>0</v>
      </c>
      <c r="X387" s="117">
        <v>0</v>
      </c>
      <c r="Y387" s="98">
        <v>0</v>
      </c>
      <c r="Z387" s="98">
        <v>25</v>
      </c>
      <c r="AA387" s="98">
        <v>0</v>
      </c>
      <c r="AB387" s="98">
        <v>0</v>
      </c>
      <c r="AC387" s="7"/>
    </row>
    <row r="388" spans="1:29">
      <c r="A388" s="23">
        <v>29</v>
      </c>
      <c r="B388" s="24">
        <v>48</v>
      </c>
      <c r="C388" s="24"/>
      <c r="D388" s="24">
        <v>0</v>
      </c>
      <c r="E388" s="24">
        <v>0</v>
      </c>
      <c r="F388" s="24">
        <v>0</v>
      </c>
      <c r="G388" s="24">
        <v>0</v>
      </c>
      <c r="H388" s="24">
        <v>0</v>
      </c>
      <c r="I388" s="24">
        <v>0</v>
      </c>
      <c r="J388" s="24">
        <v>6</v>
      </c>
      <c r="K388" s="24">
        <v>46</v>
      </c>
      <c r="L388" s="24">
        <v>0</v>
      </c>
      <c r="M388" s="24">
        <v>8</v>
      </c>
      <c r="N388" s="7"/>
      <c r="P388" s="87">
        <v>29</v>
      </c>
      <c r="Q388" s="116">
        <v>98</v>
      </c>
      <c r="R388" s="116">
        <v>0</v>
      </c>
      <c r="S388" s="116">
        <v>0</v>
      </c>
      <c r="T388" s="116">
        <v>0</v>
      </c>
      <c r="U388" s="117">
        <v>0</v>
      </c>
      <c r="V388" s="117">
        <v>0</v>
      </c>
      <c r="W388" s="117">
        <v>0</v>
      </c>
      <c r="X388" s="117">
        <v>0</v>
      </c>
      <c r="Y388" s="98">
        <v>100</v>
      </c>
      <c r="Z388" s="98">
        <v>0</v>
      </c>
      <c r="AA388" s="98">
        <v>0</v>
      </c>
      <c r="AB388" s="98">
        <v>0</v>
      </c>
      <c r="AC388" s="7"/>
    </row>
    <row r="389" spans="1:29">
      <c r="A389" s="23">
        <v>30</v>
      </c>
      <c r="B389" s="24">
        <v>10</v>
      </c>
      <c r="C389" s="24"/>
      <c r="D389" s="24">
        <v>0</v>
      </c>
      <c r="E389" s="24">
        <v>0</v>
      </c>
      <c r="F389" s="24">
        <v>0</v>
      </c>
      <c r="G389" s="24">
        <v>32</v>
      </c>
      <c r="H389" s="24">
        <v>2</v>
      </c>
      <c r="I389" s="24">
        <v>0</v>
      </c>
      <c r="J389" s="24">
        <v>0</v>
      </c>
      <c r="K389" s="24">
        <v>23</v>
      </c>
      <c r="L389" s="24">
        <v>39</v>
      </c>
      <c r="M389" s="24">
        <v>0</v>
      </c>
      <c r="N389" s="7"/>
      <c r="P389" s="87">
        <v>30</v>
      </c>
      <c r="Q389" s="116">
        <v>0</v>
      </c>
      <c r="R389" s="116"/>
      <c r="S389" s="116">
        <v>0</v>
      </c>
      <c r="T389" s="116">
        <v>0</v>
      </c>
      <c r="U389" s="117">
        <v>0</v>
      </c>
      <c r="V389" s="117">
        <v>0</v>
      </c>
      <c r="W389" s="117">
        <v>0</v>
      </c>
      <c r="X389" s="117">
        <v>0</v>
      </c>
      <c r="Y389" s="98">
        <v>50</v>
      </c>
      <c r="Z389" s="98">
        <v>0</v>
      </c>
      <c r="AA389" s="98">
        <v>120</v>
      </c>
      <c r="AB389" s="98">
        <v>0</v>
      </c>
      <c r="AC389" s="7"/>
    </row>
    <row r="390" spans="1:29">
      <c r="A390" s="23">
        <v>31</v>
      </c>
      <c r="B390" s="24">
        <v>1</v>
      </c>
      <c r="C390" s="24"/>
      <c r="D390" s="24">
        <v>10</v>
      </c>
      <c r="E390" s="24"/>
      <c r="F390" s="24">
        <v>5</v>
      </c>
      <c r="G390" s="24"/>
      <c r="H390" s="24">
        <v>0</v>
      </c>
      <c r="I390" s="24">
        <v>29</v>
      </c>
      <c r="J390" s="24"/>
      <c r="K390" s="24">
        <v>25</v>
      </c>
      <c r="L390" s="24"/>
      <c r="M390" s="24">
        <v>0</v>
      </c>
      <c r="N390" s="7"/>
      <c r="P390" s="87">
        <v>31</v>
      </c>
      <c r="Q390" s="116">
        <v>0</v>
      </c>
      <c r="R390" s="116"/>
      <c r="S390" s="116">
        <v>0</v>
      </c>
      <c r="T390" s="116"/>
      <c r="U390" s="117">
        <v>0</v>
      </c>
      <c r="V390" s="117"/>
      <c r="W390" s="117">
        <v>0</v>
      </c>
      <c r="X390" s="117">
        <v>0</v>
      </c>
      <c r="Y390" s="98"/>
      <c r="Z390" s="98">
        <v>0</v>
      </c>
      <c r="AA390" s="98"/>
      <c r="AB390" s="98">
        <v>0</v>
      </c>
      <c r="AC390" s="7"/>
    </row>
    <row r="391" spans="1:29">
      <c r="A391" s="88"/>
      <c r="B391" s="89"/>
      <c r="C391" s="89"/>
      <c r="D391" s="89"/>
      <c r="E391" s="90"/>
      <c r="F391" s="89"/>
      <c r="G391" s="89"/>
      <c r="H391" s="89"/>
      <c r="I391" s="89"/>
      <c r="J391" s="89"/>
      <c r="K391" s="89"/>
      <c r="L391" s="89"/>
      <c r="M391" s="91"/>
      <c r="N391" s="7"/>
      <c r="P391" s="88"/>
      <c r="Q391" s="89"/>
      <c r="R391" s="89"/>
      <c r="S391" s="89"/>
      <c r="T391" s="90"/>
      <c r="U391" s="89"/>
      <c r="V391" s="89"/>
      <c r="W391" s="89"/>
      <c r="X391" s="89"/>
      <c r="Y391" s="89"/>
      <c r="Z391" s="89"/>
      <c r="AA391" s="89"/>
      <c r="AB391" s="91"/>
      <c r="AC391" s="7"/>
    </row>
    <row r="392" spans="1:29">
      <c r="A392" s="25" t="s">
        <v>65</v>
      </c>
      <c r="B392" s="92">
        <f t="shared" ref="B392:M392" si="32">SUM(B360:B390)</f>
        <v>275</v>
      </c>
      <c r="C392" s="92">
        <f>SUM(C360:C390)</f>
        <v>281</v>
      </c>
      <c r="D392" s="92">
        <f t="shared" si="32"/>
        <v>275</v>
      </c>
      <c r="E392" s="92">
        <f t="shared" si="32"/>
        <v>67</v>
      </c>
      <c r="F392" s="92">
        <f t="shared" si="32"/>
        <v>74</v>
      </c>
      <c r="G392" s="92">
        <f t="shared" si="32"/>
        <v>295</v>
      </c>
      <c r="H392" s="92">
        <f t="shared" si="32"/>
        <v>400</v>
      </c>
      <c r="I392" s="92">
        <f t="shared" si="32"/>
        <v>222</v>
      </c>
      <c r="J392" s="92">
        <f t="shared" si="32"/>
        <v>349</v>
      </c>
      <c r="K392" s="92">
        <f t="shared" si="32"/>
        <v>181</v>
      </c>
      <c r="L392" s="92">
        <f t="shared" si="32"/>
        <v>391</v>
      </c>
      <c r="M392" s="93">
        <f t="shared" si="32"/>
        <v>357</v>
      </c>
      <c r="N392" s="9">
        <f>SUM(B392:M392)</f>
        <v>3167</v>
      </c>
      <c r="P392" s="25" t="s">
        <v>65</v>
      </c>
      <c r="Q392" s="92">
        <f>SUM(Q360:Q390)</f>
        <v>792</v>
      </c>
      <c r="R392" s="92">
        <f t="shared" ref="R392:AB392" si="33">SUM(R360:R390)</f>
        <v>877</v>
      </c>
      <c r="S392" s="92">
        <f t="shared" si="33"/>
        <v>274</v>
      </c>
      <c r="T392" s="92">
        <f t="shared" si="33"/>
        <v>700</v>
      </c>
      <c r="U392" s="92">
        <f t="shared" si="33"/>
        <v>326</v>
      </c>
      <c r="V392" s="92">
        <f t="shared" si="33"/>
        <v>816</v>
      </c>
      <c r="W392" s="92">
        <f t="shared" si="33"/>
        <v>914</v>
      </c>
      <c r="X392" s="92">
        <f t="shared" si="33"/>
        <v>106</v>
      </c>
      <c r="Y392" s="92">
        <f t="shared" si="33"/>
        <v>937</v>
      </c>
      <c r="Z392" s="92">
        <f t="shared" si="33"/>
        <v>210</v>
      </c>
      <c r="AA392" s="92">
        <f t="shared" si="33"/>
        <v>816</v>
      </c>
      <c r="AB392" s="30">
        <f t="shared" si="33"/>
        <v>174</v>
      </c>
      <c r="AC392" s="9">
        <f>SUM(Q392:AB392)</f>
        <v>6942</v>
      </c>
    </row>
    <row r="393" spans="1:29">
      <c r="A393" s="88" t="s">
        <v>66</v>
      </c>
      <c r="B393" s="94">
        <f t="shared" ref="B393:M393" si="34">MAX(B360:B390)</f>
        <v>48</v>
      </c>
      <c r="C393" s="94">
        <f t="shared" si="34"/>
        <v>129</v>
      </c>
      <c r="D393" s="94">
        <f t="shared" si="34"/>
        <v>69</v>
      </c>
      <c r="E393" s="94">
        <f t="shared" si="34"/>
        <v>19</v>
      </c>
      <c r="F393" s="94">
        <f t="shared" si="34"/>
        <v>22</v>
      </c>
      <c r="G393" s="94">
        <f t="shared" si="34"/>
        <v>76</v>
      </c>
      <c r="H393" s="94">
        <f t="shared" si="34"/>
        <v>89</v>
      </c>
      <c r="I393" s="94">
        <f t="shared" si="34"/>
        <v>84</v>
      </c>
      <c r="J393" s="94">
        <f t="shared" si="34"/>
        <v>85</v>
      </c>
      <c r="K393" s="94">
        <f t="shared" si="34"/>
        <v>46</v>
      </c>
      <c r="L393" s="94">
        <f t="shared" si="34"/>
        <v>91</v>
      </c>
      <c r="M393" s="30">
        <f t="shared" si="34"/>
        <v>98</v>
      </c>
      <c r="N393" s="9">
        <f>MAX(B393:M393)</f>
        <v>129</v>
      </c>
      <c r="P393" s="88" t="s">
        <v>66</v>
      </c>
      <c r="Q393" s="94">
        <f t="shared" ref="Q393:AB393" si="35">MAX(Q360:Q390)</f>
        <v>100</v>
      </c>
      <c r="R393" s="94">
        <f t="shared" si="35"/>
        <v>120</v>
      </c>
      <c r="S393" s="94">
        <f t="shared" si="35"/>
        <v>70</v>
      </c>
      <c r="T393" s="94">
        <f t="shared" si="35"/>
        <v>104</v>
      </c>
      <c r="U393" s="94">
        <f t="shared" si="35"/>
        <v>82</v>
      </c>
      <c r="V393" s="94">
        <f t="shared" si="35"/>
        <v>150</v>
      </c>
      <c r="W393" s="94">
        <f t="shared" si="35"/>
        <v>140</v>
      </c>
      <c r="X393" s="94">
        <f t="shared" si="35"/>
        <v>27</v>
      </c>
      <c r="Y393" s="94">
        <f t="shared" si="35"/>
        <v>111</v>
      </c>
      <c r="Z393" s="94">
        <f t="shared" si="35"/>
        <v>50</v>
      </c>
      <c r="AA393" s="94">
        <f t="shared" si="35"/>
        <v>154</v>
      </c>
      <c r="AB393" s="30">
        <f t="shared" si="35"/>
        <v>60</v>
      </c>
      <c r="AC393" s="9">
        <f>MAX(Q393:AB393)</f>
        <v>154</v>
      </c>
    </row>
    <row r="394" spans="1:29">
      <c r="A394" s="31"/>
      <c r="B394" s="7"/>
      <c r="C394" s="7"/>
      <c r="D394" s="7"/>
      <c r="E394" s="7"/>
      <c r="F394" s="7"/>
      <c r="G394" s="7"/>
      <c r="H394" s="32"/>
      <c r="I394" s="7"/>
      <c r="J394" s="7"/>
      <c r="K394" s="7"/>
      <c r="L394" s="7"/>
      <c r="M394" s="7"/>
      <c r="N394" s="7"/>
      <c r="P394" s="95"/>
      <c r="Q394" s="7"/>
      <c r="R394" s="7"/>
      <c r="S394" s="7"/>
      <c r="T394" s="7"/>
      <c r="U394" s="7"/>
      <c r="V394" s="7"/>
      <c r="W394" s="32"/>
      <c r="X394" s="7"/>
      <c r="Y394" s="7"/>
      <c r="Z394" s="7"/>
      <c r="AA394" s="7"/>
      <c r="AB394" s="7"/>
      <c r="AC394" s="7"/>
    </row>
    <row r="395" spans="1:29">
      <c r="A395" s="33" t="s">
        <v>67</v>
      </c>
      <c r="B395" s="118">
        <v>0</v>
      </c>
      <c r="C395" s="119" t="s">
        <v>68</v>
      </c>
      <c r="D395" s="19"/>
      <c r="E395" s="7"/>
      <c r="F395" s="7"/>
      <c r="G395" s="7"/>
      <c r="H395" s="32"/>
      <c r="I395" s="7"/>
      <c r="J395" s="7"/>
      <c r="K395" s="7"/>
      <c r="L395" s="7"/>
      <c r="M395" s="7"/>
      <c r="N395" s="7"/>
      <c r="P395" s="96" t="s">
        <v>67</v>
      </c>
      <c r="Q395" s="34">
        <v>0</v>
      </c>
      <c r="R395" s="35" t="s">
        <v>68</v>
      </c>
      <c r="S395" s="19"/>
      <c r="T395" s="7"/>
      <c r="U395" s="7"/>
      <c r="V395" s="7"/>
      <c r="W395" s="32"/>
      <c r="X395" s="7"/>
      <c r="Y395" s="7"/>
      <c r="Z395" s="7"/>
      <c r="AA395" s="7"/>
      <c r="AB395" s="7"/>
      <c r="AC395" s="7"/>
    </row>
    <row r="397" spans="1:29" ht="18">
      <c r="A397" s="1" t="s">
        <v>41</v>
      </c>
      <c r="B397" s="2"/>
      <c r="C397" s="2"/>
      <c r="D397" s="2"/>
      <c r="E397" s="3">
        <v>2011</v>
      </c>
      <c r="F397" s="4"/>
      <c r="G397" s="4"/>
      <c r="H397" s="5"/>
      <c r="I397" s="4"/>
      <c r="J397" s="4"/>
      <c r="K397" s="4"/>
      <c r="L397" s="4"/>
      <c r="M397" s="6"/>
      <c r="N397" s="7"/>
      <c r="P397" s="1" t="s">
        <v>41</v>
      </c>
      <c r="Q397" s="2"/>
      <c r="R397" s="2"/>
      <c r="S397" s="2"/>
      <c r="T397" s="3">
        <v>2021</v>
      </c>
      <c r="U397" s="4"/>
      <c r="V397" s="4"/>
      <c r="W397" s="5"/>
      <c r="X397" s="4"/>
      <c r="Y397" s="4"/>
      <c r="Z397" s="4"/>
      <c r="AA397" s="4"/>
      <c r="AB397" s="6"/>
      <c r="AC397" s="7"/>
    </row>
    <row r="398" spans="1:29">
      <c r="A398" s="8"/>
      <c r="B398" s="9"/>
      <c r="C398" s="9"/>
      <c r="D398" s="9"/>
      <c r="E398" s="10"/>
      <c r="F398" s="10"/>
      <c r="G398" s="10"/>
      <c r="H398" s="11"/>
      <c r="I398" s="9"/>
      <c r="J398" s="9"/>
      <c r="K398" s="9"/>
      <c r="L398" s="9"/>
      <c r="M398" s="12"/>
      <c r="N398" s="7"/>
      <c r="P398" s="8"/>
      <c r="Q398" s="9"/>
      <c r="R398" s="9"/>
      <c r="S398" s="9"/>
      <c r="T398" s="10"/>
      <c r="U398" s="10"/>
      <c r="V398" s="10"/>
      <c r="W398" s="11"/>
      <c r="X398" s="9"/>
      <c r="Y398" s="9"/>
      <c r="Z398" s="9"/>
      <c r="AA398" s="9"/>
      <c r="AB398" s="12"/>
      <c r="AC398" s="7"/>
    </row>
    <row r="399" spans="1:29" ht="15.75">
      <c r="A399" s="13" t="s">
        <v>42</v>
      </c>
      <c r="B399" s="14"/>
      <c r="C399" s="14" t="s">
        <v>43</v>
      </c>
      <c r="D399" s="14"/>
      <c r="E399" s="14"/>
      <c r="F399" s="14"/>
      <c r="G399" s="14"/>
      <c r="H399" s="15"/>
      <c r="I399" s="14"/>
      <c r="J399" s="14" t="s">
        <v>44</v>
      </c>
      <c r="K399" s="14" t="s">
        <v>45</v>
      </c>
      <c r="L399" s="14"/>
      <c r="M399" s="12"/>
      <c r="N399" s="7"/>
      <c r="P399" s="13" t="s">
        <v>42</v>
      </c>
      <c r="Q399" s="14"/>
      <c r="R399" s="14" t="s">
        <v>43</v>
      </c>
      <c r="S399" s="14"/>
      <c r="T399" s="14"/>
      <c r="U399" s="14"/>
      <c r="V399" s="14"/>
      <c r="W399" s="15"/>
      <c r="X399" s="14"/>
      <c r="Y399" s="14" t="s">
        <v>44</v>
      </c>
      <c r="Z399" s="14" t="s">
        <v>45</v>
      </c>
      <c r="AA399" s="14"/>
      <c r="AB399" s="12"/>
      <c r="AC399" s="7"/>
    </row>
    <row r="400" spans="1:29" ht="15.75">
      <c r="A400" s="13" t="s">
        <v>46</v>
      </c>
      <c r="B400" s="14"/>
      <c r="C400" s="14" t="s">
        <v>47</v>
      </c>
      <c r="D400" s="14"/>
      <c r="E400" s="14"/>
      <c r="F400" s="14"/>
      <c r="G400" s="14"/>
      <c r="H400" s="15"/>
      <c r="I400" s="14"/>
      <c r="J400" s="14" t="s">
        <v>48</v>
      </c>
      <c r="K400" s="14" t="s">
        <v>45</v>
      </c>
      <c r="L400" s="14"/>
      <c r="M400" s="12"/>
      <c r="N400" s="7"/>
      <c r="P400" s="13" t="s">
        <v>46</v>
      </c>
      <c r="Q400" s="14"/>
      <c r="R400" s="14" t="s">
        <v>47</v>
      </c>
      <c r="S400" s="14"/>
      <c r="T400" s="14"/>
      <c r="U400" s="14"/>
      <c r="V400" s="14"/>
      <c r="W400" s="15"/>
      <c r="X400" s="14"/>
      <c r="Y400" s="14" t="s">
        <v>48</v>
      </c>
      <c r="Z400" s="14" t="s">
        <v>45</v>
      </c>
      <c r="AA400" s="14"/>
      <c r="AB400" s="12"/>
      <c r="AC400" s="7"/>
    </row>
    <row r="401" spans="1:29" ht="15.75">
      <c r="A401" s="13" t="s">
        <v>49</v>
      </c>
      <c r="B401" s="14"/>
      <c r="C401" s="97">
        <f>E397</f>
        <v>2011</v>
      </c>
      <c r="D401" s="14"/>
      <c r="E401" s="14"/>
      <c r="F401" s="14"/>
      <c r="G401" s="14"/>
      <c r="H401" s="15"/>
      <c r="I401" s="14"/>
      <c r="J401" s="14" t="s">
        <v>51</v>
      </c>
      <c r="K401" s="14" t="s">
        <v>52</v>
      </c>
      <c r="L401" s="14"/>
      <c r="M401" s="12"/>
      <c r="N401" s="7"/>
      <c r="P401" s="13" t="s">
        <v>49</v>
      </c>
      <c r="Q401" s="14"/>
      <c r="R401" s="97">
        <f>T397</f>
        <v>2021</v>
      </c>
      <c r="S401" s="14"/>
      <c r="T401" s="14"/>
      <c r="U401" s="14"/>
      <c r="V401" s="14"/>
      <c r="W401" s="15"/>
      <c r="X401" s="14"/>
      <c r="Y401" s="14" t="s">
        <v>51</v>
      </c>
      <c r="Z401" s="14" t="s">
        <v>52</v>
      </c>
      <c r="AA401" s="14"/>
      <c r="AB401" s="12"/>
      <c r="AC401" s="7"/>
    </row>
    <row r="402" spans="1:29">
      <c r="A402" s="16"/>
      <c r="B402" s="10"/>
      <c r="C402" s="10"/>
      <c r="D402" s="10"/>
      <c r="E402" s="10"/>
      <c r="F402" s="10"/>
      <c r="G402" s="10"/>
      <c r="H402" s="17"/>
      <c r="I402" s="10"/>
      <c r="J402" s="10"/>
      <c r="K402" s="10"/>
      <c r="L402" s="10"/>
      <c r="M402" s="18"/>
      <c r="N402" s="19"/>
      <c r="P402" s="16"/>
      <c r="Q402" s="10"/>
      <c r="R402" s="10"/>
      <c r="S402" s="10"/>
      <c r="T402" s="10"/>
      <c r="U402" s="10"/>
      <c r="V402" s="10"/>
      <c r="W402" s="17"/>
      <c r="X402" s="10"/>
      <c r="Y402" s="10"/>
      <c r="Z402" s="10"/>
      <c r="AA402" s="10"/>
      <c r="AB402" s="18"/>
      <c r="AC402" s="19"/>
    </row>
    <row r="403" spans="1:29">
      <c r="A403" s="20" t="s">
        <v>53</v>
      </c>
      <c r="B403" s="21" t="s">
        <v>54</v>
      </c>
      <c r="C403" s="21" t="s">
        <v>55</v>
      </c>
      <c r="D403" s="21" t="s">
        <v>56</v>
      </c>
      <c r="E403" s="21" t="s">
        <v>57</v>
      </c>
      <c r="F403" s="21" t="s">
        <v>20</v>
      </c>
      <c r="G403" s="21" t="s">
        <v>58</v>
      </c>
      <c r="H403" s="21" t="s">
        <v>59</v>
      </c>
      <c r="I403" s="21" t="s">
        <v>60</v>
      </c>
      <c r="J403" s="21" t="s">
        <v>61</v>
      </c>
      <c r="K403" s="21" t="s">
        <v>62</v>
      </c>
      <c r="L403" s="21" t="s">
        <v>63</v>
      </c>
      <c r="M403" s="22" t="s">
        <v>64</v>
      </c>
      <c r="N403" s="19"/>
      <c r="P403" s="20" t="s">
        <v>53</v>
      </c>
      <c r="Q403" s="21" t="s">
        <v>54</v>
      </c>
      <c r="R403" s="21" t="s">
        <v>55</v>
      </c>
      <c r="S403" s="21" t="s">
        <v>56</v>
      </c>
      <c r="T403" s="21" t="s">
        <v>57</v>
      </c>
      <c r="U403" s="21" t="s">
        <v>20</v>
      </c>
      <c r="V403" s="21" t="s">
        <v>58</v>
      </c>
      <c r="W403" s="21" t="s">
        <v>59</v>
      </c>
      <c r="X403" s="21" t="s">
        <v>60</v>
      </c>
      <c r="Y403" s="21" t="s">
        <v>61</v>
      </c>
      <c r="Z403" s="21" t="s">
        <v>62</v>
      </c>
      <c r="AA403" s="21" t="s">
        <v>63</v>
      </c>
      <c r="AB403" s="22" t="s">
        <v>64</v>
      </c>
      <c r="AC403" s="19"/>
    </row>
    <row r="404" spans="1:29" ht="16.5">
      <c r="A404" s="23">
        <v>1</v>
      </c>
      <c r="B404" s="24">
        <v>0</v>
      </c>
      <c r="C404" s="24">
        <v>0</v>
      </c>
      <c r="D404" s="24">
        <v>0</v>
      </c>
      <c r="E404" s="24">
        <v>0</v>
      </c>
      <c r="F404" s="24">
        <v>39</v>
      </c>
      <c r="G404" s="24">
        <v>0</v>
      </c>
      <c r="H404" s="24">
        <v>5</v>
      </c>
      <c r="I404" s="24">
        <v>0</v>
      </c>
      <c r="J404" s="24">
        <v>0</v>
      </c>
      <c r="K404" s="24">
        <v>0</v>
      </c>
      <c r="L404" s="24">
        <v>32</v>
      </c>
      <c r="M404" s="24">
        <v>20</v>
      </c>
      <c r="N404" s="7"/>
      <c r="P404" s="23">
        <v>1</v>
      </c>
      <c r="Q404" s="120">
        <v>0</v>
      </c>
      <c r="R404" s="120">
        <v>1</v>
      </c>
      <c r="S404" s="120">
        <v>0</v>
      </c>
      <c r="T404" s="121">
        <v>0</v>
      </c>
      <c r="U404" s="121">
        <v>0</v>
      </c>
      <c r="V404" s="121">
        <v>0</v>
      </c>
      <c r="W404" s="121">
        <v>5</v>
      </c>
      <c r="X404" s="122">
        <v>0</v>
      </c>
      <c r="Y404" s="123">
        <v>0</v>
      </c>
      <c r="Z404" s="123">
        <v>0</v>
      </c>
      <c r="AA404" s="123">
        <v>0</v>
      </c>
      <c r="AB404" s="123">
        <v>0</v>
      </c>
    </row>
    <row r="405" spans="1:29" ht="16.5">
      <c r="A405" s="23">
        <v>2</v>
      </c>
      <c r="B405" s="24">
        <v>0</v>
      </c>
      <c r="C405" s="24">
        <v>0</v>
      </c>
      <c r="D405" s="24">
        <v>0</v>
      </c>
      <c r="E405" s="24">
        <v>0</v>
      </c>
      <c r="F405" s="24">
        <v>63</v>
      </c>
      <c r="G405" s="24">
        <v>26</v>
      </c>
      <c r="H405" s="24">
        <v>1</v>
      </c>
      <c r="I405" s="24">
        <v>0</v>
      </c>
      <c r="J405" s="24">
        <v>0</v>
      </c>
      <c r="K405" s="24">
        <v>2</v>
      </c>
      <c r="L405" s="24">
        <v>6</v>
      </c>
      <c r="M405" s="24">
        <v>0</v>
      </c>
      <c r="N405" s="7"/>
      <c r="P405" s="23">
        <v>2</v>
      </c>
      <c r="Q405" s="120">
        <v>0</v>
      </c>
      <c r="R405" s="120">
        <v>33</v>
      </c>
      <c r="S405" s="120">
        <v>0</v>
      </c>
      <c r="T405" s="121">
        <v>0</v>
      </c>
      <c r="U405" s="121">
        <v>0</v>
      </c>
      <c r="V405" s="121">
        <v>0</v>
      </c>
      <c r="W405" s="121">
        <v>15</v>
      </c>
      <c r="X405" s="122">
        <v>0</v>
      </c>
      <c r="Y405" s="123">
        <v>29</v>
      </c>
      <c r="Z405" s="123">
        <v>0</v>
      </c>
      <c r="AA405" s="123">
        <v>6</v>
      </c>
      <c r="AB405" s="123">
        <v>0</v>
      </c>
    </row>
    <row r="406" spans="1:29" ht="16.5">
      <c r="A406" s="23">
        <v>3</v>
      </c>
      <c r="B406" s="24">
        <v>0</v>
      </c>
      <c r="C406" s="24">
        <v>19</v>
      </c>
      <c r="D406" s="24">
        <v>0</v>
      </c>
      <c r="E406" s="24">
        <v>0</v>
      </c>
      <c r="F406" s="24">
        <v>0</v>
      </c>
      <c r="G406" s="24">
        <v>1</v>
      </c>
      <c r="H406" s="24">
        <v>0</v>
      </c>
      <c r="I406" s="24">
        <v>4</v>
      </c>
      <c r="J406" s="24">
        <v>8</v>
      </c>
      <c r="K406" s="24">
        <v>0</v>
      </c>
      <c r="L406" s="24">
        <v>40</v>
      </c>
      <c r="M406" s="24">
        <v>72</v>
      </c>
      <c r="N406" s="7"/>
      <c r="P406" s="23">
        <v>3</v>
      </c>
      <c r="Q406" s="120">
        <v>38</v>
      </c>
      <c r="R406" s="120">
        <v>1</v>
      </c>
      <c r="S406" s="120">
        <v>0</v>
      </c>
      <c r="T406" s="121">
        <v>0</v>
      </c>
      <c r="U406" s="121">
        <v>42</v>
      </c>
      <c r="V406" s="121">
        <v>0</v>
      </c>
      <c r="W406" s="121">
        <v>0</v>
      </c>
      <c r="X406" s="122">
        <v>0</v>
      </c>
      <c r="Y406" s="123">
        <v>0</v>
      </c>
      <c r="Z406" s="123">
        <v>139</v>
      </c>
      <c r="AA406" s="123">
        <v>0</v>
      </c>
      <c r="AB406" s="123">
        <v>0</v>
      </c>
    </row>
    <row r="407" spans="1:29" ht="16.5">
      <c r="A407" s="23">
        <v>4</v>
      </c>
      <c r="B407" s="24">
        <v>0</v>
      </c>
      <c r="C407" s="24">
        <v>25</v>
      </c>
      <c r="D407" s="24">
        <v>0</v>
      </c>
      <c r="E407" s="24">
        <v>0</v>
      </c>
      <c r="F407" s="24">
        <v>0</v>
      </c>
      <c r="G407" s="24">
        <v>0</v>
      </c>
      <c r="H407" s="24">
        <v>3</v>
      </c>
      <c r="I407" s="24">
        <v>0</v>
      </c>
      <c r="J407" s="24">
        <v>0</v>
      </c>
      <c r="K407" s="24">
        <v>0</v>
      </c>
      <c r="L407" s="24">
        <v>20</v>
      </c>
      <c r="M407" s="24">
        <v>0</v>
      </c>
      <c r="N407" s="7"/>
      <c r="P407" s="23">
        <v>4</v>
      </c>
      <c r="Q407" s="120">
        <v>0</v>
      </c>
      <c r="R407" s="120">
        <v>1</v>
      </c>
      <c r="S407" s="120">
        <v>6</v>
      </c>
      <c r="T407" s="121">
        <v>0</v>
      </c>
      <c r="U407" s="121">
        <v>4</v>
      </c>
      <c r="V407" s="121">
        <v>0</v>
      </c>
      <c r="W407" s="121">
        <v>0</v>
      </c>
      <c r="X407" s="122">
        <v>0</v>
      </c>
      <c r="Y407" s="123">
        <v>0</v>
      </c>
      <c r="Z407" s="123">
        <v>0</v>
      </c>
      <c r="AA407" s="123">
        <v>7</v>
      </c>
      <c r="AB407" s="123">
        <v>7</v>
      </c>
    </row>
    <row r="408" spans="1:29" ht="16.5">
      <c r="A408" s="23">
        <v>5</v>
      </c>
      <c r="B408" s="24">
        <v>0</v>
      </c>
      <c r="C408" s="24">
        <v>2</v>
      </c>
      <c r="D408" s="24">
        <v>0</v>
      </c>
      <c r="E408" s="24">
        <v>0</v>
      </c>
      <c r="F408" s="24">
        <v>0</v>
      </c>
      <c r="G408" s="24">
        <v>63</v>
      </c>
      <c r="H408" s="24">
        <v>5</v>
      </c>
      <c r="I408" s="24">
        <v>0</v>
      </c>
      <c r="J408" s="24">
        <v>0</v>
      </c>
      <c r="K408" s="24">
        <v>61</v>
      </c>
      <c r="L408" s="24">
        <v>72</v>
      </c>
      <c r="M408" s="24">
        <v>0</v>
      </c>
      <c r="N408" s="7"/>
      <c r="P408" s="23">
        <v>5</v>
      </c>
      <c r="Q408" s="120">
        <v>29</v>
      </c>
      <c r="R408" s="120">
        <v>0</v>
      </c>
      <c r="S408" s="120">
        <v>20</v>
      </c>
      <c r="T408" s="121">
        <v>0</v>
      </c>
      <c r="U408" s="121">
        <v>17</v>
      </c>
      <c r="V408" s="121">
        <v>22</v>
      </c>
      <c r="W408" s="121">
        <v>30</v>
      </c>
      <c r="X408" s="122">
        <v>26</v>
      </c>
      <c r="Y408" s="123">
        <v>100</v>
      </c>
      <c r="Z408" s="123">
        <v>0</v>
      </c>
      <c r="AA408" s="123">
        <v>0</v>
      </c>
      <c r="AB408" s="123">
        <v>0</v>
      </c>
    </row>
    <row r="409" spans="1:29" ht="16.5">
      <c r="A409" s="23">
        <v>6</v>
      </c>
      <c r="B409" s="24">
        <v>2</v>
      </c>
      <c r="C409" s="24">
        <v>0</v>
      </c>
      <c r="D409" s="24">
        <v>0</v>
      </c>
      <c r="E409" s="24">
        <v>0</v>
      </c>
      <c r="F409" s="24">
        <v>0</v>
      </c>
      <c r="G409" s="24">
        <v>4</v>
      </c>
      <c r="H409" s="24">
        <v>0</v>
      </c>
      <c r="I409" s="24">
        <v>0</v>
      </c>
      <c r="J409" s="24">
        <v>0</v>
      </c>
      <c r="K409" s="24">
        <v>8</v>
      </c>
      <c r="L409" s="24">
        <v>0</v>
      </c>
      <c r="M409" s="24">
        <v>31</v>
      </c>
      <c r="N409" s="7"/>
      <c r="P409" s="23">
        <v>6</v>
      </c>
      <c r="Q409" s="120">
        <v>14</v>
      </c>
      <c r="R409" s="120">
        <v>0</v>
      </c>
      <c r="S409" s="120">
        <v>30</v>
      </c>
      <c r="T409" s="121">
        <v>0</v>
      </c>
      <c r="U409" s="121">
        <v>40</v>
      </c>
      <c r="V409" s="121">
        <v>0</v>
      </c>
      <c r="W409" s="121">
        <v>0</v>
      </c>
      <c r="X409" s="122">
        <v>0</v>
      </c>
      <c r="Y409" s="123">
        <v>66</v>
      </c>
      <c r="Z409" s="123">
        <v>0</v>
      </c>
      <c r="AA409" s="123">
        <v>0</v>
      </c>
      <c r="AB409" s="123">
        <v>0</v>
      </c>
    </row>
    <row r="410" spans="1:29" ht="16.5">
      <c r="A410" s="23">
        <v>7</v>
      </c>
      <c r="B410" s="24">
        <v>19</v>
      </c>
      <c r="C410" s="24">
        <v>0</v>
      </c>
      <c r="D410" s="24">
        <v>0</v>
      </c>
      <c r="E410" s="24">
        <v>0</v>
      </c>
      <c r="F410" s="24">
        <v>0</v>
      </c>
      <c r="G410" s="24">
        <v>0</v>
      </c>
      <c r="H410" s="24">
        <v>0</v>
      </c>
      <c r="I410" s="24">
        <v>0</v>
      </c>
      <c r="J410" s="24">
        <v>5</v>
      </c>
      <c r="K410" s="24">
        <v>1</v>
      </c>
      <c r="L410" s="24">
        <v>0</v>
      </c>
      <c r="M410" s="24">
        <v>0</v>
      </c>
      <c r="N410" s="7"/>
      <c r="P410" s="23">
        <v>7</v>
      </c>
      <c r="Q410" s="120">
        <v>0</v>
      </c>
      <c r="R410" s="120">
        <v>0</v>
      </c>
      <c r="S410" s="120">
        <v>14</v>
      </c>
      <c r="T410" s="121">
        <v>0</v>
      </c>
      <c r="U410" s="121">
        <v>0</v>
      </c>
      <c r="V410" s="121">
        <v>0</v>
      </c>
      <c r="W410" s="121">
        <v>0</v>
      </c>
      <c r="X410" s="122">
        <v>0</v>
      </c>
      <c r="Y410" s="123">
        <v>0</v>
      </c>
      <c r="Z410" s="123">
        <v>8</v>
      </c>
      <c r="AA410" s="123">
        <v>19</v>
      </c>
      <c r="AB410" s="123">
        <v>0</v>
      </c>
    </row>
    <row r="411" spans="1:29" ht="16.5">
      <c r="A411" s="23">
        <v>8</v>
      </c>
      <c r="B411" s="24">
        <v>0</v>
      </c>
      <c r="C411" s="24">
        <v>0</v>
      </c>
      <c r="D411" s="24">
        <v>0</v>
      </c>
      <c r="E411" s="24">
        <v>0</v>
      </c>
      <c r="F411" s="24">
        <v>0</v>
      </c>
      <c r="G411" s="24">
        <v>13</v>
      </c>
      <c r="H411" s="24">
        <v>0</v>
      </c>
      <c r="I411" s="24">
        <v>0</v>
      </c>
      <c r="J411" s="24">
        <v>0</v>
      </c>
      <c r="K411" s="24">
        <v>0</v>
      </c>
      <c r="L411" s="24">
        <v>0</v>
      </c>
      <c r="M411" s="24">
        <v>0</v>
      </c>
      <c r="N411" s="7"/>
      <c r="P411" s="23">
        <v>8</v>
      </c>
      <c r="Q411" s="120">
        <v>0</v>
      </c>
      <c r="R411" s="120">
        <v>0</v>
      </c>
      <c r="S411" s="120">
        <v>0</v>
      </c>
      <c r="T411" s="121">
        <v>0</v>
      </c>
      <c r="U411" s="121">
        <v>0</v>
      </c>
      <c r="V411" s="121">
        <v>0</v>
      </c>
      <c r="W411" s="121">
        <v>0</v>
      </c>
      <c r="X411" s="122">
        <v>0</v>
      </c>
      <c r="Y411" s="123">
        <v>17</v>
      </c>
      <c r="Z411" s="123">
        <v>0</v>
      </c>
      <c r="AA411" s="123">
        <v>0</v>
      </c>
      <c r="AB411" s="123">
        <v>5</v>
      </c>
    </row>
    <row r="412" spans="1:29" ht="16.5">
      <c r="A412" s="23">
        <v>9</v>
      </c>
      <c r="B412" s="24">
        <v>2</v>
      </c>
      <c r="C412" s="24">
        <v>0</v>
      </c>
      <c r="D412" s="24">
        <v>0</v>
      </c>
      <c r="E412" s="24">
        <v>0</v>
      </c>
      <c r="F412" s="24">
        <v>0</v>
      </c>
      <c r="G412" s="24">
        <v>0</v>
      </c>
      <c r="H412" s="24">
        <v>0</v>
      </c>
      <c r="I412" s="24">
        <v>0</v>
      </c>
      <c r="J412" s="24">
        <v>0</v>
      </c>
      <c r="K412" s="24">
        <v>33</v>
      </c>
      <c r="L412" s="24">
        <v>0</v>
      </c>
      <c r="M412" s="24">
        <v>0</v>
      </c>
      <c r="N412" s="7"/>
      <c r="P412" s="23">
        <v>9</v>
      </c>
      <c r="Q412" s="120">
        <v>0</v>
      </c>
      <c r="R412" s="120">
        <v>0</v>
      </c>
      <c r="S412" s="120">
        <v>0</v>
      </c>
      <c r="T412" s="121">
        <v>0</v>
      </c>
      <c r="U412" s="121">
        <v>4</v>
      </c>
      <c r="V412" s="121">
        <v>20</v>
      </c>
      <c r="W412" s="121">
        <v>0</v>
      </c>
      <c r="X412" s="122">
        <v>0</v>
      </c>
      <c r="Y412" s="123">
        <v>0</v>
      </c>
      <c r="Z412" s="123">
        <v>0</v>
      </c>
      <c r="AA412" s="123">
        <v>9</v>
      </c>
      <c r="AB412" s="123">
        <v>0</v>
      </c>
    </row>
    <row r="413" spans="1:29" ht="16.5">
      <c r="A413" s="23">
        <v>10</v>
      </c>
      <c r="B413" s="24">
        <v>3</v>
      </c>
      <c r="C413" s="24">
        <v>0</v>
      </c>
      <c r="D413" s="24">
        <v>0</v>
      </c>
      <c r="E413" s="24">
        <v>0</v>
      </c>
      <c r="F413" s="24">
        <v>0</v>
      </c>
      <c r="G413" s="24">
        <v>0</v>
      </c>
      <c r="H413" s="24">
        <v>0</v>
      </c>
      <c r="I413" s="24">
        <v>16</v>
      </c>
      <c r="J413" s="24">
        <v>0</v>
      </c>
      <c r="K413" s="24">
        <v>29</v>
      </c>
      <c r="L413" s="24">
        <v>0</v>
      </c>
      <c r="M413" s="24">
        <v>0</v>
      </c>
      <c r="N413" s="7"/>
      <c r="P413" s="23">
        <v>10</v>
      </c>
      <c r="Q413" s="120">
        <v>34</v>
      </c>
      <c r="R413" s="120">
        <v>0</v>
      </c>
      <c r="S413" s="120">
        <v>0</v>
      </c>
      <c r="T413" s="121">
        <v>0</v>
      </c>
      <c r="U413" s="121">
        <v>0</v>
      </c>
      <c r="V413" s="121">
        <v>170</v>
      </c>
      <c r="W413" s="121">
        <v>21</v>
      </c>
      <c r="X413" s="122">
        <v>0</v>
      </c>
      <c r="Y413" s="123">
        <v>0</v>
      </c>
      <c r="Z413" s="123">
        <v>0</v>
      </c>
      <c r="AA413" s="123">
        <v>0</v>
      </c>
      <c r="AB413" s="123">
        <v>0</v>
      </c>
    </row>
    <row r="414" spans="1:29" ht="16.5">
      <c r="A414" s="23">
        <v>11</v>
      </c>
      <c r="B414" s="24">
        <v>12</v>
      </c>
      <c r="C414" s="24">
        <v>0</v>
      </c>
      <c r="D414" s="24">
        <v>26</v>
      </c>
      <c r="E414" s="24">
        <v>0</v>
      </c>
      <c r="F414" s="24">
        <v>0</v>
      </c>
      <c r="G414" s="24">
        <v>0</v>
      </c>
      <c r="H414" s="24">
        <v>0</v>
      </c>
      <c r="I414" s="24">
        <v>17</v>
      </c>
      <c r="J414" s="24">
        <v>0</v>
      </c>
      <c r="K414" s="24">
        <v>2</v>
      </c>
      <c r="L414" s="24">
        <v>0</v>
      </c>
      <c r="M414" s="24">
        <v>0</v>
      </c>
      <c r="N414" s="7"/>
      <c r="P414" s="23">
        <v>11</v>
      </c>
      <c r="Q414" s="120">
        <v>0</v>
      </c>
      <c r="R414" s="120">
        <v>0</v>
      </c>
      <c r="S414" s="120">
        <v>0</v>
      </c>
      <c r="T414" s="121">
        <v>0</v>
      </c>
      <c r="U414" s="121">
        <v>0</v>
      </c>
      <c r="V414" s="121">
        <v>0</v>
      </c>
      <c r="W414" s="121">
        <v>0</v>
      </c>
      <c r="X414" s="122">
        <v>10</v>
      </c>
      <c r="Y414" s="123">
        <v>0</v>
      </c>
      <c r="Z414" s="123">
        <v>0</v>
      </c>
      <c r="AA414" s="123">
        <v>35</v>
      </c>
      <c r="AB414" s="123">
        <v>3</v>
      </c>
    </row>
    <row r="415" spans="1:29" ht="16.5">
      <c r="A415" s="23">
        <v>12</v>
      </c>
      <c r="B415" s="24">
        <v>3</v>
      </c>
      <c r="C415" s="24">
        <v>0</v>
      </c>
      <c r="D415" s="24">
        <v>0</v>
      </c>
      <c r="E415" s="24">
        <v>0</v>
      </c>
      <c r="F415" s="24">
        <v>0</v>
      </c>
      <c r="G415" s="24">
        <v>0</v>
      </c>
      <c r="H415" s="24">
        <v>0</v>
      </c>
      <c r="I415" s="24">
        <v>0</v>
      </c>
      <c r="J415" s="24">
        <v>0</v>
      </c>
      <c r="K415" s="24">
        <v>10</v>
      </c>
      <c r="L415" s="24">
        <v>0</v>
      </c>
      <c r="M415" s="24">
        <v>4</v>
      </c>
      <c r="N415" s="7"/>
      <c r="P415" s="23">
        <v>12</v>
      </c>
      <c r="Q415" s="120">
        <v>7</v>
      </c>
      <c r="R415" s="120">
        <v>0</v>
      </c>
      <c r="S415" s="120">
        <v>0</v>
      </c>
      <c r="T415" s="121">
        <v>30</v>
      </c>
      <c r="U415" s="121">
        <v>0</v>
      </c>
      <c r="V415" s="121">
        <v>0</v>
      </c>
      <c r="W415" s="121">
        <v>0</v>
      </c>
      <c r="X415" s="122">
        <v>4</v>
      </c>
      <c r="Y415" s="123">
        <v>0</v>
      </c>
      <c r="Z415" s="123">
        <v>0</v>
      </c>
      <c r="AA415" s="123">
        <v>100</v>
      </c>
      <c r="AB415" s="123">
        <v>0</v>
      </c>
    </row>
    <row r="416" spans="1:29" ht="16.5">
      <c r="A416" s="23">
        <v>13</v>
      </c>
      <c r="B416" s="24">
        <v>5</v>
      </c>
      <c r="C416" s="24">
        <v>52</v>
      </c>
      <c r="D416" s="24">
        <v>0</v>
      </c>
      <c r="E416" s="24">
        <v>0</v>
      </c>
      <c r="F416" s="24">
        <v>36</v>
      </c>
      <c r="G416" s="24">
        <v>0</v>
      </c>
      <c r="H416" s="24">
        <v>0</v>
      </c>
      <c r="I416" s="24">
        <v>12</v>
      </c>
      <c r="J416" s="24">
        <v>0</v>
      </c>
      <c r="K416" s="24">
        <v>0</v>
      </c>
      <c r="L416" s="24">
        <v>25</v>
      </c>
      <c r="M416" s="24">
        <v>0</v>
      </c>
      <c r="N416" s="7"/>
      <c r="P416" s="23">
        <v>13</v>
      </c>
      <c r="Q416" s="120">
        <v>15</v>
      </c>
      <c r="R416" s="120">
        <v>0</v>
      </c>
      <c r="S416" s="120">
        <v>0</v>
      </c>
      <c r="T416" s="121">
        <v>40</v>
      </c>
      <c r="U416" s="121">
        <v>0</v>
      </c>
      <c r="V416" s="121">
        <v>30</v>
      </c>
      <c r="W416" s="121">
        <v>25</v>
      </c>
      <c r="X416" s="122">
        <v>0</v>
      </c>
      <c r="Y416" s="123">
        <v>12</v>
      </c>
      <c r="Z416" s="123">
        <v>0</v>
      </c>
      <c r="AA416" s="123">
        <v>0</v>
      </c>
      <c r="AB416" s="123">
        <v>0</v>
      </c>
    </row>
    <row r="417" spans="1:28" ht="16.5">
      <c r="A417" s="23">
        <v>14</v>
      </c>
      <c r="B417" s="24">
        <v>11</v>
      </c>
      <c r="C417" s="24">
        <v>0</v>
      </c>
      <c r="D417" s="24">
        <v>0</v>
      </c>
      <c r="E417" s="24">
        <v>1</v>
      </c>
      <c r="F417" s="24">
        <v>15</v>
      </c>
      <c r="G417" s="24">
        <v>0</v>
      </c>
      <c r="H417" s="24">
        <v>0</v>
      </c>
      <c r="I417" s="24">
        <v>0</v>
      </c>
      <c r="J417" s="24">
        <v>43</v>
      </c>
      <c r="K417" s="24">
        <v>20</v>
      </c>
      <c r="L417" s="24">
        <v>5</v>
      </c>
      <c r="M417" s="24">
        <v>0</v>
      </c>
      <c r="N417" s="7"/>
      <c r="P417" s="23">
        <v>14</v>
      </c>
      <c r="Q417" s="120">
        <v>25</v>
      </c>
      <c r="R417" s="120">
        <v>0</v>
      </c>
      <c r="S417" s="120">
        <v>27</v>
      </c>
      <c r="T417" s="121">
        <v>10</v>
      </c>
      <c r="U417" s="121">
        <v>0</v>
      </c>
      <c r="V417" s="121">
        <v>0</v>
      </c>
      <c r="W417" s="121">
        <v>0</v>
      </c>
      <c r="X417" s="122">
        <v>91</v>
      </c>
      <c r="Y417" s="123">
        <v>114</v>
      </c>
      <c r="Z417" s="123">
        <v>0</v>
      </c>
      <c r="AA417" s="123">
        <v>20</v>
      </c>
      <c r="AB417" s="123">
        <v>179</v>
      </c>
    </row>
    <row r="418" spans="1:28" ht="16.5">
      <c r="A418" s="23">
        <v>15</v>
      </c>
      <c r="B418" s="24">
        <v>0</v>
      </c>
      <c r="C418" s="24">
        <v>30</v>
      </c>
      <c r="D418" s="24">
        <v>11</v>
      </c>
      <c r="E418" s="24">
        <v>0</v>
      </c>
      <c r="F418" s="24">
        <v>0</v>
      </c>
      <c r="G418" s="24">
        <v>0</v>
      </c>
      <c r="H418" s="24">
        <v>0</v>
      </c>
      <c r="I418" s="24">
        <v>0</v>
      </c>
      <c r="J418" s="24">
        <v>51</v>
      </c>
      <c r="K418" s="24">
        <v>0</v>
      </c>
      <c r="L418" s="24">
        <v>0</v>
      </c>
      <c r="M418" s="24">
        <v>7</v>
      </c>
      <c r="N418" s="7"/>
      <c r="P418" s="23">
        <v>15</v>
      </c>
      <c r="Q418" s="120">
        <v>44</v>
      </c>
      <c r="R418" s="120">
        <v>0</v>
      </c>
      <c r="S418" s="120">
        <v>0</v>
      </c>
      <c r="T418" s="121">
        <v>20</v>
      </c>
      <c r="U418" s="121">
        <v>0</v>
      </c>
      <c r="V418" s="121">
        <v>93</v>
      </c>
      <c r="W418" s="121">
        <v>0</v>
      </c>
      <c r="X418" s="122">
        <v>0</v>
      </c>
      <c r="Y418" s="123">
        <v>0</v>
      </c>
      <c r="Z418" s="123">
        <v>0</v>
      </c>
      <c r="AA418" s="123">
        <v>0</v>
      </c>
      <c r="AB418" s="123">
        <v>0</v>
      </c>
    </row>
    <row r="419" spans="1:28" ht="16.5">
      <c r="A419" s="23">
        <v>16</v>
      </c>
      <c r="B419" s="24">
        <v>0</v>
      </c>
      <c r="C419" s="24">
        <v>65</v>
      </c>
      <c r="D419" s="24">
        <v>0</v>
      </c>
      <c r="E419" s="24">
        <v>0</v>
      </c>
      <c r="F419" s="24">
        <v>0</v>
      </c>
      <c r="G419" s="24">
        <v>0</v>
      </c>
      <c r="H419" s="24">
        <v>13</v>
      </c>
      <c r="I419" s="24">
        <v>0</v>
      </c>
      <c r="J419" s="24">
        <v>13</v>
      </c>
      <c r="K419" s="24">
        <v>14</v>
      </c>
      <c r="L419" s="24">
        <v>37</v>
      </c>
      <c r="M419" s="24">
        <v>0</v>
      </c>
      <c r="N419" s="7"/>
      <c r="P419" s="23">
        <v>16</v>
      </c>
      <c r="Q419" s="120">
        <v>0</v>
      </c>
      <c r="R419" s="120">
        <v>0</v>
      </c>
      <c r="S419" s="120">
        <v>0</v>
      </c>
      <c r="T419" s="121">
        <v>8</v>
      </c>
      <c r="U419" s="121">
        <v>25</v>
      </c>
      <c r="V419" s="121">
        <v>82</v>
      </c>
      <c r="W419" s="121">
        <v>0</v>
      </c>
      <c r="X419" s="122">
        <v>17</v>
      </c>
      <c r="Y419" s="123">
        <v>0</v>
      </c>
      <c r="Z419" s="123">
        <v>0</v>
      </c>
      <c r="AA419" s="123">
        <v>12</v>
      </c>
      <c r="AB419" s="123">
        <v>0</v>
      </c>
    </row>
    <row r="420" spans="1:28" ht="16.5">
      <c r="A420" s="23">
        <v>17</v>
      </c>
      <c r="B420" s="24">
        <v>0</v>
      </c>
      <c r="C420" s="24">
        <v>0</v>
      </c>
      <c r="D420" s="24">
        <v>0</v>
      </c>
      <c r="E420" s="24">
        <v>0</v>
      </c>
      <c r="F420" s="24">
        <v>9</v>
      </c>
      <c r="G420" s="24">
        <v>0</v>
      </c>
      <c r="H420" s="24">
        <v>35</v>
      </c>
      <c r="I420" s="24">
        <v>0</v>
      </c>
      <c r="J420" s="24">
        <v>9</v>
      </c>
      <c r="K420" s="24">
        <v>0</v>
      </c>
      <c r="L420" s="24">
        <v>0</v>
      </c>
      <c r="M420" s="24">
        <v>0</v>
      </c>
      <c r="N420" s="7"/>
      <c r="P420" s="23">
        <v>17</v>
      </c>
      <c r="Q420" s="120">
        <v>0</v>
      </c>
      <c r="R420" s="120">
        <v>0</v>
      </c>
      <c r="S420" s="120">
        <v>0</v>
      </c>
      <c r="T420" s="121">
        <v>30</v>
      </c>
      <c r="U420" s="121">
        <v>19</v>
      </c>
      <c r="V420" s="121">
        <v>15</v>
      </c>
      <c r="W420" s="121">
        <v>0</v>
      </c>
      <c r="X420" s="122">
        <v>55</v>
      </c>
      <c r="Y420" s="123">
        <v>16</v>
      </c>
      <c r="Z420" s="123">
        <v>0</v>
      </c>
      <c r="AA420" s="123">
        <v>0</v>
      </c>
      <c r="AB420" s="123">
        <v>84</v>
      </c>
    </row>
    <row r="421" spans="1:28" ht="16.5">
      <c r="A421" s="23">
        <v>18</v>
      </c>
      <c r="B421" s="24">
        <v>0</v>
      </c>
      <c r="C421" s="24">
        <v>0</v>
      </c>
      <c r="D421" s="24">
        <v>0</v>
      </c>
      <c r="E421" s="24">
        <v>0</v>
      </c>
      <c r="F421" s="24">
        <v>64</v>
      </c>
      <c r="G421" s="24">
        <v>0</v>
      </c>
      <c r="H421" s="24">
        <v>3</v>
      </c>
      <c r="I421" s="24">
        <v>40</v>
      </c>
      <c r="J421" s="24">
        <v>0</v>
      </c>
      <c r="K421" s="24">
        <v>16</v>
      </c>
      <c r="L421" s="24">
        <v>0</v>
      </c>
      <c r="M421" s="24">
        <v>0</v>
      </c>
      <c r="N421" s="7"/>
      <c r="P421" s="23">
        <v>18</v>
      </c>
      <c r="Q421" s="120">
        <v>0</v>
      </c>
      <c r="R421" s="120">
        <v>0</v>
      </c>
      <c r="S421" s="120">
        <v>0</v>
      </c>
      <c r="T421" s="121">
        <v>45</v>
      </c>
      <c r="U421" s="121">
        <v>89</v>
      </c>
      <c r="V421" s="121">
        <v>50</v>
      </c>
      <c r="W421" s="121">
        <v>0</v>
      </c>
      <c r="X421" s="122">
        <v>200</v>
      </c>
      <c r="Y421" s="123">
        <v>70</v>
      </c>
      <c r="Z421" s="123">
        <v>16</v>
      </c>
      <c r="AA421" s="123">
        <v>0</v>
      </c>
      <c r="AB421" s="123">
        <v>48</v>
      </c>
    </row>
    <row r="422" spans="1:28" ht="16.5">
      <c r="A422" s="23">
        <v>19</v>
      </c>
      <c r="B422" s="24">
        <v>0</v>
      </c>
      <c r="C422" s="24">
        <v>3</v>
      </c>
      <c r="D422" s="24">
        <v>0</v>
      </c>
      <c r="E422" s="24">
        <v>21</v>
      </c>
      <c r="F422" s="24">
        <v>0</v>
      </c>
      <c r="G422" s="24">
        <v>0</v>
      </c>
      <c r="H422" s="24">
        <v>1</v>
      </c>
      <c r="I422" s="24">
        <v>0</v>
      </c>
      <c r="J422" s="24">
        <v>22</v>
      </c>
      <c r="K422" s="24">
        <v>3</v>
      </c>
      <c r="L422" s="24">
        <v>34</v>
      </c>
      <c r="M422" s="24">
        <v>0</v>
      </c>
      <c r="N422" s="7"/>
      <c r="P422" s="23">
        <v>19</v>
      </c>
      <c r="Q422" s="120">
        <v>0</v>
      </c>
      <c r="R422" s="120">
        <v>0</v>
      </c>
      <c r="S422" s="120">
        <v>0</v>
      </c>
      <c r="T422" s="121">
        <v>25</v>
      </c>
      <c r="U422" s="121">
        <v>73</v>
      </c>
      <c r="V422" s="121">
        <v>34</v>
      </c>
      <c r="W422" s="121">
        <v>0</v>
      </c>
      <c r="X422" s="122">
        <v>34</v>
      </c>
      <c r="Y422" s="123">
        <v>0</v>
      </c>
      <c r="Z422" s="123">
        <v>31</v>
      </c>
      <c r="AA422" s="123">
        <v>9</v>
      </c>
      <c r="AB422" s="123">
        <v>44</v>
      </c>
    </row>
    <row r="423" spans="1:28" ht="16.5">
      <c r="A423" s="23">
        <v>20</v>
      </c>
      <c r="B423" s="24">
        <v>0</v>
      </c>
      <c r="C423" s="24">
        <v>6</v>
      </c>
      <c r="D423" s="24">
        <v>8</v>
      </c>
      <c r="E423" s="24">
        <v>0</v>
      </c>
      <c r="F423" s="24">
        <v>0</v>
      </c>
      <c r="G423" s="24">
        <v>0</v>
      </c>
      <c r="H423" s="24">
        <v>0</v>
      </c>
      <c r="I423" s="24">
        <v>0</v>
      </c>
      <c r="J423" s="24">
        <v>5</v>
      </c>
      <c r="K423" s="24">
        <v>6</v>
      </c>
      <c r="L423" s="24">
        <v>0</v>
      </c>
      <c r="M423" s="24">
        <v>0</v>
      </c>
      <c r="N423" s="7"/>
      <c r="P423" s="23">
        <v>20</v>
      </c>
      <c r="Q423" s="120">
        <v>0</v>
      </c>
      <c r="R423" s="120">
        <v>0</v>
      </c>
      <c r="S423" s="120">
        <v>0</v>
      </c>
      <c r="T423" s="121">
        <v>25</v>
      </c>
      <c r="U423" s="121">
        <v>0</v>
      </c>
      <c r="V423" s="121">
        <v>0</v>
      </c>
      <c r="W423" s="121">
        <v>0</v>
      </c>
      <c r="X423" s="122">
        <v>0</v>
      </c>
      <c r="Y423" s="123">
        <v>0</v>
      </c>
      <c r="Z423" s="123">
        <v>6</v>
      </c>
      <c r="AA423" s="123">
        <v>0</v>
      </c>
      <c r="AB423" s="123">
        <v>0</v>
      </c>
    </row>
    <row r="424" spans="1:28" ht="16.5">
      <c r="A424" s="23">
        <v>21</v>
      </c>
      <c r="B424" s="24">
        <v>0</v>
      </c>
      <c r="C424" s="24">
        <v>0</v>
      </c>
      <c r="D424" s="24">
        <v>0</v>
      </c>
      <c r="E424" s="24">
        <v>0</v>
      </c>
      <c r="F424" s="24">
        <v>9</v>
      </c>
      <c r="G424" s="24">
        <v>0</v>
      </c>
      <c r="H424" s="24">
        <v>3</v>
      </c>
      <c r="I424" s="24">
        <v>0</v>
      </c>
      <c r="J424" s="24">
        <v>21</v>
      </c>
      <c r="K424" s="24">
        <v>75</v>
      </c>
      <c r="L424" s="24">
        <v>47</v>
      </c>
      <c r="M424" s="24">
        <v>52</v>
      </c>
      <c r="N424" s="7"/>
      <c r="P424" s="23">
        <v>21</v>
      </c>
      <c r="Q424" s="120">
        <v>0</v>
      </c>
      <c r="R424" s="120">
        <v>0</v>
      </c>
      <c r="S424" s="120">
        <v>9</v>
      </c>
      <c r="T424" s="121">
        <v>0</v>
      </c>
      <c r="U424" s="121">
        <v>0</v>
      </c>
      <c r="V424" s="121">
        <v>0</v>
      </c>
      <c r="W424" s="121">
        <v>0</v>
      </c>
      <c r="X424" s="122">
        <v>0</v>
      </c>
      <c r="Y424" s="123">
        <v>0</v>
      </c>
      <c r="Z424" s="123">
        <v>141</v>
      </c>
      <c r="AA424" s="123">
        <v>0</v>
      </c>
      <c r="AB424" s="123">
        <v>0</v>
      </c>
    </row>
    <row r="425" spans="1:28" ht="16.5">
      <c r="A425" s="23">
        <v>22</v>
      </c>
      <c r="B425" s="24">
        <v>0</v>
      </c>
      <c r="C425" s="24">
        <v>0</v>
      </c>
      <c r="D425" s="24">
        <v>13</v>
      </c>
      <c r="E425" s="24">
        <v>61</v>
      </c>
      <c r="F425" s="24">
        <v>35</v>
      </c>
      <c r="G425" s="24">
        <v>0</v>
      </c>
      <c r="H425" s="24">
        <v>0</v>
      </c>
      <c r="I425" s="24">
        <v>0</v>
      </c>
      <c r="J425" s="24">
        <v>0</v>
      </c>
      <c r="K425" s="24">
        <v>10</v>
      </c>
      <c r="L425" s="24">
        <v>0</v>
      </c>
      <c r="M425" s="24">
        <v>95</v>
      </c>
      <c r="N425" s="7"/>
      <c r="P425" s="23">
        <v>22</v>
      </c>
      <c r="Q425" s="120">
        <v>0</v>
      </c>
      <c r="R425" s="120">
        <v>0</v>
      </c>
      <c r="S425" s="120">
        <v>12</v>
      </c>
      <c r="T425" s="121">
        <v>0</v>
      </c>
      <c r="U425" s="121">
        <v>0</v>
      </c>
      <c r="V425" s="121">
        <v>0</v>
      </c>
      <c r="W425" s="121">
        <v>0</v>
      </c>
      <c r="X425" s="122">
        <v>9</v>
      </c>
      <c r="Y425" s="123">
        <v>0</v>
      </c>
      <c r="Z425" s="123">
        <v>0</v>
      </c>
      <c r="AA425" s="123">
        <v>0</v>
      </c>
      <c r="AB425" s="123">
        <v>0</v>
      </c>
    </row>
    <row r="426" spans="1:28" ht="16.5">
      <c r="A426" s="23">
        <v>23</v>
      </c>
      <c r="B426" s="24">
        <v>8</v>
      </c>
      <c r="C426" s="24">
        <v>0</v>
      </c>
      <c r="D426" s="24">
        <v>14</v>
      </c>
      <c r="E426" s="24">
        <v>0</v>
      </c>
      <c r="F426" s="24">
        <v>0</v>
      </c>
      <c r="G426" s="24">
        <v>36</v>
      </c>
      <c r="H426" s="24">
        <v>0</v>
      </c>
      <c r="I426" s="24">
        <v>0</v>
      </c>
      <c r="J426" s="24">
        <v>0</v>
      </c>
      <c r="K426" s="24">
        <v>4</v>
      </c>
      <c r="L426" s="24">
        <v>33</v>
      </c>
      <c r="M426" s="24">
        <v>37</v>
      </c>
      <c r="N426" s="7"/>
      <c r="P426" s="23">
        <v>23</v>
      </c>
      <c r="Q426" s="120">
        <v>0</v>
      </c>
      <c r="R426" s="120">
        <v>0</v>
      </c>
      <c r="S426" s="120">
        <v>0</v>
      </c>
      <c r="T426" s="121">
        <v>0</v>
      </c>
      <c r="U426" s="121">
        <v>0</v>
      </c>
      <c r="V426" s="121">
        <v>0</v>
      </c>
      <c r="W426" s="121">
        <v>0</v>
      </c>
      <c r="X426" s="122">
        <v>114</v>
      </c>
      <c r="Y426" s="123">
        <v>0</v>
      </c>
      <c r="Z426" s="123">
        <v>4</v>
      </c>
      <c r="AA426" s="123">
        <v>0</v>
      </c>
      <c r="AB426" s="123">
        <v>46</v>
      </c>
    </row>
    <row r="427" spans="1:28" ht="16.5">
      <c r="A427" s="23">
        <v>24</v>
      </c>
      <c r="B427" s="24">
        <v>7</v>
      </c>
      <c r="C427" s="24">
        <v>0</v>
      </c>
      <c r="D427" s="24">
        <v>0</v>
      </c>
      <c r="E427" s="24">
        <v>0</v>
      </c>
      <c r="F427" s="24">
        <v>0</v>
      </c>
      <c r="G427" s="24">
        <v>0</v>
      </c>
      <c r="H427" s="24">
        <v>0</v>
      </c>
      <c r="I427" s="24">
        <v>0</v>
      </c>
      <c r="J427" s="24">
        <v>0</v>
      </c>
      <c r="K427" s="24">
        <v>38</v>
      </c>
      <c r="L427" s="24">
        <v>0</v>
      </c>
      <c r="M427" s="24">
        <v>0</v>
      </c>
      <c r="N427" s="7"/>
      <c r="P427" s="23">
        <v>24</v>
      </c>
      <c r="Q427" s="120">
        <v>0</v>
      </c>
      <c r="R427" s="120">
        <v>1</v>
      </c>
      <c r="S427" s="120">
        <v>0</v>
      </c>
      <c r="T427" s="121">
        <v>0</v>
      </c>
      <c r="U427" s="121">
        <v>0</v>
      </c>
      <c r="V427" s="121">
        <v>0</v>
      </c>
      <c r="W427" s="121">
        <v>0</v>
      </c>
      <c r="X427" s="122">
        <v>110</v>
      </c>
      <c r="Y427" s="123">
        <v>52</v>
      </c>
      <c r="Z427" s="123">
        <v>0</v>
      </c>
      <c r="AA427" s="123">
        <v>0</v>
      </c>
      <c r="AB427" s="123">
        <v>0</v>
      </c>
    </row>
    <row r="428" spans="1:28" ht="16.5">
      <c r="A428" s="23">
        <v>25</v>
      </c>
      <c r="B428" s="24">
        <v>0</v>
      </c>
      <c r="C428" s="24">
        <v>0</v>
      </c>
      <c r="D428" s="24">
        <v>0</v>
      </c>
      <c r="E428" s="24">
        <v>0</v>
      </c>
      <c r="F428" s="24">
        <v>0</v>
      </c>
      <c r="G428" s="24">
        <v>0</v>
      </c>
      <c r="H428" s="24">
        <v>0</v>
      </c>
      <c r="I428" s="24">
        <v>0</v>
      </c>
      <c r="J428" s="24">
        <v>0</v>
      </c>
      <c r="K428" s="24">
        <v>0</v>
      </c>
      <c r="L428" s="24">
        <v>0</v>
      </c>
      <c r="M428" s="24">
        <v>0</v>
      </c>
      <c r="N428" s="7"/>
      <c r="P428" s="23">
        <v>25</v>
      </c>
      <c r="Q428" s="120">
        <v>31</v>
      </c>
      <c r="R428" s="120">
        <v>0</v>
      </c>
      <c r="S428" s="120">
        <v>50</v>
      </c>
      <c r="T428" s="121">
        <v>0</v>
      </c>
      <c r="U428" s="121">
        <v>0</v>
      </c>
      <c r="V428" s="121">
        <v>0</v>
      </c>
      <c r="W428" s="121">
        <v>0</v>
      </c>
      <c r="X428" s="122">
        <v>44</v>
      </c>
      <c r="Y428" s="123">
        <v>10</v>
      </c>
      <c r="Z428" s="123">
        <v>0</v>
      </c>
      <c r="AA428" s="123">
        <v>0</v>
      </c>
      <c r="AB428" s="123">
        <v>0</v>
      </c>
    </row>
    <row r="429" spans="1:28" ht="16.5">
      <c r="A429" s="23">
        <v>26</v>
      </c>
      <c r="B429" s="24">
        <v>0</v>
      </c>
      <c r="C429" s="24">
        <v>0</v>
      </c>
      <c r="D429" s="24">
        <v>0</v>
      </c>
      <c r="E429" s="24">
        <v>6</v>
      </c>
      <c r="F429" s="24">
        <v>0</v>
      </c>
      <c r="G429" s="24">
        <v>0</v>
      </c>
      <c r="H429" s="24">
        <v>0</v>
      </c>
      <c r="I429" s="24">
        <v>0</v>
      </c>
      <c r="J429" s="24">
        <v>0</v>
      </c>
      <c r="K429" s="24">
        <v>11</v>
      </c>
      <c r="L429" s="24">
        <v>0</v>
      </c>
      <c r="M429" s="24">
        <v>25</v>
      </c>
      <c r="N429" s="7"/>
      <c r="P429" s="23">
        <v>26</v>
      </c>
      <c r="Q429" s="120">
        <v>0</v>
      </c>
      <c r="R429" s="120">
        <v>0</v>
      </c>
      <c r="S429" s="120">
        <v>74</v>
      </c>
      <c r="T429" s="121">
        <v>0</v>
      </c>
      <c r="U429" s="121">
        <v>9</v>
      </c>
      <c r="V429" s="121">
        <v>0</v>
      </c>
      <c r="W429" s="121">
        <v>0</v>
      </c>
      <c r="X429" s="122">
        <v>30</v>
      </c>
      <c r="Y429" s="123">
        <v>0</v>
      </c>
      <c r="Z429" s="123">
        <v>0</v>
      </c>
      <c r="AA429" s="123">
        <v>0</v>
      </c>
      <c r="AB429" s="123">
        <v>0</v>
      </c>
    </row>
    <row r="430" spans="1:28" ht="16.5">
      <c r="A430" s="23">
        <v>27</v>
      </c>
      <c r="B430" s="24">
        <v>35</v>
      </c>
      <c r="C430" s="24">
        <v>0</v>
      </c>
      <c r="D430" s="24">
        <v>0</v>
      </c>
      <c r="E430" s="24">
        <v>14</v>
      </c>
      <c r="F430" s="24">
        <v>0</v>
      </c>
      <c r="G430" s="24">
        <v>0</v>
      </c>
      <c r="H430" s="24">
        <v>0</v>
      </c>
      <c r="I430" s="24">
        <v>0</v>
      </c>
      <c r="J430" s="24">
        <v>0</v>
      </c>
      <c r="K430" s="24">
        <v>0</v>
      </c>
      <c r="L430" s="24">
        <v>0</v>
      </c>
      <c r="M430" s="24">
        <v>5</v>
      </c>
      <c r="N430" s="7"/>
      <c r="P430" s="23">
        <v>27</v>
      </c>
      <c r="Q430" s="120">
        <v>0</v>
      </c>
      <c r="R430" s="120">
        <v>0</v>
      </c>
      <c r="S430" s="120">
        <v>0</v>
      </c>
      <c r="T430" s="121">
        <v>4</v>
      </c>
      <c r="U430" s="121">
        <v>29</v>
      </c>
      <c r="V430" s="121">
        <v>45</v>
      </c>
      <c r="W430" s="121">
        <v>0</v>
      </c>
      <c r="X430" s="122">
        <v>0</v>
      </c>
      <c r="Y430" s="123">
        <v>0</v>
      </c>
      <c r="Z430" s="123">
        <v>0</v>
      </c>
      <c r="AA430" s="123">
        <v>0</v>
      </c>
      <c r="AB430" s="123">
        <v>0</v>
      </c>
    </row>
    <row r="431" spans="1:28" ht="16.5">
      <c r="A431" s="23">
        <v>28</v>
      </c>
      <c r="B431" s="24">
        <v>8</v>
      </c>
      <c r="C431" s="24">
        <v>0</v>
      </c>
      <c r="D431" s="24">
        <v>0</v>
      </c>
      <c r="E431" s="24">
        <v>0</v>
      </c>
      <c r="F431" s="24">
        <v>0</v>
      </c>
      <c r="G431" s="24">
        <v>8</v>
      </c>
      <c r="H431" s="24">
        <v>0</v>
      </c>
      <c r="I431" s="24">
        <v>0</v>
      </c>
      <c r="J431" s="24">
        <v>0</v>
      </c>
      <c r="K431" s="24">
        <v>0</v>
      </c>
      <c r="L431" s="24">
        <v>13</v>
      </c>
      <c r="M431" s="24">
        <v>16</v>
      </c>
      <c r="N431" s="7"/>
      <c r="P431" s="23">
        <v>28</v>
      </c>
      <c r="Q431" s="120">
        <v>16</v>
      </c>
      <c r="R431" s="120">
        <v>0</v>
      </c>
      <c r="S431" s="120">
        <v>118</v>
      </c>
      <c r="T431" s="121">
        <v>0</v>
      </c>
      <c r="U431" s="121">
        <v>45</v>
      </c>
      <c r="V431" s="121">
        <v>6</v>
      </c>
      <c r="W431" s="121">
        <v>0</v>
      </c>
      <c r="X431" s="122">
        <v>0</v>
      </c>
      <c r="Y431" s="123">
        <v>72</v>
      </c>
      <c r="Z431" s="123">
        <v>61</v>
      </c>
      <c r="AA431" s="123">
        <v>0</v>
      </c>
      <c r="AB431" s="123">
        <v>0</v>
      </c>
    </row>
    <row r="432" spans="1:28" ht="16.5">
      <c r="A432" s="23">
        <v>29</v>
      </c>
      <c r="B432" s="24">
        <v>20</v>
      </c>
      <c r="C432" s="24"/>
      <c r="D432" s="24">
        <v>0</v>
      </c>
      <c r="E432" s="24">
        <v>0</v>
      </c>
      <c r="F432" s="24">
        <v>0</v>
      </c>
      <c r="G432" s="24">
        <v>0</v>
      </c>
      <c r="H432" s="24">
        <v>0</v>
      </c>
      <c r="I432" s="24">
        <v>0</v>
      </c>
      <c r="J432" s="24">
        <v>0</v>
      </c>
      <c r="K432" s="24">
        <v>0</v>
      </c>
      <c r="L432" s="24">
        <v>0</v>
      </c>
      <c r="M432" s="24">
        <v>15</v>
      </c>
      <c r="N432" s="7"/>
      <c r="P432" s="23">
        <v>29</v>
      </c>
      <c r="Q432" s="120">
        <v>15</v>
      </c>
      <c r="R432" s="120"/>
      <c r="S432" s="120">
        <v>0</v>
      </c>
      <c r="T432" s="121">
        <v>5</v>
      </c>
      <c r="U432" s="121">
        <v>55</v>
      </c>
      <c r="V432" s="121">
        <v>0</v>
      </c>
      <c r="W432" s="121">
        <v>98</v>
      </c>
      <c r="X432" s="122">
        <v>10</v>
      </c>
      <c r="Y432" s="123">
        <v>145</v>
      </c>
      <c r="Z432" s="123">
        <v>75</v>
      </c>
      <c r="AA432" s="123">
        <v>69</v>
      </c>
      <c r="AB432" s="123">
        <v>5</v>
      </c>
    </row>
    <row r="433" spans="1:29" ht="16.5">
      <c r="A433" s="23">
        <v>30</v>
      </c>
      <c r="B433" s="24">
        <v>26</v>
      </c>
      <c r="C433" s="24"/>
      <c r="D433" s="24">
        <v>0</v>
      </c>
      <c r="E433" s="24">
        <v>100</v>
      </c>
      <c r="F433" s="24">
        <v>23</v>
      </c>
      <c r="G433" s="24">
        <v>0</v>
      </c>
      <c r="H433" s="24">
        <v>0</v>
      </c>
      <c r="I433" s="24">
        <v>12</v>
      </c>
      <c r="J433" s="24">
        <v>0</v>
      </c>
      <c r="K433" s="24">
        <v>6</v>
      </c>
      <c r="L433" s="24">
        <v>26</v>
      </c>
      <c r="M433" s="24">
        <v>50</v>
      </c>
      <c r="N433" s="7"/>
      <c r="P433" s="23">
        <v>30</v>
      </c>
      <c r="Q433" s="120">
        <v>11</v>
      </c>
      <c r="R433" s="120"/>
      <c r="S433" s="120">
        <v>0</v>
      </c>
      <c r="T433" s="121">
        <v>0</v>
      </c>
      <c r="U433" s="121">
        <v>40</v>
      </c>
      <c r="V433" s="121">
        <v>22</v>
      </c>
      <c r="W433" s="121">
        <v>0</v>
      </c>
      <c r="X433" s="122">
        <v>144</v>
      </c>
      <c r="Y433" s="123">
        <v>48</v>
      </c>
      <c r="Z433" s="123">
        <v>48</v>
      </c>
      <c r="AA433" s="123">
        <v>0</v>
      </c>
      <c r="AB433" s="123">
        <v>0</v>
      </c>
    </row>
    <row r="434" spans="1:29" ht="16.5">
      <c r="A434" s="23">
        <v>31</v>
      </c>
      <c r="B434" s="24">
        <v>8</v>
      </c>
      <c r="C434" s="24"/>
      <c r="D434" s="24">
        <v>0</v>
      </c>
      <c r="E434" s="24"/>
      <c r="F434" s="24">
        <v>48</v>
      </c>
      <c r="G434" s="24"/>
      <c r="H434" s="24">
        <v>0</v>
      </c>
      <c r="I434" s="24">
        <v>44</v>
      </c>
      <c r="J434" s="24"/>
      <c r="K434" s="24">
        <v>6</v>
      </c>
      <c r="L434" s="24"/>
      <c r="M434" s="24">
        <v>0</v>
      </c>
      <c r="N434" s="7"/>
      <c r="P434" s="23">
        <v>31</v>
      </c>
      <c r="Q434" s="120">
        <v>0</v>
      </c>
      <c r="R434" s="120"/>
      <c r="S434" s="120">
        <v>0</v>
      </c>
      <c r="T434" s="121"/>
      <c r="U434" s="121">
        <v>0</v>
      </c>
      <c r="V434" s="121"/>
      <c r="W434" s="121">
        <v>0</v>
      </c>
      <c r="X434" s="122">
        <v>10</v>
      </c>
      <c r="Y434" s="123"/>
      <c r="Z434" s="123">
        <v>0</v>
      </c>
      <c r="AA434" s="123"/>
      <c r="AB434" s="123">
        <v>0</v>
      </c>
    </row>
    <row r="435" spans="1:29">
      <c r="A435" s="88"/>
      <c r="B435" s="89"/>
      <c r="C435" s="89"/>
      <c r="D435" s="89"/>
      <c r="E435" s="90"/>
      <c r="F435" s="89"/>
      <c r="G435" s="89"/>
      <c r="H435" s="89"/>
      <c r="I435" s="89"/>
      <c r="J435" s="89"/>
      <c r="K435" s="89"/>
      <c r="L435" s="89"/>
      <c r="M435" s="91"/>
      <c r="N435" s="7"/>
      <c r="P435" s="88"/>
      <c r="Q435" s="89"/>
      <c r="R435" s="89"/>
      <c r="S435" s="89"/>
      <c r="T435" s="90"/>
      <c r="U435" s="89"/>
      <c r="V435" s="89"/>
      <c r="W435" s="89"/>
      <c r="X435" s="89"/>
      <c r="Y435" s="89"/>
      <c r="Z435" s="89"/>
      <c r="AA435" s="89"/>
      <c r="AB435" s="91"/>
      <c r="AC435" s="7"/>
    </row>
    <row r="436" spans="1:29">
      <c r="A436" s="25" t="s">
        <v>65</v>
      </c>
      <c r="B436" s="92">
        <f>SUM(B404:B434)</f>
        <v>169</v>
      </c>
      <c r="C436" s="92">
        <f t="shared" ref="C436:L436" si="36">SUM(C404:C434)</f>
        <v>202</v>
      </c>
      <c r="D436" s="92">
        <f t="shared" si="36"/>
        <v>72</v>
      </c>
      <c r="E436" s="92">
        <f t="shared" si="36"/>
        <v>203</v>
      </c>
      <c r="F436" s="92">
        <f t="shared" si="36"/>
        <v>341</v>
      </c>
      <c r="G436" s="92">
        <f t="shared" si="36"/>
        <v>151</v>
      </c>
      <c r="H436" s="92">
        <f t="shared" si="36"/>
        <v>69</v>
      </c>
      <c r="I436" s="92">
        <f t="shared" si="36"/>
        <v>145</v>
      </c>
      <c r="J436" s="92">
        <f t="shared" si="36"/>
        <v>177</v>
      </c>
      <c r="K436" s="92">
        <f t="shared" si="36"/>
        <v>355</v>
      </c>
      <c r="L436" s="92">
        <f t="shared" si="36"/>
        <v>390</v>
      </c>
      <c r="M436" s="93">
        <f>SUM(M404:M434)</f>
        <v>429</v>
      </c>
      <c r="N436" s="9">
        <f>SUM(B436:M436)</f>
        <v>2703</v>
      </c>
      <c r="P436" s="25" t="s">
        <v>65</v>
      </c>
      <c r="Q436" s="30">
        <f>SUM(Q404:Q434)</f>
        <v>279</v>
      </c>
      <c r="R436" s="30">
        <f t="shared" ref="R436:AB436" si="37">SUM(R404:R434)</f>
        <v>37</v>
      </c>
      <c r="S436" s="30">
        <f t="shared" si="37"/>
        <v>360</v>
      </c>
      <c r="T436" s="30">
        <f t="shared" si="37"/>
        <v>242</v>
      </c>
      <c r="U436" s="30">
        <f t="shared" si="37"/>
        <v>491</v>
      </c>
      <c r="V436" s="30">
        <f t="shared" si="37"/>
        <v>589</v>
      </c>
      <c r="W436" s="30">
        <f t="shared" si="37"/>
        <v>194</v>
      </c>
      <c r="X436" s="30">
        <f t="shared" si="37"/>
        <v>908</v>
      </c>
      <c r="Y436" s="30">
        <f t="shared" si="37"/>
        <v>751</v>
      </c>
      <c r="Z436" s="30">
        <f t="shared" si="37"/>
        <v>529</v>
      </c>
      <c r="AA436" s="30">
        <f t="shared" si="37"/>
        <v>286</v>
      </c>
      <c r="AB436" s="30">
        <f t="shared" si="37"/>
        <v>421</v>
      </c>
      <c r="AC436" s="9">
        <f>SUM(Q436:AB436)</f>
        <v>5087</v>
      </c>
    </row>
    <row r="437" spans="1:29">
      <c r="A437" s="88" t="s">
        <v>66</v>
      </c>
      <c r="B437" s="94">
        <f t="shared" ref="B437:L437" si="38">MAX(B404:B434)</f>
        <v>35</v>
      </c>
      <c r="C437" s="94">
        <f t="shared" si="38"/>
        <v>65</v>
      </c>
      <c r="D437" s="94">
        <f t="shared" si="38"/>
        <v>26</v>
      </c>
      <c r="E437" s="94">
        <f t="shared" si="38"/>
        <v>100</v>
      </c>
      <c r="F437" s="94">
        <f t="shared" si="38"/>
        <v>64</v>
      </c>
      <c r="G437" s="94">
        <f t="shared" si="38"/>
        <v>63</v>
      </c>
      <c r="H437" s="94">
        <f t="shared" si="38"/>
        <v>35</v>
      </c>
      <c r="I437" s="94">
        <f t="shared" si="38"/>
        <v>44</v>
      </c>
      <c r="J437" s="94">
        <f t="shared" si="38"/>
        <v>51</v>
      </c>
      <c r="K437" s="94">
        <f t="shared" si="38"/>
        <v>75</v>
      </c>
      <c r="L437" s="94">
        <f t="shared" si="38"/>
        <v>72</v>
      </c>
      <c r="M437" s="30">
        <f>MAX(M404:M434)</f>
        <v>95</v>
      </c>
      <c r="N437" s="9">
        <f>MAX(B437:M437)</f>
        <v>100</v>
      </c>
      <c r="P437" s="88" t="s">
        <v>66</v>
      </c>
      <c r="Q437" s="30">
        <f t="shared" ref="Q437:AB437" si="39">MAX(Q404:Q434)</f>
        <v>44</v>
      </c>
      <c r="R437" s="30">
        <f t="shared" si="39"/>
        <v>33</v>
      </c>
      <c r="S437" s="30">
        <f t="shared" si="39"/>
        <v>118</v>
      </c>
      <c r="T437" s="30">
        <f t="shared" si="39"/>
        <v>45</v>
      </c>
      <c r="U437" s="30">
        <f t="shared" si="39"/>
        <v>89</v>
      </c>
      <c r="V437" s="30">
        <f t="shared" si="39"/>
        <v>170</v>
      </c>
      <c r="W437" s="30">
        <f t="shared" si="39"/>
        <v>98</v>
      </c>
      <c r="X437" s="30">
        <f t="shared" si="39"/>
        <v>200</v>
      </c>
      <c r="Y437" s="30">
        <f t="shared" si="39"/>
        <v>145</v>
      </c>
      <c r="Z437" s="30">
        <f t="shared" si="39"/>
        <v>141</v>
      </c>
      <c r="AA437" s="30">
        <f t="shared" si="39"/>
        <v>100</v>
      </c>
      <c r="AB437" s="30">
        <f t="shared" si="39"/>
        <v>179</v>
      </c>
      <c r="AC437" s="9">
        <f>MAX(Q437:AB437)</f>
        <v>200</v>
      </c>
    </row>
    <row r="438" spans="1:29">
      <c r="A438" s="31"/>
      <c r="B438" s="7"/>
      <c r="C438" s="7"/>
      <c r="D438" s="7"/>
      <c r="E438" s="7"/>
      <c r="F438" s="7"/>
      <c r="G438" s="7"/>
      <c r="H438" s="32"/>
      <c r="I438" s="7"/>
      <c r="J438" s="7"/>
      <c r="K438" s="7"/>
      <c r="L438" s="7"/>
      <c r="M438" s="7"/>
      <c r="N438" s="7"/>
      <c r="P438" s="95"/>
      <c r="Q438" s="7"/>
      <c r="R438" s="7"/>
      <c r="S438" s="7"/>
      <c r="T438" s="7"/>
      <c r="U438" s="7"/>
      <c r="V438" s="7"/>
      <c r="W438" s="32"/>
      <c r="X438" s="7"/>
      <c r="Y438" s="7"/>
      <c r="Z438" s="7"/>
      <c r="AA438" s="7"/>
      <c r="AB438" s="7"/>
      <c r="AC438" s="7"/>
    </row>
    <row r="439" spans="1:29">
      <c r="A439" s="33" t="s">
        <v>67</v>
      </c>
      <c r="B439" s="34">
        <v>0</v>
      </c>
      <c r="C439" s="35" t="s">
        <v>68</v>
      </c>
      <c r="D439" s="19"/>
      <c r="E439" s="7"/>
      <c r="F439" s="7"/>
      <c r="G439" s="7"/>
      <c r="H439" s="32"/>
      <c r="I439" s="7"/>
      <c r="J439" s="7"/>
      <c r="K439" s="7"/>
      <c r="L439" s="7"/>
      <c r="M439" s="7"/>
      <c r="N439" s="7"/>
      <c r="P439" s="96" t="s">
        <v>67</v>
      </c>
      <c r="Q439" s="34">
        <v>0</v>
      </c>
      <c r="R439" s="35" t="s">
        <v>68</v>
      </c>
      <c r="S439" s="19"/>
      <c r="T439" s="7"/>
      <c r="U439" s="7"/>
      <c r="V439" s="7"/>
      <c r="W439" s="32"/>
      <c r="X439" s="7"/>
      <c r="Y439" s="7"/>
      <c r="Z439" s="7"/>
      <c r="AA439" s="7"/>
      <c r="AB439" s="7"/>
      <c r="AC439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A05E3-1CB9-4058-B4E1-48C8D4C060F0}">
  <dimension ref="A1:AC268"/>
  <sheetViews>
    <sheetView topLeftCell="A229" zoomScale="77" zoomScaleNormal="77" workbookViewId="0">
      <selection activeCell="S260" sqref="S260"/>
    </sheetView>
  </sheetViews>
  <sheetFormatPr defaultRowHeight="15"/>
  <sheetData>
    <row r="1" spans="1:29" ht="18">
      <c r="A1" s="44" t="s">
        <v>41</v>
      </c>
      <c r="B1" s="45"/>
      <c r="C1" s="45"/>
      <c r="D1" s="45"/>
      <c r="E1" s="46">
        <v>2013</v>
      </c>
      <c r="F1" s="47"/>
      <c r="G1" s="47"/>
      <c r="H1" s="48"/>
      <c r="I1" s="47"/>
      <c r="J1" s="47"/>
      <c r="K1" s="47"/>
      <c r="L1" s="47"/>
      <c r="M1" s="49"/>
      <c r="N1" s="7"/>
      <c r="P1" s="44" t="s">
        <v>41</v>
      </c>
      <c r="Q1" s="45"/>
      <c r="R1" s="45"/>
      <c r="S1" s="45"/>
      <c r="T1" s="46">
        <v>2019</v>
      </c>
      <c r="U1" s="47"/>
      <c r="V1" s="47"/>
      <c r="W1" s="48"/>
      <c r="X1" s="47"/>
      <c r="Y1" s="47"/>
      <c r="Z1" s="47"/>
      <c r="AA1" s="47"/>
      <c r="AB1" s="49"/>
      <c r="AC1" s="7"/>
    </row>
    <row r="2" spans="1:29">
      <c r="A2" s="50"/>
      <c r="B2" s="9"/>
      <c r="C2" s="9"/>
      <c r="D2" s="9"/>
      <c r="E2" s="10"/>
      <c r="F2" s="10"/>
      <c r="G2" s="10"/>
      <c r="H2" s="11"/>
      <c r="I2" s="9"/>
      <c r="J2" s="9"/>
      <c r="K2" s="9"/>
      <c r="L2" s="9"/>
      <c r="M2" s="51"/>
      <c r="N2" s="7"/>
      <c r="P2" s="50"/>
      <c r="Q2" s="9"/>
      <c r="R2" s="9"/>
      <c r="S2" s="9"/>
      <c r="T2" s="10"/>
      <c r="U2" s="10"/>
      <c r="V2" s="10"/>
      <c r="W2" s="11"/>
      <c r="X2" s="9"/>
      <c r="Y2" s="9"/>
      <c r="Z2" s="9"/>
      <c r="AA2" s="9"/>
      <c r="AB2" s="51"/>
      <c r="AC2" s="7"/>
    </row>
    <row r="3" spans="1:29" ht="15.75">
      <c r="A3" s="52" t="s">
        <v>42</v>
      </c>
      <c r="B3" s="14"/>
      <c r="C3" s="14" t="s">
        <v>43</v>
      </c>
      <c r="D3" s="14"/>
      <c r="E3" s="14"/>
      <c r="F3" s="14"/>
      <c r="G3" s="14"/>
      <c r="H3" s="15"/>
      <c r="I3" s="14"/>
      <c r="J3" s="14" t="s">
        <v>74</v>
      </c>
      <c r="K3" s="14" t="s">
        <v>75</v>
      </c>
      <c r="L3" s="14"/>
      <c r="M3" s="51"/>
      <c r="N3" s="7"/>
      <c r="P3" s="52" t="s">
        <v>42</v>
      </c>
      <c r="Q3" s="14"/>
      <c r="R3" s="14" t="s">
        <v>43</v>
      </c>
      <c r="S3" s="14"/>
      <c r="T3" s="14"/>
      <c r="U3" s="14"/>
      <c r="V3" s="14"/>
      <c r="W3" s="15"/>
      <c r="X3" s="14"/>
      <c r="Y3" s="14" t="s">
        <v>74</v>
      </c>
      <c r="Z3" s="14" t="s">
        <v>75</v>
      </c>
      <c r="AA3" s="14"/>
      <c r="AB3" s="51"/>
      <c r="AC3" s="7"/>
    </row>
    <row r="4" spans="1:29" ht="15.75">
      <c r="A4" s="52" t="s">
        <v>46</v>
      </c>
      <c r="B4" s="14"/>
      <c r="C4" s="14" t="s">
        <v>76</v>
      </c>
      <c r="D4" s="14"/>
      <c r="E4" s="14"/>
      <c r="F4" s="14"/>
      <c r="G4" s="14"/>
      <c r="H4" s="15"/>
      <c r="I4" s="14"/>
      <c r="J4" s="14" t="s">
        <v>77</v>
      </c>
      <c r="K4" s="14" t="s">
        <v>78</v>
      </c>
      <c r="L4" s="14"/>
      <c r="M4" s="51"/>
      <c r="N4" s="7"/>
      <c r="P4" s="52" t="s">
        <v>46</v>
      </c>
      <c r="Q4" s="14"/>
      <c r="R4" s="14" t="s">
        <v>76</v>
      </c>
      <c r="S4" s="14"/>
      <c r="T4" s="14"/>
      <c r="U4" s="14"/>
      <c r="V4" s="14"/>
      <c r="W4" s="15"/>
      <c r="X4" s="14"/>
      <c r="Y4" s="14" t="s">
        <v>77</v>
      </c>
      <c r="Z4" s="14" t="s">
        <v>78</v>
      </c>
      <c r="AA4" s="14"/>
      <c r="AB4" s="51"/>
      <c r="AC4" s="7"/>
    </row>
    <row r="5" spans="1:29" ht="15.75">
      <c r="A5" s="52" t="s">
        <v>49</v>
      </c>
      <c r="B5" s="14"/>
      <c r="C5" s="14" t="s">
        <v>79</v>
      </c>
      <c r="D5" s="14"/>
      <c r="E5" s="14"/>
      <c r="F5" s="14"/>
      <c r="G5" s="14"/>
      <c r="H5" s="15"/>
      <c r="I5" s="14"/>
      <c r="J5" s="14" t="s">
        <v>51</v>
      </c>
      <c r="K5" s="14" t="s">
        <v>52</v>
      </c>
      <c r="L5" s="14"/>
      <c r="M5" s="51"/>
      <c r="N5" s="7"/>
      <c r="P5" s="52" t="s">
        <v>49</v>
      </c>
      <c r="Q5" s="14"/>
      <c r="R5" s="14" t="s">
        <v>80</v>
      </c>
      <c r="S5" s="14"/>
      <c r="T5" s="14"/>
      <c r="U5" s="14"/>
      <c r="V5" s="14"/>
      <c r="W5" s="15"/>
      <c r="X5" s="14"/>
      <c r="Y5" s="14" t="s">
        <v>51</v>
      </c>
      <c r="Z5" s="14" t="s">
        <v>52</v>
      </c>
      <c r="AA5" s="14"/>
      <c r="AB5" s="51"/>
      <c r="AC5" s="7"/>
    </row>
    <row r="6" spans="1:29">
      <c r="A6" s="53"/>
      <c r="B6" s="10"/>
      <c r="C6" s="10"/>
      <c r="D6" s="10"/>
      <c r="E6" s="10"/>
      <c r="F6" s="10"/>
      <c r="G6" s="10"/>
      <c r="H6" s="17"/>
      <c r="I6" s="10"/>
      <c r="J6" s="10"/>
      <c r="K6" s="10"/>
      <c r="L6" s="10"/>
      <c r="M6" s="54"/>
      <c r="N6" s="19"/>
      <c r="P6" s="53"/>
      <c r="Q6" s="10"/>
      <c r="R6" s="10"/>
      <c r="S6" s="10"/>
      <c r="T6" s="10"/>
      <c r="U6" s="10"/>
      <c r="V6" s="10"/>
      <c r="W6" s="17"/>
      <c r="X6" s="10"/>
      <c r="Y6" s="10"/>
      <c r="Z6" s="10"/>
      <c r="AA6" s="10"/>
      <c r="AB6" s="54"/>
      <c r="AC6" s="19"/>
    </row>
    <row r="7" spans="1:29">
      <c r="A7" s="55" t="s">
        <v>53</v>
      </c>
      <c r="B7" s="21" t="s">
        <v>54</v>
      </c>
      <c r="C7" s="21" t="s">
        <v>55</v>
      </c>
      <c r="D7" s="21" t="s">
        <v>56</v>
      </c>
      <c r="E7" s="21" t="s">
        <v>57</v>
      </c>
      <c r="F7" s="21" t="s">
        <v>20</v>
      </c>
      <c r="G7" s="21" t="s">
        <v>58</v>
      </c>
      <c r="H7" s="21" t="s">
        <v>59</v>
      </c>
      <c r="I7" s="21" t="s">
        <v>60</v>
      </c>
      <c r="J7" s="21" t="s">
        <v>61</v>
      </c>
      <c r="K7" s="21" t="s">
        <v>62</v>
      </c>
      <c r="L7" s="21" t="s">
        <v>63</v>
      </c>
      <c r="M7" s="56" t="s">
        <v>64</v>
      </c>
      <c r="N7" s="19"/>
      <c r="P7" s="55" t="s">
        <v>53</v>
      </c>
      <c r="Q7" s="21" t="s">
        <v>54</v>
      </c>
      <c r="R7" s="21" t="s">
        <v>55</v>
      </c>
      <c r="S7" s="21" t="s">
        <v>56</v>
      </c>
      <c r="T7" s="21" t="s">
        <v>57</v>
      </c>
      <c r="U7" s="21" t="s">
        <v>20</v>
      </c>
      <c r="V7" s="21" t="s">
        <v>58</v>
      </c>
      <c r="W7" s="21" t="s">
        <v>59</v>
      </c>
      <c r="X7" s="21" t="s">
        <v>60</v>
      </c>
      <c r="Y7" s="21" t="s">
        <v>61</v>
      </c>
      <c r="Z7" s="21" t="s">
        <v>62</v>
      </c>
      <c r="AA7" s="21" t="s">
        <v>63</v>
      </c>
      <c r="AB7" s="56" t="s">
        <v>64</v>
      </c>
      <c r="AC7" s="19"/>
    </row>
    <row r="8" spans="1:29">
      <c r="A8" s="57">
        <v>1</v>
      </c>
      <c r="B8" s="36">
        <v>0</v>
      </c>
      <c r="C8" s="36">
        <v>10.6</v>
      </c>
      <c r="D8" s="36">
        <v>0</v>
      </c>
      <c r="E8" s="36">
        <v>7.4</v>
      </c>
      <c r="F8" s="36">
        <v>0.1</v>
      </c>
      <c r="G8" s="36">
        <v>0.3</v>
      </c>
      <c r="H8" s="36">
        <v>0.1</v>
      </c>
      <c r="I8" s="36">
        <v>0</v>
      </c>
      <c r="J8" s="36">
        <v>21.6</v>
      </c>
      <c r="K8" s="36">
        <v>0</v>
      </c>
      <c r="L8" s="36">
        <v>0</v>
      </c>
      <c r="M8" s="58">
        <v>47</v>
      </c>
      <c r="N8" s="7"/>
      <c r="P8" s="57">
        <v>1</v>
      </c>
      <c r="Q8" s="36">
        <v>0</v>
      </c>
      <c r="R8" s="36">
        <v>1.5</v>
      </c>
      <c r="S8" s="36">
        <v>23.3</v>
      </c>
      <c r="T8" s="36">
        <v>0</v>
      </c>
      <c r="U8" s="36">
        <v>0</v>
      </c>
      <c r="V8" s="36">
        <v>9.8000000000000007</v>
      </c>
      <c r="W8" s="36">
        <v>0.3</v>
      </c>
      <c r="X8" s="36">
        <v>0</v>
      </c>
      <c r="Y8" s="36">
        <v>0</v>
      </c>
      <c r="Z8" s="36">
        <v>18.899999999999999</v>
      </c>
      <c r="AA8" s="36">
        <v>16</v>
      </c>
      <c r="AB8" s="58">
        <v>0</v>
      </c>
      <c r="AC8" s="7"/>
    </row>
    <row r="9" spans="1:29">
      <c r="A9" s="57">
        <v>2</v>
      </c>
      <c r="B9" s="36">
        <v>1.2</v>
      </c>
      <c r="C9" s="36">
        <v>2</v>
      </c>
      <c r="D9" s="36">
        <v>0</v>
      </c>
      <c r="E9" s="36">
        <v>0</v>
      </c>
      <c r="F9" s="36">
        <v>1.3</v>
      </c>
      <c r="G9" s="36">
        <v>0</v>
      </c>
      <c r="H9" s="36">
        <v>1.3</v>
      </c>
      <c r="I9" s="36">
        <v>0</v>
      </c>
      <c r="J9" s="36">
        <v>0.8</v>
      </c>
      <c r="K9" s="36">
        <v>0</v>
      </c>
      <c r="L9" s="36">
        <v>5.4</v>
      </c>
      <c r="M9" s="58">
        <v>5.4</v>
      </c>
      <c r="N9" s="7"/>
      <c r="P9" s="57">
        <v>2</v>
      </c>
      <c r="Q9" s="36">
        <v>2.4</v>
      </c>
      <c r="R9" s="36">
        <v>6.8</v>
      </c>
      <c r="S9" s="36">
        <v>8</v>
      </c>
      <c r="T9" s="36">
        <v>1.5</v>
      </c>
      <c r="U9" s="36">
        <v>0</v>
      </c>
      <c r="V9" s="36">
        <v>29.1</v>
      </c>
      <c r="W9" s="36">
        <v>0</v>
      </c>
      <c r="X9" s="36">
        <v>0</v>
      </c>
      <c r="Y9" s="36">
        <v>10.8</v>
      </c>
      <c r="Z9" s="36">
        <v>18</v>
      </c>
      <c r="AA9" s="36">
        <v>5.5</v>
      </c>
      <c r="AB9" s="58">
        <v>64.599999999999994</v>
      </c>
      <c r="AC9" s="7"/>
    </row>
    <row r="10" spans="1:29">
      <c r="A10" s="57">
        <v>3</v>
      </c>
      <c r="B10" s="36">
        <v>0.1</v>
      </c>
      <c r="C10" s="36">
        <v>19.899999999999999</v>
      </c>
      <c r="D10" s="36">
        <v>0</v>
      </c>
      <c r="E10" s="36">
        <v>0</v>
      </c>
      <c r="F10" s="36">
        <v>67</v>
      </c>
      <c r="G10" s="36">
        <v>0</v>
      </c>
      <c r="H10" s="36">
        <v>0.5</v>
      </c>
      <c r="I10" s="36">
        <v>0</v>
      </c>
      <c r="J10" s="36">
        <v>1</v>
      </c>
      <c r="K10" s="36">
        <v>0</v>
      </c>
      <c r="L10" s="36">
        <v>2.2000000000000002</v>
      </c>
      <c r="M10" s="58">
        <v>14.6</v>
      </c>
      <c r="N10" s="7"/>
      <c r="P10" s="57">
        <v>3</v>
      </c>
      <c r="Q10" s="36">
        <v>7.6</v>
      </c>
      <c r="R10" s="36">
        <v>62</v>
      </c>
      <c r="S10" s="36">
        <v>0</v>
      </c>
      <c r="T10" s="36">
        <v>18</v>
      </c>
      <c r="U10" s="36">
        <v>0</v>
      </c>
      <c r="V10" s="36">
        <v>50.6</v>
      </c>
      <c r="W10" s="36">
        <v>0</v>
      </c>
      <c r="X10" s="36">
        <v>0</v>
      </c>
      <c r="Y10" s="36">
        <v>0.1</v>
      </c>
      <c r="Z10" s="36">
        <v>89.8</v>
      </c>
      <c r="AA10" s="36">
        <v>0</v>
      </c>
      <c r="AB10" s="58">
        <v>78.8</v>
      </c>
      <c r="AC10" s="7"/>
    </row>
    <row r="11" spans="1:29">
      <c r="A11" s="57">
        <v>4</v>
      </c>
      <c r="B11" s="36">
        <v>0.5</v>
      </c>
      <c r="C11" s="36">
        <v>0</v>
      </c>
      <c r="D11" s="36">
        <v>0.4</v>
      </c>
      <c r="E11" s="36">
        <v>6.4</v>
      </c>
      <c r="F11" s="36">
        <v>0.9</v>
      </c>
      <c r="G11" s="36">
        <v>0.6</v>
      </c>
      <c r="H11" s="36">
        <v>0</v>
      </c>
      <c r="I11" s="36">
        <v>44.6</v>
      </c>
      <c r="J11" s="36">
        <v>59.3</v>
      </c>
      <c r="K11" s="36">
        <v>0</v>
      </c>
      <c r="L11" s="36">
        <v>0</v>
      </c>
      <c r="M11" s="58">
        <v>3.4</v>
      </c>
      <c r="N11" s="7"/>
      <c r="P11" s="57">
        <v>4</v>
      </c>
      <c r="Q11" s="36">
        <v>0</v>
      </c>
      <c r="R11" s="36">
        <v>0.7</v>
      </c>
      <c r="S11" s="36">
        <v>21.3</v>
      </c>
      <c r="T11" s="36">
        <v>0</v>
      </c>
      <c r="U11" s="36">
        <v>0</v>
      </c>
      <c r="V11" s="36">
        <v>36.4</v>
      </c>
      <c r="W11" s="36">
        <v>14</v>
      </c>
      <c r="X11" s="36">
        <v>0</v>
      </c>
      <c r="Y11" s="36">
        <v>0</v>
      </c>
      <c r="Z11" s="36">
        <v>0.2</v>
      </c>
      <c r="AA11" s="36">
        <v>0</v>
      </c>
      <c r="AB11" s="58">
        <v>0</v>
      </c>
      <c r="AC11" s="7"/>
    </row>
    <row r="12" spans="1:29">
      <c r="A12" s="57">
        <v>5</v>
      </c>
      <c r="B12" s="36">
        <v>0</v>
      </c>
      <c r="C12" s="36">
        <v>110.5</v>
      </c>
      <c r="D12" s="36">
        <v>48.8</v>
      </c>
      <c r="E12" s="36">
        <v>0</v>
      </c>
      <c r="F12" s="36">
        <v>18.7</v>
      </c>
      <c r="G12" s="36">
        <v>42.2</v>
      </c>
      <c r="H12" s="36">
        <v>0</v>
      </c>
      <c r="I12" s="36">
        <v>0</v>
      </c>
      <c r="J12" s="36">
        <v>1.4</v>
      </c>
      <c r="K12" s="36">
        <v>0</v>
      </c>
      <c r="L12" s="36">
        <v>7</v>
      </c>
      <c r="M12" s="58">
        <v>0.7</v>
      </c>
      <c r="N12" s="7"/>
      <c r="P12" s="57">
        <v>5</v>
      </c>
      <c r="Q12" s="36">
        <v>0</v>
      </c>
      <c r="R12" s="36">
        <v>12</v>
      </c>
      <c r="S12" s="36">
        <v>0</v>
      </c>
      <c r="T12" s="36">
        <v>0</v>
      </c>
      <c r="U12" s="36">
        <v>0.2</v>
      </c>
      <c r="V12" s="36">
        <v>1.1000000000000001</v>
      </c>
      <c r="W12" s="36">
        <v>0</v>
      </c>
      <c r="X12" s="36">
        <v>0</v>
      </c>
      <c r="Y12" s="36">
        <v>0</v>
      </c>
      <c r="Z12" s="36">
        <v>1.2</v>
      </c>
      <c r="AA12" s="36">
        <v>3.5</v>
      </c>
      <c r="AB12" s="58">
        <v>1.3</v>
      </c>
      <c r="AC12" s="7"/>
    </row>
    <row r="13" spans="1:29">
      <c r="A13" s="57">
        <v>6</v>
      </c>
      <c r="B13" s="36">
        <v>0</v>
      </c>
      <c r="C13" s="36">
        <v>25.2</v>
      </c>
      <c r="D13" s="36">
        <v>0</v>
      </c>
      <c r="E13" s="36">
        <v>101</v>
      </c>
      <c r="F13" s="36">
        <v>41</v>
      </c>
      <c r="G13" s="36">
        <v>0</v>
      </c>
      <c r="H13" s="36">
        <v>7.4</v>
      </c>
      <c r="I13" s="36">
        <v>0</v>
      </c>
      <c r="J13" s="36">
        <v>0.5</v>
      </c>
      <c r="K13" s="36">
        <v>0</v>
      </c>
      <c r="L13" s="36">
        <v>0</v>
      </c>
      <c r="M13" s="58">
        <v>1</v>
      </c>
      <c r="N13" s="7"/>
      <c r="P13" s="57">
        <v>6</v>
      </c>
      <c r="Q13" s="36">
        <v>2.2000000000000002</v>
      </c>
      <c r="R13" s="36">
        <v>0</v>
      </c>
      <c r="S13" s="36">
        <v>0</v>
      </c>
      <c r="T13" s="36">
        <v>0</v>
      </c>
      <c r="U13" s="36">
        <v>16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36">
        <v>4</v>
      </c>
      <c r="AB13" s="58">
        <v>14.1</v>
      </c>
      <c r="AC13" s="7"/>
    </row>
    <row r="14" spans="1:29">
      <c r="A14" s="57">
        <v>7</v>
      </c>
      <c r="B14" s="36">
        <v>0</v>
      </c>
      <c r="C14" s="36">
        <v>0</v>
      </c>
      <c r="D14" s="36">
        <v>0</v>
      </c>
      <c r="E14" s="36">
        <v>70.7</v>
      </c>
      <c r="F14" s="36">
        <v>49.4</v>
      </c>
      <c r="G14" s="36">
        <v>0</v>
      </c>
      <c r="H14" s="36">
        <v>0</v>
      </c>
      <c r="I14" s="36">
        <v>0</v>
      </c>
      <c r="J14" s="36">
        <v>1.3</v>
      </c>
      <c r="K14" s="36">
        <v>3.4</v>
      </c>
      <c r="L14" s="36">
        <v>36.9</v>
      </c>
      <c r="M14" s="58">
        <v>46.3</v>
      </c>
      <c r="N14" s="7"/>
      <c r="P14" s="57">
        <v>7</v>
      </c>
      <c r="Q14" s="36">
        <v>2.4</v>
      </c>
      <c r="R14" s="36">
        <v>0</v>
      </c>
      <c r="S14" s="36">
        <v>0.3</v>
      </c>
      <c r="T14" s="36">
        <v>0</v>
      </c>
      <c r="U14" s="36">
        <v>6.2</v>
      </c>
      <c r="V14" s="36">
        <v>31.2</v>
      </c>
      <c r="W14" s="36">
        <v>62.3</v>
      </c>
      <c r="X14" s="36">
        <v>0</v>
      </c>
      <c r="Y14" s="36">
        <v>0</v>
      </c>
      <c r="Z14" s="36">
        <v>22</v>
      </c>
      <c r="AA14" s="36">
        <v>0</v>
      </c>
      <c r="AB14" s="58">
        <v>0.7</v>
      </c>
      <c r="AC14" s="7"/>
    </row>
    <row r="15" spans="1:29">
      <c r="A15" s="57">
        <v>8</v>
      </c>
      <c r="B15" s="36">
        <v>0</v>
      </c>
      <c r="C15" s="36">
        <v>0</v>
      </c>
      <c r="D15" s="36">
        <v>0</v>
      </c>
      <c r="E15" s="36">
        <v>0</v>
      </c>
      <c r="F15" s="36">
        <v>0</v>
      </c>
      <c r="G15" s="36">
        <v>0</v>
      </c>
      <c r="H15" s="36">
        <v>0.1</v>
      </c>
      <c r="I15" s="36">
        <v>0</v>
      </c>
      <c r="J15" s="36">
        <v>0</v>
      </c>
      <c r="K15" s="36">
        <v>4.4000000000000004</v>
      </c>
      <c r="L15" s="36">
        <v>0</v>
      </c>
      <c r="M15" s="58">
        <v>14</v>
      </c>
      <c r="N15" s="7"/>
      <c r="P15" s="57">
        <v>8</v>
      </c>
      <c r="Q15" s="36">
        <v>3.9</v>
      </c>
      <c r="R15" s="36">
        <v>6.5</v>
      </c>
      <c r="S15" s="36">
        <v>0.1</v>
      </c>
      <c r="T15" s="36">
        <v>0</v>
      </c>
      <c r="U15" s="36">
        <v>0</v>
      </c>
      <c r="V15" s="36">
        <v>97.4</v>
      </c>
      <c r="W15" s="36">
        <v>34.5</v>
      </c>
      <c r="X15" s="36">
        <v>0</v>
      </c>
      <c r="Y15" s="36">
        <v>0</v>
      </c>
      <c r="Z15" s="36">
        <v>11</v>
      </c>
      <c r="AA15" s="36">
        <v>0</v>
      </c>
      <c r="AB15" s="58">
        <v>44.2</v>
      </c>
      <c r="AC15" s="7"/>
    </row>
    <row r="16" spans="1:29">
      <c r="A16" s="57">
        <v>9</v>
      </c>
      <c r="B16" s="36">
        <v>2.5</v>
      </c>
      <c r="C16" s="36">
        <v>45.4</v>
      </c>
      <c r="D16" s="36">
        <v>0</v>
      </c>
      <c r="E16" s="36">
        <v>0.4</v>
      </c>
      <c r="F16" s="36">
        <v>0</v>
      </c>
      <c r="G16" s="36">
        <v>0</v>
      </c>
      <c r="H16" s="36">
        <v>0</v>
      </c>
      <c r="I16" s="36">
        <v>0</v>
      </c>
      <c r="J16" s="36">
        <v>0.4</v>
      </c>
      <c r="K16" s="36">
        <v>0</v>
      </c>
      <c r="L16" s="36">
        <v>0</v>
      </c>
      <c r="M16" s="58">
        <v>0</v>
      </c>
      <c r="N16" s="7"/>
      <c r="P16" s="57">
        <v>9</v>
      </c>
      <c r="Q16" s="36">
        <v>18</v>
      </c>
      <c r="R16" s="36">
        <v>0</v>
      </c>
      <c r="S16" s="36">
        <v>4.3</v>
      </c>
      <c r="T16" s="36">
        <v>0</v>
      </c>
      <c r="U16" s="36">
        <v>0</v>
      </c>
      <c r="V16" s="36">
        <v>0</v>
      </c>
      <c r="W16" s="36">
        <v>0</v>
      </c>
      <c r="X16" s="36">
        <v>0</v>
      </c>
      <c r="Y16" s="36">
        <v>0</v>
      </c>
      <c r="Z16" s="36">
        <v>0</v>
      </c>
      <c r="AA16" s="36">
        <v>1.6</v>
      </c>
      <c r="AB16" s="58">
        <v>46.4</v>
      </c>
      <c r="AC16" s="7"/>
    </row>
    <row r="17" spans="1:29">
      <c r="A17" s="57">
        <v>10</v>
      </c>
      <c r="B17" s="36">
        <v>5.5</v>
      </c>
      <c r="C17" s="36">
        <v>20</v>
      </c>
      <c r="D17" s="36">
        <v>0</v>
      </c>
      <c r="E17" s="36">
        <v>6.9</v>
      </c>
      <c r="F17" s="36">
        <v>5.4</v>
      </c>
      <c r="G17" s="36">
        <v>5.4</v>
      </c>
      <c r="H17" s="36">
        <v>30.9</v>
      </c>
      <c r="I17" s="36">
        <v>4.4000000000000004</v>
      </c>
      <c r="J17" s="36">
        <v>0</v>
      </c>
      <c r="K17" s="36">
        <v>1.7</v>
      </c>
      <c r="L17" s="36">
        <v>7.2</v>
      </c>
      <c r="M17" s="58">
        <v>9</v>
      </c>
      <c r="N17" s="7"/>
      <c r="P17" s="57">
        <v>10</v>
      </c>
      <c r="Q17" s="36">
        <v>4.7</v>
      </c>
      <c r="R17" s="36">
        <v>14.6</v>
      </c>
      <c r="S17" s="36">
        <v>0</v>
      </c>
      <c r="T17" s="36">
        <v>3.2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Z17" s="36">
        <v>12</v>
      </c>
      <c r="AA17" s="36">
        <v>7.5</v>
      </c>
      <c r="AB17" s="58">
        <v>7.9</v>
      </c>
      <c r="AC17" s="7"/>
    </row>
    <row r="18" spans="1:29">
      <c r="A18" s="57">
        <v>11</v>
      </c>
      <c r="B18" s="36">
        <v>0</v>
      </c>
      <c r="C18" s="36">
        <v>6</v>
      </c>
      <c r="D18" s="36">
        <v>0</v>
      </c>
      <c r="E18" s="36">
        <v>0</v>
      </c>
      <c r="F18" s="36">
        <v>5.9</v>
      </c>
      <c r="G18" s="36">
        <v>32.5</v>
      </c>
      <c r="H18" s="36">
        <v>0</v>
      </c>
      <c r="I18" s="36">
        <v>0</v>
      </c>
      <c r="J18" s="36">
        <v>0</v>
      </c>
      <c r="K18" s="36">
        <v>0</v>
      </c>
      <c r="L18" s="36">
        <v>26.1</v>
      </c>
      <c r="M18" s="58">
        <v>22</v>
      </c>
      <c r="N18" s="7"/>
      <c r="P18" s="57">
        <v>11</v>
      </c>
      <c r="Q18" s="36">
        <v>43.8</v>
      </c>
      <c r="R18" s="36">
        <v>12.2</v>
      </c>
      <c r="S18" s="36">
        <v>17</v>
      </c>
      <c r="T18" s="36">
        <v>2.6</v>
      </c>
      <c r="U18" s="36">
        <v>0</v>
      </c>
      <c r="V18" s="36">
        <v>6.7</v>
      </c>
      <c r="W18" s="36">
        <v>0</v>
      </c>
      <c r="X18" s="36">
        <v>0</v>
      </c>
      <c r="Y18" s="36">
        <v>0</v>
      </c>
      <c r="Z18" s="36">
        <v>0.6</v>
      </c>
      <c r="AA18" s="36">
        <v>0</v>
      </c>
      <c r="AB18" s="58">
        <v>13.5</v>
      </c>
      <c r="AC18" s="7"/>
    </row>
    <row r="19" spans="1:29">
      <c r="A19" s="57">
        <v>12</v>
      </c>
      <c r="B19" s="36">
        <v>0</v>
      </c>
      <c r="C19" s="36">
        <v>0</v>
      </c>
      <c r="D19" s="36">
        <v>0</v>
      </c>
      <c r="E19" s="36">
        <v>0</v>
      </c>
      <c r="F19" s="36">
        <v>24.8</v>
      </c>
      <c r="G19" s="36">
        <v>0.2</v>
      </c>
      <c r="H19" s="36">
        <v>8.1999999999999993</v>
      </c>
      <c r="I19" s="36">
        <v>0</v>
      </c>
      <c r="J19" s="36">
        <v>0</v>
      </c>
      <c r="K19" s="36">
        <v>0</v>
      </c>
      <c r="L19" s="36">
        <v>5.7</v>
      </c>
      <c r="M19" s="58">
        <v>0</v>
      </c>
      <c r="N19" s="7"/>
      <c r="P19" s="57">
        <v>12</v>
      </c>
      <c r="Q19" s="36">
        <v>0</v>
      </c>
      <c r="R19" s="36">
        <v>0.2</v>
      </c>
      <c r="S19" s="36">
        <v>0.1</v>
      </c>
      <c r="T19" s="36">
        <v>0.3</v>
      </c>
      <c r="U19" s="36">
        <v>0.7</v>
      </c>
      <c r="V19" s="36">
        <v>28.4</v>
      </c>
      <c r="W19" s="36">
        <v>42.5</v>
      </c>
      <c r="X19" s="36">
        <v>0</v>
      </c>
      <c r="Y19" s="36">
        <v>0</v>
      </c>
      <c r="Z19" s="36">
        <v>0</v>
      </c>
      <c r="AA19" s="36">
        <v>0</v>
      </c>
      <c r="AB19" s="58">
        <v>5.5</v>
      </c>
      <c r="AC19" s="7"/>
    </row>
    <row r="20" spans="1:29">
      <c r="A20" s="57">
        <v>13</v>
      </c>
      <c r="B20" s="36">
        <v>0</v>
      </c>
      <c r="C20" s="36">
        <v>9.1999999999999993</v>
      </c>
      <c r="D20" s="36">
        <v>0</v>
      </c>
      <c r="E20" s="36">
        <v>0.3</v>
      </c>
      <c r="F20" s="36">
        <v>17</v>
      </c>
      <c r="G20" s="36">
        <v>0</v>
      </c>
      <c r="H20" s="36">
        <v>94.4</v>
      </c>
      <c r="I20" s="36">
        <v>0</v>
      </c>
      <c r="J20" s="36">
        <v>5</v>
      </c>
      <c r="K20" s="36">
        <v>0</v>
      </c>
      <c r="L20" s="36">
        <v>6.1</v>
      </c>
      <c r="M20" s="58">
        <v>14.2</v>
      </c>
      <c r="N20" s="7"/>
      <c r="P20" s="57">
        <v>13</v>
      </c>
      <c r="Q20" s="36">
        <v>0.5</v>
      </c>
      <c r="R20" s="36">
        <v>4.9000000000000004</v>
      </c>
      <c r="S20" s="36">
        <v>0</v>
      </c>
      <c r="T20" s="36">
        <v>2.1</v>
      </c>
      <c r="U20" s="36">
        <v>8.5</v>
      </c>
      <c r="V20" s="36">
        <v>0</v>
      </c>
      <c r="W20" s="36">
        <v>0</v>
      </c>
      <c r="X20" s="36">
        <v>0</v>
      </c>
      <c r="Y20" s="36">
        <v>0</v>
      </c>
      <c r="Z20" s="36">
        <v>2</v>
      </c>
      <c r="AA20" s="36">
        <v>34.5</v>
      </c>
      <c r="AB20" s="58">
        <v>0</v>
      </c>
      <c r="AC20" s="7"/>
    </row>
    <row r="21" spans="1:29">
      <c r="A21" s="57">
        <v>14</v>
      </c>
      <c r="B21" s="36">
        <v>0</v>
      </c>
      <c r="C21" s="36">
        <v>16.3</v>
      </c>
      <c r="D21" s="36">
        <v>0</v>
      </c>
      <c r="E21" s="36">
        <v>13.3</v>
      </c>
      <c r="F21" s="36">
        <v>0</v>
      </c>
      <c r="G21" s="36">
        <v>0</v>
      </c>
      <c r="H21" s="36">
        <v>81.7</v>
      </c>
      <c r="I21" s="36">
        <v>0</v>
      </c>
      <c r="J21" s="36">
        <v>73.2</v>
      </c>
      <c r="K21" s="36">
        <v>0.7</v>
      </c>
      <c r="L21" s="36">
        <v>0</v>
      </c>
      <c r="M21" s="58">
        <v>9.4</v>
      </c>
      <c r="N21" s="7"/>
      <c r="P21" s="57">
        <v>14</v>
      </c>
      <c r="Q21" s="36">
        <v>5.9</v>
      </c>
      <c r="R21" s="36">
        <v>17</v>
      </c>
      <c r="S21" s="36">
        <v>0</v>
      </c>
      <c r="T21" s="36">
        <v>0.1</v>
      </c>
      <c r="U21" s="36">
        <v>46.5</v>
      </c>
      <c r="V21" s="36">
        <v>13.2</v>
      </c>
      <c r="W21" s="36">
        <v>0</v>
      </c>
      <c r="X21" s="36">
        <v>5.6</v>
      </c>
      <c r="Y21" s="36">
        <v>0</v>
      </c>
      <c r="Z21" s="36">
        <v>25.3</v>
      </c>
      <c r="AA21" s="36">
        <v>8.1999999999999993</v>
      </c>
      <c r="AB21" s="58">
        <v>27</v>
      </c>
      <c r="AC21" s="7"/>
    </row>
    <row r="22" spans="1:29">
      <c r="A22" s="57">
        <v>15</v>
      </c>
      <c r="B22" s="36">
        <v>0</v>
      </c>
      <c r="C22" s="36">
        <v>4.5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4</v>
      </c>
      <c r="K22" s="36">
        <v>0</v>
      </c>
      <c r="L22" s="36">
        <v>0</v>
      </c>
      <c r="M22" s="58">
        <v>0</v>
      </c>
      <c r="N22" s="7"/>
      <c r="P22" s="57">
        <v>15</v>
      </c>
      <c r="Q22" s="36">
        <v>1.3</v>
      </c>
      <c r="R22" s="36">
        <v>0.1</v>
      </c>
      <c r="S22" s="36">
        <v>0</v>
      </c>
      <c r="T22" s="36">
        <v>20.399999999999999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Z22" s="36">
        <v>26.1</v>
      </c>
      <c r="AA22" s="36">
        <v>0</v>
      </c>
      <c r="AB22" s="58">
        <v>53</v>
      </c>
      <c r="AC22" s="7"/>
    </row>
    <row r="23" spans="1:29">
      <c r="A23" s="57">
        <v>16</v>
      </c>
      <c r="B23" s="36">
        <v>0</v>
      </c>
      <c r="C23" s="36">
        <v>0</v>
      </c>
      <c r="D23" s="36">
        <v>16.600000000000001</v>
      </c>
      <c r="E23" s="36">
        <v>0</v>
      </c>
      <c r="F23" s="36">
        <v>0.2</v>
      </c>
      <c r="G23" s="36">
        <v>0</v>
      </c>
      <c r="H23" s="36">
        <v>0.8</v>
      </c>
      <c r="I23" s="36">
        <v>0</v>
      </c>
      <c r="J23" s="36">
        <v>0</v>
      </c>
      <c r="K23" s="36">
        <v>0</v>
      </c>
      <c r="L23" s="36">
        <v>5.2</v>
      </c>
      <c r="M23" s="58">
        <v>0</v>
      </c>
      <c r="N23" s="7"/>
      <c r="P23" s="57">
        <v>16</v>
      </c>
      <c r="Q23" s="36">
        <v>0</v>
      </c>
      <c r="R23" s="36">
        <v>18.5</v>
      </c>
      <c r="S23" s="36">
        <v>12.8</v>
      </c>
      <c r="T23" s="36">
        <v>37</v>
      </c>
      <c r="U23" s="36">
        <v>87</v>
      </c>
      <c r="V23" s="36">
        <v>31.2</v>
      </c>
      <c r="W23" s="36">
        <v>0</v>
      </c>
      <c r="X23" s="36">
        <v>0</v>
      </c>
      <c r="Y23" s="36">
        <v>0</v>
      </c>
      <c r="Z23" s="36">
        <v>67.5</v>
      </c>
      <c r="AA23" s="36">
        <v>43.7</v>
      </c>
      <c r="AB23" s="58">
        <v>19.5</v>
      </c>
      <c r="AC23" s="7"/>
    </row>
    <row r="24" spans="1:29">
      <c r="A24" s="57">
        <v>17</v>
      </c>
      <c r="B24" s="36">
        <v>0</v>
      </c>
      <c r="C24" s="36">
        <v>25.2</v>
      </c>
      <c r="D24" s="36">
        <v>8.6</v>
      </c>
      <c r="E24" s="36">
        <v>0</v>
      </c>
      <c r="F24" s="36">
        <v>0.7</v>
      </c>
      <c r="G24" s="36">
        <v>11.4</v>
      </c>
      <c r="H24" s="36">
        <v>6.2</v>
      </c>
      <c r="I24" s="36">
        <v>0</v>
      </c>
      <c r="J24" s="36">
        <v>23.3</v>
      </c>
      <c r="K24" s="36">
        <v>28.7</v>
      </c>
      <c r="L24" s="36">
        <v>86.5</v>
      </c>
      <c r="M24" s="58">
        <v>0</v>
      </c>
      <c r="N24" s="7"/>
      <c r="P24" s="57">
        <v>17</v>
      </c>
      <c r="Q24" s="36">
        <v>2</v>
      </c>
      <c r="R24" s="36">
        <v>6.6</v>
      </c>
      <c r="S24" s="36">
        <v>0</v>
      </c>
      <c r="T24" s="36">
        <v>0.1</v>
      </c>
      <c r="U24" s="36">
        <v>6.3</v>
      </c>
      <c r="V24" s="36">
        <v>68.5</v>
      </c>
      <c r="W24" s="36">
        <v>0</v>
      </c>
      <c r="X24" s="36">
        <v>0</v>
      </c>
      <c r="Y24" s="36">
        <v>0</v>
      </c>
      <c r="Z24" s="36">
        <v>22.5</v>
      </c>
      <c r="AA24" s="36">
        <v>0</v>
      </c>
      <c r="AB24" s="58">
        <v>16.899999999999999</v>
      </c>
      <c r="AC24" s="7"/>
    </row>
    <row r="25" spans="1:29">
      <c r="A25" s="57">
        <v>18</v>
      </c>
      <c r="B25" s="36">
        <v>0</v>
      </c>
      <c r="C25" s="36">
        <v>0</v>
      </c>
      <c r="D25" s="36">
        <v>0</v>
      </c>
      <c r="E25" s="36">
        <v>7.7</v>
      </c>
      <c r="F25" s="36">
        <v>4</v>
      </c>
      <c r="G25" s="36">
        <v>0</v>
      </c>
      <c r="H25" s="36">
        <v>0</v>
      </c>
      <c r="I25" s="36">
        <v>0</v>
      </c>
      <c r="J25" s="36">
        <v>0</v>
      </c>
      <c r="K25" s="36">
        <v>11.4</v>
      </c>
      <c r="L25" s="36">
        <v>0.4</v>
      </c>
      <c r="M25" s="58">
        <v>32.200000000000003</v>
      </c>
      <c r="N25" s="7"/>
      <c r="P25" s="57">
        <v>18</v>
      </c>
      <c r="Q25" s="36">
        <v>0.4</v>
      </c>
      <c r="R25" s="36">
        <v>0.7</v>
      </c>
      <c r="S25" s="36">
        <v>0</v>
      </c>
      <c r="T25" s="36">
        <v>4.0999999999999996</v>
      </c>
      <c r="U25" s="36">
        <v>36.9</v>
      </c>
      <c r="V25" s="36">
        <v>0</v>
      </c>
      <c r="W25" s="36">
        <v>0</v>
      </c>
      <c r="X25" s="36">
        <v>0</v>
      </c>
      <c r="Y25" s="36">
        <v>0</v>
      </c>
      <c r="Z25" s="36">
        <v>56.7</v>
      </c>
      <c r="AA25" s="36">
        <v>9.5</v>
      </c>
      <c r="AB25" s="58">
        <v>22.1</v>
      </c>
      <c r="AC25" s="7"/>
    </row>
    <row r="26" spans="1:29">
      <c r="A26" s="57">
        <v>19</v>
      </c>
      <c r="B26" s="36">
        <v>44.3</v>
      </c>
      <c r="C26" s="36">
        <v>1.4</v>
      </c>
      <c r="D26" s="36">
        <v>6.4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7</v>
      </c>
      <c r="L26" s="36">
        <v>0.2</v>
      </c>
      <c r="M26" s="58">
        <v>2.6</v>
      </c>
      <c r="N26" s="7"/>
      <c r="P26" s="57">
        <v>19</v>
      </c>
      <c r="Q26" s="36">
        <v>8.6999999999999993</v>
      </c>
      <c r="R26" s="36">
        <v>0</v>
      </c>
      <c r="S26" s="36">
        <v>0</v>
      </c>
      <c r="T26" s="36">
        <v>32.700000000000003</v>
      </c>
      <c r="U26" s="36">
        <v>0</v>
      </c>
      <c r="V26" s="36">
        <v>109.4</v>
      </c>
      <c r="W26" s="36">
        <v>0</v>
      </c>
      <c r="X26" s="36">
        <v>0</v>
      </c>
      <c r="Y26" s="36">
        <v>0</v>
      </c>
      <c r="Z26" s="36">
        <v>30.3</v>
      </c>
      <c r="AA26" s="36">
        <v>20.5</v>
      </c>
      <c r="AB26" s="58">
        <v>1.2</v>
      </c>
      <c r="AC26" s="7"/>
    </row>
    <row r="27" spans="1:29">
      <c r="A27" s="57">
        <v>20</v>
      </c>
      <c r="B27" s="36">
        <v>4.8</v>
      </c>
      <c r="C27" s="36">
        <v>0</v>
      </c>
      <c r="D27" s="36">
        <v>0.7</v>
      </c>
      <c r="E27" s="36">
        <v>0</v>
      </c>
      <c r="F27" s="36">
        <v>9.8000000000000007</v>
      </c>
      <c r="G27" s="36">
        <v>0</v>
      </c>
      <c r="H27" s="36">
        <v>0</v>
      </c>
      <c r="I27" s="36">
        <v>13.4</v>
      </c>
      <c r="J27" s="36">
        <v>0</v>
      </c>
      <c r="K27" s="36">
        <v>0</v>
      </c>
      <c r="L27" s="36">
        <v>0</v>
      </c>
      <c r="M27" s="58">
        <v>98</v>
      </c>
      <c r="N27" s="7"/>
      <c r="P27" s="57">
        <v>20</v>
      </c>
      <c r="Q27" s="36">
        <v>36</v>
      </c>
      <c r="R27" s="36">
        <v>0</v>
      </c>
      <c r="S27" s="36">
        <v>0</v>
      </c>
      <c r="T27" s="36">
        <v>28.2</v>
      </c>
      <c r="U27" s="36">
        <v>0.7</v>
      </c>
      <c r="V27" s="36">
        <v>2.5</v>
      </c>
      <c r="W27" s="36">
        <v>0</v>
      </c>
      <c r="X27" s="36">
        <v>28.1</v>
      </c>
      <c r="Y27" s="36">
        <v>0</v>
      </c>
      <c r="Z27" s="36">
        <v>4.4000000000000004</v>
      </c>
      <c r="AA27" s="36">
        <v>5.4</v>
      </c>
      <c r="AB27" s="58">
        <v>0</v>
      </c>
      <c r="AC27" s="7"/>
    </row>
    <row r="28" spans="1:29">
      <c r="A28" s="57">
        <v>21</v>
      </c>
      <c r="B28" s="36">
        <v>0.4</v>
      </c>
      <c r="C28" s="36">
        <v>2.5</v>
      </c>
      <c r="D28" s="36">
        <v>7</v>
      </c>
      <c r="E28" s="36">
        <v>3.1</v>
      </c>
      <c r="F28" s="36">
        <v>0.6</v>
      </c>
      <c r="G28" s="36">
        <v>0</v>
      </c>
      <c r="H28" s="36">
        <v>0</v>
      </c>
      <c r="I28" s="36">
        <v>0</v>
      </c>
      <c r="J28" s="36">
        <v>5.4</v>
      </c>
      <c r="K28" s="36">
        <v>38.4</v>
      </c>
      <c r="L28" s="36">
        <v>1.7</v>
      </c>
      <c r="M28" s="58">
        <v>0.5</v>
      </c>
      <c r="N28" s="7"/>
      <c r="P28" s="57">
        <v>21</v>
      </c>
      <c r="Q28" s="36">
        <v>16</v>
      </c>
      <c r="R28" s="36">
        <v>39.5</v>
      </c>
      <c r="S28" s="36">
        <v>0</v>
      </c>
      <c r="T28" s="36">
        <v>9</v>
      </c>
      <c r="U28" s="36">
        <v>0.1</v>
      </c>
      <c r="V28" s="36">
        <v>0</v>
      </c>
      <c r="W28" s="36">
        <v>7</v>
      </c>
      <c r="X28" s="36">
        <v>0</v>
      </c>
      <c r="Y28" s="36">
        <v>0</v>
      </c>
      <c r="Z28" s="36">
        <v>3</v>
      </c>
      <c r="AA28" s="36">
        <v>26</v>
      </c>
      <c r="AB28" s="58">
        <v>2.2000000000000002</v>
      </c>
      <c r="AC28" s="7"/>
    </row>
    <row r="29" spans="1:29">
      <c r="A29" s="57">
        <v>22</v>
      </c>
      <c r="B29" s="36">
        <v>42</v>
      </c>
      <c r="C29" s="36">
        <v>0</v>
      </c>
      <c r="D29" s="36">
        <v>74.099999999999994</v>
      </c>
      <c r="E29" s="36">
        <v>56.5</v>
      </c>
      <c r="F29" s="36">
        <v>14.1</v>
      </c>
      <c r="G29" s="36">
        <v>0</v>
      </c>
      <c r="H29" s="36">
        <v>0</v>
      </c>
      <c r="I29" s="36">
        <v>1.4</v>
      </c>
      <c r="J29" s="36">
        <v>0</v>
      </c>
      <c r="K29" s="36">
        <v>1.5</v>
      </c>
      <c r="L29" s="36">
        <v>0</v>
      </c>
      <c r="M29" s="58">
        <v>56.2</v>
      </c>
      <c r="N29" s="7"/>
      <c r="P29" s="57">
        <v>22</v>
      </c>
      <c r="Q29" s="36">
        <v>0</v>
      </c>
      <c r="R29" s="36">
        <v>19.600000000000001</v>
      </c>
      <c r="S29" s="36">
        <v>0</v>
      </c>
      <c r="T29" s="36">
        <v>0</v>
      </c>
      <c r="U29" s="36">
        <v>16</v>
      </c>
      <c r="V29" s="36">
        <v>0.3</v>
      </c>
      <c r="W29" s="36">
        <v>0.2</v>
      </c>
      <c r="X29" s="36">
        <v>0</v>
      </c>
      <c r="Y29" s="36">
        <v>0</v>
      </c>
      <c r="Z29" s="36">
        <v>3</v>
      </c>
      <c r="AA29" s="36">
        <v>11.7</v>
      </c>
      <c r="AB29" s="58">
        <v>0</v>
      </c>
      <c r="AC29" s="7"/>
    </row>
    <row r="30" spans="1:29">
      <c r="A30" s="57">
        <v>23</v>
      </c>
      <c r="B30" s="36">
        <v>29.4</v>
      </c>
      <c r="C30" s="36">
        <v>3.3</v>
      </c>
      <c r="D30" s="36">
        <v>1.2</v>
      </c>
      <c r="E30" s="36">
        <v>26.5</v>
      </c>
      <c r="F30" s="36">
        <v>26.3</v>
      </c>
      <c r="G30" s="36">
        <v>0</v>
      </c>
      <c r="H30" s="36">
        <v>0</v>
      </c>
      <c r="I30" s="36">
        <v>0</v>
      </c>
      <c r="J30" s="36">
        <v>0</v>
      </c>
      <c r="K30" s="36">
        <v>27.8</v>
      </c>
      <c r="L30" s="36">
        <v>0</v>
      </c>
      <c r="M30" s="58">
        <v>19.100000000000001</v>
      </c>
      <c r="N30" s="7"/>
      <c r="P30" s="57">
        <v>23</v>
      </c>
      <c r="Q30" s="36">
        <v>8</v>
      </c>
      <c r="R30" s="36">
        <v>0</v>
      </c>
      <c r="S30" s="36">
        <v>0</v>
      </c>
      <c r="T30" s="36">
        <v>1.3</v>
      </c>
      <c r="U30" s="36">
        <v>0</v>
      </c>
      <c r="V30" s="36">
        <v>0</v>
      </c>
      <c r="W30" s="36">
        <v>40.5</v>
      </c>
      <c r="X30" s="36">
        <v>0</v>
      </c>
      <c r="Y30" s="36">
        <v>0</v>
      </c>
      <c r="Z30" s="36">
        <v>15.9</v>
      </c>
      <c r="AA30" s="36">
        <v>8.3000000000000007</v>
      </c>
      <c r="AB30" s="58">
        <v>6</v>
      </c>
      <c r="AC30" s="7"/>
    </row>
    <row r="31" spans="1:29">
      <c r="A31" s="57">
        <v>24</v>
      </c>
      <c r="B31" s="36">
        <v>0</v>
      </c>
      <c r="C31" s="36">
        <v>38</v>
      </c>
      <c r="D31" s="36">
        <v>0</v>
      </c>
      <c r="E31" s="36">
        <v>0</v>
      </c>
      <c r="F31" s="36">
        <v>0.8</v>
      </c>
      <c r="G31" s="36">
        <v>0</v>
      </c>
      <c r="H31" s="36">
        <v>0</v>
      </c>
      <c r="I31" s="36">
        <v>0</v>
      </c>
      <c r="J31" s="36">
        <v>0</v>
      </c>
      <c r="K31" s="36">
        <v>119.7</v>
      </c>
      <c r="L31" s="36">
        <v>0</v>
      </c>
      <c r="M31" s="58">
        <v>0</v>
      </c>
      <c r="N31" s="7"/>
      <c r="P31" s="57">
        <v>24</v>
      </c>
      <c r="Q31" s="36">
        <v>0</v>
      </c>
      <c r="R31" s="36">
        <v>4.3</v>
      </c>
      <c r="S31" s="36">
        <v>0</v>
      </c>
      <c r="T31" s="36">
        <v>37.299999999999997</v>
      </c>
      <c r="U31" s="36">
        <v>0</v>
      </c>
      <c r="V31" s="36">
        <v>0</v>
      </c>
      <c r="W31" s="36">
        <v>0.5</v>
      </c>
      <c r="X31" s="36">
        <v>0</v>
      </c>
      <c r="Y31" s="36">
        <v>8.6</v>
      </c>
      <c r="Z31" s="36">
        <v>19.8</v>
      </c>
      <c r="AA31" s="36">
        <v>135.80000000000001</v>
      </c>
      <c r="AB31" s="58">
        <v>0</v>
      </c>
      <c r="AC31" s="7"/>
    </row>
    <row r="32" spans="1:29">
      <c r="A32" s="57">
        <v>25</v>
      </c>
      <c r="B32" s="36">
        <v>0</v>
      </c>
      <c r="C32" s="36">
        <v>0.6</v>
      </c>
      <c r="D32" s="36">
        <v>0</v>
      </c>
      <c r="E32" s="36">
        <v>1.4</v>
      </c>
      <c r="F32" s="36">
        <v>1.4</v>
      </c>
      <c r="G32" s="36">
        <v>0</v>
      </c>
      <c r="H32" s="36">
        <v>6.4</v>
      </c>
      <c r="I32" s="36">
        <v>0</v>
      </c>
      <c r="J32" s="36">
        <v>8.1999999999999993</v>
      </c>
      <c r="K32" s="36">
        <v>2.9</v>
      </c>
      <c r="L32" s="36">
        <v>4</v>
      </c>
      <c r="M32" s="58">
        <v>0.9</v>
      </c>
      <c r="N32" s="7"/>
      <c r="P32" s="57">
        <v>25</v>
      </c>
      <c r="Q32" s="36">
        <v>0</v>
      </c>
      <c r="R32" s="36">
        <v>5.3</v>
      </c>
      <c r="S32" s="36">
        <v>0</v>
      </c>
      <c r="T32" s="36">
        <v>42.2</v>
      </c>
      <c r="U32" s="36">
        <v>0</v>
      </c>
      <c r="V32" s="36">
        <v>0</v>
      </c>
      <c r="W32" s="36">
        <v>0</v>
      </c>
      <c r="X32" s="36">
        <v>9</v>
      </c>
      <c r="Y32" s="36">
        <v>0</v>
      </c>
      <c r="Z32" s="36">
        <v>39</v>
      </c>
      <c r="AA32" s="36">
        <v>14</v>
      </c>
      <c r="AB32" s="58">
        <v>5.0999999999999996</v>
      </c>
      <c r="AC32" s="7"/>
    </row>
    <row r="33" spans="1:29">
      <c r="A33" s="57">
        <v>26</v>
      </c>
      <c r="B33" s="36">
        <v>0</v>
      </c>
      <c r="C33" s="36">
        <v>0</v>
      </c>
      <c r="D33" s="36">
        <v>0</v>
      </c>
      <c r="E33" s="36">
        <v>42</v>
      </c>
      <c r="F33" s="36">
        <v>1.6</v>
      </c>
      <c r="G33" s="36">
        <v>0</v>
      </c>
      <c r="H33" s="36">
        <v>0</v>
      </c>
      <c r="I33" s="36">
        <v>61</v>
      </c>
      <c r="J33" s="36">
        <v>27.9</v>
      </c>
      <c r="K33" s="36">
        <v>0</v>
      </c>
      <c r="L33" s="36">
        <v>0</v>
      </c>
      <c r="M33" s="58">
        <v>7.2</v>
      </c>
      <c r="N33" s="7"/>
      <c r="P33" s="57">
        <v>26</v>
      </c>
      <c r="Q33" s="36">
        <v>0</v>
      </c>
      <c r="R33" s="36">
        <v>14</v>
      </c>
      <c r="S33" s="36">
        <v>0</v>
      </c>
      <c r="T33" s="36">
        <v>0</v>
      </c>
      <c r="U33" s="36">
        <v>0</v>
      </c>
      <c r="V33" s="36">
        <v>0</v>
      </c>
      <c r="W33" s="36">
        <v>14.7</v>
      </c>
      <c r="X33" s="36">
        <v>0</v>
      </c>
      <c r="Y33" s="36">
        <v>0</v>
      </c>
      <c r="Z33" s="36">
        <v>28.5</v>
      </c>
      <c r="AA33" s="36">
        <v>5.5</v>
      </c>
      <c r="AB33" s="58">
        <v>0</v>
      </c>
      <c r="AC33" s="7"/>
    </row>
    <row r="34" spans="1:29">
      <c r="A34" s="57">
        <v>27</v>
      </c>
      <c r="B34" s="36">
        <v>0</v>
      </c>
      <c r="C34" s="36">
        <v>0</v>
      </c>
      <c r="D34" s="36">
        <v>5</v>
      </c>
      <c r="E34" s="36">
        <v>0</v>
      </c>
      <c r="F34" s="36">
        <v>1.2</v>
      </c>
      <c r="G34" s="36">
        <v>0</v>
      </c>
      <c r="H34" s="36">
        <v>0</v>
      </c>
      <c r="I34" s="36">
        <v>3.3</v>
      </c>
      <c r="J34" s="36">
        <v>6.6</v>
      </c>
      <c r="K34" s="36">
        <v>0</v>
      </c>
      <c r="L34" s="36">
        <v>30.6</v>
      </c>
      <c r="M34" s="58">
        <v>0.4</v>
      </c>
      <c r="N34" s="7"/>
      <c r="P34" s="57">
        <v>27</v>
      </c>
      <c r="Q34" s="36">
        <v>0</v>
      </c>
      <c r="R34" s="36">
        <v>0</v>
      </c>
      <c r="S34" s="36">
        <v>0</v>
      </c>
      <c r="T34" s="36">
        <v>49.1</v>
      </c>
      <c r="U34" s="36">
        <v>1</v>
      </c>
      <c r="V34" s="36">
        <v>0</v>
      </c>
      <c r="W34" s="36">
        <v>11.4</v>
      </c>
      <c r="X34" s="36">
        <v>5.5</v>
      </c>
      <c r="Y34" s="36">
        <v>16.5</v>
      </c>
      <c r="Z34" s="36">
        <v>19.5</v>
      </c>
      <c r="AA34" s="36">
        <v>15.3</v>
      </c>
      <c r="AB34" s="58">
        <v>0</v>
      </c>
      <c r="AC34" s="7"/>
    </row>
    <row r="35" spans="1:29">
      <c r="A35" s="57">
        <v>28</v>
      </c>
      <c r="B35" s="36">
        <v>0</v>
      </c>
      <c r="C35" s="36">
        <v>0</v>
      </c>
      <c r="D35" s="36">
        <v>11.4</v>
      </c>
      <c r="E35" s="36">
        <v>0.2</v>
      </c>
      <c r="F35" s="36">
        <v>3.5</v>
      </c>
      <c r="G35" s="36">
        <v>0</v>
      </c>
      <c r="H35" s="36">
        <v>0</v>
      </c>
      <c r="I35" s="36">
        <v>0</v>
      </c>
      <c r="J35" s="36">
        <v>2</v>
      </c>
      <c r="K35" s="36">
        <v>0</v>
      </c>
      <c r="L35" s="36">
        <v>1.2</v>
      </c>
      <c r="M35" s="58">
        <v>4.8</v>
      </c>
      <c r="N35" s="7"/>
      <c r="P35" s="57">
        <v>28</v>
      </c>
      <c r="Q35" s="36">
        <v>0</v>
      </c>
      <c r="R35" s="36">
        <v>0.7</v>
      </c>
      <c r="S35" s="36">
        <v>1.5</v>
      </c>
      <c r="T35" s="36">
        <v>9.1999999999999993</v>
      </c>
      <c r="U35" s="36">
        <v>10.6</v>
      </c>
      <c r="V35" s="36">
        <v>0</v>
      </c>
      <c r="W35" s="36">
        <v>0</v>
      </c>
      <c r="X35" s="36">
        <v>8.1</v>
      </c>
      <c r="Y35" s="36">
        <v>0</v>
      </c>
      <c r="Z35" s="36">
        <v>33</v>
      </c>
      <c r="AA35" s="36">
        <v>0</v>
      </c>
      <c r="AB35" s="58">
        <v>54</v>
      </c>
      <c r="AC35" s="7"/>
    </row>
    <row r="36" spans="1:29">
      <c r="A36" s="57">
        <v>29</v>
      </c>
      <c r="B36" s="36">
        <v>0</v>
      </c>
      <c r="C36" s="24"/>
      <c r="D36" s="36">
        <v>0</v>
      </c>
      <c r="E36" s="36">
        <v>8.6999999999999993</v>
      </c>
      <c r="F36" s="36">
        <v>0.9</v>
      </c>
      <c r="G36" s="36">
        <v>1</v>
      </c>
      <c r="H36" s="36">
        <v>0</v>
      </c>
      <c r="I36" s="36">
        <v>13</v>
      </c>
      <c r="J36" s="36">
        <v>0</v>
      </c>
      <c r="K36" s="36">
        <v>36.200000000000003</v>
      </c>
      <c r="L36" s="36">
        <v>40.200000000000003</v>
      </c>
      <c r="M36" s="58">
        <v>0</v>
      </c>
      <c r="N36" s="7"/>
      <c r="P36" s="57">
        <v>29</v>
      </c>
      <c r="Q36" s="36">
        <v>0</v>
      </c>
      <c r="R36" s="24"/>
      <c r="S36" s="36">
        <v>16.3</v>
      </c>
      <c r="T36" s="36">
        <v>0.8</v>
      </c>
      <c r="U36" s="36">
        <v>23.2</v>
      </c>
      <c r="V36" s="36">
        <v>0</v>
      </c>
      <c r="W36" s="36">
        <v>0</v>
      </c>
      <c r="X36" s="36">
        <v>16.7</v>
      </c>
      <c r="Y36" s="36">
        <v>0</v>
      </c>
      <c r="Z36" s="36">
        <v>0</v>
      </c>
      <c r="AA36" s="36">
        <v>6.3</v>
      </c>
      <c r="AB36" s="58">
        <v>4.5</v>
      </c>
      <c r="AC36" s="7"/>
    </row>
    <row r="37" spans="1:29">
      <c r="A37" s="57">
        <v>30</v>
      </c>
      <c r="B37" s="36">
        <v>0</v>
      </c>
      <c r="C37" s="24"/>
      <c r="D37" s="36">
        <v>5.5</v>
      </c>
      <c r="E37" s="36">
        <v>33.5</v>
      </c>
      <c r="F37" s="36">
        <v>1.1000000000000001</v>
      </c>
      <c r="G37" s="36">
        <v>7</v>
      </c>
      <c r="H37" s="36">
        <v>0</v>
      </c>
      <c r="I37" s="36">
        <v>1.4</v>
      </c>
      <c r="J37" s="36">
        <v>0.4</v>
      </c>
      <c r="K37" s="36">
        <v>0</v>
      </c>
      <c r="L37" s="36">
        <v>36.4</v>
      </c>
      <c r="M37" s="58">
        <v>1.4</v>
      </c>
      <c r="N37" s="7"/>
      <c r="P37" s="57">
        <v>30</v>
      </c>
      <c r="Q37" s="36">
        <v>0.6</v>
      </c>
      <c r="R37" s="24"/>
      <c r="S37" s="36">
        <v>2</v>
      </c>
      <c r="T37" s="36">
        <v>0</v>
      </c>
      <c r="U37" s="36">
        <v>0</v>
      </c>
      <c r="V37" s="36">
        <v>0</v>
      </c>
      <c r="W37" s="36">
        <v>0</v>
      </c>
      <c r="X37" s="36">
        <v>0</v>
      </c>
      <c r="Y37" s="36">
        <v>3.2</v>
      </c>
      <c r="Z37" s="36">
        <v>5.7</v>
      </c>
      <c r="AA37" s="36">
        <v>4.7</v>
      </c>
      <c r="AB37" s="58">
        <v>2</v>
      </c>
      <c r="AC37" s="7"/>
    </row>
    <row r="38" spans="1:29">
      <c r="A38" s="57">
        <v>31</v>
      </c>
      <c r="B38" s="36">
        <v>0</v>
      </c>
      <c r="C38" s="24"/>
      <c r="D38" s="36">
        <v>2</v>
      </c>
      <c r="E38" s="24"/>
      <c r="F38" s="36">
        <v>0</v>
      </c>
      <c r="G38" s="24"/>
      <c r="H38" s="36">
        <v>0</v>
      </c>
      <c r="I38" s="36">
        <v>0</v>
      </c>
      <c r="J38" s="24"/>
      <c r="K38" s="36">
        <v>0</v>
      </c>
      <c r="L38" s="24"/>
      <c r="M38" s="58">
        <v>3.6</v>
      </c>
      <c r="N38" s="7"/>
      <c r="P38" s="57">
        <v>31</v>
      </c>
      <c r="Q38" s="36">
        <v>35.4</v>
      </c>
      <c r="R38" s="24"/>
      <c r="S38" s="36">
        <v>0</v>
      </c>
      <c r="T38" s="24"/>
      <c r="U38" s="36">
        <v>2.8</v>
      </c>
      <c r="V38" s="24"/>
      <c r="W38" s="36">
        <v>0</v>
      </c>
      <c r="X38" s="36">
        <v>0</v>
      </c>
      <c r="Y38" s="24"/>
      <c r="Z38" s="36">
        <v>6.4</v>
      </c>
      <c r="AA38" s="24"/>
      <c r="AB38" s="58">
        <v>93.6</v>
      </c>
      <c r="AC38" s="7"/>
    </row>
    <row r="39" spans="1:29">
      <c r="A39" s="59"/>
      <c r="B39" s="26"/>
      <c r="C39" s="26"/>
      <c r="D39" s="26"/>
      <c r="E39" s="27"/>
      <c r="F39" s="26"/>
      <c r="G39" s="26"/>
      <c r="H39" s="26"/>
      <c r="I39" s="26"/>
      <c r="J39" s="26"/>
      <c r="K39" s="26"/>
      <c r="L39" s="28"/>
      <c r="M39" s="60"/>
      <c r="N39" s="7"/>
      <c r="P39" s="59"/>
      <c r="Q39" s="26"/>
      <c r="R39" s="26"/>
      <c r="S39" s="26"/>
      <c r="T39" s="27"/>
      <c r="U39" s="26"/>
      <c r="V39" s="26"/>
      <c r="W39" s="26"/>
      <c r="X39" s="26"/>
      <c r="Y39" s="26"/>
      <c r="Z39" s="26"/>
      <c r="AA39" s="28"/>
      <c r="AB39" s="60"/>
      <c r="AC39" s="7"/>
    </row>
    <row r="40" spans="1:29">
      <c r="A40" s="57" t="s">
        <v>65</v>
      </c>
      <c r="B40" s="30">
        <f t="shared" ref="B40:M40" si="0">SUM(B8:B38)</f>
        <v>130.69999999999999</v>
      </c>
      <c r="C40" s="30">
        <f t="shared" si="0"/>
        <v>340.59999999999997</v>
      </c>
      <c r="D40" s="30">
        <f t="shared" si="0"/>
        <v>187.7</v>
      </c>
      <c r="E40" s="30">
        <f t="shared" si="0"/>
        <v>386</v>
      </c>
      <c r="F40" s="30">
        <f t="shared" si="0"/>
        <v>297.70000000000005</v>
      </c>
      <c r="G40" s="30">
        <f t="shared" si="0"/>
        <v>100.60000000000001</v>
      </c>
      <c r="H40" s="30">
        <f t="shared" si="0"/>
        <v>238.00000000000003</v>
      </c>
      <c r="I40" s="30">
        <f t="shared" si="0"/>
        <v>142.5</v>
      </c>
      <c r="J40" s="30">
        <f t="shared" si="0"/>
        <v>242.3</v>
      </c>
      <c r="K40" s="30">
        <f t="shared" si="0"/>
        <v>283.8</v>
      </c>
      <c r="L40" s="30">
        <f t="shared" si="0"/>
        <v>302.99999999999994</v>
      </c>
      <c r="M40" s="61">
        <f t="shared" si="0"/>
        <v>413.89999999999992</v>
      </c>
      <c r="N40" s="37">
        <f>SUM(B40:M40)</f>
        <v>3066.8</v>
      </c>
      <c r="P40" s="57" t="s">
        <v>65</v>
      </c>
      <c r="Q40" s="30">
        <f t="shared" ref="Q40:AB40" si="1">SUM(Q8:Q38)</f>
        <v>199.8</v>
      </c>
      <c r="R40" s="30">
        <f t="shared" si="1"/>
        <v>247.7</v>
      </c>
      <c r="S40" s="30">
        <f t="shared" si="1"/>
        <v>106.99999999999999</v>
      </c>
      <c r="T40" s="30">
        <f t="shared" si="1"/>
        <v>299.2</v>
      </c>
      <c r="U40" s="30">
        <f t="shared" si="1"/>
        <v>262.7</v>
      </c>
      <c r="V40" s="30">
        <f t="shared" si="1"/>
        <v>515.79999999999995</v>
      </c>
      <c r="W40" s="30">
        <f t="shared" si="1"/>
        <v>227.89999999999998</v>
      </c>
      <c r="X40" s="30">
        <f t="shared" si="1"/>
        <v>73</v>
      </c>
      <c r="Y40" s="30">
        <f t="shared" si="1"/>
        <v>39.200000000000003</v>
      </c>
      <c r="Z40" s="30">
        <f t="shared" si="1"/>
        <v>582.30000000000007</v>
      </c>
      <c r="AA40" s="30">
        <f t="shared" si="1"/>
        <v>387.50000000000006</v>
      </c>
      <c r="AB40" s="61">
        <f t="shared" si="1"/>
        <v>584.1</v>
      </c>
      <c r="AC40" s="37">
        <f>SUM(Q40:AB40)</f>
        <v>3526.2</v>
      </c>
    </row>
    <row r="41" spans="1:29">
      <c r="A41" s="57" t="s">
        <v>66</v>
      </c>
      <c r="B41" s="30">
        <f>MAX(B8:B38)</f>
        <v>44.3</v>
      </c>
      <c r="C41" s="30">
        <f t="shared" ref="C41:M41" si="2">MAX(C8:C38)</f>
        <v>110.5</v>
      </c>
      <c r="D41" s="30">
        <f t="shared" si="2"/>
        <v>74.099999999999994</v>
      </c>
      <c r="E41" s="30">
        <f t="shared" si="2"/>
        <v>101</v>
      </c>
      <c r="F41" s="30">
        <f t="shared" si="2"/>
        <v>67</v>
      </c>
      <c r="G41" s="30">
        <f t="shared" si="2"/>
        <v>42.2</v>
      </c>
      <c r="H41" s="30">
        <f t="shared" si="2"/>
        <v>94.4</v>
      </c>
      <c r="I41" s="30">
        <f t="shared" si="2"/>
        <v>61</v>
      </c>
      <c r="J41" s="30">
        <f t="shared" si="2"/>
        <v>73.2</v>
      </c>
      <c r="K41" s="30">
        <f t="shared" si="2"/>
        <v>119.7</v>
      </c>
      <c r="L41" s="30">
        <f t="shared" si="2"/>
        <v>86.5</v>
      </c>
      <c r="M41" s="61">
        <f t="shared" si="2"/>
        <v>98</v>
      </c>
      <c r="N41" s="37">
        <f>MAX(B41:M41)</f>
        <v>119.7</v>
      </c>
      <c r="P41" s="57" t="s">
        <v>66</v>
      </c>
      <c r="Q41" s="30">
        <f>MAX(Q8:Q38)</f>
        <v>43.8</v>
      </c>
      <c r="R41" s="30">
        <f t="shared" ref="R41:AB41" si="3">MAX(R8:R38)</f>
        <v>62</v>
      </c>
      <c r="S41" s="30">
        <f t="shared" si="3"/>
        <v>23.3</v>
      </c>
      <c r="T41" s="30">
        <f t="shared" si="3"/>
        <v>49.1</v>
      </c>
      <c r="U41" s="30">
        <f t="shared" si="3"/>
        <v>87</v>
      </c>
      <c r="V41" s="30">
        <f t="shared" si="3"/>
        <v>109.4</v>
      </c>
      <c r="W41" s="30">
        <f t="shared" si="3"/>
        <v>62.3</v>
      </c>
      <c r="X41" s="30">
        <f t="shared" si="3"/>
        <v>28.1</v>
      </c>
      <c r="Y41" s="30">
        <f t="shared" si="3"/>
        <v>16.5</v>
      </c>
      <c r="Z41" s="30">
        <f t="shared" si="3"/>
        <v>89.8</v>
      </c>
      <c r="AA41" s="30">
        <f t="shared" si="3"/>
        <v>135.80000000000001</v>
      </c>
      <c r="AB41" s="61">
        <f t="shared" si="3"/>
        <v>93.6</v>
      </c>
      <c r="AC41" s="37">
        <f>MAX(Q41:AB41)</f>
        <v>135.80000000000001</v>
      </c>
    </row>
    <row r="42" spans="1:29">
      <c r="A42" s="62"/>
      <c r="B42" s="7"/>
      <c r="C42" s="7"/>
      <c r="D42" s="7"/>
      <c r="E42" s="7"/>
      <c r="F42" s="7"/>
      <c r="G42" s="7"/>
      <c r="H42" s="32"/>
      <c r="I42" s="7"/>
      <c r="J42" s="7"/>
      <c r="K42" s="7"/>
      <c r="L42" s="7"/>
      <c r="M42" s="63"/>
      <c r="N42" s="7"/>
      <c r="P42" s="62"/>
      <c r="Q42" s="7"/>
      <c r="R42" s="7"/>
      <c r="S42" s="7"/>
      <c r="T42" s="7"/>
      <c r="U42" s="7"/>
      <c r="V42" s="7"/>
      <c r="W42" s="32"/>
      <c r="X42" s="7"/>
      <c r="Y42" s="7"/>
      <c r="Z42" s="7"/>
      <c r="AA42" s="7"/>
      <c r="AB42" s="63"/>
      <c r="AC42" s="7"/>
    </row>
    <row r="43" spans="1:29" ht="15.75" thickBot="1">
      <c r="A43" s="64" t="s">
        <v>67</v>
      </c>
      <c r="B43" s="65">
        <v>0</v>
      </c>
      <c r="C43" s="66" t="s">
        <v>68</v>
      </c>
      <c r="D43" s="67"/>
      <c r="E43" s="68"/>
      <c r="F43" s="68"/>
      <c r="G43" s="68"/>
      <c r="H43" s="69"/>
      <c r="I43" s="68"/>
      <c r="J43" s="68"/>
      <c r="K43" s="68"/>
      <c r="L43" s="68"/>
      <c r="M43" s="70"/>
      <c r="N43" s="7"/>
      <c r="P43" s="64" t="s">
        <v>67</v>
      </c>
      <c r="Q43" s="65">
        <v>0</v>
      </c>
      <c r="R43" s="66" t="s">
        <v>68</v>
      </c>
      <c r="S43" s="67"/>
      <c r="T43" s="68"/>
      <c r="U43" s="68"/>
      <c r="V43" s="68"/>
      <c r="W43" s="69"/>
      <c r="X43" s="68"/>
      <c r="Y43" s="68"/>
      <c r="Z43" s="68"/>
      <c r="AA43" s="68"/>
      <c r="AB43" s="70"/>
      <c r="AC43" s="7"/>
    </row>
    <row r="45" spans="1:29" ht="15.75" thickBot="1"/>
    <row r="46" spans="1:29" ht="18">
      <c r="A46" s="44" t="s">
        <v>41</v>
      </c>
      <c r="B46" s="45"/>
      <c r="C46" s="45"/>
      <c r="D46" s="45"/>
      <c r="E46" s="46">
        <v>2014</v>
      </c>
      <c r="F46" s="47"/>
      <c r="G46" s="47"/>
      <c r="H46" s="48"/>
      <c r="I46" s="47"/>
      <c r="J46" s="47"/>
      <c r="K46" s="47"/>
      <c r="L46" s="47"/>
      <c r="M46" s="49"/>
      <c r="N46" s="7"/>
      <c r="P46" s="44" t="s">
        <v>41</v>
      </c>
      <c r="Q46" s="45"/>
      <c r="R46" s="45"/>
      <c r="S46" s="45"/>
      <c r="T46" s="46">
        <v>2020</v>
      </c>
      <c r="U46" s="47"/>
      <c r="V46" s="47"/>
      <c r="W46" s="48"/>
      <c r="X46" s="47"/>
      <c r="Y46" s="47"/>
      <c r="Z46" s="47"/>
      <c r="AA46" s="47"/>
      <c r="AB46" s="49"/>
      <c r="AC46" s="7"/>
    </row>
    <row r="47" spans="1:29">
      <c r="A47" s="50"/>
      <c r="B47" s="9"/>
      <c r="C47" s="9"/>
      <c r="D47" s="9"/>
      <c r="E47" s="10"/>
      <c r="F47" s="10"/>
      <c r="G47" s="10"/>
      <c r="H47" s="11"/>
      <c r="I47" s="9"/>
      <c r="J47" s="9"/>
      <c r="K47" s="9"/>
      <c r="L47" s="9"/>
      <c r="M47" s="51"/>
      <c r="N47" s="7"/>
      <c r="P47" s="50"/>
      <c r="Q47" s="9"/>
      <c r="R47" s="9"/>
      <c r="S47" s="9"/>
      <c r="T47" s="10"/>
      <c r="U47" s="10"/>
      <c r="V47" s="10"/>
      <c r="W47" s="11"/>
      <c r="X47" s="9"/>
      <c r="Y47" s="9"/>
      <c r="Z47" s="9"/>
      <c r="AA47" s="9"/>
      <c r="AB47" s="51"/>
      <c r="AC47" s="7"/>
    </row>
    <row r="48" spans="1:29" ht="15.75">
      <c r="A48" s="52" t="s">
        <v>42</v>
      </c>
      <c r="B48" s="14"/>
      <c r="C48" s="14" t="s">
        <v>43</v>
      </c>
      <c r="D48" s="14"/>
      <c r="E48" s="14"/>
      <c r="F48" s="14"/>
      <c r="G48" s="14"/>
      <c r="H48" s="15"/>
      <c r="I48" s="14"/>
      <c r="J48" s="14" t="s">
        <v>74</v>
      </c>
      <c r="K48" s="14" t="s">
        <v>75</v>
      </c>
      <c r="L48" s="14"/>
      <c r="M48" s="51"/>
      <c r="N48" s="7"/>
      <c r="P48" s="52" t="s">
        <v>42</v>
      </c>
      <c r="Q48" s="14"/>
      <c r="R48" s="14" t="s">
        <v>43</v>
      </c>
      <c r="S48" s="14"/>
      <c r="T48" s="14"/>
      <c r="U48" s="14"/>
      <c r="V48" s="14"/>
      <c r="W48" s="15"/>
      <c r="X48" s="14"/>
      <c r="Y48" s="14" t="s">
        <v>74</v>
      </c>
      <c r="Z48" s="14" t="s">
        <v>75</v>
      </c>
      <c r="AA48" s="14"/>
      <c r="AB48" s="51"/>
      <c r="AC48" s="7"/>
    </row>
    <row r="49" spans="1:29" ht="15.75">
      <c r="A49" s="52" t="s">
        <v>46</v>
      </c>
      <c r="B49" s="14"/>
      <c r="C49" s="14" t="s">
        <v>76</v>
      </c>
      <c r="D49" s="14"/>
      <c r="E49" s="14"/>
      <c r="F49" s="14"/>
      <c r="G49" s="14"/>
      <c r="H49" s="15"/>
      <c r="I49" s="14"/>
      <c r="J49" s="14" t="s">
        <v>77</v>
      </c>
      <c r="K49" s="14" t="s">
        <v>78</v>
      </c>
      <c r="L49" s="14"/>
      <c r="M49" s="51"/>
      <c r="N49" s="7"/>
      <c r="P49" s="52" t="s">
        <v>46</v>
      </c>
      <c r="Q49" s="14"/>
      <c r="R49" s="14" t="s">
        <v>76</v>
      </c>
      <c r="S49" s="14"/>
      <c r="T49" s="14"/>
      <c r="U49" s="14"/>
      <c r="V49" s="14"/>
      <c r="W49" s="15"/>
      <c r="X49" s="14"/>
      <c r="Y49" s="14" t="s">
        <v>77</v>
      </c>
      <c r="Z49" s="14" t="s">
        <v>78</v>
      </c>
      <c r="AA49" s="14"/>
      <c r="AB49" s="51"/>
      <c r="AC49" s="7"/>
    </row>
    <row r="50" spans="1:29" ht="15.75">
      <c r="A50" s="52" t="s">
        <v>49</v>
      </c>
      <c r="B50" s="14"/>
      <c r="C50" s="14" t="s">
        <v>81</v>
      </c>
      <c r="D50" s="14"/>
      <c r="E50" s="14"/>
      <c r="F50" s="14"/>
      <c r="G50" s="14"/>
      <c r="H50" s="15"/>
      <c r="I50" s="14"/>
      <c r="J50" s="14" t="s">
        <v>51</v>
      </c>
      <c r="K50" s="14" t="s">
        <v>52</v>
      </c>
      <c r="L50" s="14"/>
      <c r="M50" s="51"/>
      <c r="N50" s="7"/>
      <c r="P50" s="52" t="s">
        <v>49</v>
      </c>
      <c r="Q50" s="14"/>
      <c r="R50" s="14" t="s">
        <v>82</v>
      </c>
      <c r="S50" s="14"/>
      <c r="T50" s="14"/>
      <c r="U50" s="14"/>
      <c r="V50" s="14"/>
      <c r="W50" s="15"/>
      <c r="X50" s="14"/>
      <c r="Y50" s="14" t="s">
        <v>51</v>
      </c>
      <c r="Z50" s="14" t="s">
        <v>52</v>
      </c>
      <c r="AA50" s="14"/>
      <c r="AB50" s="51"/>
      <c r="AC50" s="7"/>
    </row>
    <row r="51" spans="1:29">
      <c r="A51" s="53"/>
      <c r="B51" s="10"/>
      <c r="C51" s="10"/>
      <c r="D51" s="10"/>
      <c r="E51" s="10"/>
      <c r="F51" s="10"/>
      <c r="G51" s="10"/>
      <c r="H51" s="17"/>
      <c r="I51" s="10"/>
      <c r="J51" s="10"/>
      <c r="K51" s="10"/>
      <c r="L51" s="10"/>
      <c r="M51" s="54"/>
      <c r="N51" s="19"/>
      <c r="P51" s="53"/>
      <c r="Q51" s="10"/>
      <c r="R51" s="10"/>
      <c r="S51" s="10"/>
      <c r="T51" s="10"/>
      <c r="U51" s="10"/>
      <c r="V51" s="10"/>
      <c r="W51" s="17"/>
      <c r="X51" s="10"/>
      <c r="Y51" s="10"/>
      <c r="Z51" s="10"/>
      <c r="AA51" s="10"/>
      <c r="AB51" s="54"/>
      <c r="AC51" s="19"/>
    </row>
    <row r="52" spans="1:29">
      <c r="A52" s="55" t="s">
        <v>53</v>
      </c>
      <c r="B52" s="21" t="s">
        <v>54</v>
      </c>
      <c r="C52" s="21" t="s">
        <v>55</v>
      </c>
      <c r="D52" s="21" t="s">
        <v>56</v>
      </c>
      <c r="E52" s="21" t="s">
        <v>57</v>
      </c>
      <c r="F52" s="21" t="s">
        <v>20</v>
      </c>
      <c r="G52" s="21" t="s">
        <v>58</v>
      </c>
      <c r="H52" s="21" t="s">
        <v>59</v>
      </c>
      <c r="I52" s="21" t="s">
        <v>60</v>
      </c>
      <c r="J52" s="21" t="s">
        <v>61</v>
      </c>
      <c r="K52" s="21" t="s">
        <v>62</v>
      </c>
      <c r="L52" s="21" t="s">
        <v>63</v>
      </c>
      <c r="M52" s="56" t="s">
        <v>64</v>
      </c>
      <c r="N52" s="19"/>
      <c r="P52" s="55" t="s">
        <v>53</v>
      </c>
      <c r="Q52" s="21" t="s">
        <v>54</v>
      </c>
      <c r="R52" s="21" t="s">
        <v>55</v>
      </c>
      <c r="S52" s="21" t="s">
        <v>56</v>
      </c>
      <c r="T52" s="21" t="s">
        <v>57</v>
      </c>
      <c r="U52" s="21" t="s">
        <v>20</v>
      </c>
      <c r="V52" s="21" t="s">
        <v>58</v>
      </c>
      <c r="W52" s="21" t="s">
        <v>59</v>
      </c>
      <c r="X52" s="21" t="s">
        <v>60</v>
      </c>
      <c r="Y52" s="21" t="s">
        <v>61</v>
      </c>
      <c r="Z52" s="21" t="s">
        <v>62</v>
      </c>
      <c r="AA52" s="21" t="s">
        <v>63</v>
      </c>
      <c r="AB52" s="56" t="s">
        <v>64</v>
      </c>
      <c r="AC52" s="19"/>
    </row>
    <row r="53" spans="1:29">
      <c r="A53" s="57">
        <v>1</v>
      </c>
      <c r="B53" s="36">
        <v>30.8</v>
      </c>
      <c r="C53" s="36">
        <v>0</v>
      </c>
      <c r="D53" s="36">
        <v>0</v>
      </c>
      <c r="E53" s="36">
        <v>0</v>
      </c>
      <c r="F53" s="36">
        <v>0</v>
      </c>
      <c r="G53" s="36">
        <v>27.3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  <c r="M53" s="58">
        <v>16.399999999999999</v>
      </c>
      <c r="N53" s="7"/>
      <c r="P53" s="57">
        <v>1</v>
      </c>
      <c r="Q53" s="36">
        <v>51.7</v>
      </c>
      <c r="R53" s="36">
        <v>1.5</v>
      </c>
      <c r="S53" s="36">
        <v>0</v>
      </c>
      <c r="T53" s="36">
        <v>0</v>
      </c>
      <c r="U53" s="36">
        <v>3.5</v>
      </c>
      <c r="V53" s="36">
        <v>9.3000000000000007</v>
      </c>
      <c r="W53" s="36">
        <v>0</v>
      </c>
      <c r="X53" s="36">
        <v>0</v>
      </c>
      <c r="Y53" s="36">
        <v>19.8</v>
      </c>
      <c r="Z53" s="36">
        <v>9.6</v>
      </c>
      <c r="AA53" s="36">
        <v>19.600000000000001</v>
      </c>
      <c r="AB53" s="58">
        <v>0</v>
      </c>
      <c r="AC53" s="7"/>
    </row>
    <row r="54" spans="1:29">
      <c r="A54" s="57">
        <v>2</v>
      </c>
      <c r="B54" s="36">
        <v>0</v>
      </c>
      <c r="C54" s="36">
        <v>0</v>
      </c>
      <c r="D54" s="36">
        <v>0</v>
      </c>
      <c r="E54" s="36">
        <v>9</v>
      </c>
      <c r="F54" s="36">
        <v>6.6</v>
      </c>
      <c r="G54" s="36">
        <v>9.6</v>
      </c>
      <c r="H54" s="36">
        <v>0</v>
      </c>
      <c r="I54" s="36">
        <v>0</v>
      </c>
      <c r="J54" s="36">
        <v>14</v>
      </c>
      <c r="K54" s="36">
        <v>3.6</v>
      </c>
      <c r="L54" s="36">
        <v>0</v>
      </c>
      <c r="M54" s="58">
        <v>0</v>
      </c>
      <c r="N54" s="7"/>
      <c r="P54" s="57">
        <v>2</v>
      </c>
      <c r="Q54" s="36">
        <v>0</v>
      </c>
      <c r="R54" s="36">
        <v>2.9</v>
      </c>
      <c r="S54" s="36">
        <v>36</v>
      </c>
      <c r="T54" s="36">
        <v>0</v>
      </c>
      <c r="U54" s="36">
        <v>5</v>
      </c>
      <c r="V54" s="36">
        <v>22.7</v>
      </c>
      <c r="W54" s="36">
        <v>79.099999999999994</v>
      </c>
      <c r="X54" s="36">
        <v>0</v>
      </c>
      <c r="Y54" s="36">
        <v>90.8</v>
      </c>
      <c r="Z54" s="36">
        <v>21.8</v>
      </c>
      <c r="AA54" s="36">
        <v>6</v>
      </c>
      <c r="AB54" s="58">
        <v>0</v>
      </c>
      <c r="AC54" s="7"/>
    </row>
    <row r="55" spans="1:29">
      <c r="A55" s="57">
        <v>3</v>
      </c>
      <c r="B55" s="36">
        <v>0</v>
      </c>
      <c r="C55" s="36">
        <v>0</v>
      </c>
      <c r="D55" s="36">
        <v>0</v>
      </c>
      <c r="E55" s="36">
        <v>5.7</v>
      </c>
      <c r="F55" s="36">
        <v>0</v>
      </c>
      <c r="G55" s="36">
        <v>0</v>
      </c>
      <c r="H55" s="36">
        <v>0</v>
      </c>
      <c r="I55" s="36">
        <v>1</v>
      </c>
      <c r="J55" s="36">
        <v>0</v>
      </c>
      <c r="K55" s="36">
        <v>0</v>
      </c>
      <c r="L55" s="36">
        <v>0</v>
      </c>
      <c r="M55" s="58">
        <v>0</v>
      </c>
      <c r="N55" s="7"/>
      <c r="P55" s="57">
        <v>3</v>
      </c>
      <c r="Q55" s="36">
        <v>15</v>
      </c>
      <c r="R55" s="36">
        <v>13.4</v>
      </c>
      <c r="S55" s="36">
        <v>0.5</v>
      </c>
      <c r="T55" s="36">
        <v>0</v>
      </c>
      <c r="U55" s="36">
        <v>15.2</v>
      </c>
      <c r="V55" s="36">
        <v>0</v>
      </c>
      <c r="W55" s="36">
        <v>0</v>
      </c>
      <c r="X55" s="36">
        <v>0</v>
      </c>
      <c r="Y55" s="36">
        <v>0</v>
      </c>
      <c r="Z55" s="36">
        <v>8</v>
      </c>
      <c r="AA55" s="36">
        <v>19.100000000000001</v>
      </c>
      <c r="AB55" s="58">
        <v>0</v>
      </c>
      <c r="AC55" s="7"/>
    </row>
    <row r="56" spans="1:29">
      <c r="A56" s="57">
        <v>4</v>
      </c>
      <c r="B56" s="36">
        <v>4</v>
      </c>
      <c r="C56" s="36">
        <v>0</v>
      </c>
      <c r="D56" s="36">
        <v>0</v>
      </c>
      <c r="E56" s="36">
        <v>2.4</v>
      </c>
      <c r="F56" s="36">
        <v>0</v>
      </c>
      <c r="G56" s="36">
        <v>0</v>
      </c>
      <c r="H56" s="36">
        <v>1</v>
      </c>
      <c r="I56" s="36">
        <v>0</v>
      </c>
      <c r="J56" s="36">
        <v>0</v>
      </c>
      <c r="K56" s="36">
        <v>0</v>
      </c>
      <c r="L56" s="36">
        <v>16.600000000000001</v>
      </c>
      <c r="M56" s="58">
        <v>1.3</v>
      </c>
      <c r="N56" s="7"/>
      <c r="P56" s="57">
        <v>4</v>
      </c>
      <c r="Q56" s="36">
        <v>20</v>
      </c>
      <c r="R56" s="36">
        <v>25</v>
      </c>
      <c r="S56" s="36">
        <v>1</v>
      </c>
      <c r="T56" s="36">
        <v>0</v>
      </c>
      <c r="U56" s="36">
        <v>0</v>
      </c>
      <c r="V56" s="36">
        <v>32</v>
      </c>
      <c r="W56" s="36">
        <v>0</v>
      </c>
      <c r="X56" s="36">
        <v>0</v>
      </c>
      <c r="Y56" s="36">
        <v>6.5</v>
      </c>
      <c r="Z56" s="36">
        <v>8.8000000000000007</v>
      </c>
      <c r="AA56" s="36">
        <v>2.8</v>
      </c>
      <c r="AB56" s="58">
        <v>0</v>
      </c>
      <c r="AC56" s="7"/>
    </row>
    <row r="57" spans="1:29">
      <c r="A57" s="57">
        <v>5</v>
      </c>
      <c r="B57" s="36">
        <v>2.2999999999999998</v>
      </c>
      <c r="C57" s="36">
        <v>0</v>
      </c>
      <c r="D57" s="36">
        <v>0</v>
      </c>
      <c r="E57" s="36">
        <v>7.6</v>
      </c>
      <c r="F57" s="36">
        <v>0</v>
      </c>
      <c r="G57" s="36">
        <v>47.4</v>
      </c>
      <c r="H57" s="36">
        <v>0</v>
      </c>
      <c r="I57" s="36">
        <v>17.399999999999999</v>
      </c>
      <c r="J57" s="36">
        <v>0</v>
      </c>
      <c r="K57" s="36">
        <v>0</v>
      </c>
      <c r="L57" s="36">
        <v>23</v>
      </c>
      <c r="M57" s="58">
        <v>0</v>
      </c>
      <c r="N57" s="7"/>
      <c r="P57" s="57">
        <v>5</v>
      </c>
      <c r="Q57" s="36">
        <v>3.5</v>
      </c>
      <c r="R57" s="36">
        <v>27.9</v>
      </c>
      <c r="S57" s="36">
        <v>0.5</v>
      </c>
      <c r="T57" s="36">
        <v>0.5</v>
      </c>
      <c r="U57" s="36">
        <v>0</v>
      </c>
      <c r="V57" s="36">
        <v>0</v>
      </c>
      <c r="W57" s="36">
        <v>0</v>
      </c>
      <c r="X57" s="36">
        <v>25.1</v>
      </c>
      <c r="Y57" s="36">
        <v>13.6</v>
      </c>
      <c r="Z57" s="36">
        <v>0</v>
      </c>
      <c r="AA57" s="36">
        <v>29</v>
      </c>
      <c r="AB57" s="58">
        <v>0</v>
      </c>
      <c r="AC57" s="7"/>
    </row>
    <row r="58" spans="1:29">
      <c r="A58" s="57">
        <v>6</v>
      </c>
      <c r="B58" s="36">
        <v>0.1</v>
      </c>
      <c r="C58" s="36">
        <v>0</v>
      </c>
      <c r="D58" s="36">
        <v>0</v>
      </c>
      <c r="E58" s="36">
        <v>0.8</v>
      </c>
      <c r="F58" s="36">
        <v>19.899999999999999</v>
      </c>
      <c r="G58" s="36">
        <v>2</v>
      </c>
      <c r="H58" s="36">
        <v>0</v>
      </c>
      <c r="I58" s="36">
        <v>0</v>
      </c>
      <c r="J58" s="36">
        <v>1</v>
      </c>
      <c r="K58" s="36">
        <v>3.4</v>
      </c>
      <c r="L58" s="36">
        <v>0.6</v>
      </c>
      <c r="M58" s="58">
        <v>0</v>
      </c>
      <c r="N58" s="7"/>
      <c r="P58" s="57">
        <v>6</v>
      </c>
      <c r="Q58" s="36">
        <v>0.8</v>
      </c>
      <c r="R58" s="36">
        <v>58.9</v>
      </c>
      <c r="S58" s="36">
        <v>0</v>
      </c>
      <c r="T58" s="36">
        <v>40.4</v>
      </c>
      <c r="U58" s="36">
        <v>0</v>
      </c>
      <c r="V58" s="36">
        <v>34</v>
      </c>
      <c r="W58" s="36">
        <v>0</v>
      </c>
      <c r="X58" s="36">
        <v>0</v>
      </c>
      <c r="Y58" s="36">
        <v>12.5</v>
      </c>
      <c r="Z58" s="36">
        <v>0</v>
      </c>
      <c r="AA58" s="36">
        <v>0</v>
      </c>
      <c r="AB58" s="58">
        <v>0</v>
      </c>
      <c r="AC58" s="7"/>
    </row>
    <row r="59" spans="1:29">
      <c r="A59" s="57">
        <v>7</v>
      </c>
      <c r="B59" s="36">
        <v>5.2</v>
      </c>
      <c r="C59" s="36">
        <v>0</v>
      </c>
      <c r="D59" s="36">
        <v>0</v>
      </c>
      <c r="E59" s="36">
        <v>0</v>
      </c>
      <c r="F59" s="36">
        <v>2.8</v>
      </c>
      <c r="G59" s="36">
        <v>0</v>
      </c>
      <c r="H59" s="36">
        <v>3.8</v>
      </c>
      <c r="I59" s="36">
        <v>0</v>
      </c>
      <c r="J59" s="36">
        <v>0</v>
      </c>
      <c r="K59" s="36">
        <v>0</v>
      </c>
      <c r="L59" s="36">
        <v>73.8</v>
      </c>
      <c r="M59" s="58">
        <v>0</v>
      </c>
      <c r="N59" s="7"/>
      <c r="P59" s="57">
        <v>7</v>
      </c>
      <c r="Q59" s="36">
        <v>0.4</v>
      </c>
      <c r="R59" s="36">
        <v>58.9</v>
      </c>
      <c r="S59" s="36">
        <v>0</v>
      </c>
      <c r="T59" s="36">
        <v>2</v>
      </c>
      <c r="U59" s="36">
        <v>2</v>
      </c>
      <c r="V59" s="36">
        <v>1.3</v>
      </c>
      <c r="W59" s="36">
        <v>3.7</v>
      </c>
      <c r="X59" s="36">
        <v>0</v>
      </c>
      <c r="Y59" s="36">
        <v>9.1999999999999993</v>
      </c>
      <c r="Z59" s="36">
        <v>0</v>
      </c>
      <c r="AA59" s="36">
        <v>8.5</v>
      </c>
      <c r="AB59" s="58">
        <v>0.1</v>
      </c>
      <c r="AC59" s="7"/>
    </row>
    <row r="60" spans="1:29">
      <c r="A60" s="57">
        <v>8</v>
      </c>
      <c r="B60" s="36">
        <v>0</v>
      </c>
      <c r="C60" s="36">
        <v>0</v>
      </c>
      <c r="D60" s="36">
        <v>0</v>
      </c>
      <c r="E60" s="36">
        <v>9.6999999999999993</v>
      </c>
      <c r="F60" s="36">
        <v>51.9</v>
      </c>
      <c r="G60" s="36">
        <v>0</v>
      </c>
      <c r="H60" s="36">
        <v>1.6</v>
      </c>
      <c r="I60" s="36">
        <v>0</v>
      </c>
      <c r="J60" s="36">
        <v>0</v>
      </c>
      <c r="K60" s="36">
        <v>0</v>
      </c>
      <c r="L60" s="36">
        <v>16.2</v>
      </c>
      <c r="M60" s="58">
        <v>10.8</v>
      </c>
      <c r="N60" s="7"/>
      <c r="P60" s="57">
        <v>8</v>
      </c>
      <c r="Q60" s="36">
        <v>1.4</v>
      </c>
      <c r="R60" s="36">
        <v>4.8</v>
      </c>
      <c r="S60" s="36">
        <v>0</v>
      </c>
      <c r="T60" s="36">
        <v>0</v>
      </c>
      <c r="U60" s="36">
        <v>0.2</v>
      </c>
      <c r="V60" s="36">
        <v>0</v>
      </c>
      <c r="W60" s="36">
        <v>0</v>
      </c>
      <c r="X60" s="36">
        <v>0</v>
      </c>
      <c r="Y60" s="36">
        <v>2.4</v>
      </c>
      <c r="Z60" s="36">
        <v>0</v>
      </c>
      <c r="AA60" s="36">
        <v>1.5</v>
      </c>
      <c r="AB60" s="58">
        <v>0</v>
      </c>
      <c r="AC60" s="7"/>
    </row>
    <row r="61" spans="1:29">
      <c r="A61" s="57">
        <v>9</v>
      </c>
      <c r="B61" s="36">
        <v>0.1</v>
      </c>
      <c r="C61" s="36">
        <v>0</v>
      </c>
      <c r="D61" s="36">
        <v>0.7</v>
      </c>
      <c r="E61" s="36">
        <v>0</v>
      </c>
      <c r="F61" s="36">
        <v>3.4</v>
      </c>
      <c r="G61" s="36">
        <v>0</v>
      </c>
      <c r="H61" s="36">
        <v>2.6</v>
      </c>
      <c r="I61" s="36">
        <v>4.5999999999999996</v>
      </c>
      <c r="J61" s="36">
        <v>0</v>
      </c>
      <c r="K61" s="36">
        <v>0</v>
      </c>
      <c r="L61" s="36">
        <v>4.4000000000000004</v>
      </c>
      <c r="M61" s="58">
        <v>1.7</v>
      </c>
      <c r="N61" s="7"/>
      <c r="P61" s="57">
        <v>9</v>
      </c>
      <c r="Q61" s="36">
        <v>14.3</v>
      </c>
      <c r="R61" s="36">
        <v>3.6</v>
      </c>
      <c r="S61" s="36">
        <v>0</v>
      </c>
      <c r="T61" s="36">
        <v>0</v>
      </c>
      <c r="U61" s="36">
        <v>14.5</v>
      </c>
      <c r="V61" s="36">
        <v>0</v>
      </c>
      <c r="W61" s="36">
        <v>38.700000000000003</v>
      </c>
      <c r="X61" s="36">
        <v>0</v>
      </c>
      <c r="Y61" s="36">
        <v>37.1</v>
      </c>
      <c r="Z61" s="36">
        <v>11.7</v>
      </c>
      <c r="AA61" s="36">
        <v>1.4</v>
      </c>
      <c r="AB61" s="58">
        <v>0</v>
      </c>
      <c r="AC61" s="7"/>
    </row>
    <row r="62" spans="1:29">
      <c r="A62" s="57">
        <v>10</v>
      </c>
      <c r="B62" s="36">
        <v>8.6</v>
      </c>
      <c r="C62" s="36">
        <v>0</v>
      </c>
      <c r="D62" s="36">
        <v>0</v>
      </c>
      <c r="E62" s="36">
        <v>0</v>
      </c>
      <c r="F62" s="36">
        <v>0</v>
      </c>
      <c r="G62" s="36">
        <v>0</v>
      </c>
      <c r="H62" s="36">
        <v>10.8</v>
      </c>
      <c r="I62" s="36">
        <v>46</v>
      </c>
      <c r="J62" s="36">
        <v>0</v>
      </c>
      <c r="K62" s="36">
        <v>28.8</v>
      </c>
      <c r="L62" s="36">
        <v>7.6</v>
      </c>
      <c r="M62" s="58">
        <v>0</v>
      </c>
      <c r="N62" s="7"/>
      <c r="P62" s="57">
        <v>10</v>
      </c>
      <c r="Q62" s="36">
        <v>0.8</v>
      </c>
      <c r="R62" s="36">
        <v>0</v>
      </c>
      <c r="S62" s="36">
        <v>0</v>
      </c>
      <c r="T62" s="36">
        <v>3</v>
      </c>
      <c r="U62" s="36">
        <v>0</v>
      </c>
      <c r="V62" s="36">
        <v>0</v>
      </c>
      <c r="W62" s="36">
        <v>28</v>
      </c>
      <c r="X62" s="36">
        <v>0</v>
      </c>
      <c r="Y62" s="36">
        <v>18.8</v>
      </c>
      <c r="Z62" s="36">
        <v>4.8</v>
      </c>
      <c r="AA62" s="36">
        <v>13.6</v>
      </c>
      <c r="AB62" s="58">
        <v>0</v>
      </c>
      <c r="AC62" s="7"/>
    </row>
    <row r="63" spans="1:29">
      <c r="A63" s="57">
        <v>11</v>
      </c>
      <c r="B63" s="36">
        <v>0</v>
      </c>
      <c r="C63" s="36">
        <v>0</v>
      </c>
      <c r="D63" s="36">
        <v>0</v>
      </c>
      <c r="E63" s="36">
        <v>0</v>
      </c>
      <c r="F63" s="36">
        <v>13.4</v>
      </c>
      <c r="G63" s="36">
        <v>0</v>
      </c>
      <c r="H63" s="36">
        <v>5.4</v>
      </c>
      <c r="I63" s="36">
        <v>41.1</v>
      </c>
      <c r="J63" s="36">
        <v>0</v>
      </c>
      <c r="K63" s="36">
        <v>0</v>
      </c>
      <c r="L63" s="36">
        <v>44.8</v>
      </c>
      <c r="M63" s="58">
        <v>0</v>
      </c>
      <c r="N63" s="7"/>
      <c r="P63" s="57">
        <v>11</v>
      </c>
      <c r="Q63" s="36">
        <v>20.6</v>
      </c>
      <c r="R63" s="36">
        <v>0</v>
      </c>
      <c r="S63" s="36">
        <v>0</v>
      </c>
      <c r="T63" s="36">
        <v>1.7</v>
      </c>
      <c r="U63" s="36">
        <v>0</v>
      </c>
      <c r="V63" s="36">
        <v>0</v>
      </c>
      <c r="W63" s="36">
        <v>8.9</v>
      </c>
      <c r="X63" s="36">
        <v>7.2</v>
      </c>
      <c r="Y63" s="36">
        <v>2.5</v>
      </c>
      <c r="Z63" s="36">
        <v>9.5</v>
      </c>
      <c r="AA63" s="36">
        <v>0</v>
      </c>
      <c r="AB63" s="58">
        <v>0</v>
      </c>
      <c r="AC63" s="7"/>
    </row>
    <row r="64" spans="1:29">
      <c r="A64" s="57">
        <v>12</v>
      </c>
      <c r="B64" s="36">
        <v>18.3</v>
      </c>
      <c r="C64" s="36">
        <v>0</v>
      </c>
      <c r="D64" s="36">
        <v>10.8</v>
      </c>
      <c r="E64" s="36">
        <v>0</v>
      </c>
      <c r="F64" s="36">
        <v>1.4</v>
      </c>
      <c r="G64" s="36">
        <v>0</v>
      </c>
      <c r="H64" s="36">
        <v>79.400000000000006</v>
      </c>
      <c r="I64" s="36">
        <v>35.1</v>
      </c>
      <c r="J64" s="36">
        <v>0</v>
      </c>
      <c r="K64" s="36">
        <v>0</v>
      </c>
      <c r="L64" s="36">
        <v>0</v>
      </c>
      <c r="M64" s="58">
        <v>0</v>
      </c>
      <c r="N64" s="7"/>
      <c r="P64" s="57">
        <v>12</v>
      </c>
      <c r="Q64" s="36">
        <v>1</v>
      </c>
      <c r="R64" s="36">
        <v>0.5</v>
      </c>
      <c r="S64" s="36">
        <v>0</v>
      </c>
      <c r="T64" s="36">
        <v>2</v>
      </c>
      <c r="U64" s="36">
        <v>22.5</v>
      </c>
      <c r="V64" s="36">
        <v>0</v>
      </c>
      <c r="W64" s="36">
        <v>0</v>
      </c>
      <c r="X64" s="36">
        <v>0</v>
      </c>
      <c r="Y64" s="36">
        <v>3.6</v>
      </c>
      <c r="Z64" s="36">
        <v>13.4</v>
      </c>
      <c r="AA64" s="36">
        <v>0</v>
      </c>
      <c r="AB64" s="58">
        <v>0.3</v>
      </c>
      <c r="AC64" s="7"/>
    </row>
    <row r="65" spans="1:29">
      <c r="A65" s="57">
        <v>13</v>
      </c>
      <c r="B65" s="36">
        <v>4.4000000000000004</v>
      </c>
      <c r="C65" s="36">
        <v>0</v>
      </c>
      <c r="D65" s="36">
        <v>5.8</v>
      </c>
      <c r="E65" s="36">
        <v>0</v>
      </c>
      <c r="F65" s="36">
        <v>0</v>
      </c>
      <c r="G65" s="36">
        <v>6.2</v>
      </c>
      <c r="H65" s="36">
        <v>0</v>
      </c>
      <c r="I65" s="36">
        <v>2</v>
      </c>
      <c r="J65" s="36">
        <v>50.4</v>
      </c>
      <c r="K65" s="36">
        <v>0</v>
      </c>
      <c r="L65" s="36">
        <v>142.4</v>
      </c>
      <c r="M65" s="58">
        <v>0</v>
      </c>
      <c r="N65" s="7"/>
      <c r="P65" s="57">
        <v>13</v>
      </c>
      <c r="Q65" s="36">
        <v>0</v>
      </c>
      <c r="R65" s="36">
        <v>0</v>
      </c>
      <c r="S65" s="36">
        <v>0</v>
      </c>
      <c r="T65" s="36">
        <v>0.5</v>
      </c>
      <c r="U65" s="36">
        <v>0.4</v>
      </c>
      <c r="V65" s="36">
        <v>0</v>
      </c>
      <c r="W65" s="36">
        <v>46.1</v>
      </c>
      <c r="X65" s="36">
        <v>0</v>
      </c>
      <c r="Y65" s="36">
        <v>10.9</v>
      </c>
      <c r="Z65" s="36">
        <v>1.2</v>
      </c>
      <c r="AA65" s="36">
        <v>5</v>
      </c>
      <c r="AB65" s="58">
        <v>27</v>
      </c>
      <c r="AC65" s="7"/>
    </row>
    <row r="66" spans="1:29">
      <c r="A66" s="57">
        <v>14</v>
      </c>
      <c r="B66" s="36">
        <v>0</v>
      </c>
      <c r="C66" s="36">
        <v>0</v>
      </c>
      <c r="D66" s="36">
        <v>1.2</v>
      </c>
      <c r="E66" s="36">
        <v>0</v>
      </c>
      <c r="F66" s="36">
        <v>0.5</v>
      </c>
      <c r="G66" s="36">
        <v>127.2</v>
      </c>
      <c r="H66" s="36">
        <v>0</v>
      </c>
      <c r="I66" s="36">
        <v>17.600000000000001</v>
      </c>
      <c r="J66" s="36">
        <v>0</v>
      </c>
      <c r="K66" s="36">
        <v>27</v>
      </c>
      <c r="L66" s="36">
        <v>0.8</v>
      </c>
      <c r="M66" s="58">
        <v>1.6</v>
      </c>
      <c r="N66" s="7"/>
      <c r="P66" s="57">
        <v>14</v>
      </c>
      <c r="Q66" s="36">
        <v>0</v>
      </c>
      <c r="R66" s="36">
        <v>8.1999999999999993</v>
      </c>
      <c r="S66" s="36">
        <v>23.1</v>
      </c>
      <c r="T66" s="36">
        <v>0.5</v>
      </c>
      <c r="U66" s="36">
        <v>10</v>
      </c>
      <c r="V66" s="36">
        <v>39</v>
      </c>
      <c r="W66" s="36">
        <v>26</v>
      </c>
      <c r="X66" s="36">
        <v>0</v>
      </c>
      <c r="Y66" s="36">
        <v>32.700000000000003</v>
      </c>
      <c r="Z66" s="36">
        <v>4.5999999999999996</v>
      </c>
      <c r="AA66" s="36">
        <v>7.4</v>
      </c>
      <c r="AB66" s="58">
        <v>15.7</v>
      </c>
      <c r="AC66" s="7"/>
    </row>
    <row r="67" spans="1:29">
      <c r="A67" s="57">
        <v>15</v>
      </c>
      <c r="B67" s="36">
        <v>0</v>
      </c>
      <c r="C67" s="36">
        <v>6.6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26.7</v>
      </c>
      <c r="J67" s="36">
        <v>0</v>
      </c>
      <c r="K67" s="36">
        <v>6.5</v>
      </c>
      <c r="L67" s="36">
        <v>2.8</v>
      </c>
      <c r="M67" s="58">
        <v>9</v>
      </c>
      <c r="N67" s="7"/>
      <c r="P67" s="57">
        <v>15</v>
      </c>
      <c r="Q67" s="36">
        <v>9.5</v>
      </c>
      <c r="R67" s="36">
        <v>23.5</v>
      </c>
      <c r="S67" s="36">
        <v>0</v>
      </c>
      <c r="T67" s="36">
        <v>0</v>
      </c>
      <c r="U67" s="36">
        <v>0.1</v>
      </c>
      <c r="V67" s="36">
        <v>0</v>
      </c>
      <c r="W67" s="36">
        <v>14.2</v>
      </c>
      <c r="X67" s="36">
        <v>21.6</v>
      </c>
      <c r="Y67" s="36">
        <v>0</v>
      </c>
      <c r="Z67" s="36">
        <v>1.3</v>
      </c>
      <c r="AA67" s="36">
        <v>41.1</v>
      </c>
      <c r="AB67" s="58">
        <v>9</v>
      </c>
      <c r="AC67" s="7"/>
    </row>
    <row r="68" spans="1:29">
      <c r="A68" s="57">
        <v>16</v>
      </c>
      <c r="B68" s="36">
        <v>0</v>
      </c>
      <c r="C68" s="36">
        <v>0</v>
      </c>
      <c r="D68" s="36">
        <v>61.2</v>
      </c>
      <c r="E68" s="36">
        <v>0</v>
      </c>
      <c r="F68" s="36">
        <v>15</v>
      </c>
      <c r="G68" s="36">
        <v>0</v>
      </c>
      <c r="H68" s="36">
        <v>0</v>
      </c>
      <c r="I68" s="36">
        <v>0.4</v>
      </c>
      <c r="J68" s="36">
        <v>0</v>
      </c>
      <c r="K68" s="36">
        <v>11.8</v>
      </c>
      <c r="L68" s="36">
        <v>0.2</v>
      </c>
      <c r="M68" s="58">
        <v>0.4</v>
      </c>
      <c r="N68" s="7"/>
      <c r="P68" s="57">
        <v>16</v>
      </c>
      <c r="Q68" s="36">
        <v>0</v>
      </c>
      <c r="R68" s="36">
        <v>32.700000000000003</v>
      </c>
      <c r="S68" s="36">
        <v>19</v>
      </c>
      <c r="T68" s="36">
        <v>18.7</v>
      </c>
      <c r="U68" s="36">
        <v>10.5</v>
      </c>
      <c r="V68" s="36">
        <v>18.8</v>
      </c>
      <c r="W68" s="36">
        <v>16.5</v>
      </c>
      <c r="X68" s="36">
        <v>0</v>
      </c>
      <c r="Y68" s="36">
        <v>0</v>
      </c>
      <c r="Z68" s="36">
        <v>1.8</v>
      </c>
      <c r="AA68" s="36">
        <v>0</v>
      </c>
      <c r="AB68" s="58">
        <v>6</v>
      </c>
      <c r="AC68" s="7"/>
    </row>
    <row r="69" spans="1:29">
      <c r="A69" s="57">
        <v>17</v>
      </c>
      <c r="B69" s="36">
        <v>0</v>
      </c>
      <c r="C69" s="36">
        <v>0</v>
      </c>
      <c r="D69" s="36">
        <v>6</v>
      </c>
      <c r="E69" s="36">
        <v>6</v>
      </c>
      <c r="F69" s="36">
        <v>77.400000000000006</v>
      </c>
      <c r="G69" s="36">
        <v>0</v>
      </c>
      <c r="H69" s="36">
        <v>0</v>
      </c>
      <c r="I69" s="36">
        <v>6.4</v>
      </c>
      <c r="J69" s="36">
        <v>0</v>
      </c>
      <c r="K69" s="36">
        <v>0</v>
      </c>
      <c r="L69" s="36">
        <v>4.4000000000000004</v>
      </c>
      <c r="M69" s="58">
        <v>0</v>
      </c>
      <c r="N69" s="7"/>
      <c r="P69" s="57">
        <v>17</v>
      </c>
      <c r="Q69" s="36">
        <v>1</v>
      </c>
      <c r="R69" s="36">
        <v>7</v>
      </c>
      <c r="S69" s="36">
        <v>23.8</v>
      </c>
      <c r="T69" s="36">
        <v>24.6</v>
      </c>
      <c r="U69" s="36">
        <v>50</v>
      </c>
      <c r="V69" s="36">
        <v>0</v>
      </c>
      <c r="W69" s="36">
        <v>6.5</v>
      </c>
      <c r="X69" s="36">
        <v>14.1</v>
      </c>
      <c r="Y69" s="36">
        <v>0</v>
      </c>
      <c r="Z69" s="36">
        <v>0</v>
      </c>
      <c r="AA69" s="36">
        <v>36.5</v>
      </c>
      <c r="AB69" s="58">
        <v>9.6999999999999993</v>
      </c>
      <c r="AC69" s="7"/>
    </row>
    <row r="70" spans="1:29">
      <c r="A70" s="57">
        <v>18</v>
      </c>
      <c r="B70" s="36">
        <v>0</v>
      </c>
      <c r="C70" s="36">
        <v>0</v>
      </c>
      <c r="D70" s="36">
        <v>1.5</v>
      </c>
      <c r="E70" s="36">
        <v>26.1</v>
      </c>
      <c r="F70" s="36">
        <v>0</v>
      </c>
      <c r="G70" s="36">
        <v>0</v>
      </c>
      <c r="H70" s="36">
        <v>0</v>
      </c>
      <c r="I70" s="36">
        <v>0</v>
      </c>
      <c r="J70" s="36">
        <v>5</v>
      </c>
      <c r="K70" s="36">
        <v>6.2</v>
      </c>
      <c r="L70" s="36">
        <v>3</v>
      </c>
      <c r="M70" s="58">
        <v>0</v>
      </c>
      <c r="N70" s="7"/>
      <c r="P70" s="57">
        <v>18</v>
      </c>
      <c r="Q70" s="36">
        <v>41.8</v>
      </c>
      <c r="R70" s="36">
        <v>0</v>
      </c>
      <c r="S70" s="36">
        <v>0</v>
      </c>
      <c r="T70" s="36">
        <v>6.2</v>
      </c>
      <c r="U70" s="36">
        <v>7</v>
      </c>
      <c r="V70" s="36">
        <v>0.8</v>
      </c>
      <c r="W70" s="36">
        <v>38</v>
      </c>
      <c r="X70" s="36">
        <v>10.5</v>
      </c>
      <c r="Y70" s="36">
        <v>0</v>
      </c>
      <c r="Z70" s="36">
        <v>1</v>
      </c>
      <c r="AA70" s="36">
        <v>34.4</v>
      </c>
      <c r="AB70" s="58">
        <v>11.3</v>
      </c>
      <c r="AC70" s="7"/>
    </row>
    <row r="71" spans="1:29">
      <c r="A71" s="57">
        <v>19</v>
      </c>
      <c r="B71" s="36">
        <v>0</v>
      </c>
      <c r="C71" s="36">
        <v>0</v>
      </c>
      <c r="D71" s="36">
        <v>2.8</v>
      </c>
      <c r="E71" s="36">
        <v>0</v>
      </c>
      <c r="F71" s="36">
        <v>21.4</v>
      </c>
      <c r="G71" s="36">
        <v>0</v>
      </c>
      <c r="H71" s="36">
        <v>0</v>
      </c>
      <c r="I71" s="36">
        <v>16.899999999999999</v>
      </c>
      <c r="J71" s="36">
        <v>67.099999999999994</v>
      </c>
      <c r="K71" s="36">
        <v>4</v>
      </c>
      <c r="L71" s="36">
        <v>3.6</v>
      </c>
      <c r="M71" s="58">
        <v>45</v>
      </c>
      <c r="N71" s="7"/>
      <c r="P71" s="57">
        <v>19</v>
      </c>
      <c r="Q71" s="36">
        <v>2.6</v>
      </c>
      <c r="R71" s="36">
        <v>0</v>
      </c>
      <c r="S71" s="36">
        <v>33.200000000000003</v>
      </c>
      <c r="T71" s="36">
        <v>0</v>
      </c>
      <c r="U71" s="36">
        <v>0</v>
      </c>
      <c r="V71" s="36">
        <v>28</v>
      </c>
      <c r="W71" s="36">
        <v>0.8</v>
      </c>
      <c r="X71" s="36">
        <v>12.7</v>
      </c>
      <c r="Y71" s="36">
        <v>0</v>
      </c>
      <c r="Z71" s="36">
        <v>1</v>
      </c>
      <c r="AA71" s="36">
        <v>24.2</v>
      </c>
      <c r="AB71" s="58">
        <v>25</v>
      </c>
      <c r="AC71" s="7"/>
    </row>
    <row r="72" spans="1:29">
      <c r="A72" s="57">
        <v>20</v>
      </c>
      <c r="B72" s="36">
        <v>0</v>
      </c>
      <c r="C72" s="36">
        <v>0</v>
      </c>
      <c r="D72" s="36">
        <v>0</v>
      </c>
      <c r="E72" s="36">
        <v>4.5999999999999996</v>
      </c>
      <c r="F72" s="36">
        <v>0</v>
      </c>
      <c r="G72" s="36">
        <v>1.5</v>
      </c>
      <c r="H72" s="36">
        <v>0</v>
      </c>
      <c r="I72" s="36">
        <v>0.1</v>
      </c>
      <c r="J72" s="36">
        <v>15</v>
      </c>
      <c r="K72" s="36">
        <v>4.5999999999999996</v>
      </c>
      <c r="L72" s="36">
        <v>0</v>
      </c>
      <c r="M72" s="58">
        <v>0</v>
      </c>
      <c r="N72" s="7"/>
      <c r="P72" s="57">
        <v>20</v>
      </c>
      <c r="Q72" s="36">
        <v>23</v>
      </c>
      <c r="R72" s="36">
        <v>32.5</v>
      </c>
      <c r="S72" s="36">
        <v>44.4</v>
      </c>
      <c r="T72" s="36">
        <v>0</v>
      </c>
      <c r="U72" s="36">
        <v>21</v>
      </c>
      <c r="V72" s="36">
        <v>7</v>
      </c>
      <c r="W72" s="36">
        <v>6.2</v>
      </c>
      <c r="X72" s="36">
        <v>0</v>
      </c>
      <c r="Y72" s="36">
        <v>0.2</v>
      </c>
      <c r="Z72" s="36">
        <v>0</v>
      </c>
      <c r="AA72" s="36">
        <v>168</v>
      </c>
      <c r="AB72" s="58">
        <v>0.2</v>
      </c>
      <c r="AC72" s="7"/>
    </row>
    <row r="73" spans="1:29">
      <c r="A73" s="57">
        <v>21</v>
      </c>
      <c r="B73" s="36">
        <v>0</v>
      </c>
      <c r="C73" s="36">
        <v>0</v>
      </c>
      <c r="D73" s="36">
        <v>0</v>
      </c>
      <c r="E73" s="36">
        <v>1</v>
      </c>
      <c r="F73" s="36">
        <v>0</v>
      </c>
      <c r="G73" s="36">
        <v>0</v>
      </c>
      <c r="H73" s="36">
        <v>0</v>
      </c>
      <c r="I73" s="36">
        <v>4</v>
      </c>
      <c r="J73" s="36">
        <v>0</v>
      </c>
      <c r="K73" s="36">
        <v>86</v>
      </c>
      <c r="L73" s="36">
        <v>19.7</v>
      </c>
      <c r="M73" s="58">
        <v>2.8</v>
      </c>
      <c r="N73" s="7"/>
      <c r="P73" s="57">
        <v>21</v>
      </c>
      <c r="Q73" s="36">
        <v>0.2</v>
      </c>
      <c r="R73" s="36">
        <v>18.5</v>
      </c>
      <c r="S73" s="36">
        <v>15</v>
      </c>
      <c r="T73" s="36">
        <v>0.5</v>
      </c>
      <c r="U73" s="36">
        <v>17.5</v>
      </c>
      <c r="V73" s="36">
        <v>31</v>
      </c>
      <c r="W73" s="36">
        <v>10</v>
      </c>
      <c r="X73" s="36">
        <v>0</v>
      </c>
      <c r="Y73" s="36">
        <v>43.7</v>
      </c>
      <c r="Z73" s="36">
        <v>0</v>
      </c>
      <c r="AA73" s="36">
        <v>21.8</v>
      </c>
      <c r="AB73" s="58">
        <v>3</v>
      </c>
      <c r="AC73" s="7"/>
    </row>
    <row r="74" spans="1:29">
      <c r="A74" s="57">
        <v>22</v>
      </c>
      <c r="B74" s="36">
        <v>0</v>
      </c>
      <c r="C74" s="36">
        <v>0</v>
      </c>
      <c r="D74" s="36">
        <v>0</v>
      </c>
      <c r="E74" s="36">
        <v>5.8</v>
      </c>
      <c r="F74" s="36">
        <v>0</v>
      </c>
      <c r="G74" s="36">
        <v>0</v>
      </c>
      <c r="H74" s="36">
        <v>0</v>
      </c>
      <c r="I74" s="36">
        <v>0</v>
      </c>
      <c r="J74" s="36">
        <v>0.5</v>
      </c>
      <c r="K74" s="36">
        <v>53.4</v>
      </c>
      <c r="L74" s="36">
        <v>52.7</v>
      </c>
      <c r="M74" s="58">
        <v>32.1</v>
      </c>
      <c r="N74" s="7"/>
      <c r="P74" s="57">
        <v>22</v>
      </c>
      <c r="Q74" s="36">
        <v>30.7</v>
      </c>
      <c r="R74" s="36">
        <v>47.4</v>
      </c>
      <c r="S74" s="36">
        <v>0</v>
      </c>
      <c r="T74" s="36">
        <v>23</v>
      </c>
      <c r="U74" s="36">
        <v>36.700000000000003</v>
      </c>
      <c r="V74" s="36">
        <v>24.7</v>
      </c>
      <c r="W74" s="36">
        <v>0</v>
      </c>
      <c r="X74" s="36">
        <v>0.2</v>
      </c>
      <c r="Y74" s="36">
        <v>17.899999999999999</v>
      </c>
      <c r="Z74" s="36">
        <v>50.1</v>
      </c>
      <c r="AA74" s="36">
        <v>12.3</v>
      </c>
      <c r="AB74" s="58">
        <v>7.6</v>
      </c>
      <c r="AC74" s="7"/>
    </row>
    <row r="75" spans="1:29">
      <c r="A75" s="57">
        <v>23</v>
      </c>
      <c r="B75" s="36">
        <v>0</v>
      </c>
      <c r="C75" s="36">
        <v>0</v>
      </c>
      <c r="D75" s="36">
        <v>2.8</v>
      </c>
      <c r="E75" s="36">
        <v>0.3</v>
      </c>
      <c r="F75" s="36">
        <v>34.1</v>
      </c>
      <c r="G75" s="36">
        <v>0</v>
      </c>
      <c r="H75" s="36">
        <v>0</v>
      </c>
      <c r="I75" s="36">
        <v>150.4</v>
      </c>
      <c r="J75" s="36">
        <v>34</v>
      </c>
      <c r="K75" s="36">
        <v>0.4</v>
      </c>
      <c r="L75" s="36">
        <v>0</v>
      </c>
      <c r="M75" s="58">
        <v>9.9</v>
      </c>
      <c r="N75" s="7"/>
      <c r="P75" s="57">
        <v>23</v>
      </c>
      <c r="Q75" s="36">
        <v>15</v>
      </c>
      <c r="R75" s="36">
        <v>2.8</v>
      </c>
      <c r="S75" s="36">
        <v>0</v>
      </c>
      <c r="T75" s="36">
        <v>0</v>
      </c>
      <c r="U75" s="36">
        <v>0</v>
      </c>
      <c r="V75" s="36">
        <v>6.4</v>
      </c>
      <c r="W75" s="36">
        <v>8.1</v>
      </c>
      <c r="X75" s="36">
        <v>30.3</v>
      </c>
      <c r="Y75" s="36">
        <v>0.2</v>
      </c>
      <c r="Z75" s="36">
        <v>9.3000000000000007</v>
      </c>
      <c r="AA75" s="36">
        <v>17.600000000000001</v>
      </c>
      <c r="AB75" s="58">
        <v>2</v>
      </c>
      <c r="AC75" s="7"/>
    </row>
    <row r="76" spans="1:29">
      <c r="A76" s="57">
        <v>24</v>
      </c>
      <c r="B76" s="36">
        <v>0</v>
      </c>
      <c r="C76" s="36">
        <v>0</v>
      </c>
      <c r="D76" s="36">
        <v>2.2999999999999998</v>
      </c>
      <c r="E76" s="36">
        <v>1.8</v>
      </c>
      <c r="F76" s="36">
        <v>0</v>
      </c>
      <c r="G76" s="36">
        <v>0</v>
      </c>
      <c r="H76" s="36">
        <v>0</v>
      </c>
      <c r="I76" s="36">
        <v>14.7</v>
      </c>
      <c r="J76" s="36">
        <v>0</v>
      </c>
      <c r="K76" s="36">
        <v>2.5</v>
      </c>
      <c r="L76" s="36">
        <v>7.9</v>
      </c>
      <c r="M76" s="58">
        <v>13</v>
      </c>
      <c r="N76" s="7"/>
      <c r="P76" s="57">
        <v>24</v>
      </c>
      <c r="Q76" s="36">
        <v>95</v>
      </c>
      <c r="R76" s="36">
        <v>4.7</v>
      </c>
      <c r="S76" s="36">
        <v>14.2</v>
      </c>
      <c r="T76" s="36">
        <v>9.5</v>
      </c>
      <c r="U76" s="36">
        <v>0</v>
      </c>
      <c r="V76" s="36">
        <v>11.2</v>
      </c>
      <c r="W76" s="36">
        <v>36.5</v>
      </c>
      <c r="X76" s="36">
        <v>0</v>
      </c>
      <c r="Y76" s="36">
        <v>1.5</v>
      </c>
      <c r="Z76" s="36">
        <v>7.9</v>
      </c>
      <c r="AA76" s="36">
        <v>7.5</v>
      </c>
      <c r="AB76" s="58">
        <v>0</v>
      </c>
      <c r="AC76" s="7"/>
    </row>
    <row r="77" spans="1:29">
      <c r="A77" s="57">
        <v>25</v>
      </c>
      <c r="B77" s="36">
        <v>0</v>
      </c>
      <c r="C77" s="36">
        <v>0</v>
      </c>
      <c r="D77" s="36">
        <v>53.7</v>
      </c>
      <c r="E77" s="36">
        <v>0</v>
      </c>
      <c r="F77" s="36">
        <v>0</v>
      </c>
      <c r="G77" s="36">
        <v>27.5</v>
      </c>
      <c r="H77" s="36">
        <v>0</v>
      </c>
      <c r="I77" s="36">
        <v>23.6</v>
      </c>
      <c r="J77" s="36">
        <v>0</v>
      </c>
      <c r="K77" s="36">
        <v>8.6</v>
      </c>
      <c r="L77" s="36">
        <v>0</v>
      </c>
      <c r="M77" s="58">
        <v>0.5</v>
      </c>
      <c r="N77" s="7"/>
      <c r="P77" s="57">
        <v>25</v>
      </c>
      <c r="Q77" s="36">
        <v>1</v>
      </c>
      <c r="R77" s="36">
        <v>1</v>
      </c>
      <c r="S77" s="36">
        <v>0</v>
      </c>
      <c r="T77" s="36">
        <v>41.2</v>
      </c>
      <c r="U77" s="36">
        <v>0</v>
      </c>
      <c r="V77" s="36">
        <v>7.4</v>
      </c>
      <c r="W77" s="36">
        <v>13.5</v>
      </c>
      <c r="X77" s="36">
        <v>8.8000000000000007</v>
      </c>
      <c r="Y77" s="36">
        <v>9.3000000000000007</v>
      </c>
      <c r="Z77" s="36">
        <v>1.7</v>
      </c>
      <c r="AA77" s="36">
        <v>25.5</v>
      </c>
      <c r="AB77" s="58">
        <v>1.5</v>
      </c>
      <c r="AC77" s="7"/>
    </row>
    <row r="78" spans="1:29">
      <c r="A78" s="57">
        <v>26</v>
      </c>
      <c r="B78" s="36">
        <v>0</v>
      </c>
      <c r="C78" s="36">
        <v>0</v>
      </c>
      <c r="D78" s="36">
        <v>64.099999999999994</v>
      </c>
      <c r="E78" s="36">
        <v>67.3</v>
      </c>
      <c r="F78" s="36">
        <v>0.8</v>
      </c>
      <c r="G78" s="36">
        <v>0.8</v>
      </c>
      <c r="H78" s="36">
        <v>0</v>
      </c>
      <c r="I78" s="36">
        <v>6.2</v>
      </c>
      <c r="J78" s="36">
        <v>12.4</v>
      </c>
      <c r="K78" s="36">
        <v>3</v>
      </c>
      <c r="L78" s="36">
        <v>0.5</v>
      </c>
      <c r="M78" s="58">
        <v>12.3</v>
      </c>
      <c r="N78" s="7"/>
      <c r="P78" s="57">
        <v>26</v>
      </c>
      <c r="Q78" s="36">
        <v>0</v>
      </c>
      <c r="R78" s="36">
        <v>17</v>
      </c>
      <c r="S78" s="36">
        <v>1.7</v>
      </c>
      <c r="T78" s="36">
        <v>0.2</v>
      </c>
      <c r="U78" s="36">
        <v>0</v>
      </c>
      <c r="V78" s="36">
        <v>0</v>
      </c>
      <c r="W78" s="36">
        <v>10.199999999999999</v>
      </c>
      <c r="X78" s="36">
        <v>0.5</v>
      </c>
      <c r="Y78" s="36">
        <v>0</v>
      </c>
      <c r="Z78" s="36">
        <v>10.199999999999999</v>
      </c>
      <c r="AA78" s="36">
        <v>4</v>
      </c>
      <c r="AB78" s="58">
        <v>51.8</v>
      </c>
      <c r="AC78" s="7"/>
    </row>
    <row r="79" spans="1:29">
      <c r="A79" s="57">
        <v>27</v>
      </c>
      <c r="B79" s="36">
        <v>0</v>
      </c>
      <c r="C79" s="36">
        <v>0</v>
      </c>
      <c r="D79" s="36">
        <v>2.6</v>
      </c>
      <c r="E79" s="36">
        <v>0</v>
      </c>
      <c r="F79" s="36">
        <v>14.6</v>
      </c>
      <c r="G79" s="36">
        <v>0</v>
      </c>
      <c r="H79" s="36">
        <v>0</v>
      </c>
      <c r="I79" s="36">
        <v>8.5</v>
      </c>
      <c r="J79" s="36">
        <v>0</v>
      </c>
      <c r="K79" s="36">
        <v>3.3</v>
      </c>
      <c r="L79" s="36">
        <v>35.6</v>
      </c>
      <c r="M79" s="58">
        <v>1.4</v>
      </c>
      <c r="N79" s="7"/>
      <c r="P79" s="57">
        <v>27</v>
      </c>
      <c r="Q79" s="36">
        <v>0</v>
      </c>
      <c r="R79" s="36">
        <v>16.5</v>
      </c>
      <c r="S79" s="36">
        <v>0</v>
      </c>
      <c r="T79" s="36">
        <v>0</v>
      </c>
      <c r="U79" s="36">
        <v>1.5</v>
      </c>
      <c r="V79" s="36">
        <v>4.5999999999999996</v>
      </c>
      <c r="W79" s="36">
        <v>6</v>
      </c>
      <c r="X79" s="36">
        <v>4.3</v>
      </c>
      <c r="Y79" s="36">
        <v>87.6</v>
      </c>
      <c r="Z79" s="36">
        <v>12.9</v>
      </c>
      <c r="AA79" s="36">
        <v>3.4</v>
      </c>
      <c r="AB79" s="58">
        <v>1.4</v>
      </c>
      <c r="AC79" s="7"/>
    </row>
    <row r="80" spans="1:29">
      <c r="A80" s="57">
        <v>28</v>
      </c>
      <c r="B80" s="36">
        <v>0</v>
      </c>
      <c r="C80" s="36">
        <v>40.200000000000003</v>
      </c>
      <c r="D80" s="36">
        <v>2</v>
      </c>
      <c r="E80" s="36">
        <v>0</v>
      </c>
      <c r="F80" s="36">
        <v>0.5</v>
      </c>
      <c r="G80" s="36">
        <v>0</v>
      </c>
      <c r="H80" s="36">
        <v>0</v>
      </c>
      <c r="I80" s="36">
        <v>35.4</v>
      </c>
      <c r="J80" s="36">
        <v>0</v>
      </c>
      <c r="K80" s="36">
        <v>0</v>
      </c>
      <c r="L80" s="36">
        <v>7.5</v>
      </c>
      <c r="M80" s="58">
        <v>12.2</v>
      </c>
      <c r="N80" s="7"/>
      <c r="P80" s="57">
        <v>28</v>
      </c>
      <c r="Q80" s="36">
        <v>2.5</v>
      </c>
      <c r="R80" s="36">
        <v>9.4</v>
      </c>
      <c r="S80" s="36">
        <v>0.1</v>
      </c>
      <c r="T80" s="36">
        <v>60.5</v>
      </c>
      <c r="U80" s="36">
        <v>21.8</v>
      </c>
      <c r="V80" s="36">
        <v>0</v>
      </c>
      <c r="W80" s="36">
        <v>4.9000000000000004</v>
      </c>
      <c r="X80" s="36">
        <v>11.7</v>
      </c>
      <c r="Y80" s="36">
        <v>1.9</v>
      </c>
      <c r="Z80" s="36">
        <v>0</v>
      </c>
      <c r="AA80" s="36">
        <v>1.8</v>
      </c>
      <c r="AB80" s="58">
        <v>0</v>
      </c>
      <c r="AC80" s="7"/>
    </row>
    <row r="81" spans="1:29">
      <c r="A81" s="57">
        <v>29</v>
      </c>
      <c r="B81" s="36">
        <v>0</v>
      </c>
      <c r="C81" s="24"/>
      <c r="D81" s="36">
        <v>9.6</v>
      </c>
      <c r="E81" s="36">
        <v>41</v>
      </c>
      <c r="F81" s="36">
        <v>6.5</v>
      </c>
      <c r="G81" s="36">
        <v>0.4</v>
      </c>
      <c r="H81" s="36">
        <v>0</v>
      </c>
      <c r="I81" s="36">
        <v>2.7</v>
      </c>
      <c r="J81" s="36">
        <v>0</v>
      </c>
      <c r="K81" s="36">
        <v>12.4</v>
      </c>
      <c r="L81" s="36">
        <v>10</v>
      </c>
      <c r="M81" s="58">
        <v>31.2</v>
      </c>
      <c r="N81" s="7"/>
      <c r="P81" s="57">
        <v>29</v>
      </c>
      <c r="Q81" s="36">
        <v>0.2</v>
      </c>
      <c r="R81" s="36">
        <v>3</v>
      </c>
      <c r="S81" s="36">
        <v>0</v>
      </c>
      <c r="T81" s="36">
        <v>2</v>
      </c>
      <c r="U81" s="36">
        <v>0</v>
      </c>
      <c r="V81" s="36">
        <v>0</v>
      </c>
      <c r="W81" s="36">
        <v>6.7</v>
      </c>
      <c r="X81" s="36">
        <v>0.9</v>
      </c>
      <c r="Y81" s="36">
        <v>0</v>
      </c>
      <c r="Z81" s="36">
        <v>0</v>
      </c>
      <c r="AA81" s="36">
        <v>3.5</v>
      </c>
      <c r="AB81" s="58">
        <v>0</v>
      </c>
      <c r="AC81" s="7"/>
    </row>
    <row r="82" spans="1:29">
      <c r="A82" s="57">
        <v>30</v>
      </c>
      <c r="B82" s="36">
        <v>0</v>
      </c>
      <c r="C82" s="24"/>
      <c r="D82" s="36">
        <v>0</v>
      </c>
      <c r="E82" s="36">
        <v>9.5</v>
      </c>
      <c r="F82" s="36">
        <v>0</v>
      </c>
      <c r="G82" s="36">
        <v>4.2</v>
      </c>
      <c r="H82" s="36">
        <v>0</v>
      </c>
      <c r="I82" s="36">
        <v>0</v>
      </c>
      <c r="J82" s="36">
        <v>3.4</v>
      </c>
      <c r="K82" s="36">
        <v>0</v>
      </c>
      <c r="L82" s="36">
        <v>40.1</v>
      </c>
      <c r="M82" s="58">
        <v>5</v>
      </c>
      <c r="N82" s="7"/>
      <c r="P82" s="57">
        <v>30</v>
      </c>
      <c r="Q82" s="36">
        <v>83.4</v>
      </c>
      <c r="R82" s="24"/>
      <c r="S82" s="36">
        <v>0</v>
      </c>
      <c r="T82" s="36">
        <v>0</v>
      </c>
      <c r="U82" s="36">
        <v>32</v>
      </c>
      <c r="V82" s="36">
        <v>0</v>
      </c>
      <c r="W82" s="36">
        <v>0</v>
      </c>
      <c r="X82" s="36">
        <v>17</v>
      </c>
      <c r="Y82" s="36">
        <v>33.6</v>
      </c>
      <c r="Z82" s="36">
        <v>10.5</v>
      </c>
      <c r="AA82" s="36">
        <v>69.5</v>
      </c>
      <c r="AB82" s="58">
        <v>0</v>
      </c>
      <c r="AC82" s="7"/>
    </row>
    <row r="83" spans="1:29">
      <c r="A83" s="57">
        <v>31</v>
      </c>
      <c r="B83" s="36">
        <v>0</v>
      </c>
      <c r="C83" s="24"/>
      <c r="D83" s="36">
        <v>22.5</v>
      </c>
      <c r="E83" s="24"/>
      <c r="F83" s="36">
        <v>0</v>
      </c>
      <c r="G83" s="24"/>
      <c r="H83" s="36">
        <v>0</v>
      </c>
      <c r="I83" s="36">
        <v>0</v>
      </c>
      <c r="J83" s="24"/>
      <c r="K83" s="36">
        <v>4.5999999999999996</v>
      </c>
      <c r="L83" s="24"/>
      <c r="M83" s="58">
        <v>6.6</v>
      </c>
      <c r="N83" s="7"/>
      <c r="P83" s="57">
        <v>31</v>
      </c>
      <c r="Q83" s="36">
        <v>4.2</v>
      </c>
      <c r="R83" s="24"/>
      <c r="S83" s="36">
        <v>0</v>
      </c>
      <c r="T83" s="24"/>
      <c r="U83" s="36">
        <v>10.9</v>
      </c>
      <c r="V83" s="24"/>
      <c r="W83" s="36">
        <v>0</v>
      </c>
      <c r="X83" s="36">
        <v>0</v>
      </c>
      <c r="Y83" s="24"/>
      <c r="Z83" s="36">
        <v>12.4</v>
      </c>
      <c r="AA83" s="24"/>
      <c r="AB83" s="58">
        <v>8.1</v>
      </c>
      <c r="AC83" s="7"/>
    </row>
    <row r="84" spans="1:29">
      <c r="A84" s="59"/>
      <c r="B84" s="26"/>
      <c r="C84" s="26"/>
      <c r="D84" s="26"/>
      <c r="E84" s="27"/>
      <c r="F84" s="26"/>
      <c r="G84" s="26"/>
      <c r="H84" s="26"/>
      <c r="I84" s="26"/>
      <c r="J84" s="26"/>
      <c r="K84" s="26"/>
      <c r="L84" s="28"/>
      <c r="M84" s="60"/>
      <c r="N84" s="7"/>
      <c r="P84" s="59"/>
      <c r="Q84" s="26"/>
      <c r="R84" s="26"/>
      <c r="S84" s="26"/>
      <c r="T84" s="27"/>
      <c r="U84" s="26"/>
      <c r="V84" s="26"/>
      <c r="W84" s="26"/>
      <c r="X84" s="26"/>
      <c r="Y84" s="26"/>
      <c r="Z84" s="26"/>
      <c r="AA84" s="28"/>
      <c r="AB84" s="60"/>
      <c r="AC84" s="7"/>
    </row>
    <row r="85" spans="1:29">
      <c r="A85" s="57" t="s">
        <v>65</v>
      </c>
      <c r="B85" s="30">
        <f t="shared" ref="B85:M85" si="4">SUM(B53:B83)</f>
        <v>73.800000000000011</v>
      </c>
      <c r="C85" s="30">
        <f t="shared" si="4"/>
        <v>46.800000000000004</v>
      </c>
      <c r="D85" s="30">
        <f t="shared" si="4"/>
        <v>249.6</v>
      </c>
      <c r="E85" s="30">
        <f t="shared" si="4"/>
        <v>198.59999999999997</v>
      </c>
      <c r="F85" s="30">
        <f t="shared" si="4"/>
        <v>270.20000000000005</v>
      </c>
      <c r="G85" s="30">
        <f t="shared" si="4"/>
        <v>254.1</v>
      </c>
      <c r="H85" s="30">
        <f t="shared" si="4"/>
        <v>104.60000000000001</v>
      </c>
      <c r="I85" s="30">
        <f t="shared" si="4"/>
        <v>460.79999999999995</v>
      </c>
      <c r="J85" s="30">
        <f t="shared" si="4"/>
        <v>202.8</v>
      </c>
      <c r="K85" s="30">
        <f t="shared" si="4"/>
        <v>270.10000000000002</v>
      </c>
      <c r="L85" s="30">
        <f t="shared" si="4"/>
        <v>518.19999999999993</v>
      </c>
      <c r="M85" s="61">
        <f t="shared" si="4"/>
        <v>213.2</v>
      </c>
      <c r="N85" s="37">
        <f>SUM(B85:M85)</f>
        <v>2862.7999999999993</v>
      </c>
      <c r="P85" s="57" t="s">
        <v>65</v>
      </c>
      <c r="Q85" s="30">
        <f t="shared" ref="Q85:AB85" si="5">SUM(Q53:Q83)</f>
        <v>439.59999999999997</v>
      </c>
      <c r="R85" s="30">
        <f t="shared" si="5"/>
        <v>421.59999999999997</v>
      </c>
      <c r="S85" s="30">
        <f t="shared" si="5"/>
        <v>212.49999999999997</v>
      </c>
      <c r="T85" s="30">
        <f t="shared" si="5"/>
        <v>237</v>
      </c>
      <c r="U85" s="30">
        <f t="shared" si="5"/>
        <v>282.29999999999995</v>
      </c>
      <c r="V85" s="30">
        <f t="shared" si="5"/>
        <v>278.20000000000005</v>
      </c>
      <c r="W85" s="30">
        <f t="shared" si="5"/>
        <v>408.59999999999997</v>
      </c>
      <c r="X85" s="30">
        <f t="shared" si="5"/>
        <v>164.9</v>
      </c>
      <c r="Y85" s="30">
        <f t="shared" si="5"/>
        <v>456.29999999999995</v>
      </c>
      <c r="Z85" s="30">
        <f t="shared" si="5"/>
        <v>213.5</v>
      </c>
      <c r="AA85" s="30">
        <f t="shared" si="5"/>
        <v>585</v>
      </c>
      <c r="AB85" s="61">
        <f t="shared" si="5"/>
        <v>179.7</v>
      </c>
      <c r="AC85" s="37">
        <f>SUM(Q85:AB85)</f>
        <v>3879.2</v>
      </c>
    </row>
    <row r="86" spans="1:29">
      <c r="A86" s="57" t="s">
        <v>66</v>
      </c>
      <c r="B86" s="30">
        <f>MAX(B53:B83)</f>
        <v>30.8</v>
      </c>
      <c r="C86" s="30">
        <f t="shared" ref="C86:M86" si="6">MAX(C53:C83)</f>
        <v>40.200000000000003</v>
      </c>
      <c r="D86" s="30">
        <f t="shared" si="6"/>
        <v>64.099999999999994</v>
      </c>
      <c r="E86" s="30">
        <f t="shared" si="6"/>
        <v>67.3</v>
      </c>
      <c r="F86" s="30">
        <f t="shared" si="6"/>
        <v>77.400000000000006</v>
      </c>
      <c r="G86" s="30">
        <f t="shared" si="6"/>
        <v>127.2</v>
      </c>
      <c r="H86" s="30">
        <f t="shared" si="6"/>
        <v>79.400000000000006</v>
      </c>
      <c r="I86" s="30">
        <f t="shared" si="6"/>
        <v>150.4</v>
      </c>
      <c r="J86" s="30">
        <f t="shared" si="6"/>
        <v>67.099999999999994</v>
      </c>
      <c r="K86" s="30">
        <f t="shared" si="6"/>
        <v>86</v>
      </c>
      <c r="L86" s="30">
        <f t="shared" si="6"/>
        <v>142.4</v>
      </c>
      <c r="M86" s="61">
        <f t="shared" si="6"/>
        <v>45</v>
      </c>
      <c r="N86" s="37">
        <f>MAX(B86:M86)</f>
        <v>150.4</v>
      </c>
      <c r="P86" s="57" t="s">
        <v>66</v>
      </c>
      <c r="Q86" s="30">
        <f>MAX(Q53:Q83)</f>
        <v>95</v>
      </c>
      <c r="R86" s="30">
        <f t="shared" ref="R86:AB86" si="7">MAX(R53:R83)</f>
        <v>58.9</v>
      </c>
      <c r="S86" s="30">
        <f t="shared" si="7"/>
        <v>44.4</v>
      </c>
      <c r="T86" s="30">
        <f t="shared" si="7"/>
        <v>60.5</v>
      </c>
      <c r="U86" s="30">
        <f t="shared" si="7"/>
        <v>50</v>
      </c>
      <c r="V86" s="30">
        <f t="shared" si="7"/>
        <v>39</v>
      </c>
      <c r="W86" s="30">
        <f t="shared" si="7"/>
        <v>79.099999999999994</v>
      </c>
      <c r="X86" s="30">
        <f t="shared" si="7"/>
        <v>30.3</v>
      </c>
      <c r="Y86" s="30">
        <f t="shared" si="7"/>
        <v>90.8</v>
      </c>
      <c r="Z86" s="30">
        <f t="shared" si="7"/>
        <v>50.1</v>
      </c>
      <c r="AA86" s="30">
        <f t="shared" si="7"/>
        <v>168</v>
      </c>
      <c r="AB86" s="61">
        <f t="shared" si="7"/>
        <v>51.8</v>
      </c>
      <c r="AC86" s="37">
        <f>MAX(Q86:AB86)</f>
        <v>168</v>
      </c>
    </row>
    <row r="87" spans="1:29">
      <c r="A87" s="62"/>
      <c r="B87" s="7"/>
      <c r="C87" s="7"/>
      <c r="D87" s="7"/>
      <c r="E87" s="7"/>
      <c r="F87" s="7"/>
      <c r="G87" s="7"/>
      <c r="H87" s="32"/>
      <c r="I87" s="7"/>
      <c r="J87" s="7"/>
      <c r="K87" s="7"/>
      <c r="L87" s="7"/>
      <c r="M87" s="63"/>
      <c r="N87" s="7"/>
      <c r="P87" s="62"/>
      <c r="Q87" s="7"/>
      <c r="R87" s="7"/>
      <c r="S87" s="7"/>
      <c r="T87" s="7"/>
      <c r="U87" s="7"/>
      <c r="V87" s="7"/>
      <c r="W87" s="32"/>
      <c r="X87" s="7"/>
      <c r="Y87" s="7"/>
      <c r="Z87" s="7"/>
      <c r="AA87" s="7"/>
      <c r="AB87" s="63"/>
      <c r="AC87" s="7"/>
    </row>
    <row r="88" spans="1:29" ht="15.75" thickBot="1">
      <c r="A88" s="64" t="s">
        <v>67</v>
      </c>
      <c r="B88" s="65">
        <v>0</v>
      </c>
      <c r="C88" s="66" t="s">
        <v>68</v>
      </c>
      <c r="D88" s="67"/>
      <c r="E88" s="68"/>
      <c r="F88" s="68"/>
      <c r="G88" s="68"/>
      <c r="H88" s="69"/>
      <c r="I88" s="68"/>
      <c r="J88" s="68"/>
      <c r="K88" s="68"/>
      <c r="L88" s="68"/>
      <c r="M88" s="70"/>
      <c r="N88" s="7"/>
      <c r="P88" s="64" t="s">
        <v>67</v>
      </c>
      <c r="Q88" s="65">
        <v>0</v>
      </c>
      <c r="R88" s="66" t="s">
        <v>68</v>
      </c>
      <c r="S88" s="67"/>
      <c r="T88" s="68"/>
      <c r="U88" s="68"/>
      <c r="V88" s="68"/>
      <c r="W88" s="69"/>
      <c r="X88" s="68"/>
      <c r="Y88" s="68"/>
      <c r="Z88" s="68"/>
      <c r="AA88" s="68"/>
      <c r="AB88" s="70"/>
      <c r="AC88" s="7"/>
    </row>
    <row r="90" spans="1:29" ht="15.75" thickBot="1"/>
    <row r="91" spans="1:29" ht="18">
      <c r="A91" s="44" t="s">
        <v>41</v>
      </c>
      <c r="B91" s="45"/>
      <c r="C91" s="45"/>
      <c r="D91" s="45"/>
      <c r="E91" s="46">
        <v>2015</v>
      </c>
      <c r="F91" s="47"/>
      <c r="G91" s="47"/>
      <c r="H91" s="48"/>
      <c r="I91" s="47"/>
      <c r="J91" s="47"/>
      <c r="K91" s="47"/>
      <c r="L91" s="47"/>
      <c r="M91" s="49"/>
      <c r="N91" s="7"/>
      <c r="P91" s="44" t="s">
        <v>41</v>
      </c>
      <c r="Q91" s="45"/>
      <c r="R91" s="45"/>
      <c r="S91" s="45"/>
      <c r="T91" s="46">
        <v>2021</v>
      </c>
      <c r="U91" s="47"/>
      <c r="V91" s="47"/>
      <c r="W91" s="48"/>
      <c r="X91" s="47"/>
      <c r="Y91" s="47"/>
      <c r="Z91" s="47"/>
      <c r="AA91" s="47"/>
      <c r="AB91" s="49"/>
      <c r="AC91" s="7"/>
    </row>
    <row r="92" spans="1:29">
      <c r="A92" s="50"/>
      <c r="B92" s="9"/>
      <c r="C92" s="9"/>
      <c r="D92" s="9"/>
      <c r="E92" s="10"/>
      <c r="F92" s="10"/>
      <c r="G92" s="10"/>
      <c r="H92" s="11"/>
      <c r="I92" s="9"/>
      <c r="J92" s="9"/>
      <c r="K92" s="9"/>
      <c r="L92" s="9"/>
      <c r="M92" s="51"/>
      <c r="N92" s="7"/>
      <c r="P92" s="50"/>
      <c r="Q92" s="9"/>
      <c r="R92" s="9"/>
      <c r="S92" s="9"/>
      <c r="T92" s="10"/>
      <c r="U92" s="10"/>
      <c r="V92" s="10"/>
      <c r="W92" s="11"/>
      <c r="X92" s="9"/>
      <c r="Y92" s="9"/>
      <c r="Z92" s="9"/>
      <c r="AA92" s="9"/>
      <c r="AB92" s="51"/>
      <c r="AC92" s="7"/>
    </row>
    <row r="93" spans="1:29" ht="15.75">
      <c r="A93" s="52" t="s">
        <v>42</v>
      </c>
      <c r="B93" s="14"/>
      <c r="C93" s="14" t="s">
        <v>43</v>
      </c>
      <c r="D93" s="14"/>
      <c r="E93" s="14"/>
      <c r="F93" s="14"/>
      <c r="G93" s="14"/>
      <c r="H93" s="15"/>
      <c r="I93" s="14"/>
      <c r="J93" s="14" t="s">
        <v>74</v>
      </c>
      <c r="K93" s="14" t="s">
        <v>75</v>
      </c>
      <c r="L93" s="14"/>
      <c r="M93" s="51"/>
      <c r="N93" s="7"/>
      <c r="P93" s="52" t="s">
        <v>42</v>
      </c>
      <c r="Q93" s="14"/>
      <c r="R93" s="14" t="s">
        <v>43</v>
      </c>
      <c r="S93" s="14"/>
      <c r="T93" s="14"/>
      <c r="U93" s="14"/>
      <c r="V93" s="14"/>
      <c r="W93" s="15"/>
      <c r="X93" s="14"/>
      <c r="Y93" s="14" t="s">
        <v>74</v>
      </c>
      <c r="Z93" s="14" t="s">
        <v>75</v>
      </c>
      <c r="AA93" s="14"/>
      <c r="AB93" s="51"/>
      <c r="AC93" s="7"/>
    </row>
    <row r="94" spans="1:29" ht="15.75">
      <c r="A94" s="52" t="s">
        <v>46</v>
      </c>
      <c r="B94" s="14"/>
      <c r="C94" s="14" t="s">
        <v>76</v>
      </c>
      <c r="D94" s="14"/>
      <c r="E94" s="14"/>
      <c r="F94" s="14"/>
      <c r="G94" s="14"/>
      <c r="H94" s="15"/>
      <c r="I94" s="14"/>
      <c r="J94" s="14" t="s">
        <v>77</v>
      </c>
      <c r="K94" s="14" t="s">
        <v>78</v>
      </c>
      <c r="L94" s="14"/>
      <c r="M94" s="51"/>
      <c r="N94" s="7"/>
      <c r="P94" s="52" t="s">
        <v>46</v>
      </c>
      <c r="Q94" s="14"/>
      <c r="R94" s="14" t="s">
        <v>76</v>
      </c>
      <c r="S94" s="14"/>
      <c r="T94" s="14"/>
      <c r="U94" s="14"/>
      <c r="V94" s="14"/>
      <c r="W94" s="15"/>
      <c r="X94" s="14"/>
      <c r="Y94" s="14" t="s">
        <v>77</v>
      </c>
      <c r="Z94" s="14" t="s">
        <v>78</v>
      </c>
      <c r="AA94" s="14"/>
      <c r="AB94" s="51"/>
      <c r="AC94" s="7"/>
    </row>
    <row r="95" spans="1:29" ht="15.75">
      <c r="A95" s="52" t="s">
        <v>49</v>
      </c>
      <c r="B95" s="14"/>
      <c r="C95" s="14" t="s">
        <v>83</v>
      </c>
      <c r="D95" s="14"/>
      <c r="E95" s="14"/>
      <c r="F95" s="14"/>
      <c r="G95" s="14"/>
      <c r="H95" s="15"/>
      <c r="I95" s="14"/>
      <c r="J95" s="14" t="s">
        <v>51</v>
      </c>
      <c r="K95" s="14" t="s">
        <v>52</v>
      </c>
      <c r="L95" s="14"/>
      <c r="M95" s="51"/>
      <c r="N95" s="7"/>
      <c r="P95" s="52" t="s">
        <v>49</v>
      </c>
      <c r="Q95" s="14"/>
      <c r="R95" s="14" t="s">
        <v>84</v>
      </c>
      <c r="S95" s="14"/>
      <c r="T95" s="14"/>
      <c r="U95" s="14"/>
      <c r="V95" s="14"/>
      <c r="W95" s="15"/>
      <c r="X95" s="14"/>
      <c r="Y95" s="14" t="s">
        <v>51</v>
      </c>
      <c r="Z95" s="14" t="s">
        <v>52</v>
      </c>
      <c r="AA95" s="14"/>
      <c r="AB95" s="51"/>
      <c r="AC95" s="7"/>
    </row>
    <row r="96" spans="1:29">
      <c r="A96" s="53"/>
      <c r="B96" s="10"/>
      <c r="C96" s="10"/>
      <c r="D96" s="10"/>
      <c r="E96" s="10"/>
      <c r="F96" s="10"/>
      <c r="G96" s="10"/>
      <c r="H96" s="17"/>
      <c r="I96" s="10"/>
      <c r="J96" s="10"/>
      <c r="K96" s="10"/>
      <c r="L96" s="10"/>
      <c r="M96" s="54"/>
      <c r="N96" s="19"/>
      <c r="P96" s="53"/>
      <c r="Q96" s="10"/>
      <c r="R96" s="10"/>
      <c r="S96" s="10"/>
      <c r="T96" s="10"/>
      <c r="U96" s="10"/>
      <c r="V96" s="10"/>
      <c r="W96" s="17"/>
      <c r="X96" s="10"/>
      <c r="Y96" s="10"/>
      <c r="Z96" s="10"/>
      <c r="AA96" s="10"/>
      <c r="AB96" s="54"/>
      <c r="AC96" s="19"/>
    </row>
    <row r="97" spans="1:29">
      <c r="A97" s="55" t="s">
        <v>53</v>
      </c>
      <c r="B97" s="21" t="s">
        <v>54</v>
      </c>
      <c r="C97" s="21" t="s">
        <v>55</v>
      </c>
      <c r="D97" s="21" t="s">
        <v>56</v>
      </c>
      <c r="E97" s="21" t="s">
        <v>57</v>
      </c>
      <c r="F97" s="21" t="s">
        <v>20</v>
      </c>
      <c r="G97" s="21" t="s">
        <v>58</v>
      </c>
      <c r="H97" s="21" t="s">
        <v>59</v>
      </c>
      <c r="I97" s="21" t="s">
        <v>60</v>
      </c>
      <c r="J97" s="21" t="s">
        <v>61</v>
      </c>
      <c r="K97" s="21" t="s">
        <v>62</v>
      </c>
      <c r="L97" s="21" t="s">
        <v>63</v>
      </c>
      <c r="M97" s="56" t="s">
        <v>64</v>
      </c>
      <c r="N97" s="19"/>
      <c r="P97" s="55" t="s">
        <v>53</v>
      </c>
      <c r="Q97" s="21" t="s">
        <v>54</v>
      </c>
      <c r="R97" s="21" t="s">
        <v>55</v>
      </c>
      <c r="S97" s="21" t="s">
        <v>56</v>
      </c>
      <c r="T97" s="21" t="s">
        <v>57</v>
      </c>
      <c r="U97" s="21" t="s">
        <v>20</v>
      </c>
      <c r="V97" s="21" t="s">
        <v>58</v>
      </c>
      <c r="W97" s="21" t="s">
        <v>59</v>
      </c>
      <c r="X97" s="21" t="s">
        <v>60</v>
      </c>
      <c r="Y97" s="21" t="s">
        <v>61</v>
      </c>
      <c r="Z97" s="21" t="s">
        <v>62</v>
      </c>
      <c r="AA97" s="21" t="s">
        <v>63</v>
      </c>
      <c r="AB97" s="56" t="s">
        <v>64</v>
      </c>
      <c r="AC97" s="19"/>
    </row>
    <row r="98" spans="1:29">
      <c r="A98" s="57">
        <v>1</v>
      </c>
      <c r="B98" s="36">
        <v>7</v>
      </c>
      <c r="C98" s="36">
        <v>28.4</v>
      </c>
      <c r="D98" s="36">
        <v>0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15.7</v>
      </c>
      <c r="M98" s="58">
        <v>32.700000000000003</v>
      </c>
      <c r="N98" s="7"/>
      <c r="P98" s="57">
        <v>1</v>
      </c>
      <c r="Q98" s="36">
        <v>14.7</v>
      </c>
      <c r="R98" s="36">
        <v>1.9</v>
      </c>
      <c r="S98" s="36">
        <v>0</v>
      </c>
      <c r="T98" s="36">
        <v>0</v>
      </c>
      <c r="U98" s="36">
        <v>1</v>
      </c>
      <c r="V98" s="36">
        <v>0</v>
      </c>
      <c r="W98" s="36">
        <v>4.5999999999999996</v>
      </c>
      <c r="X98" s="36">
        <v>0.2</v>
      </c>
      <c r="Y98" s="36">
        <v>23.1</v>
      </c>
      <c r="Z98" s="36">
        <v>74.8</v>
      </c>
      <c r="AA98" s="36">
        <v>10.1</v>
      </c>
      <c r="AB98" s="58">
        <v>0</v>
      </c>
      <c r="AC98" s="7"/>
    </row>
    <row r="99" spans="1:29">
      <c r="A99" s="57">
        <v>2</v>
      </c>
      <c r="B99" s="36">
        <v>3.2</v>
      </c>
      <c r="C99" s="36">
        <v>0.4</v>
      </c>
      <c r="D99" s="36">
        <v>0</v>
      </c>
      <c r="E99" s="36">
        <v>0</v>
      </c>
      <c r="F99" s="36">
        <v>0</v>
      </c>
      <c r="G99" s="36">
        <v>0</v>
      </c>
      <c r="H99" s="36">
        <v>0</v>
      </c>
      <c r="I99" s="36">
        <v>0</v>
      </c>
      <c r="J99" s="36">
        <v>0</v>
      </c>
      <c r="K99" s="36">
        <v>0</v>
      </c>
      <c r="L99" s="36">
        <v>24.3</v>
      </c>
      <c r="M99" s="58">
        <v>0.5</v>
      </c>
      <c r="N99" s="7"/>
      <c r="P99" s="57">
        <v>2</v>
      </c>
      <c r="Q99" s="36">
        <v>0.5</v>
      </c>
      <c r="R99" s="36">
        <v>4.9000000000000004</v>
      </c>
      <c r="S99" s="36">
        <v>0</v>
      </c>
      <c r="T99" s="36">
        <v>0</v>
      </c>
      <c r="U99" s="36">
        <v>0</v>
      </c>
      <c r="V99" s="36">
        <v>0</v>
      </c>
      <c r="W99" s="36">
        <v>6.6</v>
      </c>
      <c r="X99" s="36">
        <v>8.1999999999999993</v>
      </c>
      <c r="Y99" s="36">
        <v>11.5</v>
      </c>
      <c r="Z99" s="36">
        <v>4.2</v>
      </c>
      <c r="AA99" s="36">
        <v>21</v>
      </c>
      <c r="AB99" s="58">
        <v>0</v>
      </c>
      <c r="AC99" s="7"/>
    </row>
    <row r="100" spans="1:29">
      <c r="A100" s="57">
        <v>3</v>
      </c>
      <c r="B100" s="36">
        <v>18.600000000000001</v>
      </c>
      <c r="C100" s="36">
        <v>8.4</v>
      </c>
      <c r="D100" s="36">
        <v>0</v>
      </c>
      <c r="E100" s="36">
        <v>0</v>
      </c>
      <c r="F100" s="36">
        <v>0</v>
      </c>
      <c r="G100" s="36">
        <v>0</v>
      </c>
      <c r="H100" s="36">
        <v>0</v>
      </c>
      <c r="I100" s="36">
        <v>0</v>
      </c>
      <c r="J100" s="36">
        <v>0.4</v>
      </c>
      <c r="K100" s="36">
        <v>67.8</v>
      </c>
      <c r="L100" s="36">
        <v>0</v>
      </c>
      <c r="M100" s="58">
        <v>0</v>
      </c>
      <c r="N100" s="7"/>
      <c r="P100" s="57">
        <v>3</v>
      </c>
      <c r="Q100" s="36">
        <v>4.0999999999999996</v>
      </c>
      <c r="R100" s="36">
        <v>0</v>
      </c>
      <c r="S100" s="36">
        <v>0</v>
      </c>
      <c r="T100" s="36">
        <v>0</v>
      </c>
      <c r="U100" s="36">
        <v>47.8</v>
      </c>
      <c r="V100" s="36">
        <v>17</v>
      </c>
      <c r="W100" s="36">
        <v>0</v>
      </c>
      <c r="X100" s="36">
        <v>0</v>
      </c>
      <c r="Y100" s="36">
        <v>5.5</v>
      </c>
      <c r="Z100" s="36">
        <v>0</v>
      </c>
      <c r="AA100" s="36">
        <v>5.2</v>
      </c>
      <c r="AB100" s="58">
        <v>6.6</v>
      </c>
      <c r="AC100" s="7"/>
    </row>
    <row r="101" spans="1:29">
      <c r="A101" s="57">
        <v>4</v>
      </c>
      <c r="B101" s="36">
        <v>2.6</v>
      </c>
      <c r="C101" s="36">
        <v>23.7</v>
      </c>
      <c r="D101" s="36">
        <v>0</v>
      </c>
      <c r="E101" s="36">
        <v>0</v>
      </c>
      <c r="F101" s="36">
        <v>0</v>
      </c>
      <c r="G101" s="36">
        <v>0</v>
      </c>
      <c r="H101" s="36">
        <v>0</v>
      </c>
      <c r="I101" s="36">
        <v>0</v>
      </c>
      <c r="J101" s="36">
        <v>0</v>
      </c>
      <c r="K101" s="36">
        <v>0</v>
      </c>
      <c r="L101" s="36">
        <v>0.7</v>
      </c>
      <c r="M101" s="58">
        <v>9.1999999999999993</v>
      </c>
      <c r="N101" s="7"/>
      <c r="P101" s="57">
        <v>4</v>
      </c>
      <c r="Q101" s="36">
        <v>0.4</v>
      </c>
      <c r="R101" s="36">
        <v>1.5</v>
      </c>
      <c r="S101" s="36">
        <v>26.1</v>
      </c>
      <c r="T101" s="36">
        <v>0</v>
      </c>
      <c r="U101" s="36">
        <v>0</v>
      </c>
      <c r="V101" s="36">
        <v>0</v>
      </c>
      <c r="W101" s="36">
        <v>10.199999999999999</v>
      </c>
      <c r="X101" s="36">
        <v>0</v>
      </c>
      <c r="Y101" s="36">
        <v>0</v>
      </c>
      <c r="Z101" s="36">
        <v>47</v>
      </c>
      <c r="AA101" s="36">
        <v>10.6</v>
      </c>
      <c r="AB101" s="58">
        <v>1.1000000000000001</v>
      </c>
      <c r="AC101" s="7"/>
    </row>
    <row r="102" spans="1:29">
      <c r="A102" s="57">
        <v>5</v>
      </c>
      <c r="B102" s="36">
        <v>11.9</v>
      </c>
      <c r="C102" s="36">
        <v>0</v>
      </c>
      <c r="D102" s="36">
        <v>0</v>
      </c>
      <c r="E102" s="36">
        <v>0</v>
      </c>
      <c r="F102" s="36">
        <v>0</v>
      </c>
      <c r="G102" s="36">
        <v>0</v>
      </c>
      <c r="H102" s="36">
        <v>0</v>
      </c>
      <c r="I102" s="36">
        <v>0</v>
      </c>
      <c r="J102" s="36">
        <v>0</v>
      </c>
      <c r="K102" s="36">
        <v>14.6</v>
      </c>
      <c r="L102" s="36">
        <v>18.8</v>
      </c>
      <c r="M102" s="58">
        <v>63.4</v>
      </c>
      <c r="N102" s="7"/>
      <c r="P102" s="57">
        <v>5</v>
      </c>
      <c r="Q102" s="36">
        <v>15.2</v>
      </c>
      <c r="R102" s="36">
        <v>0.8</v>
      </c>
      <c r="S102" s="36">
        <v>1.4</v>
      </c>
      <c r="T102" s="36">
        <v>0</v>
      </c>
      <c r="U102" s="36">
        <v>0.4</v>
      </c>
      <c r="V102" s="36">
        <v>0</v>
      </c>
      <c r="W102" s="36">
        <v>0</v>
      </c>
      <c r="X102" s="36">
        <v>31.3</v>
      </c>
      <c r="Y102" s="36">
        <v>41.2</v>
      </c>
      <c r="Z102" s="36">
        <v>0</v>
      </c>
      <c r="AA102" s="36">
        <v>4.5999999999999996</v>
      </c>
      <c r="AB102" s="58">
        <v>0</v>
      </c>
      <c r="AC102" s="7"/>
    </row>
    <row r="103" spans="1:29">
      <c r="A103" s="57">
        <v>6</v>
      </c>
      <c r="B103" s="36">
        <v>1.5</v>
      </c>
      <c r="C103" s="36">
        <v>43.8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10.6</v>
      </c>
      <c r="L103" s="36">
        <v>4.9000000000000004</v>
      </c>
      <c r="M103" s="58">
        <v>0</v>
      </c>
      <c r="N103" s="7"/>
      <c r="P103" s="57">
        <v>6</v>
      </c>
      <c r="Q103" s="36">
        <v>0</v>
      </c>
      <c r="R103" s="36">
        <v>1.4</v>
      </c>
      <c r="S103" s="36">
        <v>7.9</v>
      </c>
      <c r="T103" s="36">
        <v>0</v>
      </c>
      <c r="U103" s="36">
        <v>7.5</v>
      </c>
      <c r="V103" s="36">
        <v>8.4</v>
      </c>
      <c r="W103" s="36">
        <v>0</v>
      </c>
      <c r="X103" s="36">
        <v>1</v>
      </c>
      <c r="Y103" s="36">
        <v>13.6</v>
      </c>
      <c r="Z103" s="36">
        <v>0</v>
      </c>
      <c r="AA103" s="36">
        <v>0</v>
      </c>
      <c r="AB103" s="58">
        <v>4.8</v>
      </c>
      <c r="AC103" s="7"/>
    </row>
    <row r="104" spans="1:29">
      <c r="A104" s="57">
        <v>7</v>
      </c>
      <c r="B104" s="36">
        <v>0</v>
      </c>
      <c r="C104" s="36">
        <v>0</v>
      </c>
      <c r="D104" s="36">
        <v>0</v>
      </c>
      <c r="E104" s="36">
        <v>0</v>
      </c>
      <c r="F104" s="36">
        <v>0</v>
      </c>
      <c r="G104" s="36">
        <v>0</v>
      </c>
      <c r="H104" s="36">
        <v>0</v>
      </c>
      <c r="I104" s="36">
        <v>0</v>
      </c>
      <c r="J104" s="36">
        <v>0</v>
      </c>
      <c r="K104" s="36">
        <v>87</v>
      </c>
      <c r="L104" s="36">
        <v>14.4</v>
      </c>
      <c r="M104" s="58">
        <v>6.8</v>
      </c>
      <c r="N104" s="7"/>
      <c r="P104" s="57">
        <v>7</v>
      </c>
      <c r="Q104" s="36">
        <v>0.4</v>
      </c>
      <c r="R104" s="36">
        <v>0</v>
      </c>
      <c r="S104" s="36">
        <v>7.5</v>
      </c>
      <c r="T104" s="36">
        <v>0</v>
      </c>
      <c r="U104" s="36">
        <v>19.600000000000001</v>
      </c>
      <c r="V104" s="36">
        <v>4</v>
      </c>
      <c r="W104" s="36">
        <v>0</v>
      </c>
      <c r="X104" s="36">
        <v>0</v>
      </c>
      <c r="Y104" s="36">
        <v>5.6</v>
      </c>
      <c r="Z104" s="36">
        <v>0</v>
      </c>
      <c r="AA104" s="36">
        <v>11.5</v>
      </c>
      <c r="AB104" s="58">
        <v>0</v>
      </c>
      <c r="AC104" s="7"/>
    </row>
    <row r="105" spans="1:29">
      <c r="A105" s="57">
        <v>8</v>
      </c>
      <c r="B105" s="36">
        <v>14.8</v>
      </c>
      <c r="C105" s="36">
        <v>0</v>
      </c>
      <c r="D105" s="36">
        <v>0</v>
      </c>
      <c r="E105" s="36">
        <v>0</v>
      </c>
      <c r="F105" s="36">
        <v>0</v>
      </c>
      <c r="G105" s="36">
        <v>0</v>
      </c>
      <c r="H105" s="36">
        <v>0</v>
      </c>
      <c r="I105" s="36">
        <v>0</v>
      </c>
      <c r="J105" s="36">
        <v>10.6</v>
      </c>
      <c r="K105" s="36">
        <v>9.4</v>
      </c>
      <c r="L105" s="36">
        <v>6.4</v>
      </c>
      <c r="M105" s="58">
        <v>0.5</v>
      </c>
      <c r="N105" s="7"/>
      <c r="P105" s="57">
        <v>8</v>
      </c>
      <c r="Q105" s="36">
        <v>123.3</v>
      </c>
      <c r="R105" s="36">
        <v>0</v>
      </c>
      <c r="S105" s="36">
        <v>24.1</v>
      </c>
      <c r="T105" s="36">
        <v>0</v>
      </c>
      <c r="U105" s="36">
        <v>1.5</v>
      </c>
      <c r="V105" s="36">
        <v>1.4</v>
      </c>
      <c r="W105" s="36">
        <v>0.8</v>
      </c>
      <c r="X105" s="36">
        <v>70</v>
      </c>
      <c r="Y105" s="36">
        <v>5.9</v>
      </c>
      <c r="Z105" s="36">
        <v>13.6</v>
      </c>
      <c r="AA105" s="36">
        <v>1.3</v>
      </c>
      <c r="AB105" s="58">
        <v>0</v>
      </c>
      <c r="AC105" s="7"/>
    </row>
    <row r="106" spans="1:29">
      <c r="A106" s="57">
        <v>9</v>
      </c>
      <c r="B106" s="36">
        <v>5.6</v>
      </c>
      <c r="C106" s="36">
        <v>0</v>
      </c>
      <c r="D106" s="36">
        <v>0</v>
      </c>
      <c r="E106" s="36">
        <v>0</v>
      </c>
      <c r="F106" s="36">
        <v>0</v>
      </c>
      <c r="G106" s="36">
        <v>0</v>
      </c>
      <c r="H106" s="36">
        <v>0</v>
      </c>
      <c r="I106" s="36">
        <v>0</v>
      </c>
      <c r="J106" s="36">
        <v>0</v>
      </c>
      <c r="K106" s="36">
        <v>0</v>
      </c>
      <c r="L106" s="36">
        <v>0</v>
      </c>
      <c r="M106" s="58">
        <v>36.6</v>
      </c>
      <c r="N106" s="7"/>
      <c r="P106" s="57">
        <v>9</v>
      </c>
      <c r="Q106" s="36">
        <v>0</v>
      </c>
      <c r="R106" s="36">
        <v>1.4</v>
      </c>
      <c r="S106" s="36">
        <v>0.7</v>
      </c>
      <c r="T106" s="36">
        <v>0</v>
      </c>
      <c r="U106" s="36">
        <v>1.5</v>
      </c>
      <c r="V106" s="36">
        <v>13</v>
      </c>
      <c r="W106" s="36">
        <v>13.5</v>
      </c>
      <c r="X106" s="36">
        <v>3</v>
      </c>
      <c r="Y106" s="36">
        <v>18.100000000000001</v>
      </c>
      <c r="Z106" s="36">
        <v>0</v>
      </c>
      <c r="AA106" s="36">
        <v>0</v>
      </c>
      <c r="AB106" s="58">
        <v>1.5</v>
      </c>
      <c r="AC106" s="7"/>
    </row>
    <row r="107" spans="1:29">
      <c r="A107" s="57">
        <v>10</v>
      </c>
      <c r="B107" s="36">
        <v>0.7</v>
      </c>
      <c r="C107" s="36">
        <v>0</v>
      </c>
      <c r="D107" s="36">
        <v>0</v>
      </c>
      <c r="E107" s="36">
        <v>0</v>
      </c>
      <c r="F107" s="36">
        <v>0</v>
      </c>
      <c r="G107" s="36">
        <v>0</v>
      </c>
      <c r="H107" s="36">
        <v>0</v>
      </c>
      <c r="I107" s="36">
        <v>0</v>
      </c>
      <c r="J107" s="36">
        <v>0</v>
      </c>
      <c r="K107" s="36">
        <v>0</v>
      </c>
      <c r="L107" s="36">
        <v>0</v>
      </c>
      <c r="M107" s="58">
        <v>2.2999999999999998</v>
      </c>
      <c r="N107" s="7"/>
      <c r="P107" s="57">
        <v>10</v>
      </c>
      <c r="Q107" s="36">
        <v>17.600000000000001</v>
      </c>
      <c r="R107" s="36">
        <v>0</v>
      </c>
      <c r="S107" s="36">
        <v>0</v>
      </c>
      <c r="T107" s="36">
        <v>0</v>
      </c>
      <c r="U107" s="36">
        <v>13.9</v>
      </c>
      <c r="V107" s="36">
        <v>58.7</v>
      </c>
      <c r="W107" s="36">
        <v>0</v>
      </c>
      <c r="X107" s="36">
        <v>0</v>
      </c>
      <c r="Y107" s="36">
        <v>0</v>
      </c>
      <c r="Z107" s="36">
        <v>0</v>
      </c>
      <c r="AA107" s="36">
        <v>1</v>
      </c>
      <c r="AB107" s="58">
        <v>0</v>
      </c>
      <c r="AC107" s="7"/>
    </row>
    <row r="108" spans="1:29">
      <c r="A108" s="57">
        <v>11</v>
      </c>
      <c r="B108" s="36">
        <v>0</v>
      </c>
      <c r="C108" s="36">
        <v>0</v>
      </c>
      <c r="D108" s="36">
        <v>0</v>
      </c>
      <c r="E108" s="36">
        <v>0</v>
      </c>
      <c r="F108" s="36">
        <v>0</v>
      </c>
      <c r="G108" s="36">
        <v>0</v>
      </c>
      <c r="H108" s="36">
        <v>0</v>
      </c>
      <c r="I108" s="36">
        <v>0</v>
      </c>
      <c r="J108" s="36">
        <v>0</v>
      </c>
      <c r="K108" s="36">
        <v>0</v>
      </c>
      <c r="L108" s="36">
        <v>20.8</v>
      </c>
      <c r="M108" s="58">
        <v>38.6</v>
      </c>
      <c r="N108" s="7"/>
      <c r="P108" s="57">
        <v>11</v>
      </c>
      <c r="Q108" s="36">
        <v>16.3</v>
      </c>
      <c r="R108" s="36">
        <v>0</v>
      </c>
      <c r="S108" s="36">
        <v>0</v>
      </c>
      <c r="T108" s="36">
        <v>6.8</v>
      </c>
      <c r="U108" s="36">
        <v>19</v>
      </c>
      <c r="V108" s="36">
        <v>1.5</v>
      </c>
      <c r="W108" s="36">
        <v>1.1000000000000001</v>
      </c>
      <c r="X108" s="36">
        <v>0</v>
      </c>
      <c r="Y108" s="36">
        <v>9.8000000000000007</v>
      </c>
      <c r="Z108" s="36">
        <v>0</v>
      </c>
      <c r="AA108" s="36">
        <v>53.6</v>
      </c>
      <c r="AB108" s="58">
        <v>0</v>
      </c>
      <c r="AC108" s="7"/>
    </row>
    <row r="109" spans="1:29">
      <c r="A109" s="57">
        <v>12</v>
      </c>
      <c r="B109" s="36">
        <v>0</v>
      </c>
      <c r="C109" s="36">
        <v>0</v>
      </c>
      <c r="D109" s="36">
        <v>0</v>
      </c>
      <c r="E109" s="36">
        <v>0</v>
      </c>
      <c r="F109" s="36">
        <v>0</v>
      </c>
      <c r="G109" s="36">
        <v>0</v>
      </c>
      <c r="H109" s="36">
        <v>0</v>
      </c>
      <c r="I109" s="36">
        <v>0</v>
      </c>
      <c r="J109" s="36">
        <v>0</v>
      </c>
      <c r="K109" s="36">
        <v>0.6</v>
      </c>
      <c r="L109" s="36">
        <v>2.8</v>
      </c>
      <c r="M109" s="58">
        <v>0.4</v>
      </c>
      <c r="N109" s="7"/>
      <c r="P109" s="57">
        <v>12</v>
      </c>
      <c r="Q109" s="36">
        <v>1</v>
      </c>
      <c r="R109" s="36">
        <v>0</v>
      </c>
      <c r="S109" s="36">
        <v>0</v>
      </c>
      <c r="T109" s="36">
        <v>5</v>
      </c>
      <c r="U109" s="36">
        <v>0</v>
      </c>
      <c r="V109" s="36">
        <v>24.1</v>
      </c>
      <c r="W109" s="36">
        <v>3</v>
      </c>
      <c r="X109" s="36">
        <v>3.4</v>
      </c>
      <c r="Y109" s="36">
        <v>0</v>
      </c>
      <c r="Z109" s="36">
        <v>0</v>
      </c>
      <c r="AA109" s="36">
        <v>0</v>
      </c>
      <c r="AB109" s="58">
        <v>2.5</v>
      </c>
      <c r="AC109" s="7"/>
    </row>
    <row r="110" spans="1:29">
      <c r="A110" s="57">
        <v>13</v>
      </c>
      <c r="B110" s="36">
        <v>0</v>
      </c>
      <c r="C110" s="36">
        <v>0</v>
      </c>
      <c r="D110" s="36">
        <v>0</v>
      </c>
      <c r="E110" s="36">
        <v>0</v>
      </c>
      <c r="F110" s="36">
        <v>0</v>
      </c>
      <c r="G110" s="36">
        <v>0</v>
      </c>
      <c r="H110" s="36">
        <v>0</v>
      </c>
      <c r="I110" s="36">
        <v>0</v>
      </c>
      <c r="J110" s="36">
        <v>0</v>
      </c>
      <c r="K110" s="36">
        <v>1</v>
      </c>
      <c r="L110" s="36">
        <v>17</v>
      </c>
      <c r="M110" s="58">
        <v>0</v>
      </c>
      <c r="N110" s="7"/>
      <c r="P110" s="57">
        <v>13</v>
      </c>
      <c r="Q110" s="36">
        <v>8.6</v>
      </c>
      <c r="R110" s="36">
        <v>0</v>
      </c>
      <c r="S110" s="36">
        <v>1.4</v>
      </c>
      <c r="T110" s="36">
        <v>16.7</v>
      </c>
      <c r="U110" s="36">
        <v>13.5</v>
      </c>
      <c r="V110" s="36">
        <v>0</v>
      </c>
      <c r="W110" s="36">
        <v>9.8000000000000007</v>
      </c>
      <c r="X110" s="36">
        <v>1.5</v>
      </c>
      <c r="Y110" s="36">
        <v>12.7</v>
      </c>
      <c r="Z110" s="36">
        <v>0</v>
      </c>
      <c r="AA110" s="36">
        <v>9.1</v>
      </c>
      <c r="AB110" s="58">
        <v>1</v>
      </c>
      <c r="AC110" s="7"/>
    </row>
    <row r="111" spans="1:29">
      <c r="A111" s="57">
        <v>14</v>
      </c>
      <c r="B111" s="36">
        <v>0</v>
      </c>
      <c r="C111" s="36">
        <v>0</v>
      </c>
      <c r="D111" s="36">
        <v>0</v>
      </c>
      <c r="E111" s="36">
        <v>0</v>
      </c>
      <c r="F111" s="36">
        <v>0</v>
      </c>
      <c r="G111" s="36">
        <v>0</v>
      </c>
      <c r="H111" s="36">
        <v>0</v>
      </c>
      <c r="I111" s="36">
        <v>0</v>
      </c>
      <c r="J111" s="36">
        <v>3</v>
      </c>
      <c r="K111" s="36">
        <v>0</v>
      </c>
      <c r="L111" s="36">
        <v>0.4</v>
      </c>
      <c r="M111" s="58">
        <v>5</v>
      </c>
      <c r="N111" s="7"/>
      <c r="P111" s="57">
        <v>14</v>
      </c>
      <c r="Q111" s="36">
        <v>53.2</v>
      </c>
      <c r="R111" s="36">
        <v>0</v>
      </c>
      <c r="S111" s="36">
        <v>0</v>
      </c>
      <c r="T111" s="36">
        <v>6</v>
      </c>
      <c r="U111" s="36">
        <v>0</v>
      </c>
      <c r="V111" s="36">
        <v>9.1</v>
      </c>
      <c r="W111" s="36">
        <v>115.1</v>
      </c>
      <c r="X111" s="36">
        <v>20.2</v>
      </c>
      <c r="Y111" s="36">
        <v>116.6</v>
      </c>
      <c r="Z111" s="36">
        <v>0</v>
      </c>
      <c r="AA111" s="36">
        <v>0</v>
      </c>
      <c r="AB111" s="58">
        <v>9</v>
      </c>
      <c r="AC111" s="7"/>
    </row>
    <row r="112" spans="1:29">
      <c r="A112" s="57">
        <v>15</v>
      </c>
      <c r="B112" s="36">
        <v>7.4</v>
      </c>
      <c r="C112" s="36">
        <v>0</v>
      </c>
      <c r="D112" s="36">
        <v>0</v>
      </c>
      <c r="E112" s="36">
        <v>0</v>
      </c>
      <c r="F112" s="36">
        <v>0</v>
      </c>
      <c r="G112" s="36">
        <v>0</v>
      </c>
      <c r="H112" s="36">
        <v>0</v>
      </c>
      <c r="I112" s="36">
        <v>0</v>
      </c>
      <c r="J112" s="36">
        <v>0</v>
      </c>
      <c r="K112" s="36">
        <v>10.6</v>
      </c>
      <c r="L112" s="36">
        <v>2</v>
      </c>
      <c r="M112" s="58">
        <v>4</v>
      </c>
      <c r="N112" s="7"/>
      <c r="P112" s="57">
        <v>15</v>
      </c>
      <c r="Q112" s="36">
        <v>13.2</v>
      </c>
      <c r="R112" s="36">
        <v>0</v>
      </c>
      <c r="S112" s="36">
        <v>16.2</v>
      </c>
      <c r="T112" s="36">
        <v>24.5</v>
      </c>
      <c r="U112" s="36">
        <v>0</v>
      </c>
      <c r="V112" s="36">
        <v>0</v>
      </c>
      <c r="W112" s="36">
        <v>11.7</v>
      </c>
      <c r="X112" s="36">
        <v>20.2</v>
      </c>
      <c r="Y112" s="36">
        <v>0</v>
      </c>
      <c r="Z112" s="36">
        <v>4.5</v>
      </c>
      <c r="AA112" s="36">
        <v>12.3</v>
      </c>
      <c r="AB112" s="58">
        <v>53.7</v>
      </c>
      <c r="AC112" s="7"/>
    </row>
    <row r="113" spans="1:29">
      <c r="A113" s="57">
        <v>16</v>
      </c>
      <c r="B113" s="36">
        <v>9.1999999999999993</v>
      </c>
      <c r="C113" s="36">
        <v>0</v>
      </c>
      <c r="D113" s="36">
        <v>0</v>
      </c>
      <c r="E113" s="36">
        <v>0</v>
      </c>
      <c r="F113" s="36">
        <v>0</v>
      </c>
      <c r="G113" s="36">
        <v>0</v>
      </c>
      <c r="H113" s="36">
        <v>0</v>
      </c>
      <c r="I113" s="36">
        <v>0</v>
      </c>
      <c r="J113" s="36">
        <v>0</v>
      </c>
      <c r="K113" s="36">
        <v>0</v>
      </c>
      <c r="L113" s="36">
        <v>3.7</v>
      </c>
      <c r="M113" s="58">
        <v>1</v>
      </c>
      <c r="N113" s="7"/>
      <c r="P113" s="57">
        <v>16</v>
      </c>
      <c r="Q113" s="36">
        <v>0</v>
      </c>
      <c r="R113" s="36">
        <v>0</v>
      </c>
      <c r="S113" s="36">
        <v>0</v>
      </c>
      <c r="T113" s="36">
        <v>33.200000000000003</v>
      </c>
      <c r="U113" s="36">
        <v>1</v>
      </c>
      <c r="V113" s="36">
        <v>53.1</v>
      </c>
      <c r="W113" s="36">
        <v>0</v>
      </c>
      <c r="X113" s="36">
        <v>5</v>
      </c>
      <c r="Y113" s="36">
        <v>0</v>
      </c>
      <c r="Z113" s="36">
        <v>0.1</v>
      </c>
      <c r="AA113" s="36">
        <v>0.5</v>
      </c>
      <c r="AB113" s="58">
        <v>19.899999999999999</v>
      </c>
      <c r="AC113" s="7"/>
    </row>
    <row r="114" spans="1:29">
      <c r="A114" s="57">
        <v>17</v>
      </c>
      <c r="B114" s="36">
        <v>21.4</v>
      </c>
      <c r="C114" s="36">
        <v>0</v>
      </c>
      <c r="D114" s="36">
        <v>0</v>
      </c>
      <c r="E114" s="36">
        <v>0</v>
      </c>
      <c r="F114" s="36">
        <v>0</v>
      </c>
      <c r="G114" s="36">
        <v>0</v>
      </c>
      <c r="H114" s="36">
        <v>0</v>
      </c>
      <c r="I114" s="36">
        <v>0</v>
      </c>
      <c r="J114" s="36">
        <v>0</v>
      </c>
      <c r="K114" s="36">
        <v>0</v>
      </c>
      <c r="L114" s="36">
        <v>53.4</v>
      </c>
      <c r="M114" s="58">
        <v>0.4</v>
      </c>
      <c r="N114" s="7"/>
      <c r="P114" s="57">
        <v>17</v>
      </c>
      <c r="Q114" s="36">
        <v>0</v>
      </c>
      <c r="R114" s="36">
        <v>0</v>
      </c>
      <c r="S114" s="36">
        <v>9.3000000000000007</v>
      </c>
      <c r="T114" s="36">
        <v>33.6</v>
      </c>
      <c r="U114" s="36">
        <v>0</v>
      </c>
      <c r="V114" s="36">
        <v>0</v>
      </c>
      <c r="W114" s="36">
        <v>0</v>
      </c>
      <c r="X114" s="36">
        <v>56.8</v>
      </c>
      <c r="Y114" s="36">
        <v>3</v>
      </c>
      <c r="Z114" s="36">
        <v>3.5</v>
      </c>
      <c r="AA114" s="36">
        <v>2.5</v>
      </c>
      <c r="AB114" s="58">
        <v>4.5</v>
      </c>
      <c r="AC114" s="7"/>
    </row>
    <row r="115" spans="1:29">
      <c r="A115" s="57">
        <v>18</v>
      </c>
      <c r="B115" s="36">
        <v>15.6</v>
      </c>
      <c r="C115" s="36">
        <v>0</v>
      </c>
      <c r="D115" s="36">
        <v>0</v>
      </c>
      <c r="E115" s="36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1.3</v>
      </c>
      <c r="M115" s="58">
        <v>14</v>
      </c>
      <c r="N115" s="7"/>
      <c r="P115" s="57">
        <v>18</v>
      </c>
      <c r="Q115" s="36">
        <v>0</v>
      </c>
      <c r="R115" s="36">
        <v>0</v>
      </c>
      <c r="S115" s="36">
        <v>0</v>
      </c>
      <c r="T115" s="36">
        <v>30.7</v>
      </c>
      <c r="U115" s="36">
        <v>38.200000000000003</v>
      </c>
      <c r="V115" s="36">
        <v>19.3</v>
      </c>
      <c r="W115" s="36">
        <v>0</v>
      </c>
      <c r="X115" s="36">
        <v>153.5</v>
      </c>
      <c r="Y115" s="36">
        <v>62.9</v>
      </c>
      <c r="Z115" s="36">
        <v>21.5</v>
      </c>
      <c r="AA115" s="36">
        <v>0</v>
      </c>
      <c r="AB115" s="58">
        <v>0</v>
      </c>
      <c r="AC115" s="7"/>
    </row>
    <row r="116" spans="1:29">
      <c r="A116" s="57">
        <v>19</v>
      </c>
      <c r="B116" s="36">
        <v>44.7</v>
      </c>
      <c r="C116" s="36">
        <v>0</v>
      </c>
      <c r="D116" s="36">
        <v>0</v>
      </c>
      <c r="E116" s="36">
        <v>0</v>
      </c>
      <c r="F116" s="36">
        <v>0</v>
      </c>
      <c r="G116" s="36">
        <v>0</v>
      </c>
      <c r="H116" s="36">
        <v>0</v>
      </c>
      <c r="I116" s="36">
        <v>0</v>
      </c>
      <c r="J116" s="36">
        <v>0</v>
      </c>
      <c r="K116" s="36">
        <v>1.4</v>
      </c>
      <c r="L116" s="36">
        <v>0.2</v>
      </c>
      <c r="M116" s="58">
        <v>9.4</v>
      </c>
      <c r="N116" s="7"/>
      <c r="P116" s="57">
        <v>19</v>
      </c>
      <c r="Q116" s="36">
        <v>0</v>
      </c>
      <c r="R116" s="36">
        <v>0</v>
      </c>
      <c r="S116" s="36">
        <v>0</v>
      </c>
      <c r="T116" s="36">
        <v>0.5</v>
      </c>
      <c r="U116" s="36">
        <v>57.2</v>
      </c>
      <c r="V116" s="36">
        <v>0</v>
      </c>
      <c r="W116" s="36">
        <v>0</v>
      </c>
      <c r="X116" s="36">
        <v>9.1999999999999993</v>
      </c>
      <c r="Y116" s="36">
        <v>21.8</v>
      </c>
      <c r="Z116" s="36">
        <v>7.5</v>
      </c>
      <c r="AA116" s="36">
        <v>2.6</v>
      </c>
      <c r="AB116" s="58">
        <v>17.5</v>
      </c>
      <c r="AC116" s="7"/>
    </row>
    <row r="117" spans="1:29">
      <c r="A117" s="57">
        <v>20</v>
      </c>
      <c r="B117" s="36">
        <v>0</v>
      </c>
      <c r="C117" s="36">
        <v>0</v>
      </c>
      <c r="D117" s="36">
        <v>0</v>
      </c>
      <c r="E117" s="36">
        <v>0</v>
      </c>
      <c r="F117" s="36">
        <v>0</v>
      </c>
      <c r="G117" s="36">
        <v>0</v>
      </c>
      <c r="H117" s="36">
        <v>0</v>
      </c>
      <c r="I117" s="36">
        <v>0</v>
      </c>
      <c r="J117" s="36">
        <v>4</v>
      </c>
      <c r="K117" s="36">
        <v>0</v>
      </c>
      <c r="L117" s="36">
        <v>16.100000000000001</v>
      </c>
      <c r="M117" s="58">
        <v>0</v>
      </c>
      <c r="N117" s="7"/>
      <c r="P117" s="57">
        <v>20</v>
      </c>
      <c r="Q117" s="36">
        <v>0</v>
      </c>
      <c r="R117" s="36">
        <v>0</v>
      </c>
      <c r="S117" s="36">
        <v>0</v>
      </c>
      <c r="T117" s="36">
        <v>23</v>
      </c>
      <c r="U117" s="36">
        <v>1.4</v>
      </c>
      <c r="V117" s="36">
        <v>26.2</v>
      </c>
      <c r="W117" s="36">
        <v>1</v>
      </c>
      <c r="X117" s="36">
        <v>25.9</v>
      </c>
      <c r="Y117" s="36">
        <v>0</v>
      </c>
      <c r="Z117" s="36">
        <v>44.6</v>
      </c>
      <c r="AA117" s="36">
        <v>21.3</v>
      </c>
      <c r="AB117" s="58">
        <v>10.3</v>
      </c>
      <c r="AC117" s="7"/>
    </row>
    <row r="118" spans="1:29">
      <c r="A118" s="57">
        <v>21</v>
      </c>
      <c r="B118" s="36">
        <v>20.8</v>
      </c>
      <c r="C118" s="36">
        <v>0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0.3</v>
      </c>
      <c r="K118" s="36">
        <v>0</v>
      </c>
      <c r="L118" s="36">
        <v>24</v>
      </c>
      <c r="M118" s="58">
        <v>0</v>
      </c>
      <c r="N118" s="7"/>
      <c r="P118" s="57">
        <v>21</v>
      </c>
      <c r="Q118" s="36">
        <v>0</v>
      </c>
      <c r="R118" s="36">
        <v>0</v>
      </c>
      <c r="S118" s="36">
        <v>0</v>
      </c>
      <c r="T118" s="36">
        <v>0</v>
      </c>
      <c r="U118" s="36">
        <v>0.5</v>
      </c>
      <c r="V118" s="36">
        <v>14.5</v>
      </c>
      <c r="W118" s="36">
        <v>1</v>
      </c>
      <c r="X118" s="36">
        <v>0</v>
      </c>
      <c r="Y118" s="36">
        <v>0</v>
      </c>
      <c r="Z118" s="36">
        <v>7.3</v>
      </c>
      <c r="AA118" s="36">
        <v>0</v>
      </c>
      <c r="AB118" s="58">
        <v>11.6</v>
      </c>
      <c r="AC118" s="7"/>
    </row>
    <row r="119" spans="1:29">
      <c r="A119" s="57">
        <v>22</v>
      </c>
      <c r="B119" s="36">
        <v>0</v>
      </c>
      <c r="C119" s="36">
        <v>0</v>
      </c>
      <c r="D119" s="36">
        <v>0</v>
      </c>
      <c r="E119" s="36">
        <v>0</v>
      </c>
      <c r="F119" s="36">
        <v>0</v>
      </c>
      <c r="G119" s="36">
        <v>0</v>
      </c>
      <c r="H119" s="36">
        <v>0</v>
      </c>
      <c r="I119" s="36">
        <v>0</v>
      </c>
      <c r="J119" s="36">
        <v>0</v>
      </c>
      <c r="K119" s="36">
        <v>0</v>
      </c>
      <c r="L119" s="36">
        <v>0.4</v>
      </c>
      <c r="M119" s="58">
        <v>0</v>
      </c>
      <c r="N119" s="7"/>
      <c r="P119" s="57">
        <v>22</v>
      </c>
      <c r="Q119" s="36">
        <v>0</v>
      </c>
      <c r="R119" s="36">
        <v>0</v>
      </c>
      <c r="S119" s="36">
        <v>10.8</v>
      </c>
      <c r="T119" s="36">
        <v>0</v>
      </c>
      <c r="U119" s="36">
        <v>8.6</v>
      </c>
      <c r="V119" s="36">
        <v>0</v>
      </c>
      <c r="W119" s="36">
        <v>0</v>
      </c>
      <c r="X119" s="36">
        <v>100.3</v>
      </c>
      <c r="Y119" s="36">
        <v>0</v>
      </c>
      <c r="Z119" s="36">
        <v>0</v>
      </c>
      <c r="AA119" s="36">
        <v>0</v>
      </c>
      <c r="AB119" s="58">
        <v>0</v>
      </c>
      <c r="AC119" s="7"/>
    </row>
    <row r="120" spans="1:29">
      <c r="A120" s="57">
        <v>23</v>
      </c>
      <c r="B120" s="36">
        <v>0</v>
      </c>
      <c r="C120" s="36">
        <v>0</v>
      </c>
      <c r="D120" s="36">
        <v>0</v>
      </c>
      <c r="E120" s="36">
        <v>0</v>
      </c>
      <c r="F120" s="36">
        <v>0</v>
      </c>
      <c r="G120" s="36">
        <v>0</v>
      </c>
      <c r="H120" s="36">
        <v>0</v>
      </c>
      <c r="I120" s="36">
        <v>0</v>
      </c>
      <c r="J120" s="36">
        <v>0</v>
      </c>
      <c r="K120" s="36">
        <v>10.4</v>
      </c>
      <c r="L120" s="36">
        <v>2.6</v>
      </c>
      <c r="M120" s="58">
        <v>0</v>
      </c>
      <c r="N120" s="7"/>
      <c r="P120" s="57">
        <v>23</v>
      </c>
      <c r="Q120" s="36">
        <v>0</v>
      </c>
      <c r="R120" s="36">
        <v>0</v>
      </c>
      <c r="S120" s="36">
        <v>15.8</v>
      </c>
      <c r="T120" s="36">
        <v>2.2000000000000002</v>
      </c>
      <c r="U120" s="36">
        <v>29.4</v>
      </c>
      <c r="V120" s="36">
        <v>0</v>
      </c>
      <c r="W120" s="36">
        <v>0</v>
      </c>
      <c r="X120" s="36">
        <v>0</v>
      </c>
      <c r="Y120" s="36">
        <v>1.5</v>
      </c>
      <c r="Z120" s="36">
        <v>3.2</v>
      </c>
      <c r="AA120" s="36">
        <v>0</v>
      </c>
      <c r="AB120" s="58">
        <v>0</v>
      </c>
      <c r="AC120" s="7"/>
    </row>
    <row r="121" spans="1:29">
      <c r="A121" s="57">
        <v>24</v>
      </c>
      <c r="B121" s="36">
        <v>0</v>
      </c>
      <c r="C121" s="36">
        <v>0</v>
      </c>
      <c r="D121" s="36">
        <v>0</v>
      </c>
      <c r="E121" s="36">
        <v>0</v>
      </c>
      <c r="F121" s="36">
        <v>0</v>
      </c>
      <c r="G121" s="36">
        <v>0</v>
      </c>
      <c r="H121" s="36">
        <v>0</v>
      </c>
      <c r="I121" s="36">
        <v>0</v>
      </c>
      <c r="J121" s="36">
        <v>0</v>
      </c>
      <c r="K121" s="36">
        <v>33</v>
      </c>
      <c r="L121" s="36">
        <v>3.8</v>
      </c>
      <c r="M121" s="58">
        <v>0.6</v>
      </c>
      <c r="N121" s="7"/>
      <c r="P121" s="57">
        <v>24</v>
      </c>
      <c r="Q121" s="36">
        <v>0</v>
      </c>
      <c r="R121" s="36">
        <v>0</v>
      </c>
      <c r="S121" s="36">
        <v>10.5</v>
      </c>
      <c r="T121" s="36">
        <v>1.5</v>
      </c>
      <c r="U121" s="36">
        <v>0</v>
      </c>
      <c r="V121" s="36">
        <v>2</v>
      </c>
      <c r="W121" s="36">
        <v>0</v>
      </c>
      <c r="X121" s="36">
        <v>30.7</v>
      </c>
      <c r="Y121" s="36">
        <v>40.5</v>
      </c>
      <c r="Z121" s="36">
        <v>0</v>
      </c>
      <c r="AA121" s="36">
        <v>14.5</v>
      </c>
      <c r="AB121" s="58">
        <v>0</v>
      </c>
      <c r="AC121" s="7"/>
    </row>
    <row r="122" spans="1:29">
      <c r="A122" s="57">
        <v>25</v>
      </c>
      <c r="B122" s="36">
        <v>24.5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58">
        <v>0</v>
      </c>
      <c r="N122" s="7"/>
      <c r="P122" s="57">
        <v>25</v>
      </c>
      <c r="Q122" s="36">
        <v>0.2</v>
      </c>
      <c r="R122" s="36">
        <v>0</v>
      </c>
      <c r="S122" s="36">
        <v>25.3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6.5</v>
      </c>
      <c r="Z122" s="36">
        <v>3.5</v>
      </c>
      <c r="AA122" s="36">
        <v>4</v>
      </c>
      <c r="AB122" s="58">
        <v>0</v>
      </c>
      <c r="AC122" s="7"/>
    </row>
    <row r="123" spans="1:29">
      <c r="A123" s="57">
        <v>26</v>
      </c>
      <c r="B123" s="36">
        <v>0.1</v>
      </c>
      <c r="C123" s="36">
        <v>0</v>
      </c>
      <c r="D123" s="36">
        <v>0</v>
      </c>
      <c r="E123" s="36">
        <v>0</v>
      </c>
      <c r="F123" s="36">
        <v>0</v>
      </c>
      <c r="G123" s="36">
        <v>0</v>
      </c>
      <c r="H123" s="36">
        <v>0</v>
      </c>
      <c r="I123" s="36">
        <v>0</v>
      </c>
      <c r="J123" s="36">
        <v>0</v>
      </c>
      <c r="K123" s="36">
        <v>0</v>
      </c>
      <c r="L123" s="36">
        <v>2</v>
      </c>
      <c r="M123" s="58">
        <v>0</v>
      </c>
      <c r="N123" s="7"/>
      <c r="P123" s="57">
        <v>26</v>
      </c>
      <c r="Q123" s="36">
        <v>0</v>
      </c>
      <c r="R123" s="36">
        <v>0</v>
      </c>
      <c r="S123" s="36">
        <v>21</v>
      </c>
      <c r="T123" s="36">
        <v>50.5</v>
      </c>
      <c r="U123" s="36">
        <v>0</v>
      </c>
      <c r="V123" s="36">
        <v>0</v>
      </c>
      <c r="W123" s="36">
        <v>0</v>
      </c>
      <c r="X123" s="36">
        <v>14.8</v>
      </c>
      <c r="Y123" s="36">
        <v>2.5</v>
      </c>
      <c r="Z123" s="36">
        <v>0</v>
      </c>
      <c r="AA123" s="36">
        <v>0</v>
      </c>
      <c r="AB123" s="58">
        <v>5.8</v>
      </c>
      <c r="AC123" s="7"/>
    </row>
    <row r="124" spans="1:29">
      <c r="A124" s="57">
        <v>27</v>
      </c>
      <c r="B124" s="36">
        <v>0</v>
      </c>
      <c r="C124" s="36">
        <v>0</v>
      </c>
      <c r="D124" s="36">
        <v>0</v>
      </c>
      <c r="E124" s="36">
        <v>0</v>
      </c>
      <c r="F124" s="36">
        <v>0</v>
      </c>
      <c r="G124" s="36">
        <v>0</v>
      </c>
      <c r="H124" s="36">
        <v>0</v>
      </c>
      <c r="I124" s="36">
        <v>0</v>
      </c>
      <c r="J124" s="36">
        <v>0</v>
      </c>
      <c r="K124" s="36">
        <v>0</v>
      </c>
      <c r="L124" s="36">
        <v>8</v>
      </c>
      <c r="M124" s="58">
        <v>0.5</v>
      </c>
      <c r="N124" s="7"/>
      <c r="P124" s="57">
        <v>27</v>
      </c>
      <c r="Q124" s="36">
        <v>0</v>
      </c>
      <c r="R124" s="36">
        <v>0</v>
      </c>
      <c r="S124" s="36">
        <v>6.1</v>
      </c>
      <c r="T124" s="36">
        <v>10.1</v>
      </c>
      <c r="U124" s="36">
        <v>0</v>
      </c>
      <c r="V124" s="36">
        <v>6.2</v>
      </c>
      <c r="W124" s="36">
        <v>16.100000000000001</v>
      </c>
      <c r="X124" s="36">
        <v>0</v>
      </c>
      <c r="Y124" s="36">
        <v>13.7</v>
      </c>
      <c r="Z124" s="36">
        <v>0</v>
      </c>
      <c r="AA124" s="36">
        <v>5</v>
      </c>
      <c r="AB124" s="58">
        <v>0</v>
      </c>
      <c r="AC124" s="7"/>
    </row>
    <row r="125" spans="1:29">
      <c r="A125" s="57">
        <v>28</v>
      </c>
      <c r="B125" s="36">
        <v>0</v>
      </c>
      <c r="C125" s="36">
        <v>0</v>
      </c>
      <c r="D125" s="36">
        <v>0</v>
      </c>
      <c r="E125" s="36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1.8</v>
      </c>
      <c r="M125" s="58">
        <v>2.7</v>
      </c>
      <c r="N125" s="7"/>
      <c r="P125" s="57">
        <v>28</v>
      </c>
      <c r="Q125" s="36">
        <v>3</v>
      </c>
      <c r="R125" s="36">
        <v>0</v>
      </c>
      <c r="S125" s="36">
        <v>0</v>
      </c>
      <c r="T125" s="36">
        <v>2.9</v>
      </c>
      <c r="U125" s="36">
        <v>3.1</v>
      </c>
      <c r="V125" s="36">
        <v>17</v>
      </c>
      <c r="W125" s="36">
        <v>3.4</v>
      </c>
      <c r="X125" s="36">
        <v>9</v>
      </c>
      <c r="Y125" s="36">
        <v>2.1</v>
      </c>
      <c r="Z125" s="36">
        <v>26.1</v>
      </c>
      <c r="AA125" s="36">
        <v>17.8</v>
      </c>
      <c r="AB125" s="58">
        <v>0</v>
      </c>
      <c r="AC125" s="7"/>
    </row>
    <row r="126" spans="1:29">
      <c r="A126" s="57">
        <v>29</v>
      </c>
      <c r="B126" s="36">
        <v>0</v>
      </c>
      <c r="C126" s="24"/>
      <c r="D126" s="36">
        <v>0</v>
      </c>
      <c r="E126" s="36">
        <v>0</v>
      </c>
      <c r="F126" s="36">
        <v>0</v>
      </c>
      <c r="G126" s="36">
        <v>0</v>
      </c>
      <c r="H126" s="36">
        <v>0</v>
      </c>
      <c r="I126" s="36">
        <v>0</v>
      </c>
      <c r="J126" s="36">
        <v>1.2</v>
      </c>
      <c r="K126" s="36">
        <v>0.8</v>
      </c>
      <c r="L126" s="36">
        <v>0.6</v>
      </c>
      <c r="M126" s="58">
        <v>8.5</v>
      </c>
      <c r="N126" s="7"/>
      <c r="P126" s="57">
        <v>29</v>
      </c>
      <c r="Q126" s="36">
        <v>25.7</v>
      </c>
      <c r="R126" s="36">
        <v>3</v>
      </c>
      <c r="S126" s="36">
        <v>41.5</v>
      </c>
      <c r="T126" s="36">
        <v>0</v>
      </c>
      <c r="U126" s="36">
        <v>56</v>
      </c>
      <c r="V126" s="36">
        <v>16</v>
      </c>
      <c r="W126" s="36">
        <v>2.4</v>
      </c>
      <c r="X126" s="36">
        <v>0</v>
      </c>
      <c r="Y126" s="36">
        <v>20</v>
      </c>
      <c r="Z126" s="36">
        <v>8.5</v>
      </c>
      <c r="AA126" s="36">
        <v>3.4</v>
      </c>
      <c r="AB126" s="58">
        <v>0</v>
      </c>
      <c r="AC126" s="7"/>
    </row>
    <row r="127" spans="1:29">
      <c r="A127" s="57">
        <v>30</v>
      </c>
      <c r="B127" s="36">
        <v>0</v>
      </c>
      <c r="C127" s="24"/>
      <c r="D127" s="36">
        <v>0</v>
      </c>
      <c r="E127" s="36">
        <v>0</v>
      </c>
      <c r="F127" s="36">
        <v>0</v>
      </c>
      <c r="G127" s="36">
        <v>0</v>
      </c>
      <c r="H127" s="36">
        <v>0</v>
      </c>
      <c r="I127" s="36">
        <v>0</v>
      </c>
      <c r="J127" s="36">
        <v>0</v>
      </c>
      <c r="K127" s="36">
        <v>23.2</v>
      </c>
      <c r="L127" s="36">
        <v>29.4</v>
      </c>
      <c r="M127" s="58">
        <v>0.4</v>
      </c>
      <c r="N127" s="7"/>
      <c r="P127" s="57">
        <v>30</v>
      </c>
      <c r="Q127" s="36">
        <v>9</v>
      </c>
      <c r="R127" s="24"/>
      <c r="S127" s="36">
        <v>0.5</v>
      </c>
      <c r="T127" s="36">
        <v>14.2</v>
      </c>
      <c r="U127" s="36">
        <v>3.8</v>
      </c>
      <c r="V127" s="36">
        <v>3</v>
      </c>
      <c r="W127" s="36">
        <v>5.5</v>
      </c>
      <c r="X127" s="36">
        <v>60.1</v>
      </c>
      <c r="Y127" s="36">
        <v>1.4</v>
      </c>
      <c r="Z127" s="36">
        <v>11.7</v>
      </c>
      <c r="AA127" s="36">
        <v>0</v>
      </c>
      <c r="AB127" s="58">
        <v>0</v>
      </c>
      <c r="AC127" s="7"/>
    </row>
    <row r="128" spans="1:29">
      <c r="A128" s="57">
        <v>31</v>
      </c>
      <c r="B128" s="36">
        <v>0</v>
      </c>
      <c r="C128" s="24"/>
      <c r="D128" s="36">
        <v>0</v>
      </c>
      <c r="E128" s="36">
        <v>0</v>
      </c>
      <c r="F128" s="36">
        <v>0</v>
      </c>
      <c r="G128" s="36">
        <v>0</v>
      </c>
      <c r="H128" s="36">
        <v>0</v>
      </c>
      <c r="I128" s="36">
        <v>17.8</v>
      </c>
      <c r="J128" s="24"/>
      <c r="K128" s="36">
        <v>0</v>
      </c>
      <c r="L128" s="36">
        <v>0</v>
      </c>
      <c r="M128" s="58">
        <v>0</v>
      </c>
      <c r="N128" s="7"/>
      <c r="P128" s="57">
        <v>31</v>
      </c>
      <c r="Q128" s="36">
        <v>0</v>
      </c>
      <c r="R128" s="24"/>
      <c r="S128" s="36">
        <v>0</v>
      </c>
      <c r="T128" s="24"/>
      <c r="U128" s="36">
        <v>56.1</v>
      </c>
      <c r="V128" s="24"/>
      <c r="W128" s="36">
        <v>0</v>
      </c>
      <c r="X128" s="36">
        <v>9.1999999999999993</v>
      </c>
      <c r="Y128" s="24"/>
      <c r="Z128" s="36">
        <v>0</v>
      </c>
      <c r="AA128" s="24"/>
      <c r="AB128" s="58">
        <v>10</v>
      </c>
      <c r="AC128" s="7"/>
    </row>
    <row r="129" spans="1:29">
      <c r="A129" s="59"/>
      <c r="B129" s="26"/>
      <c r="C129" s="26"/>
      <c r="D129" s="26"/>
      <c r="E129" s="27"/>
      <c r="F129" s="26"/>
      <c r="G129" s="26"/>
      <c r="H129" s="26"/>
      <c r="I129" s="26"/>
      <c r="J129" s="26"/>
      <c r="K129" s="26"/>
      <c r="L129" s="28"/>
      <c r="M129" s="60"/>
      <c r="N129" s="7"/>
      <c r="P129" s="59"/>
      <c r="Q129" s="26"/>
      <c r="R129" s="26"/>
      <c r="S129" s="26"/>
      <c r="T129" s="27"/>
      <c r="U129" s="26"/>
      <c r="V129" s="26"/>
      <c r="W129" s="26"/>
      <c r="X129" s="26"/>
      <c r="Y129" s="26"/>
      <c r="Z129" s="26"/>
      <c r="AA129" s="28"/>
      <c r="AB129" s="60"/>
      <c r="AC129" s="7"/>
    </row>
    <row r="130" spans="1:29">
      <c r="A130" s="57" t="s">
        <v>65</v>
      </c>
      <c r="B130" s="30">
        <f t="shared" ref="B130:M130" si="8">SUM(B98:B128)</f>
        <v>209.6</v>
      </c>
      <c r="C130" s="30">
        <f t="shared" si="8"/>
        <v>104.69999999999999</v>
      </c>
      <c r="D130" s="30">
        <f t="shared" si="8"/>
        <v>0</v>
      </c>
      <c r="E130" s="30">
        <f t="shared" si="8"/>
        <v>0</v>
      </c>
      <c r="F130" s="30">
        <f t="shared" si="8"/>
        <v>0</v>
      </c>
      <c r="G130" s="30">
        <f t="shared" si="8"/>
        <v>0</v>
      </c>
      <c r="H130" s="30">
        <f t="shared" si="8"/>
        <v>0</v>
      </c>
      <c r="I130" s="30">
        <f t="shared" si="8"/>
        <v>17.8</v>
      </c>
      <c r="J130" s="30">
        <f t="shared" si="8"/>
        <v>19.5</v>
      </c>
      <c r="K130" s="30">
        <f t="shared" si="8"/>
        <v>270.40000000000003</v>
      </c>
      <c r="L130" s="30">
        <f t="shared" si="8"/>
        <v>275.5</v>
      </c>
      <c r="M130" s="61">
        <f t="shared" si="8"/>
        <v>237.50000000000003</v>
      </c>
      <c r="N130" s="37">
        <f>SUM(B130:M130)</f>
        <v>1135</v>
      </c>
      <c r="P130" s="57" t="s">
        <v>65</v>
      </c>
      <c r="Q130" s="30">
        <f t="shared" ref="Q130:AB130" si="9">SUM(Q98:Q128)</f>
        <v>306.39999999999998</v>
      </c>
      <c r="R130" s="30">
        <f t="shared" si="9"/>
        <v>14.900000000000002</v>
      </c>
      <c r="S130" s="30">
        <f t="shared" si="9"/>
        <v>226.1</v>
      </c>
      <c r="T130" s="30">
        <f t="shared" si="9"/>
        <v>261.39999999999998</v>
      </c>
      <c r="U130" s="30">
        <f t="shared" si="9"/>
        <v>381.00000000000006</v>
      </c>
      <c r="V130" s="30">
        <f t="shared" si="9"/>
        <v>294.5</v>
      </c>
      <c r="W130" s="30">
        <f t="shared" si="9"/>
        <v>205.79999999999998</v>
      </c>
      <c r="X130" s="30">
        <f t="shared" si="9"/>
        <v>633.5</v>
      </c>
      <c r="Y130" s="30">
        <f t="shared" si="9"/>
        <v>439.5</v>
      </c>
      <c r="Z130" s="30">
        <f t="shared" si="9"/>
        <v>281.59999999999997</v>
      </c>
      <c r="AA130" s="30">
        <f t="shared" si="9"/>
        <v>211.90000000000003</v>
      </c>
      <c r="AB130" s="61">
        <f t="shared" si="9"/>
        <v>159.80000000000001</v>
      </c>
      <c r="AC130" s="37">
        <f>SUM(Q130:AB130)</f>
        <v>3416.4</v>
      </c>
    </row>
    <row r="131" spans="1:29">
      <c r="A131" s="57" t="s">
        <v>66</v>
      </c>
      <c r="B131" s="30">
        <f>MAX(B98:B128)</f>
        <v>44.7</v>
      </c>
      <c r="C131" s="30">
        <f t="shared" ref="C131:M131" si="10">MAX(C98:C128)</f>
        <v>43.8</v>
      </c>
      <c r="D131" s="30">
        <f t="shared" si="10"/>
        <v>0</v>
      </c>
      <c r="E131" s="30">
        <f t="shared" si="10"/>
        <v>0</v>
      </c>
      <c r="F131" s="30">
        <f t="shared" si="10"/>
        <v>0</v>
      </c>
      <c r="G131" s="30">
        <f t="shared" si="10"/>
        <v>0</v>
      </c>
      <c r="H131" s="30">
        <f t="shared" si="10"/>
        <v>0</v>
      </c>
      <c r="I131" s="30">
        <f t="shared" si="10"/>
        <v>17.8</v>
      </c>
      <c r="J131" s="30">
        <f t="shared" si="10"/>
        <v>10.6</v>
      </c>
      <c r="K131" s="30">
        <f t="shared" si="10"/>
        <v>87</v>
      </c>
      <c r="L131" s="30">
        <f t="shared" si="10"/>
        <v>53.4</v>
      </c>
      <c r="M131" s="61">
        <f t="shared" si="10"/>
        <v>63.4</v>
      </c>
      <c r="N131" s="37">
        <f>MAX(B131:M131)</f>
        <v>87</v>
      </c>
      <c r="P131" s="57" t="s">
        <v>66</v>
      </c>
      <c r="Q131" s="30">
        <f>MAX(Q98:Q128)</f>
        <v>123.3</v>
      </c>
      <c r="R131" s="30">
        <f t="shared" ref="R131:AB131" si="11">MAX(R98:R128)</f>
        <v>4.9000000000000004</v>
      </c>
      <c r="S131" s="30">
        <f t="shared" si="11"/>
        <v>41.5</v>
      </c>
      <c r="T131" s="30">
        <f t="shared" si="11"/>
        <v>50.5</v>
      </c>
      <c r="U131" s="30">
        <f t="shared" si="11"/>
        <v>57.2</v>
      </c>
      <c r="V131" s="30">
        <f t="shared" si="11"/>
        <v>58.7</v>
      </c>
      <c r="W131" s="30">
        <f t="shared" si="11"/>
        <v>115.1</v>
      </c>
      <c r="X131" s="30">
        <f t="shared" si="11"/>
        <v>153.5</v>
      </c>
      <c r="Y131" s="30">
        <f t="shared" si="11"/>
        <v>116.6</v>
      </c>
      <c r="Z131" s="30">
        <f t="shared" si="11"/>
        <v>74.8</v>
      </c>
      <c r="AA131" s="30">
        <f t="shared" si="11"/>
        <v>53.6</v>
      </c>
      <c r="AB131" s="61">
        <f t="shared" si="11"/>
        <v>53.7</v>
      </c>
      <c r="AC131" s="37">
        <f>MAX(Q131:AB131)</f>
        <v>153.5</v>
      </c>
    </row>
    <row r="132" spans="1:29">
      <c r="A132" s="62"/>
      <c r="B132" s="7"/>
      <c r="C132" s="7"/>
      <c r="D132" s="7"/>
      <c r="E132" s="7"/>
      <c r="F132" s="7"/>
      <c r="G132" s="7"/>
      <c r="H132" s="32"/>
      <c r="I132" s="7"/>
      <c r="J132" s="7"/>
      <c r="K132" s="7"/>
      <c r="L132" s="7"/>
      <c r="M132" s="63"/>
      <c r="N132" s="7"/>
      <c r="P132" s="62"/>
      <c r="Q132" s="7"/>
      <c r="R132" s="7"/>
      <c r="S132" s="7"/>
      <c r="T132" s="7"/>
      <c r="U132" s="7"/>
      <c r="V132" s="7"/>
      <c r="W132" s="32"/>
      <c r="X132" s="7"/>
      <c r="Y132" s="7"/>
      <c r="Z132" s="7"/>
      <c r="AA132" s="7"/>
      <c r="AB132" s="63"/>
      <c r="AC132" s="7"/>
    </row>
    <row r="133" spans="1:29" ht="15.75" thickBot="1">
      <c r="A133" s="64" t="s">
        <v>67</v>
      </c>
      <c r="B133" s="65">
        <v>0</v>
      </c>
      <c r="C133" s="66" t="s">
        <v>68</v>
      </c>
      <c r="D133" s="67"/>
      <c r="E133" s="68"/>
      <c r="F133" s="68"/>
      <c r="G133" s="68"/>
      <c r="H133" s="69"/>
      <c r="I133" s="68"/>
      <c r="J133" s="68"/>
      <c r="K133" s="68"/>
      <c r="L133" s="68"/>
      <c r="M133" s="70"/>
      <c r="N133" s="7"/>
      <c r="P133" s="64" t="s">
        <v>67</v>
      </c>
      <c r="Q133" s="65">
        <v>0</v>
      </c>
      <c r="R133" s="66" t="s">
        <v>68</v>
      </c>
      <c r="S133" s="67"/>
      <c r="T133" s="68"/>
      <c r="U133" s="68"/>
      <c r="V133" s="68"/>
      <c r="W133" s="69"/>
      <c r="X133" s="68"/>
      <c r="Y133" s="68"/>
      <c r="Z133" s="68"/>
      <c r="AA133" s="68"/>
      <c r="AB133" s="70"/>
      <c r="AC133" s="7"/>
    </row>
    <row r="135" spans="1:29" ht="15.75" thickBot="1"/>
    <row r="136" spans="1:29" ht="18">
      <c r="A136" s="44" t="s">
        <v>41</v>
      </c>
      <c r="B136" s="45"/>
      <c r="C136" s="45"/>
      <c r="D136" s="45"/>
      <c r="E136" s="46">
        <v>2016</v>
      </c>
      <c r="F136" s="47"/>
      <c r="G136" s="47"/>
      <c r="H136" s="48"/>
      <c r="I136" s="47"/>
      <c r="J136" s="47"/>
      <c r="K136" s="47"/>
      <c r="L136" s="47"/>
      <c r="M136" s="49"/>
      <c r="N136" s="7"/>
      <c r="P136" s="44" t="s">
        <v>41</v>
      </c>
      <c r="Q136" s="45"/>
      <c r="R136" s="45"/>
      <c r="S136" s="45"/>
      <c r="T136" s="46">
        <v>2022</v>
      </c>
      <c r="U136" s="47"/>
      <c r="V136" s="47"/>
      <c r="W136" s="48"/>
      <c r="X136" s="47"/>
      <c r="Y136" s="47"/>
      <c r="Z136" s="47"/>
      <c r="AA136" s="47"/>
      <c r="AB136" s="49"/>
      <c r="AC136" s="7"/>
    </row>
    <row r="137" spans="1:29">
      <c r="A137" s="50"/>
      <c r="B137" s="9"/>
      <c r="C137" s="9"/>
      <c r="D137" s="9"/>
      <c r="E137" s="10"/>
      <c r="F137" s="10"/>
      <c r="G137" s="10"/>
      <c r="H137" s="11"/>
      <c r="I137" s="9"/>
      <c r="J137" s="9"/>
      <c r="K137" s="9"/>
      <c r="L137" s="9"/>
      <c r="M137" s="51"/>
      <c r="N137" s="7"/>
      <c r="P137" s="50"/>
      <c r="Q137" s="9"/>
      <c r="R137" s="9"/>
      <c r="S137" s="9"/>
      <c r="T137" s="10"/>
      <c r="U137" s="10"/>
      <c r="V137" s="10"/>
      <c r="W137" s="11"/>
      <c r="X137" s="9"/>
      <c r="Y137" s="9"/>
      <c r="Z137" s="9"/>
      <c r="AA137" s="9"/>
      <c r="AB137" s="51"/>
      <c r="AC137" s="7"/>
    </row>
    <row r="138" spans="1:29" ht="15.75">
      <c r="A138" s="52" t="s">
        <v>42</v>
      </c>
      <c r="B138" s="14"/>
      <c r="C138" s="14" t="s">
        <v>43</v>
      </c>
      <c r="D138" s="14"/>
      <c r="E138" s="14"/>
      <c r="F138" s="14"/>
      <c r="G138" s="14"/>
      <c r="H138" s="15"/>
      <c r="I138" s="14"/>
      <c r="J138" s="14" t="s">
        <v>74</v>
      </c>
      <c r="K138" s="14" t="s">
        <v>75</v>
      </c>
      <c r="L138" s="14"/>
      <c r="M138" s="51"/>
      <c r="N138" s="7"/>
      <c r="P138" s="52" t="s">
        <v>42</v>
      </c>
      <c r="Q138" s="14"/>
      <c r="R138" s="14" t="s">
        <v>43</v>
      </c>
      <c r="S138" s="14"/>
      <c r="T138" s="14"/>
      <c r="U138" s="14"/>
      <c r="V138" s="14"/>
      <c r="W138" s="15"/>
      <c r="X138" s="14"/>
      <c r="Y138" s="14" t="s">
        <v>74</v>
      </c>
      <c r="Z138" s="14" t="s">
        <v>75</v>
      </c>
      <c r="AA138" s="14"/>
      <c r="AB138" s="51"/>
      <c r="AC138" s="7"/>
    </row>
    <row r="139" spans="1:29" ht="15.75">
      <c r="A139" s="52" t="s">
        <v>46</v>
      </c>
      <c r="B139" s="14"/>
      <c r="C139" s="14" t="s">
        <v>76</v>
      </c>
      <c r="D139" s="14"/>
      <c r="E139" s="14"/>
      <c r="F139" s="14"/>
      <c r="G139" s="14"/>
      <c r="H139" s="15"/>
      <c r="I139" s="14"/>
      <c r="J139" s="14" t="s">
        <v>77</v>
      </c>
      <c r="K139" s="14" t="s">
        <v>78</v>
      </c>
      <c r="L139" s="14"/>
      <c r="M139" s="51"/>
      <c r="N139" s="7"/>
      <c r="P139" s="52" t="s">
        <v>46</v>
      </c>
      <c r="Q139" s="14"/>
      <c r="R139" s="14" t="s">
        <v>76</v>
      </c>
      <c r="S139" s="14"/>
      <c r="T139" s="14"/>
      <c r="U139" s="14"/>
      <c r="V139" s="14"/>
      <c r="W139" s="15"/>
      <c r="X139" s="14"/>
      <c r="Y139" s="14" t="s">
        <v>77</v>
      </c>
      <c r="Z139" s="14" t="s">
        <v>78</v>
      </c>
      <c r="AA139" s="14"/>
      <c r="AB139" s="51"/>
      <c r="AC139" s="7"/>
    </row>
    <row r="140" spans="1:29" ht="15.75">
      <c r="A140" s="52" t="s">
        <v>49</v>
      </c>
      <c r="B140" s="14"/>
      <c r="C140" s="14" t="s">
        <v>85</v>
      </c>
      <c r="D140" s="14"/>
      <c r="E140" s="14"/>
      <c r="F140" s="14"/>
      <c r="G140" s="14"/>
      <c r="H140" s="15"/>
      <c r="I140" s="14"/>
      <c r="J140" s="14" t="s">
        <v>51</v>
      </c>
      <c r="K140" s="14" t="s">
        <v>52</v>
      </c>
      <c r="L140" s="14"/>
      <c r="M140" s="51"/>
      <c r="N140" s="7"/>
      <c r="P140" s="52" t="s">
        <v>49</v>
      </c>
      <c r="Q140" s="14"/>
      <c r="R140" s="14" t="s">
        <v>86</v>
      </c>
      <c r="S140" s="14"/>
      <c r="T140" s="14"/>
      <c r="U140" s="14"/>
      <c r="V140" s="14"/>
      <c r="W140" s="15"/>
      <c r="X140" s="14"/>
      <c r="Y140" s="14" t="s">
        <v>51</v>
      </c>
      <c r="Z140" s="14" t="s">
        <v>52</v>
      </c>
      <c r="AA140" s="14"/>
      <c r="AB140" s="51"/>
      <c r="AC140" s="7"/>
    </row>
    <row r="141" spans="1:29">
      <c r="A141" s="53"/>
      <c r="B141" s="10"/>
      <c r="C141" s="10"/>
      <c r="D141" s="10"/>
      <c r="E141" s="10"/>
      <c r="F141" s="10"/>
      <c r="G141" s="10"/>
      <c r="H141" s="17"/>
      <c r="I141" s="10"/>
      <c r="J141" s="10"/>
      <c r="K141" s="10"/>
      <c r="L141" s="10"/>
      <c r="M141" s="54"/>
      <c r="N141" s="19"/>
      <c r="P141" s="53"/>
      <c r="Q141" s="10"/>
      <c r="R141" s="10"/>
      <c r="S141" s="10"/>
      <c r="T141" s="10"/>
      <c r="U141" s="10"/>
      <c r="V141" s="10"/>
      <c r="W141" s="17"/>
      <c r="X141" s="10"/>
      <c r="Y141" s="10"/>
      <c r="Z141" s="10"/>
      <c r="AA141" s="10"/>
      <c r="AB141" s="54"/>
      <c r="AC141" s="19"/>
    </row>
    <row r="142" spans="1:29">
      <c r="A142" s="55" t="s">
        <v>53</v>
      </c>
      <c r="B142" s="21" t="s">
        <v>54</v>
      </c>
      <c r="C142" s="21" t="s">
        <v>55</v>
      </c>
      <c r="D142" s="21" t="s">
        <v>56</v>
      </c>
      <c r="E142" s="21" t="s">
        <v>57</v>
      </c>
      <c r="F142" s="21" t="s">
        <v>20</v>
      </c>
      <c r="G142" s="21" t="s">
        <v>58</v>
      </c>
      <c r="H142" s="21" t="s">
        <v>59</v>
      </c>
      <c r="I142" s="21" t="s">
        <v>60</v>
      </c>
      <c r="J142" s="21" t="s">
        <v>61</v>
      </c>
      <c r="K142" s="21" t="s">
        <v>62</v>
      </c>
      <c r="L142" s="21" t="s">
        <v>63</v>
      </c>
      <c r="M142" s="56" t="s">
        <v>64</v>
      </c>
      <c r="N142" s="19"/>
      <c r="P142" s="55" t="s">
        <v>53</v>
      </c>
      <c r="Q142" s="21" t="s">
        <v>54</v>
      </c>
      <c r="R142" s="21" t="s">
        <v>55</v>
      </c>
      <c r="S142" s="21" t="s">
        <v>56</v>
      </c>
      <c r="T142" s="21" t="s">
        <v>57</v>
      </c>
      <c r="U142" s="21" t="s">
        <v>20</v>
      </c>
      <c r="V142" s="21" t="s">
        <v>58</v>
      </c>
      <c r="W142" s="21" t="s">
        <v>59</v>
      </c>
      <c r="X142" s="21" t="s">
        <v>60</v>
      </c>
      <c r="Y142" s="21" t="s">
        <v>61</v>
      </c>
      <c r="Z142" s="21" t="s">
        <v>62</v>
      </c>
      <c r="AA142" s="21" t="s">
        <v>63</v>
      </c>
      <c r="AB142" s="56" t="s">
        <v>64</v>
      </c>
      <c r="AC142" s="19"/>
    </row>
    <row r="143" spans="1:29">
      <c r="A143" s="57">
        <v>1</v>
      </c>
      <c r="B143" s="36">
        <v>1</v>
      </c>
      <c r="C143" s="36">
        <v>0</v>
      </c>
      <c r="D143" s="36">
        <v>23.7</v>
      </c>
      <c r="E143" s="36">
        <v>0</v>
      </c>
      <c r="F143" s="36">
        <v>27.4</v>
      </c>
      <c r="G143" s="36">
        <v>1</v>
      </c>
      <c r="H143" s="36">
        <v>0</v>
      </c>
      <c r="I143" s="36">
        <v>0</v>
      </c>
      <c r="J143" s="36">
        <v>1</v>
      </c>
      <c r="K143" s="36">
        <v>0</v>
      </c>
      <c r="L143" s="36">
        <v>0.8</v>
      </c>
      <c r="M143" s="58">
        <v>12.3</v>
      </c>
      <c r="N143" s="7"/>
      <c r="P143" s="57">
        <v>1</v>
      </c>
      <c r="Q143" s="36">
        <v>29.5</v>
      </c>
      <c r="R143" s="36">
        <v>0</v>
      </c>
      <c r="S143" s="36">
        <v>0</v>
      </c>
      <c r="T143" s="36">
        <v>0</v>
      </c>
      <c r="U143" s="36">
        <v>0</v>
      </c>
      <c r="V143" s="36">
        <v>0</v>
      </c>
      <c r="W143" s="36">
        <v>10.6</v>
      </c>
      <c r="X143" s="36">
        <v>0</v>
      </c>
      <c r="Y143" s="36">
        <v>25.2</v>
      </c>
      <c r="Z143" s="36">
        <v>1</v>
      </c>
      <c r="AA143" s="36">
        <v>16</v>
      </c>
      <c r="AB143" s="58">
        <v>14.1</v>
      </c>
      <c r="AC143" s="7"/>
    </row>
    <row r="144" spans="1:29">
      <c r="A144" s="57">
        <v>2</v>
      </c>
      <c r="B144" s="36">
        <v>9.1</v>
      </c>
      <c r="C144" s="36">
        <v>20.100000000000001</v>
      </c>
      <c r="D144" s="36">
        <v>51.3</v>
      </c>
      <c r="E144" s="36">
        <v>17.600000000000001</v>
      </c>
      <c r="F144" s="36">
        <v>0</v>
      </c>
      <c r="G144" s="36">
        <v>0</v>
      </c>
      <c r="H144" s="36">
        <v>0</v>
      </c>
      <c r="I144" s="36">
        <v>0</v>
      </c>
      <c r="J144" s="36">
        <v>1.7</v>
      </c>
      <c r="K144" s="36">
        <v>8.1999999999999993</v>
      </c>
      <c r="L144" s="36">
        <v>5.4</v>
      </c>
      <c r="M144" s="58">
        <v>31.8</v>
      </c>
      <c r="N144" s="7"/>
      <c r="P144" s="57">
        <v>2</v>
      </c>
      <c r="Q144" s="36">
        <v>5.6</v>
      </c>
      <c r="R144" s="36">
        <v>0</v>
      </c>
      <c r="S144" s="36">
        <v>0</v>
      </c>
      <c r="T144" s="36">
        <v>0</v>
      </c>
      <c r="U144" s="36">
        <v>1</v>
      </c>
      <c r="V144" s="36">
        <v>0</v>
      </c>
      <c r="W144" s="36">
        <v>0</v>
      </c>
      <c r="X144" s="36">
        <v>15.3</v>
      </c>
      <c r="Y144" s="36">
        <v>46.2</v>
      </c>
      <c r="Z144" s="36">
        <v>28.1</v>
      </c>
      <c r="AA144" s="36">
        <v>11.4</v>
      </c>
      <c r="AB144" s="58">
        <v>12.4</v>
      </c>
      <c r="AC144" s="7"/>
    </row>
    <row r="145" spans="1:29">
      <c r="A145" s="57">
        <v>3</v>
      </c>
      <c r="B145" s="36">
        <v>3.6</v>
      </c>
      <c r="C145" s="36">
        <v>0.6</v>
      </c>
      <c r="D145" s="36">
        <v>3.9</v>
      </c>
      <c r="E145" s="36">
        <v>4</v>
      </c>
      <c r="F145" s="36">
        <v>12.6</v>
      </c>
      <c r="G145" s="36">
        <v>1.4</v>
      </c>
      <c r="H145" s="36">
        <v>0</v>
      </c>
      <c r="I145" s="36">
        <v>0</v>
      </c>
      <c r="J145" s="36">
        <v>21.3</v>
      </c>
      <c r="K145" s="36">
        <v>0</v>
      </c>
      <c r="L145" s="36">
        <v>8.6999999999999993</v>
      </c>
      <c r="M145" s="58">
        <v>2.4</v>
      </c>
      <c r="N145" s="7"/>
      <c r="P145" s="57">
        <v>3</v>
      </c>
      <c r="Q145" s="36">
        <v>1.1000000000000001</v>
      </c>
      <c r="R145" s="36">
        <v>0</v>
      </c>
      <c r="S145" s="36">
        <v>0</v>
      </c>
      <c r="T145" s="36">
        <v>0</v>
      </c>
      <c r="U145" s="36">
        <v>0.9</v>
      </c>
      <c r="V145" s="36">
        <v>42.6</v>
      </c>
      <c r="W145" s="36">
        <v>1.1000000000000001</v>
      </c>
      <c r="X145" s="36">
        <v>1.5</v>
      </c>
      <c r="Y145" s="36">
        <v>6.8</v>
      </c>
      <c r="Z145" s="36">
        <v>14.6</v>
      </c>
      <c r="AA145" s="36">
        <v>6.2</v>
      </c>
      <c r="AB145" s="58">
        <v>12.1</v>
      </c>
      <c r="AC145" s="7"/>
    </row>
    <row r="146" spans="1:29">
      <c r="A146" s="57">
        <v>4</v>
      </c>
      <c r="B146" s="36">
        <v>2.2000000000000002</v>
      </c>
      <c r="C146" s="36">
        <v>1</v>
      </c>
      <c r="D146" s="36">
        <v>39.6</v>
      </c>
      <c r="E146" s="36">
        <v>7.1</v>
      </c>
      <c r="F146" s="36">
        <v>26.7</v>
      </c>
      <c r="G146" s="36">
        <v>0</v>
      </c>
      <c r="H146" s="36">
        <v>0</v>
      </c>
      <c r="I146" s="36">
        <v>0</v>
      </c>
      <c r="J146" s="36">
        <v>14.5</v>
      </c>
      <c r="K146" s="36">
        <v>0</v>
      </c>
      <c r="L146" s="36">
        <v>6.6</v>
      </c>
      <c r="M146" s="58">
        <v>13.3</v>
      </c>
      <c r="N146" s="7"/>
      <c r="P146" s="57">
        <v>4</v>
      </c>
      <c r="Q146" s="36">
        <v>0</v>
      </c>
      <c r="R146" s="36">
        <v>0</v>
      </c>
      <c r="S146" s="36">
        <v>0</v>
      </c>
      <c r="T146" s="36">
        <v>0</v>
      </c>
      <c r="U146" s="36">
        <v>7.6</v>
      </c>
      <c r="V146" s="36">
        <v>2.5</v>
      </c>
      <c r="W146" s="36">
        <v>2</v>
      </c>
      <c r="X146" s="36">
        <v>24</v>
      </c>
      <c r="Y146" s="36">
        <v>0.4</v>
      </c>
      <c r="Z146" s="36">
        <v>7</v>
      </c>
      <c r="AA146" s="36">
        <v>5.9</v>
      </c>
      <c r="AB146" s="58">
        <v>8.8000000000000007</v>
      </c>
      <c r="AC146" s="7"/>
    </row>
    <row r="147" spans="1:29">
      <c r="A147" s="57">
        <v>5</v>
      </c>
      <c r="B147" s="36">
        <v>0</v>
      </c>
      <c r="C147" s="36">
        <v>3.6</v>
      </c>
      <c r="D147" s="36">
        <v>5.0999999999999996</v>
      </c>
      <c r="E147" s="36">
        <v>34.200000000000003</v>
      </c>
      <c r="F147" s="36">
        <v>0</v>
      </c>
      <c r="G147" s="36">
        <v>0</v>
      </c>
      <c r="H147" s="36">
        <v>0</v>
      </c>
      <c r="I147" s="36">
        <v>0.2</v>
      </c>
      <c r="J147" s="36">
        <v>20.100000000000001</v>
      </c>
      <c r="K147" s="36">
        <v>12.2</v>
      </c>
      <c r="L147" s="36">
        <v>26</v>
      </c>
      <c r="M147" s="58">
        <v>28.5</v>
      </c>
      <c r="N147" s="7"/>
      <c r="P147" s="57">
        <v>5</v>
      </c>
      <c r="Q147" s="36">
        <v>4.4000000000000004</v>
      </c>
      <c r="R147" s="36">
        <v>27.2</v>
      </c>
      <c r="S147" s="36">
        <v>0.5</v>
      </c>
      <c r="T147" s="36">
        <v>0.4</v>
      </c>
      <c r="U147" s="36">
        <v>4.8</v>
      </c>
      <c r="V147" s="36">
        <v>4.0999999999999996</v>
      </c>
      <c r="W147" s="36">
        <v>0</v>
      </c>
      <c r="X147" s="36">
        <v>31.6</v>
      </c>
      <c r="Y147" s="36">
        <v>0.4</v>
      </c>
      <c r="Z147" s="36">
        <v>10.9</v>
      </c>
      <c r="AA147" s="36">
        <v>0.1</v>
      </c>
      <c r="AB147" s="58">
        <v>1.4</v>
      </c>
      <c r="AC147" s="7"/>
    </row>
    <row r="148" spans="1:29">
      <c r="A148" s="57">
        <v>6</v>
      </c>
      <c r="B148" s="36">
        <v>0.1</v>
      </c>
      <c r="C148" s="36">
        <v>4.2</v>
      </c>
      <c r="D148" s="36">
        <v>9.6999999999999993</v>
      </c>
      <c r="E148" s="36">
        <v>32.5</v>
      </c>
      <c r="F148" s="36">
        <v>13.9</v>
      </c>
      <c r="G148" s="36">
        <v>0</v>
      </c>
      <c r="H148" s="36">
        <v>0</v>
      </c>
      <c r="I148" s="36">
        <v>0</v>
      </c>
      <c r="J148" s="36">
        <v>16</v>
      </c>
      <c r="K148" s="36">
        <v>0.2</v>
      </c>
      <c r="L148" s="36">
        <v>53.9</v>
      </c>
      <c r="M148" s="58">
        <v>0</v>
      </c>
      <c r="N148" s="7"/>
      <c r="P148" s="57">
        <v>6</v>
      </c>
      <c r="Q148" s="36">
        <v>15.2</v>
      </c>
      <c r="R148" s="36">
        <v>25.5</v>
      </c>
      <c r="S148" s="36">
        <v>11</v>
      </c>
      <c r="T148" s="36">
        <v>45.6</v>
      </c>
      <c r="U148" s="36">
        <v>0.8</v>
      </c>
      <c r="V148" s="36">
        <v>106.9</v>
      </c>
      <c r="W148" s="36">
        <v>11.5</v>
      </c>
      <c r="X148" s="36">
        <v>0</v>
      </c>
      <c r="Y148" s="36">
        <v>0</v>
      </c>
      <c r="Z148" s="36">
        <v>18.2</v>
      </c>
      <c r="AA148" s="36">
        <v>33.799999999999997</v>
      </c>
      <c r="AB148" s="58">
        <v>0</v>
      </c>
      <c r="AC148" s="7"/>
    </row>
    <row r="149" spans="1:29">
      <c r="A149" s="57">
        <v>7</v>
      </c>
      <c r="B149" s="36">
        <v>26.3</v>
      </c>
      <c r="C149" s="36">
        <v>0.6</v>
      </c>
      <c r="D149" s="36">
        <v>25.8</v>
      </c>
      <c r="E149" s="36">
        <v>2.1</v>
      </c>
      <c r="F149" s="36">
        <v>0</v>
      </c>
      <c r="G149" s="36">
        <v>4.5</v>
      </c>
      <c r="H149" s="36">
        <v>8.3000000000000007</v>
      </c>
      <c r="I149" s="36">
        <v>0</v>
      </c>
      <c r="J149" s="36">
        <v>31.4</v>
      </c>
      <c r="K149" s="36">
        <v>2.2999999999999998</v>
      </c>
      <c r="L149" s="36">
        <v>3.3</v>
      </c>
      <c r="M149" s="58">
        <v>0</v>
      </c>
      <c r="N149" s="7"/>
      <c r="P149" s="57">
        <v>7</v>
      </c>
      <c r="Q149" s="36">
        <v>23.9</v>
      </c>
      <c r="R149" s="36">
        <v>9.5</v>
      </c>
      <c r="S149" s="36">
        <v>3.7</v>
      </c>
      <c r="T149" s="36">
        <v>1.8</v>
      </c>
      <c r="U149" s="36">
        <v>15.7</v>
      </c>
      <c r="V149" s="36">
        <v>0</v>
      </c>
      <c r="W149" s="36">
        <v>0</v>
      </c>
      <c r="X149" s="36">
        <v>2.5</v>
      </c>
      <c r="Y149" s="36">
        <v>2.5</v>
      </c>
      <c r="Z149" s="36">
        <v>71.599999999999994</v>
      </c>
      <c r="AA149" s="36">
        <v>19</v>
      </c>
      <c r="AB149" s="58">
        <v>0</v>
      </c>
      <c r="AC149" s="7"/>
    </row>
    <row r="150" spans="1:29">
      <c r="A150" s="57">
        <v>8</v>
      </c>
      <c r="B150" s="36">
        <v>32.5</v>
      </c>
      <c r="C150" s="36">
        <v>1.6</v>
      </c>
      <c r="D150" s="36">
        <v>1.2</v>
      </c>
      <c r="E150" s="36">
        <v>2.5</v>
      </c>
      <c r="F150" s="36">
        <v>9.6999999999999993</v>
      </c>
      <c r="G150" s="36">
        <v>0</v>
      </c>
      <c r="H150" s="36">
        <v>0</v>
      </c>
      <c r="I150" s="36">
        <v>0</v>
      </c>
      <c r="J150" s="36">
        <v>0</v>
      </c>
      <c r="K150" s="36">
        <v>7.1</v>
      </c>
      <c r="L150" s="36">
        <v>0</v>
      </c>
      <c r="M150" s="58">
        <v>6.6</v>
      </c>
      <c r="N150" s="7"/>
      <c r="P150" s="57">
        <v>8</v>
      </c>
      <c r="Q150" s="36">
        <v>0</v>
      </c>
      <c r="R150" s="36">
        <v>6.5</v>
      </c>
      <c r="S150" s="36">
        <v>0</v>
      </c>
      <c r="T150" s="36">
        <v>118.5</v>
      </c>
      <c r="U150" s="36">
        <v>82</v>
      </c>
      <c r="V150" s="36">
        <v>0.2</v>
      </c>
      <c r="W150" s="36">
        <v>0</v>
      </c>
      <c r="X150" s="36">
        <v>0</v>
      </c>
      <c r="Y150" s="36">
        <v>12.3</v>
      </c>
      <c r="Z150" s="36">
        <v>24.4</v>
      </c>
      <c r="AA150" s="36">
        <v>16.100000000000001</v>
      </c>
      <c r="AB150" s="58">
        <v>19.399999999999999</v>
      </c>
      <c r="AC150" s="7"/>
    </row>
    <row r="151" spans="1:29">
      <c r="A151" s="57">
        <v>9</v>
      </c>
      <c r="B151" s="36">
        <v>0.8</v>
      </c>
      <c r="C151" s="36">
        <v>6.5</v>
      </c>
      <c r="D151" s="36">
        <v>25.2</v>
      </c>
      <c r="E151" s="36">
        <v>0</v>
      </c>
      <c r="F151" s="36">
        <v>13.7</v>
      </c>
      <c r="G151" s="36">
        <v>0</v>
      </c>
      <c r="H151" s="36">
        <v>0</v>
      </c>
      <c r="I151" s="36">
        <v>0</v>
      </c>
      <c r="J151" s="36">
        <v>32.299999999999997</v>
      </c>
      <c r="K151" s="36">
        <v>21.8</v>
      </c>
      <c r="L151" s="36">
        <v>15.8</v>
      </c>
      <c r="M151" s="58">
        <v>20.6</v>
      </c>
      <c r="N151" s="7"/>
      <c r="P151" s="57">
        <v>9</v>
      </c>
      <c r="Q151" s="36">
        <v>0</v>
      </c>
      <c r="R151" s="36">
        <v>32</v>
      </c>
      <c r="S151" s="36">
        <v>3.9</v>
      </c>
      <c r="T151" s="36">
        <v>17.399999999999999</v>
      </c>
      <c r="U151" s="36">
        <v>3.1</v>
      </c>
      <c r="V151" s="36">
        <v>5.3</v>
      </c>
      <c r="W151" s="36">
        <v>6.5</v>
      </c>
      <c r="X151" s="36">
        <v>0</v>
      </c>
      <c r="Y151" s="36">
        <v>1.9</v>
      </c>
      <c r="Z151" s="36">
        <v>5.2</v>
      </c>
      <c r="AA151" s="36">
        <v>24.7</v>
      </c>
      <c r="AB151" s="58">
        <v>45.5</v>
      </c>
      <c r="AC151" s="7"/>
    </row>
    <row r="152" spans="1:29">
      <c r="A152" s="57">
        <v>10</v>
      </c>
      <c r="B152" s="36">
        <v>11</v>
      </c>
      <c r="C152" s="36">
        <v>57.2</v>
      </c>
      <c r="D152" s="36">
        <v>4.4000000000000004</v>
      </c>
      <c r="E152" s="36">
        <v>0</v>
      </c>
      <c r="F152" s="36">
        <v>20.8</v>
      </c>
      <c r="G152" s="36">
        <v>3.3</v>
      </c>
      <c r="H152" s="36">
        <v>0</v>
      </c>
      <c r="I152" s="36">
        <v>0</v>
      </c>
      <c r="J152" s="36">
        <v>0</v>
      </c>
      <c r="K152" s="36">
        <v>0</v>
      </c>
      <c r="L152" s="36">
        <v>11.2</v>
      </c>
      <c r="M152" s="58">
        <v>39.299999999999997</v>
      </c>
      <c r="N152" s="7"/>
      <c r="P152" s="57">
        <v>10</v>
      </c>
      <c r="Q152" s="36">
        <v>1</v>
      </c>
      <c r="R152" s="36">
        <v>2.7</v>
      </c>
      <c r="S152" s="36">
        <v>0.3</v>
      </c>
      <c r="T152" s="36">
        <v>2</v>
      </c>
      <c r="U152" s="36">
        <v>0</v>
      </c>
      <c r="V152" s="36">
        <v>16</v>
      </c>
      <c r="W152" s="36">
        <v>0</v>
      </c>
      <c r="X152" s="36">
        <v>0</v>
      </c>
      <c r="Y152" s="36">
        <v>0.4</v>
      </c>
      <c r="Z152" s="36">
        <v>5.9</v>
      </c>
      <c r="AA152" s="36">
        <v>0.9</v>
      </c>
      <c r="AB152" s="58">
        <v>13.8</v>
      </c>
      <c r="AC152" s="7"/>
    </row>
    <row r="153" spans="1:29">
      <c r="A153" s="57">
        <v>11</v>
      </c>
      <c r="B153" s="36">
        <v>0.1</v>
      </c>
      <c r="C153" s="36">
        <v>0.8</v>
      </c>
      <c r="D153" s="36">
        <v>1.2</v>
      </c>
      <c r="E153" s="36">
        <v>0</v>
      </c>
      <c r="F153" s="36">
        <v>1.6</v>
      </c>
      <c r="G153" s="36">
        <v>18.3</v>
      </c>
      <c r="H153" s="36">
        <v>0.8</v>
      </c>
      <c r="I153" s="36">
        <v>0</v>
      </c>
      <c r="J153" s="36">
        <v>0</v>
      </c>
      <c r="K153" s="36">
        <v>0</v>
      </c>
      <c r="L153" s="36">
        <v>46.9</v>
      </c>
      <c r="M153" s="58">
        <v>9.6999999999999993</v>
      </c>
      <c r="N153" s="7"/>
      <c r="P153" s="57">
        <v>11</v>
      </c>
      <c r="Q153" s="36">
        <v>1</v>
      </c>
      <c r="R153" s="36">
        <v>2</v>
      </c>
      <c r="S153" s="36">
        <v>0</v>
      </c>
      <c r="T153" s="36">
        <v>0</v>
      </c>
      <c r="U153" s="36">
        <v>0</v>
      </c>
      <c r="V153" s="36">
        <v>26.5</v>
      </c>
      <c r="W153" s="36">
        <v>0</v>
      </c>
      <c r="X153" s="36">
        <v>1.2</v>
      </c>
      <c r="Y153" s="36">
        <v>10</v>
      </c>
      <c r="Z153" s="36">
        <v>45.7</v>
      </c>
      <c r="AA153" s="36">
        <v>5.2</v>
      </c>
      <c r="AB153" s="58">
        <v>0.5</v>
      </c>
      <c r="AC153" s="7"/>
    </row>
    <row r="154" spans="1:29">
      <c r="A154" s="57">
        <v>12</v>
      </c>
      <c r="B154" s="36">
        <v>0.5</v>
      </c>
      <c r="C154" s="36">
        <v>18.7</v>
      </c>
      <c r="D154" s="36">
        <v>18.7</v>
      </c>
      <c r="E154" s="36">
        <v>0</v>
      </c>
      <c r="F154" s="36">
        <v>11.8</v>
      </c>
      <c r="G154" s="36">
        <v>0</v>
      </c>
      <c r="H154" s="36">
        <v>0</v>
      </c>
      <c r="I154" s="36">
        <v>0</v>
      </c>
      <c r="J154" s="36">
        <v>7.5</v>
      </c>
      <c r="K154" s="36">
        <v>0</v>
      </c>
      <c r="L154" s="36">
        <v>5</v>
      </c>
      <c r="M154" s="58">
        <v>18.2</v>
      </c>
      <c r="N154" s="7"/>
      <c r="P154" s="57">
        <v>12</v>
      </c>
      <c r="Q154" s="36">
        <v>3.8</v>
      </c>
      <c r="R154" s="36">
        <v>1.9</v>
      </c>
      <c r="S154" s="36">
        <v>1</v>
      </c>
      <c r="T154" s="36">
        <v>0</v>
      </c>
      <c r="U154" s="36">
        <v>0.2</v>
      </c>
      <c r="V154" s="36">
        <v>5.5</v>
      </c>
      <c r="W154" s="36">
        <v>1</v>
      </c>
      <c r="X154" s="36">
        <v>5.9</v>
      </c>
      <c r="Y154" s="36">
        <v>2.4</v>
      </c>
      <c r="Z154" s="36">
        <v>0</v>
      </c>
      <c r="AA154" s="36">
        <v>3.4</v>
      </c>
      <c r="AB154" s="58">
        <v>0</v>
      </c>
      <c r="AC154" s="7"/>
    </row>
    <row r="155" spans="1:29">
      <c r="A155" s="57">
        <v>13</v>
      </c>
      <c r="B155" s="36">
        <v>5.3</v>
      </c>
      <c r="C155" s="36">
        <v>0</v>
      </c>
      <c r="D155" s="36">
        <v>1.6</v>
      </c>
      <c r="E155" s="36">
        <v>0</v>
      </c>
      <c r="F155" s="36">
        <v>1.5</v>
      </c>
      <c r="G155" s="36">
        <v>0</v>
      </c>
      <c r="H155" s="36">
        <v>0.6</v>
      </c>
      <c r="I155" s="36">
        <v>0</v>
      </c>
      <c r="J155" s="36">
        <v>0</v>
      </c>
      <c r="K155" s="36">
        <v>0</v>
      </c>
      <c r="L155" s="36">
        <v>3</v>
      </c>
      <c r="M155" s="58">
        <v>1</v>
      </c>
      <c r="N155" s="7"/>
      <c r="P155" s="57">
        <v>13</v>
      </c>
      <c r="Q155" s="36">
        <v>0.4</v>
      </c>
      <c r="R155" s="36">
        <v>1.6</v>
      </c>
      <c r="S155" s="36">
        <v>0</v>
      </c>
      <c r="T155" s="36">
        <v>24.5</v>
      </c>
      <c r="U155" s="36">
        <v>2.1</v>
      </c>
      <c r="V155" s="36">
        <v>11.3</v>
      </c>
      <c r="W155" s="36">
        <v>0.1</v>
      </c>
      <c r="X155" s="36">
        <v>0.4</v>
      </c>
      <c r="Y155" s="36">
        <v>11.1</v>
      </c>
      <c r="Z155" s="36">
        <v>5</v>
      </c>
      <c r="AA155" s="36">
        <v>10</v>
      </c>
      <c r="AB155" s="58">
        <v>7.3</v>
      </c>
      <c r="AC155" s="7"/>
    </row>
    <row r="156" spans="1:29">
      <c r="A156" s="57">
        <v>14</v>
      </c>
      <c r="B156" s="36">
        <v>14.6</v>
      </c>
      <c r="C156" s="36">
        <v>35.9</v>
      </c>
      <c r="D156" s="36">
        <v>4.8</v>
      </c>
      <c r="E156" s="36">
        <v>0.5</v>
      </c>
      <c r="F156" s="36">
        <v>21.9</v>
      </c>
      <c r="G156" s="36">
        <v>0</v>
      </c>
      <c r="H156" s="36">
        <v>0.3</v>
      </c>
      <c r="I156" s="36">
        <v>0</v>
      </c>
      <c r="J156" s="36">
        <v>0</v>
      </c>
      <c r="K156" s="36">
        <v>0</v>
      </c>
      <c r="L156" s="36">
        <v>18.399999999999999</v>
      </c>
      <c r="M156" s="58">
        <v>0</v>
      </c>
      <c r="N156" s="7"/>
      <c r="P156" s="57">
        <v>14</v>
      </c>
      <c r="Q156" s="36">
        <v>0</v>
      </c>
      <c r="R156" s="36">
        <v>0.2</v>
      </c>
      <c r="S156" s="36">
        <v>0</v>
      </c>
      <c r="T156" s="36">
        <v>1.4</v>
      </c>
      <c r="U156" s="36">
        <v>9</v>
      </c>
      <c r="V156" s="36">
        <v>10.199999999999999</v>
      </c>
      <c r="W156" s="36">
        <v>30.8</v>
      </c>
      <c r="X156" s="36">
        <v>66</v>
      </c>
      <c r="Y156" s="36">
        <v>9.5</v>
      </c>
      <c r="Z156" s="36">
        <v>0</v>
      </c>
      <c r="AA156" s="36">
        <v>0.9</v>
      </c>
      <c r="AB156" s="58">
        <v>1</v>
      </c>
      <c r="AC156" s="7"/>
    </row>
    <row r="157" spans="1:29">
      <c r="A157" s="57">
        <v>15</v>
      </c>
      <c r="B157" s="36">
        <v>42.5</v>
      </c>
      <c r="C157" s="36">
        <v>19</v>
      </c>
      <c r="D157" s="36">
        <v>0</v>
      </c>
      <c r="E157" s="36">
        <v>16.5</v>
      </c>
      <c r="F157" s="36">
        <v>42.8</v>
      </c>
      <c r="G157" s="36">
        <v>54</v>
      </c>
      <c r="H157" s="36">
        <v>0.9</v>
      </c>
      <c r="I157" s="36">
        <v>0</v>
      </c>
      <c r="J157" s="36">
        <v>1.5</v>
      </c>
      <c r="K157" s="36">
        <v>24.4</v>
      </c>
      <c r="L157" s="36">
        <v>2</v>
      </c>
      <c r="M157" s="58">
        <v>0</v>
      </c>
      <c r="N157" s="7"/>
      <c r="P157" s="57">
        <v>15</v>
      </c>
      <c r="Q157" s="36">
        <v>10.5</v>
      </c>
      <c r="R157" s="36">
        <v>12.7</v>
      </c>
      <c r="S157" s="36">
        <v>1.5</v>
      </c>
      <c r="T157" s="36">
        <v>0</v>
      </c>
      <c r="U157" s="36">
        <v>0</v>
      </c>
      <c r="V157" s="36">
        <v>2.6</v>
      </c>
      <c r="W157" s="36">
        <v>0</v>
      </c>
      <c r="X157" s="36">
        <v>0</v>
      </c>
      <c r="Y157" s="36">
        <v>0</v>
      </c>
      <c r="Z157" s="36">
        <v>0.2</v>
      </c>
      <c r="AA157" s="36">
        <v>15.9</v>
      </c>
      <c r="AB157" s="58">
        <v>40.799999999999997</v>
      </c>
      <c r="AC157" s="7"/>
    </row>
    <row r="158" spans="1:29">
      <c r="A158" s="57">
        <v>16</v>
      </c>
      <c r="B158" s="36">
        <v>25.2</v>
      </c>
      <c r="C158" s="36">
        <v>23.7</v>
      </c>
      <c r="D158" s="36">
        <v>0</v>
      </c>
      <c r="E158" s="36">
        <v>0</v>
      </c>
      <c r="F158" s="36">
        <v>40.9</v>
      </c>
      <c r="G158" s="36">
        <v>0</v>
      </c>
      <c r="H158" s="36">
        <v>18.600000000000001</v>
      </c>
      <c r="I158" s="36">
        <v>0</v>
      </c>
      <c r="J158" s="36">
        <v>0</v>
      </c>
      <c r="K158" s="36">
        <v>0</v>
      </c>
      <c r="L158" s="36">
        <v>1.6</v>
      </c>
      <c r="M158" s="58">
        <v>0</v>
      </c>
      <c r="N158" s="7"/>
      <c r="P158" s="57">
        <v>16</v>
      </c>
      <c r="Q158" s="36">
        <v>0</v>
      </c>
      <c r="R158" s="36">
        <v>0</v>
      </c>
      <c r="S158" s="36">
        <v>0.9</v>
      </c>
      <c r="T158" s="36">
        <v>8.1999999999999993</v>
      </c>
      <c r="U158" s="36">
        <v>1</v>
      </c>
      <c r="V158" s="36">
        <v>0</v>
      </c>
      <c r="W158" s="36">
        <v>0</v>
      </c>
      <c r="X158" s="36">
        <v>6</v>
      </c>
      <c r="Y158" s="36">
        <v>0.4</v>
      </c>
      <c r="Z158" s="36">
        <v>0.5</v>
      </c>
      <c r="AA158" s="36">
        <v>2</v>
      </c>
      <c r="AB158" s="58">
        <v>11.1</v>
      </c>
      <c r="AC158" s="7"/>
    </row>
    <row r="159" spans="1:29">
      <c r="A159" s="57">
        <v>17</v>
      </c>
      <c r="B159" s="36">
        <v>35.700000000000003</v>
      </c>
      <c r="C159" s="36">
        <v>0</v>
      </c>
      <c r="D159" s="36">
        <v>0</v>
      </c>
      <c r="E159" s="36">
        <v>52.6</v>
      </c>
      <c r="F159" s="36">
        <v>1.6</v>
      </c>
      <c r="G159" s="36">
        <v>38.700000000000003</v>
      </c>
      <c r="H159" s="36">
        <v>1.2</v>
      </c>
      <c r="I159" s="36">
        <v>0</v>
      </c>
      <c r="J159" s="36">
        <v>0</v>
      </c>
      <c r="K159" s="36">
        <v>4</v>
      </c>
      <c r="L159" s="36">
        <v>3.9</v>
      </c>
      <c r="M159" s="58">
        <v>0</v>
      </c>
      <c r="N159" s="7"/>
      <c r="P159" s="57">
        <v>17</v>
      </c>
      <c r="Q159" s="36">
        <v>0</v>
      </c>
      <c r="R159" s="36">
        <v>0</v>
      </c>
      <c r="S159" s="36">
        <v>50</v>
      </c>
      <c r="T159" s="36">
        <v>13.6</v>
      </c>
      <c r="U159" s="36">
        <v>2.4</v>
      </c>
      <c r="V159" s="36">
        <v>13</v>
      </c>
      <c r="W159" s="36">
        <v>5.2</v>
      </c>
      <c r="X159" s="36">
        <v>0</v>
      </c>
      <c r="Y159" s="36">
        <v>16.2</v>
      </c>
      <c r="Z159" s="36">
        <v>5.4</v>
      </c>
      <c r="AA159" s="36">
        <v>0</v>
      </c>
      <c r="AB159" s="58">
        <v>0</v>
      </c>
      <c r="AC159" s="7"/>
    </row>
    <row r="160" spans="1:29">
      <c r="A160" s="57">
        <v>18</v>
      </c>
      <c r="B160" s="36">
        <v>16.399999999999999</v>
      </c>
      <c r="C160" s="36">
        <v>1.7</v>
      </c>
      <c r="D160" s="36">
        <v>11.5</v>
      </c>
      <c r="E160" s="36">
        <v>0</v>
      </c>
      <c r="F160" s="36">
        <v>2.4</v>
      </c>
      <c r="G160" s="36">
        <v>71.099999999999994</v>
      </c>
      <c r="H160" s="36">
        <v>30.9</v>
      </c>
      <c r="I160" s="36">
        <v>0</v>
      </c>
      <c r="J160" s="36">
        <v>0</v>
      </c>
      <c r="K160" s="36">
        <v>8.1</v>
      </c>
      <c r="L160" s="36">
        <v>3.2</v>
      </c>
      <c r="M160" s="58">
        <v>0</v>
      </c>
      <c r="N160" s="7"/>
      <c r="P160" s="57">
        <v>18</v>
      </c>
      <c r="Q160" s="36">
        <v>6</v>
      </c>
      <c r="R160" s="36">
        <v>1.5</v>
      </c>
      <c r="S160" s="36">
        <v>43</v>
      </c>
      <c r="T160" s="36">
        <v>2.9</v>
      </c>
      <c r="U160" s="36">
        <v>0</v>
      </c>
      <c r="V160" s="36">
        <v>14.5</v>
      </c>
      <c r="W160" s="36">
        <v>0</v>
      </c>
      <c r="X160" s="36">
        <v>1</v>
      </c>
      <c r="Y160" s="36">
        <v>10.5</v>
      </c>
      <c r="Z160" s="36">
        <v>14.4</v>
      </c>
      <c r="AA160" s="36">
        <v>2.9</v>
      </c>
      <c r="AB160" s="58">
        <v>0</v>
      </c>
      <c r="AC160" s="7"/>
    </row>
    <row r="161" spans="1:29">
      <c r="A161" s="57">
        <v>19</v>
      </c>
      <c r="B161" s="36">
        <v>0.4</v>
      </c>
      <c r="C161" s="36">
        <v>25</v>
      </c>
      <c r="D161" s="36">
        <v>3.6</v>
      </c>
      <c r="E161" s="36">
        <v>0</v>
      </c>
      <c r="F161" s="36">
        <v>31.6</v>
      </c>
      <c r="G161" s="36">
        <v>28.1</v>
      </c>
      <c r="H161" s="36">
        <v>0</v>
      </c>
      <c r="I161" s="36">
        <v>0</v>
      </c>
      <c r="J161" s="36">
        <v>1</v>
      </c>
      <c r="K161" s="36">
        <v>0</v>
      </c>
      <c r="L161" s="36">
        <v>0</v>
      </c>
      <c r="M161" s="58">
        <v>0.4</v>
      </c>
      <c r="N161" s="7"/>
      <c r="P161" s="57">
        <v>19</v>
      </c>
      <c r="Q161" s="36">
        <v>0</v>
      </c>
      <c r="R161" s="36">
        <v>0</v>
      </c>
      <c r="S161" s="36">
        <v>12.1</v>
      </c>
      <c r="T161" s="36">
        <v>5.3</v>
      </c>
      <c r="U161" s="36">
        <v>0</v>
      </c>
      <c r="V161" s="36">
        <v>2.5</v>
      </c>
      <c r="W161" s="36">
        <v>0</v>
      </c>
      <c r="X161" s="36">
        <v>0.1</v>
      </c>
      <c r="Y161" s="36">
        <v>27.6</v>
      </c>
      <c r="Z161" s="36">
        <v>0</v>
      </c>
      <c r="AA161" s="36">
        <v>2.5</v>
      </c>
      <c r="AB161" s="58">
        <v>0</v>
      </c>
      <c r="AC161" s="7"/>
    </row>
    <row r="162" spans="1:29">
      <c r="A162" s="57">
        <v>20</v>
      </c>
      <c r="B162" s="36">
        <v>0</v>
      </c>
      <c r="C162" s="36">
        <v>3</v>
      </c>
      <c r="D162" s="36">
        <v>0</v>
      </c>
      <c r="E162" s="36">
        <v>0</v>
      </c>
      <c r="F162" s="36">
        <v>13.1</v>
      </c>
      <c r="G162" s="36">
        <v>29.1</v>
      </c>
      <c r="H162" s="36">
        <v>42.1</v>
      </c>
      <c r="I162" s="36">
        <v>0</v>
      </c>
      <c r="J162" s="36">
        <v>29.7</v>
      </c>
      <c r="K162" s="36">
        <v>0.2</v>
      </c>
      <c r="L162" s="36">
        <v>0.2</v>
      </c>
      <c r="M162" s="58">
        <v>16.2</v>
      </c>
      <c r="N162" s="7"/>
      <c r="P162" s="57">
        <v>20</v>
      </c>
      <c r="Q162" s="36">
        <v>17</v>
      </c>
      <c r="R162" s="36">
        <v>8.5</v>
      </c>
      <c r="S162" s="36">
        <v>0</v>
      </c>
      <c r="T162" s="36">
        <v>11.5</v>
      </c>
      <c r="U162" s="36">
        <v>44.4</v>
      </c>
      <c r="V162" s="36">
        <v>0</v>
      </c>
      <c r="W162" s="36">
        <v>0</v>
      </c>
      <c r="X162" s="36">
        <v>1</v>
      </c>
      <c r="Y162" s="36">
        <v>15.3</v>
      </c>
      <c r="Z162" s="36">
        <v>0</v>
      </c>
      <c r="AA162" s="36">
        <v>12.4</v>
      </c>
      <c r="AB162" s="58">
        <v>0</v>
      </c>
      <c r="AC162" s="7"/>
    </row>
    <row r="163" spans="1:29">
      <c r="A163" s="57">
        <v>21</v>
      </c>
      <c r="B163" s="36">
        <v>86.5</v>
      </c>
      <c r="C163" s="36">
        <v>23.7</v>
      </c>
      <c r="D163" s="36">
        <v>14.4</v>
      </c>
      <c r="E163" s="36">
        <v>59.4</v>
      </c>
      <c r="F163" s="36">
        <v>0</v>
      </c>
      <c r="G163" s="36">
        <v>0</v>
      </c>
      <c r="H163" s="36">
        <v>2.8</v>
      </c>
      <c r="I163" s="36">
        <v>0</v>
      </c>
      <c r="J163" s="36">
        <v>19.7</v>
      </c>
      <c r="K163" s="36">
        <v>0.5</v>
      </c>
      <c r="L163" s="36">
        <v>6.4</v>
      </c>
      <c r="M163" s="58">
        <v>1.5</v>
      </c>
      <c r="N163" s="7"/>
      <c r="P163" s="57">
        <v>21</v>
      </c>
      <c r="Q163" s="36">
        <v>0.5</v>
      </c>
      <c r="R163" s="36">
        <v>0</v>
      </c>
      <c r="S163" s="36">
        <v>1.1000000000000001</v>
      </c>
      <c r="T163" s="36">
        <v>0</v>
      </c>
      <c r="U163" s="36">
        <v>1</v>
      </c>
      <c r="V163" s="36">
        <v>18.899999999999999</v>
      </c>
      <c r="W163" s="36">
        <v>0</v>
      </c>
      <c r="X163" s="36">
        <v>17.2</v>
      </c>
      <c r="Y163" s="36">
        <v>2</v>
      </c>
      <c r="Z163" s="36">
        <v>3.8</v>
      </c>
      <c r="AA163" s="36">
        <v>8</v>
      </c>
      <c r="AB163" s="58">
        <v>0</v>
      </c>
      <c r="AC163" s="7"/>
    </row>
    <row r="164" spans="1:29">
      <c r="A164" s="57">
        <v>22</v>
      </c>
      <c r="B164" s="36">
        <v>0</v>
      </c>
      <c r="C164" s="36">
        <v>5.8</v>
      </c>
      <c r="D164" s="36">
        <v>0</v>
      </c>
      <c r="E164" s="36">
        <v>26.8</v>
      </c>
      <c r="F164" s="36">
        <v>33.4</v>
      </c>
      <c r="G164" s="36">
        <v>0</v>
      </c>
      <c r="H164" s="36">
        <v>16.100000000000001</v>
      </c>
      <c r="I164" s="36">
        <v>0</v>
      </c>
      <c r="J164" s="36">
        <v>6.1</v>
      </c>
      <c r="K164" s="36">
        <v>24.3</v>
      </c>
      <c r="L164" s="36">
        <v>13.3</v>
      </c>
      <c r="M164" s="58">
        <v>0</v>
      </c>
      <c r="N164" s="7"/>
      <c r="P164" s="57">
        <v>22</v>
      </c>
      <c r="Q164" s="36">
        <v>0</v>
      </c>
      <c r="R164" s="36">
        <v>0</v>
      </c>
      <c r="S164" s="36">
        <v>4.2</v>
      </c>
      <c r="T164" s="36">
        <v>1.2</v>
      </c>
      <c r="U164" s="36">
        <v>0</v>
      </c>
      <c r="V164" s="36">
        <v>2.2000000000000002</v>
      </c>
      <c r="W164" s="36">
        <v>10.5</v>
      </c>
      <c r="X164" s="36">
        <v>20.5</v>
      </c>
      <c r="Y164" s="36">
        <v>0</v>
      </c>
      <c r="Z164" s="36">
        <v>4.4000000000000004</v>
      </c>
      <c r="AA164" s="36">
        <v>1.9</v>
      </c>
      <c r="AB164" s="58">
        <v>12.6</v>
      </c>
      <c r="AC164" s="7"/>
    </row>
    <row r="165" spans="1:29">
      <c r="A165" s="57">
        <v>23</v>
      </c>
      <c r="B165" s="36">
        <v>9.9</v>
      </c>
      <c r="C165" s="36">
        <v>0.2</v>
      </c>
      <c r="D165" s="36">
        <v>0</v>
      </c>
      <c r="E165" s="36">
        <v>0</v>
      </c>
      <c r="F165" s="36">
        <v>0.1</v>
      </c>
      <c r="G165" s="36">
        <v>10.4</v>
      </c>
      <c r="H165" s="36">
        <v>0</v>
      </c>
      <c r="I165" s="36">
        <v>0</v>
      </c>
      <c r="J165" s="36">
        <v>6.3</v>
      </c>
      <c r="K165" s="36">
        <v>29.3</v>
      </c>
      <c r="L165" s="36">
        <v>0</v>
      </c>
      <c r="M165" s="58">
        <v>9</v>
      </c>
      <c r="N165" s="7"/>
      <c r="P165" s="57">
        <v>23</v>
      </c>
      <c r="Q165" s="36">
        <v>0.2</v>
      </c>
      <c r="R165" s="36">
        <v>0</v>
      </c>
      <c r="S165" s="36">
        <v>0</v>
      </c>
      <c r="T165" s="36">
        <v>0.3</v>
      </c>
      <c r="U165" s="36">
        <v>0.6</v>
      </c>
      <c r="V165" s="36">
        <v>61.9</v>
      </c>
      <c r="W165" s="36">
        <v>0</v>
      </c>
      <c r="X165" s="36">
        <v>0</v>
      </c>
      <c r="Y165" s="36">
        <v>56.3</v>
      </c>
      <c r="Z165" s="36">
        <v>4.3</v>
      </c>
      <c r="AA165" s="36">
        <v>0</v>
      </c>
      <c r="AB165" s="58">
        <v>101.3</v>
      </c>
      <c r="AC165" s="7"/>
    </row>
    <row r="166" spans="1:29">
      <c r="A166" s="57">
        <v>24</v>
      </c>
      <c r="B166" s="36">
        <v>16</v>
      </c>
      <c r="C166" s="36">
        <v>38.4</v>
      </c>
      <c r="D166" s="36">
        <v>0</v>
      </c>
      <c r="E166" s="36">
        <v>26.6</v>
      </c>
      <c r="F166" s="36">
        <v>0</v>
      </c>
      <c r="G166" s="36">
        <v>1</v>
      </c>
      <c r="H166" s="36">
        <v>38.1</v>
      </c>
      <c r="I166" s="36">
        <v>0</v>
      </c>
      <c r="J166" s="36">
        <v>0</v>
      </c>
      <c r="K166" s="36">
        <v>0.7</v>
      </c>
      <c r="L166" s="36">
        <v>0</v>
      </c>
      <c r="M166" s="58">
        <v>2.2000000000000002</v>
      </c>
      <c r="N166" s="7"/>
      <c r="P166" s="57">
        <v>24</v>
      </c>
      <c r="Q166" s="36">
        <v>0.9</v>
      </c>
      <c r="R166" s="36">
        <v>0</v>
      </c>
      <c r="S166" s="36">
        <v>0</v>
      </c>
      <c r="T166" s="36">
        <v>54.1</v>
      </c>
      <c r="U166" s="36">
        <v>6.5</v>
      </c>
      <c r="V166" s="36">
        <v>23.4</v>
      </c>
      <c r="W166" s="36">
        <v>24.2</v>
      </c>
      <c r="X166" s="36">
        <v>11.2</v>
      </c>
      <c r="Y166" s="36">
        <v>0</v>
      </c>
      <c r="Z166" s="36">
        <v>25.8</v>
      </c>
      <c r="AA166" s="36">
        <v>6.2</v>
      </c>
      <c r="AB166" s="58">
        <v>2.4</v>
      </c>
      <c r="AC166" s="7"/>
    </row>
    <row r="167" spans="1:29">
      <c r="A167" s="57">
        <v>25</v>
      </c>
      <c r="B167" s="36">
        <v>0</v>
      </c>
      <c r="C167" s="36">
        <v>19.7</v>
      </c>
      <c r="D167" s="36">
        <v>0.5</v>
      </c>
      <c r="E167" s="36">
        <v>0</v>
      </c>
      <c r="F167" s="36">
        <v>0</v>
      </c>
      <c r="G167" s="36">
        <v>9.4</v>
      </c>
      <c r="H167" s="36">
        <v>57.2</v>
      </c>
      <c r="I167" s="36">
        <v>0</v>
      </c>
      <c r="J167" s="36">
        <v>0</v>
      </c>
      <c r="K167" s="36">
        <v>2.5</v>
      </c>
      <c r="L167" s="36">
        <v>9.6</v>
      </c>
      <c r="M167" s="58">
        <v>14</v>
      </c>
      <c r="N167" s="7"/>
      <c r="P167" s="57">
        <v>25</v>
      </c>
      <c r="Q167" s="36">
        <v>0</v>
      </c>
      <c r="R167" s="36">
        <v>24.6</v>
      </c>
      <c r="S167" s="36">
        <v>0.7</v>
      </c>
      <c r="T167" s="36">
        <v>43.8</v>
      </c>
      <c r="U167" s="36">
        <v>0</v>
      </c>
      <c r="V167" s="36">
        <v>28.9</v>
      </c>
      <c r="W167" s="36">
        <v>36.9</v>
      </c>
      <c r="X167" s="36">
        <v>2.2000000000000002</v>
      </c>
      <c r="Y167" s="36">
        <v>2</v>
      </c>
      <c r="Z167" s="36">
        <v>13.8</v>
      </c>
      <c r="AA167" s="36">
        <v>0</v>
      </c>
      <c r="AB167" s="58">
        <v>0</v>
      </c>
      <c r="AC167" s="7"/>
    </row>
    <row r="168" spans="1:29">
      <c r="A168" s="57">
        <v>26</v>
      </c>
      <c r="B168" s="36">
        <v>0</v>
      </c>
      <c r="C168" s="36">
        <v>0</v>
      </c>
      <c r="D168" s="36">
        <v>0</v>
      </c>
      <c r="E168" s="36">
        <v>3.4</v>
      </c>
      <c r="F168" s="36">
        <v>24.7</v>
      </c>
      <c r="G168" s="36">
        <v>20.5</v>
      </c>
      <c r="H168" s="36">
        <v>34.6</v>
      </c>
      <c r="I168" s="36">
        <v>4.0999999999999996</v>
      </c>
      <c r="J168" s="36">
        <v>0</v>
      </c>
      <c r="K168" s="36">
        <v>4.5</v>
      </c>
      <c r="L168" s="36">
        <v>0</v>
      </c>
      <c r="M168" s="58">
        <v>47.4</v>
      </c>
      <c r="N168" s="7"/>
      <c r="P168" s="57">
        <v>26</v>
      </c>
      <c r="Q168" s="36">
        <v>2.5</v>
      </c>
      <c r="R168" s="36">
        <v>0</v>
      </c>
      <c r="S168" s="36">
        <v>16.399999999999999</v>
      </c>
      <c r="T168" s="36">
        <v>6.5</v>
      </c>
      <c r="U168" s="36">
        <v>30.6</v>
      </c>
      <c r="V168" s="36">
        <v>31.5</v>
      </c>
      <c r="W168" s="36">
        <v>1</v>
      </c>
      <c r="X168" s="36">
        <v>0</v>
      </c>
      <c r="Y168" s="36">
        <v>9.8000000000000007</v>
      </c>
      <c r="Z168" s="36">
        <v>8.6999999999999993</v>
      </c>
      <c r="AA168" s="36">
        <v>5.5</v>
      </c>
      <c r="AB168" s="58">
        <v>0</v>
      </c>
      <c r="AC168" s="7"/>
    </row>
    <row r="169" spans="1:29">
      <c r="A169" s="57">
        <v>27</v>
      </c>
      <c r="B169" s="36">
        <v>0</v>
      </c>
      <c r="C169" s="36">
        <v>1.6</v>
      </c>
      <c r="D169" s="36">
        <v>1</v>
      </c>
      <c r="E169" s="36">
        <v>9.3000000000000007</v>
      </c>
      <c r="F169" s="36">
        <v>0.8</v>
      </c>
      <c r="G169" s="36">
        <v>0</v>
      </c>
      <c r="H169" s="36">
        <v>0</v>
      </c>
      <c r="I169" s="36">
        <v>1.5</v>
      </c>
      <c r="J169" s="36">
        <v>2.1</v>
      </c>
      <c r="K169" s="36">
        <v>0.2</v>
      </c>
      <c r="L169" s="36">
        <v>6</v>
      </c>
      <c r="M169" s="58">
        <v>2.9</v>
      </c>
      <c r="N169" s="7"/>
      <c r="P169" s="57">
        <v>27</v>
      </c>
      <c r="Q169" s="36">
        <v>5.5</v>
      </c>
      <c r="R169" s="36">
        <v>0</v>
      </c>
      <c r="S169" s="36">
        <v>0</v>
      </c>
      <c r="T169" s="36">
        <v>23.3</v>
      </c>
      <c r="U169" s="36">
        <v>0</v>
      </c>
      <c r="V169" s="36">
        <v>0</v>
      </c>
      <c r="W169" s="36">
        <v>34</v>
      </c>
      <c r="X169" s="36">
        <v>18</v>
      </c>
      <c r="Y169" s="36">
        <v>83.6</v>
      </c>
      <c r="Z169" s="36">
        <v>7.3</v>
      </c>
      <c r="AA169" s="36">
        <v>4.5999999999999996</v>
      </c>
      <c r="AB169" s="58">
        <v>0</v>
      </c>
      <c r="AC169" s="7"/>
    </row>
    <row r="170" spans="1:29">
      <c r="A170" s="57">
        <v>28</v>
      </c>
      <c r="B170" s="36">
        <v>85</v>
      </c>
      <c r="C170" s="36">
        <v>0.2</v>
      </c>
      <c r="D170" s="36">
        <v>1</v>
      </c>
      <c r="E170" s="36">
        <v>1</v>
      </c>
      <c r="F170" s="36">
        <v>61.9</v>
      </c>
      <c r="G170" s="36">
        <v>1</v>
      </c>
      <c r="H170" s="36">
        <v>0</v>
      </c>
      <c r="I170" s="36">
        <v>0.1</v>
      </c>
      <c r="J170" s="36">
        <v>0</v>
      </c>
      <c r="K170" s="36">
        <v>51.2</v>
      </c>
      <c r="L170" s="36">
        <v>16</v>
      </c>
      <c r="M170" s="58">
        <v>20</v>
      </c>
      <c r="N170" s="7"/>
      <c r="P170" s="57">
        <v>28</v>
      </c>
      <c r="Q170" s="36">
        <v>1.3</v>
      </c>
      <c r="R170" s="36">
        <v>0</v>
      </c>
      <c r="S170" s="36">
        <v>0</v>
      </c>
      <c r="T170" s="36">
        <v>0</v>
      </c>
      <c r="U170" s="36">
        <v>15.2</v>
      </c>
      <c r="V170" s="36">
        <v>0</v>
      </c>
      <c r="W170" s="36">
        <v>0</v>
      </c>
      <c r="X170" s="36">
        <v>31.2</v>
      </c>
      <c r="Y170" s="36">
        <v>0</v>
      </c>
      <c r="Z170" s="36">
        <v>5.6</v>
      </c>
      <c r="AA170" s="36">
        <v>0.8</v>
      </c>
      <c r="AB170" s="58">
        <v>0</v>
      </c>
      <c r="AC170" s="7"/>
    </row>
    <row r="171" spans="1:29">
      <c r="A171" s="57">
        <v>29</v>
      </c>
      <c r="B171" s="36">
        <v>1</v>
      </c>
      <c r="C171" s="36">
        <v>15.5</v>
      </c>
      <c r="D171" s="36">
        <v>0</v>
      </c>
      <c r="E171" s="36">
        <v>0</v>
      </c>
      <c r="F171" s="36">
        <v>0.9</v>
      </c>
      <c r="G171" s="36">
        <v>0</v>
      </c>
      <c r="H171" s="36">
        <v>2.8</v>
      </c>
      <c r="I171" s="36">
        <v>0</v>
      </c>
      <c r="J171" s="36">
        <v>0</v>
      </c>
      <c r="K171" s="36">
        <v>1</v>
      </c>
      <c r="L171" s="36">
        <v>0</v>
      </c>
      <c r="M171" s="58">
        <v>13</v>
      </c>
      <c r="N171" s="7"/>
      <c r="P171" s="57">
        <v>29</v>
      </c>
      <c r="Q171" s="36">
        <v>0</v>
      </c>
      <c r="R171" s="36"/>
      <c r="S171" s="36">
        <v>0</v>
      </c>
      <c r="T171" s="36">
        <v>0</v>
      </c>
      <c r="U171" s="36">
        <v>0</v>
      </c>
      <c r="V171" s="36">
        <v>33.200000000000003</v>
      </c>
      <c r="W171" s="36">
        <v>1</v>
      </c>
      <c r="X171" s="36">
        <v>0</v>
      </c>
      <c r="Y171" s="36">
        <v>1.8</v>
      </c>
      <c r="Z171" s="36">
        <v>13.3</v>
      </c>
      <c r="AA171" s="36">
        <v>0</v>
      </c>
      <c r="AB171" s="58">
        <v>0</v>
      </c>
      <c r="AC171" s="7"/>
    </row>
    <row r="172" spans="1:29">
      <c r="A172" s="57">
        <v>30</v>
      </c>
      <c r="B172" s="36">
        <v>3.3</v>
      </c>
      <c r="C172" s="24"/>
      <c r="D172" s="36">
        <v>19</v>
      </c>
      <c r="E172" s="36">
        <v>36.4</v>
      </c>
      <c r="F172" s="36">
        <v>2.2000000000000002</v>
      </c>
      <c r="G172" s="36">
        <v>0</v>
      </c>
      <c r="H172" s="36">
        <v>8.9</v>
      </c>
      <c r="I172" s="36">
        <v>0</v>
      </c>
      <c r="J172" s="36">
        <v>0</v>
      </c>
      <c r="K172" s="36">
        <v>11.5</v>
      </c>
      <c r="L172" s="36">
        <v>22.5</v>
      </c>
      <c r="M172" s="58">
        <v>0</v>
      </c>
      <c r="N172" s="7"/>
      <c r="P172" s="57">
        <v>30</v>
      </c>
      <c r="Q172" s="36">
        <v>0</v>
      </c>
      <c r="R172" s="24"/>
      <c r="S172" s="36">
        <v>0</v>
      </c>
      <c r="T172" s="36">
        <v>0</v>
      </c>
      <c r="U172" s="36">
        <v>0</v>
      </c>
      <c r="V172" s="36">
        <v>6.5</v>
      </c>
      <c r="W172" s="36">
        <v>2.2000000000000002</v>
      </c>
      <c r="X172" s="36">
        <v>12.5</v>
      </c>
      <c r="Y172" s="36">
        <v>0.8</v>
      </c>
      <c r="Z172" s="36">
        <v>3.5</v>
      </c>
      <c r="AA172" s="36">
        <v>6.1</v>
      </c>
      <c r="AB172" s="58">
        <v>0</v>
      </c>
      <c r="AC172" s="7"/>
    </row>
    <row r="173" spans="1:29">
      <c r="A173" s="57">
        <v>31</v>
      </c>
      <c r="B173" s="36">
        <v>4.8</v>
      </c>
      <c r="C173" s="24"/>
      <c r="D173" s="36">
        <v>0</v>
      </c>
      <c r="E173" s="36">
        <v>0</v>
      </c>
      <c r="F173" s="36">
        <v>11.5</v>
      </c>
      <c r="G173" s="36">
        <v>0</v>
      </c>
      <c r="H173" s="36">
        <v>11.5</v>
      </c>
      <c r="I173" s="36">
        <v>28.4</v>
      </c>
      <c r="J173" s="24"/>
      <c r="K173" s="36">
        <v>2.5</v>
      </c>
      <c r="L173" s="36">
        <v>0</v>
      </c>
      <c r="M173" s="58">
        <v>0</v>
      </c>
      <c r="N173" s="7"/>
      <c r="P173" s="57">
        <v>31</v>
      </c>
      <c r="Q173" s="36">
        <v>0</v>
      </c>
      <c r="R173" s="24"/>
      <c r="S173" s="36">
        <v>0</v>
      </c>
      <c r="T173" s="24"/>
      <c r="U173" s="36">
        <v>0</v>
      </c>
      <c r="V173" s="24"/>
      <c r="W173" s="36">
        <v>1</v>
      </c>
      <c r="X173" s="36">
        <v>49.2</v>
      </c>
      <c r="Y173" s="24"/>
      <c r="Z173" s="36">
        <v>0.8</v>
      </c>
      <c r="AA173" s="24"/>
      <c r="AB173" s="58">
        <v>0</v>
      </c>
      <c r="AC173" s="7"/>
    </row>
    <row r="174" spans="1:29">
      <c r="A174" s="59"/>
      <c r="B174" s="26"/>
      <c r="C174" s="26"/>
      <c r="D174" s="26"/>
      <c r="E174" s="27"/>
      <c r="F174" s="26"/>
      <c r="G174" s="26"/>
      <c r="H174" s="26"/>
      <c r="I174" s="26"/>
      <c r="J174" s="26"/>
      <c r="K174" s="26"/>
      <c r="L174" s="28"/>
      <c r="M174" s="58"/>
      <c r="N174" s="7"/>
      <c r="P174" s="59"/>
      <c r="Q174" s="26"/>
      <c r="R174" s="26"/>
      <c r="S174" s="26"/>
      <c r="T174" s="27"/>
      <c r="U174" s="26"/>
      <c r="V174" s="26"/>
      <c r="W174" s="26"/>
      <c r="X174" s="26"/>
      <c r="Y174" s="26"/>
      <c r="Z174" s="26"/>
      <c r="AA174" s="28"/>
      <c r="AB174" s="60"/>
      <c r="AC174" s="7"/>
    </row>
    <row r="175" spans="1:29">
      <c r="A175" s="57" t="s">
        <v>65</v>
      </c>
      <c r="B175" s="30">
        <f t="shared" ref="B175:M175" si="12">SUM(B143:B173)</f>
        <v>433.79999999999995</v>
      </c>
      <c r="C175" s="30">
        <f t="shared" si="12"/>
        <v>328.29999999999995</v>
      </c>
      <c r="D175" s="30">
        <f t="shared" si="12"/>
        <v>267.19999999999993</v>
      </c>
      <c r="E175" s="30">
        <f t="shared" si="12"/>
        <v>332.5</v>
      </c>
      <c r="F175" s="30">
        <f t="shared" si="12"/>
        <v>429.5</v>
      </c>
      <c r="G175" s="30">
        <f t="shared" si="12"/>
        <v>291.79999999999995</v>
      </c>
      <c r="H175" s="30">
        <f t="shared" si="12"/>
        <v>275.7</v>
      </c>
      <c r="I175" s="30">
        <f t="shared" si="12"/>
        <v>34.299999999999997</v>
      </c>
      <c r="J175" s="30">
        <f t="shared" si="12"/>
        <v>212.2</v>
      </c>
      <c r="K175" s="30">
        <f t="shared" si="12"/>
        <v>216.7</v>
      </c>
      <c r="L175" s="30">
        <f t="shared" si="12"/>
        <v>289.7</v>
      </c>
      <c r="M175" s="61">
        <f t="shared" si="12"/>
        <v>310.29999999999995</v>
      </c>
      <c r="N175" s="37">
        <f>SUM(B175:M175)</f>
        <v>3421.9999999999991</v>
      </c>
      <c r="P175" s="57" t="s">
        <v>65</v>
      </c>
      <c r="Q175" s="30">
        <f t="shared" ref="Q175:AB175" si="13">SUM(Q143:Q173)</f>
        <v>130.30000000000001</v>
      </c>
      <c r="R175" s="30">
        <f t="shared" si="13"/>
        <v>156.4</v>
      </c>
      <c r="S175" s="30">
        <f t="shared" si="13"/>
        <v>150.29999999999998</v>
      </c>
      <c r="T175" s="30">
        <f t="shared" si="13"/>
        <v>382.30000000000007</v>
      </c>
      <c r="U175" s="30">
        <f t="shared" si="13"/>
        <v>228.89999999999998</v>
      </c>
      <c r="V175" s="30">
        <f t="shared" si="13"/>
        <v>470.19999999999993</v>
      </c>
      <c r="W175" s="30">
        <f t="shared" si="13"/>
        <v>179.6</v>
      </c>
      <c r="X175" s="30">
        <f t="shared" si="13"/>
        <v>318.5</v>
      </c>
      <c r="Y175" s="30">
        <f t="shared" si="13"/>
        <v>355.40000000000009</v>
      </c>
      <c r="Z175" s="30">
        <f t="shared" si="13"/>
        <v>349.40000000000003</v>
      </c>
      <c r="AA175" s="30">
        <f t="shared" si="13"/>
        <v>222.4</v>
      </c>
      <c r="AB175" s="61">
        <f t="shared" si="13"/>
        <v>304.5</v>
      </c>
      <c r="AC175" s="37">
        <f>SUM(Q175:AB175)</f>
        <v>3248.2000000000003</v>
      </c>
    </row>
    <row r="176" spans="1:29">
      <c r="A176" s="57" t="s">
        <v>66</v>
      </c>
      <c r="B176" s="30">
        <f>MAX(B143:B173)</f>
        <v>86.5</v>
      </c>
      <c r="C176" s="30">
        <f t="shared" ref="C176" si="14">MAX(C143:C173)</f>
        <v>57.2</v>
      </c>
      <c r="D176" s="30">
        <f t="shared" ref="D176:M176" si="15">MAX(D143:D173)</f>
        <v>51.3</v>
      </c>
      <c r="E176" s="30">
        <f t="shared" si="15"/>
        <v>59.4</v>
      </c>
      <c r="F176" s="30">
        <f t="shared" si="15"/>
        <v>61.9</v>
      </c>
      <c r="G176" s="30">
        <f t="shared" si="15"/>
        <v>71.099999999999994</v>
      </c>
      <c r="H176" s="30">
        <f t="shared" si="15"/>
        <v>57.2</v>
      </c>
      <c r="I176" s="30">
        <f t="shared" si="15"/>
        <v>28.4</v>
      </c>
      <c r="J176" s="30">
        <f t="shared" si="15"/>
        <v>32.299999999999997</v>
      </c>
      <c r="K176" s="30">
        <f t="shared" si="15"/>
        <v>51.2</v>
      </c>
      <c r="L176" s="30">
        <f t="shared" si="15"/>
        <v>53.9</v>
      </c>
      <c r="M176" s="61">
        <f t="shared" si="15"/>
        <v>47.4</v>
      </c>
      <c r="N176" s="37">
        <f>MAX(B176:M176)</f>
        <v>86.5</v>
      </c>
      <c r="P176" s="57" t="s">
        <v>66</v>
      </c>
      <c r="Q176" s="30">
        <f>MAX(Q143:Q173)</f>
        <v>29.5</v>
      </c>
      <c r="R176" s="30">
        <f t="shared" ref="R176:AB176" si="16">MAX(R143:R173)</f>
        <v>32</v>
      </c>
      <c r="S176" s="30">
        <f t="shared" si="16"/>
        <v>50</v>
      </c>
      <c r="T176" s="30">
        <f t="shared" si="16"/>
        <v>118.5</v>
      </c>
      <c r="U176" s="30">
        <f t="shared" si="16"/>
        <v>82</v>
      </c>
      <c r="V176" s="30">
        <f t="shared" si="16"/>
        <v>106.9</v>
      </c>
      <c r="W176" s="30">
        <f t="shared" si="16"/>
        <v>36.9</v>
      </c>
      <c r="X176" s="30">
        <f t="shared" si="16"/>
        <v>66</v>
      </c>
      <c r="Y176" s="30">
        <f t="shared" si="16"/>
        <v>83.6</v>
      </c>
      <c r="Z176" s="30">
        <f t="shared" si="16"/>
        <v>71.599999999999994</v>
      </c>
      <c r="AA176" s="30">
        <f t="shared" si="16"/>
        <v>33.799999999999997</v>
      </c>
      <c r="AB176" s="61">
        <f t="shared" si="16"/>
        <v>101.3</v>
      </c>
      <c r="AC176" s="37">
        <f>MAX(Q176:AB176)</f>
        <v>118.5</v>
      </c>
    </row>
    <row r="177" spans="1:29">
      <c r="A177" s="62"/>
      <c r="B177" s="7"/>
      <c r="C177" s="7"/>
      <c r="D177" s="7"/>
      <c r="E177" s="7"/>
      <c r="F177" s="7"/>
      <c r="G177" s="7"/>
      <c r="H177" s="32"/>
      <c r="I177" s="7"/>
      <c r="J177" s="7"/>
      <c r="K177" s="7"/>
      <c r="L177" s="7"/>
      <c r="M177" s="63"/>
      <c r="N177" s="7"/>
      <c r="P177" s="62"/>
      <c r="Q177" s="7"/>
      <c r="R177" s="7"/>
      <c r="S177" s="7"/>
      <c r="T177" s="7"/>
      <c r="U177" s="7"/>
      <c r="V177" s="7"/>
      <c r="W177" s="32"/>
      <c r="X177" s="7"/>
      <c r="Y177" s="7"/>
      <c r="Z177" s="7"/>
      <c r="AA177" s="7"/>
      <c r="AB177" s="63"/>
      <c r="AC177" s="7"/>
    </row>
    <row r="178" spans="1:29" ht="15.75" thickBot="1">
      <c r="A178" s="64" t="s">
        <v>67</v>
      </c>
      <c r="B178" s="65">
        <v>0</v>
      </c>
      <c r="C178" s="66" t="s">
        <v>68</v>
      </c>
      <c r="D178" s="67"/>
      <c r="E178" s="68"/>
      <c r="F178" s="68"/>
      <c r="G178" s="68"/>
      <c r="H178" s="69"/>
      <c r="I178" s="68"/>
      <c r="J178" s="68"/>
      <c r="K178" s="68"/>
      <c r="L178" s="68"/>
      <c r="M178" s="70"/>
      <c r="N178" s="7"/>
      <c r="P178" s="64" t="s">
        <v>67</v>
      </c>
      <c r="Q178" s="65">
        <v>0</v>
      </c>
      <c r="R178" s="66" t="s">
        <v>68</v>
      </c>
      <c r="S178" s="67"/>
      <c r="T178" s="68"/>
      <c r="U178" s="68"/>
      <c r="V178" s="68"/>
      <c r="W178" s="69"/>
      <c r="X178" s="68"/>
      <c r="Y178" s="68"/>
      <c r="Z178" s="68"/>
      <c r="AA178" s="68"/>
      <c r="AB178" s="70"/>
      <c r="AC178" s="7"/>
    </row>
    <row r="180" spans="1:29" ht="15.75" thickBot="1"/>
    <row r="181" spans="1:29" ht="18">
      <c r="A181" s="44" t="s">
        <v>41</v>
      </c>
      <c r="B181" s="45"/>
      <c r="C181" s="45"/>
      <c r="D181" s="45"/>
      <c r="E181" s="46">
        <v>2017</v>
      </c>
      <c r="F181" s="47"/>
      <c r="G181" s="47"/>
      <c r="H181" s="48"/>
      <c r="I181" s="47"/>
      <c r="J181" s="47"/>
      <c r="K181" s="47"/>
      <c r="L181" s="47"/>
      <c r="M181" s="49"/>
      <c r="N181" s="7"/>
      <c r="P181" s="44" t="s">
        <v>41</v>
      </c>
      <c r="Q181" s="45"/>
      <c r="R181" s="45"/>
      <c r="S181" s="45"/>
      <c r="T181" s="46">
        <v>2023</v>
      </c>
      <c r="U181" s="47"/>
      <c r="V181" s="47"/>
      <c r="W181" s="48"/>
      <c r="X181" s="47"/>
      <c r="Y181" s="47"/>
      <c r="Z181" s="47"/>
      <c r="AA181" s="47"/>
      <c r="AB181" s="49"/>
      <c r="AC181" s="7"/>
    </row>
    <row r="182" spans="1:29">
      <c r="A182" s="50"/>
      <c r="B182" s="9"/>
      <c r="C182" s="9"/>
      <c r="D182" s="9"/>
      <c r="E182" s="10"/>
      <c r="F182" s="10"/>
      <c r="G182" s="10"/>
      <c r="H182" s="11"/>
      <c r="I182" s="9"/>
      <c r="J182" s="9"/>
      <c r="K182" s="9"/>
      <c r="L182" s="9"/>
      <c r="M182" s="51"/>
      <c r="N182" s="7"/>
      <c r="P182" s="50"/>
      <c r="Q182" s="9"/>
      <c r="R182" s="9"/>
      <c r="S182" s="9"/>
      <c r="T182" s="10"/>
      <c r="U182" s="10"/>
      <c r="V182" s="10"/>
      <c r="W182" s="11"/>
      <c r="X182" s="9"/>
      <c r="Y182" s="9"/>
      <c r="Z182" s="9"/>
      <c r="AA182" s="9"/>
      <c r="AB182" s="51"/>
      <c r="AC182" s="7"/>
    </row>
    <row r="183" spans="1:29" ht="15.75">
      <c r="A183" s="52" t="s">
        <v>42</v>
      </c>
      <c r="B183" s="14"/>
      <c r="C183" s="14" t="s">
        <v>43</v>
      </c>
      <c r="D183" s="14"/>
      <c r="E183" s="14"/>
      <c r="F183" s="14"/>
      <c r="G183" s="14"/>
      <c r="H183" s="15"/>
      <c r="I183" s="14"/>
      <c r="J183" s="14" t="s">
        <v>74</v>
      </c>
      <c r="K183" s="14" t="s">
        <v>75</v>
      </c>
      <c r="L183" s="14"/>
      <c r="M183" s="51"/>
      <c r="N183" s="7"/>
      <c r="P183" s="52" t="s">
        <v>42</v>
      </c>
      <c r="Q183" s="14"/>
      <c r="R183" s="14" t="s">
        <v>43</v>
      </c>
      <c r="S183" s="14"/>
      <c r="T183" s="14"/>
      <c r="U183" s="14"/>
      <c r="V183" s="14"/>
      <c r="W183" s="15"/>
      <c r="X183" s="14"/>
      <c r="Y183" s="14" t="s">
        <v>74</v>
      </c>
      <c r="Z183" s="14" t="s">
        <v>75</v>
      </c>
      <c r="AA183" s="14"/>
      <c r="AB183" s="51"/>
      <c r="AC183" s="7"/>
    </row>
    <row r="184" spans="1:29" ht="15.75">
      <c r="A184" s="52" t="s">
        <v>46</v>
      </c>
      <c r="B184" s="14"/>
      <c r="C184" s="14" t="s">
        <v>76</v>
      </c>
      <c r="D184" s="14"/>
      <c r="E184" s="14"/>
      <c r="F184" s="14"/>
      <c r="G184" s="14"/>
      <c r="H184" s="15"/>
      <c r="I184" s="14"/>
      <c r="J184" s="14" t="s">
        <v>77</v>
      </c>
      <c r="K184" s="14" t="s">
        <v>78</v>
      </c>
      <c r="L184" s="14"/>
      <c r="M184" s="51"/>
      <c r="N184" s="7"/>
      <c r="P184" s="52" t="s">
        <v>46</v>
      </c>
      <c r="Q184" s="14"/>
      <c r="R184" s="14" t="s">
        <v>76</v>
      </c>
      <c r="S184" s="14"/>
      <c r="T184" s="14"/>
      <c r="U184" s="14"/>
      <c r="V184" s="14"/>
      <c r="W184" s="15"/>
      <c r="X184" s="14"/>
      <c r="Y184" s="14" t="s">
        <v>77</v>
      </c>
      <c r="Z184" s="14" t="s">
        <v>78</v>
      </c>
      <c r="AA184" s="14"/>
      <c r="AB184" s="51"/>
      <c r="AC184" s="7"/>
    </row>
    <row r="185" spans="1:29" ht="15.75">
      <c r="A185" s="52" t="s">
        <v>49</v>
      </c>
      <c r="B185" s="14"/>
      <c r="C185" s="14" t="s">
        <v>87</v>
      </c>
      <c r="D185" s="14"/>
      <c r="E185" s="14"/>
      <c r="F185" s="14"/>
      <c r="G185" s="14"/>
      <c r="H185" s="15"/>
      <c r="I185" s="14"/>
      <c r="J185" s="14" t="s">
        <v>51</v>
      </c>
      <c r="K185" s="14" t="s">
        <v>52</v>
      </c>
      <c r="L185" s="14"/>
      <c r="M185" s="51"/>
      <c r="N185" s="7"/>
      <c r="P185" s="52" t="s">
        <v>49</v>
      </c>
      <c r="Q185" s="14"/>
      <c r="R185" s="14" t="s">
        <v>88</v>
      </c>
      <c r="S185" s="14"/>
      <c r="T185" s="14"/>
      <c r="U185" s="14"/>
      <c r="V185" s="14"/>
      <c r="W185" s="15"/>
      <c r="X185" s="14"/>
      <c r="Y185" s="14" t="s">
        <v>51</v>
      </c>
      <c r="Z185" s="14" t="s">
        <v>52</v>
      </c>
      <c r="AA185" s="14"/>
      <c r="AB185" s="51"/>
      <c r="AC185" s="7"/>
    </row>
    <row r="186" spans="1:29">
      <c r="A186" s="53"/>
      <c r="B186" s="10"/>
      <c r="C186" s="10"/>
      <c r="D186" s="10"/>
      <c r="E186" s="10"/>
      <c r="F186" s="10"/>
      <c r="G186" s="10"/>
      <c r="H186" s="17"/>
      <c r="I186" s="10"/>
      <c r="J186" s="10"/>
      <c r="K186" s="10"/>
      <c r="L186" s="10"/>
      <c r="M186" s="54"/>
      <c r="N186" s="19"/>
      <c r="P186" s="53"/>
      <c r="Q186" s="10"/>
      <c r="R186" s="10"/>
      <c r="S186" s="10"/>
      <c r="T186" s="10"/>
      <c r="U186" s="10"/>
      <c r="V186" s="10"/>
      <c r="W186" s="17"/>
      <c r="X186" s="10"/>
      <c r="Y186" s="10"/>
      <c r="Z186" s="10"/>
      <c r="AA186" s="10"/>
      <c r="AB186" s="54"/>
      <c r="AC186" s="19"/>
    </row>
    <row r="187" spans="1:29">
      <c r="A187" s="55" t="s">
        <v>53</v>
      </c>
      <c r="B187" s="21" t="s">
        <v>54</v>
      </c>
      <c r="C187" s="21" t="s">
        <v>55</v>
      </c>
      <c r="D187" s="21" t="s">
        <v>56</v>
      </c>
      <c r="E187" s="21" t="s">
        <v>57</v>
      </c>
      <c r="F187" s="21" t="s">
        <v>20</v>
      </c>
      <c r="G187" s="21" t="s">
        <v>58</v>
      </c>
      <c r="H187" s="21" t="s">
        <v>59</v>
      </c>
      <c r="I187" s="21" t="s">
        <v>60</v>
      </c>
      <c r="J187" s="21" t="s">
        <v>61</v>
      </c>
      <c r="K187" s="21" t="s">
        <v>62</v>
      </c>
      <c r="L187" s="21" t="s">
        <v>63</v>
      </c>
      <c r="M187" s="56" t="s">
        <v>64</v>
      </c>
      <c r="N187" s="19"/>
      <c r="P187" s="55" t="s">
        <v>53</v>
      </c>
      <c r="Q187" s="21" t="s">
        <v>54</v>
      </c>
      <c r="R187" s="21" t="s">
        <v>55</v>
      </c>
      <c r="S187" s="21" t="s">
        <v>56</v>
      </c>
      <c r="T187" s="21" t="s">
        <v>57</v>
      </c>
      <c r="U187" s="21" t="s">
        <v>20</v>
      </c>
      <c r="V187" s="21" t="s">
        <v>58</v>
      </c>
      <c r="W187" s="21" t="s">
        <v>59</v>
      </c>
      <c r="X187" s="21" t="s">
        <v>60</v>
      </c>
      <c r="Y187" s="21" t="s">
        <v>61</v>
      </c>
      <c r="Z187" s="21" t="s">
        <v>62</v>
      </c>
      <c r="AA187" s="21" t="s">
        <v>63</v>
      </c>
      <c r="AB187" s="56" t="s">
        <v>64</v>
      </c>
      <c r="AC187" s="19"/>
    </row>
    <row r="188" spans="1:29">
      <c r="A188" s="57">
        <v>1</v>
      </c>
      <c r="B188" s="36">
        <v>0</v>
      </c>
      <c r="C188" s="36">
        <v>0</v>
      </c>
      <c r="D188" s="36">
        <v>31.8</v>
      </c>
      <c r="E188" s="36">
        <v>0</v>
      </c>
      <c r="F188" s="36">
        <v>5</v>
      </c>
      <c r="G188" s="36">
        <v>20.7</v>
      </c>
      <c r="H188" s="36">
        <v>6.6</v>
      </c>
      <c r="I188" s="36">
        <v>0</v>
      </c>
      <c r="J188" s="36">
        <v>0</v>
      </c>
      <c r="K188" s="36">
        <v>45.5</v>
      </c>
      <c r="L188" s="36">
        <v>19.100000000000001</v>
      </c>
      <c r="M188" s="58">
        <v>6.2</v>
      </c>
      <c r="N188" s="7"/>
      <c r="P188" s="57">
        <v>1</v>
      </c>
      <c r="Q188" s="36">
        <v>0</v>
      </c>
      <c r="R188" s="36">
        <v>10.1</v>
      </c>
      <c r="S188" s="36">
        <v>2.8</v>
      </c>
      <c r="T188" s="36">
        <v>1.7</v>
      </c>
      <c r="U188" s="36">
        <v>11.1</v>
      </c>
      <c r="V188" s="36">
        <v>0</v>
      </c>
      <c r="W188" s="36">
        <v>6.6</v>
      </c>
      <c r="X188" s="36">
        <v>0</v>
      </c>
      <c r="Y188" s="36">
        <v>39.299999999999997</v>
      </c>
      <c r="Z188" s="36">
        <v>30</v>
      </c>
      <c r="AA188" s="36">
        <v>0.4</v>
      </c>
      <c r="AB188" s="58">
        <v>43</v>
      </c>
      <c r="AC188" s="7"/>
    </row>
    <row r="189" spans="1:29">
      <c r="A189" s="57">
        <v>2</v>
      </c>
      <c r="B189" s="36">
        <v>0</v>
      </c>
      <c r="C189" s="36">
        <v>25.5</v>
      </c>
      <c r="D189" s="36">
        <v>32.6</v>
      </c>
      <c r="E189" s="36">
        <v>0</v>
      </c>
      <c r="F189" s="36">
        <v>8.5</v>
      </c>
      <c r="G189" s="36">
        <v>17</v>
      </c>
      <c r="H189" s="36">
        <v>0</v>
      </c>
      <c r="I189" s="36">
        <v>0</v>
      </c>
      <c r="J189" s="36">
        <v>4</v>
      </c>
      <c r="K189" s="36">
        <v>9.8000000000000007</v>
      </c>
      <c r="L189" s="36">
        <v>5.0999999999999996</v>
      </c>
      <c r="M189" s="58">
        <v>0</v>
      </c>
      <c r="N189" s="7"/>
      <c r="P189" s="57">
        <v>2</v>
      </c>
      <c r="Q189" s="36">
        <v>0</v>
      </c>
      <c r="R189" s="36">
        <v>10.3</v>
      </c>
      <c r="S189" s="36">
        <v>0.6</v>
      </c>
      <c r="T189" s="36">
        <v>0</v>
      </c>
      <c r="U189" s="36">
        <v>25.4</v>
      </c>
      <c r="V189" s="36">
        <v>3.2</v>
      </c>
      <c r="W189" s="36">
        <v>39.799999999999997</v>
      </c>
      <c r="X189" s="36">
        <v>12</v>
      </c>
      <c r="Y189" s="36">
        <v>0</v>
      </c>
      <c r="Z189" s="36">
        <v>0</v>
      </c>
      <c r="AA189" s="36">
        <v>0</v>
      </c>
      <c r="AB189" s="58">
        <v>6.3</v>
      </c>
      <c r="AC189" s="7"/>
    </row>
    <row r="190" spans="1:29">
      <c r="A190" s="57">
        <v>3</v>
      </c>
      <c r="B190" s="36">
        <v>0</v>
      </c>
      <c r="C190" s="36">
        <v>16.899999999999999</v>
      </c>
      <c r="D190" s="36">
        <v>0.4</v>
      </c>
      <c r="E190" s="36">
        <v>6.7</v>
      </c>
      <c r="F190" s="36">
        <v>9.9</v>
      </c>
      <c r="G190" s="36">
        <v>0.3</v>
      </c>
      <c r="H190" s="36">
        <v>0</v>
      </c>
      <c r="I190" s="36">
        <v>0</v>
      </c>
      <c r="J190" s="36">
        <v>0</v>
      </c>
      <c r="K190" s="36">
        <v>8.5</v>
      </c>
      <c r="L190" s="36">
        <v>0</v>
      </c>
      <c r="M190" s="58">
        <v>0</v>
      </c>
      <c r="N190" s="7"/>
      <c r="P190" s="57">
        <v>3</v>
      </c>
      <c r="Q190" s="36">
        <v>0</v>
      </c>
      <c r="R190" s="36">
        <v>22.2</v>
      </c>
      <c r="S190" s="36">
        <v>3.4</v>
      </c>
      <c r="T190" s="36">
        <v>0</v>
      </c>
      <c r="U190" s="36">
        <v>0</v>
      </c>
      <c r="V190" s="36">
        <v>11.7</v>
      </c>
      <c r="W190" s="36">
        <v>0.1</v>
      </c>
      <c r="X190" s="36">
        <v>2.2000000000000002</v>
      </c>
      <c r="Y190" s="36">
        <v>0</v>
      </c>
      <c r="Z190" s="36">
        <v>0</v>
      </c>
      <c r="AA190" s="36">
        <v>14.6</v>
      </c>
      <c r="AB190" s="58">
        <v>17.2</v>
      </c>
      <c r="AC190" s="7"/>
    </row>
    <row r="191" spans="1:29">
      <c r="A191" s="57">
        <v>4</v>
      </c>
      <c r="B191" s="36">
        <v>0</v>
      </c>
      <c r="C191" s="36">
        <v>0</v>
      </c>
      <c r="D191" s="36">
        <v>38.200000000000003</v>
      </c>
      <c r="E191" s="36">
        <v>0</v>
      </c>
      <c r="F191" s="36">
        <v>0</v>
      </c>
      <c r="G191" s="36">
        <v>0</v>
      </c>
      <c r="H191" s="36">
        <v>32</v>
      </c>
      <c r="I191" s="36">
        <v>0</v>
      </c>
      <c r="J191" s="36">
        <v>0</v>
      </c>
      <c r="K191" s="36">
        <v>10.199999999999999</v>
      </c>
      <c r="L191" s="36">
        <v>0</v>
      </c>
      <c r="M191" s="58">
        <v>0</v>
      </c>
      <c r="N191" s="7"/>
      <c r="P191" s="57">
        <v>4</v>
      </c>
      <c r="Q191" s="36">
        <v>0</v>
      </c>
      <c r="R191" s="36">
        <v>0.2</v>
      </c>
      <c r="S191" s="36">
        <v>12.5</v>
      </c>
      <c r="T191" s="36">
        <v>1.5</v>
      </c>
      <c r="U191" s="36">
        <v>10.199999999999999</v>
      </c>
      <c r="V191" s="36">
        <v>17.3</v>
      </c>
      <c r="W191" s="36">
        <v>0</v>
      </c>
      <c r="X191" s="36">
        <v>0</v>
      </c>
      <c r="Y191" s="36">
        <v>0</v>
      </c>
      <c r="Z191" s="36">
        <v>3</v>
      </c>
      <c r="AA191" s="36">
        <v>35.799999999999997</v>
      </c>
      <c r="AB191" s="58">
        <v>7.3</v>
      </c>
      <c r="AC191" s="7"/>
    </row>
    <row r="192" spans="1:29">
      <c r="A192" s="57">
        <v>5</v>
      </c>
      <c r="B192" s="36">
        <v>0.2</v>
      </c>
      <c r="C192" s="36">
        <v>0</v>
      </c>
      <c r="D192" s="36">
        <v>2</v>
      </c>
      <c r="E192" s="36">
        <v>0</v>
      </c>
      <c r="F192" s="36">
        <v>40.299999999999997</v>
      </c>
      <c r="G192" s="36">
        <v>0</v>
      </c>
      <c r="H192" s="36">
        <v>0</v>
      </c>
      <c r="I192" s="36">
        <v>0</v>
      </c>
      <c r="J192" s="36">
        <v>11.4</v>
      </c>
      <c r="K192" s="36">
        <v>1.2</v>
      </c>
      <c r="L192" s="36">
        <v>25</v>
      </c>
      <c r="M192" s="58">
        <v>1.5</v>
      </c>
      <c r="N192" s="7"/>
      <c r="P192" s="57">
        <v>5</v>
      </c>
      <c r="Q192" s="36">
        <v>13.6</v>
      </c>
      <c r="R192" s="36">
        <v>0</v>
      </c>
      <c r="S192" s="36">
        <v>5.3</v>
      </c>
      <c r="T192" s="36">
        <v>0</v>
      </c>
      <c r="U192" s="36">
        <v>0</v>
      </c>
      <c r="V192" s="36">
        <v>23.3</v>
      </c>
      <c r="W192" s="36">
        <v>20.9</v>
      </c>
      <c r="X192" s="36">
        <v>0</v>
      </c>
      <c r="Y192" s="36">
        <v>0</v>
      </c>
      <c r="Z192" s="36">
        <v>0</v>
      </c>
      <c r="AA192" s="36">
        <v>0</v>
      </c>
      <c r="AB192" s="58">
        <v>32.799999999999997</v>
      </c>
      <c r="AC192" s="7"/>
    </row>
    <row r="193" spans="1:29">
      <c r="A193" s="57">
        <v>6</v>
      </c>
      <c r="B193" s="36">
        <v>0</v>
      </c>
      <c r="C193" s="36">
        <v>0</v>
      </c>
      <c r="D193" s="36">
        <v>0.6</v>
      </c>
      <c r="E193" s="36">
        <v>0</v>
      </c>
      <c r="F193" s="36">
        <v>6.6</v>
      </c>
      <c r="G193" s="36">
        <v>0</v>
      </c>
      <c r="H193" s="36">
        <v>42</v>
      </c>
      <c r="I193" s="36">
        <v>20</v>
      </c>
      <c r="J193" s="36">
        <v>1.2</v>
      </c>
      <c r="K193" s="36">
        <v>3.5</v>
      </c>
      <c r="L193" s="36">
        <v>4.8</v>
      </c>
      <c r="M193" s="58">
        <v>4.4000000000000004</v>
      </c>
      <c r="N193" s="7"/>
      <c r="P193" s="57">
        <v>6</v>
      </c>
      <c r="Q193" s="36">
        <v>0.6</v>
      </c>
      <c r="R193" s="36">
        <v>0</v>
      </c>
      <c r="S193" s="36">
        <v>0.9</v>
      </c>
      <c r="T193" s="36">
        <v>0</v>
      </c>
      <c r="U193" s="36">
        <v>0</v>
      </c>
      <c r="V193" s="36">
        <v>1.3</v>
      </c>
      <c r="W193" s="36">
        <v>16.8</v>
      </c>
      <c r="X193" s="36">
        <v>0</v>
      </c>
      <c r="Y193" s="36">
        <v>3</v>
      </c>
      <c r="Z193" s="36">
        <v>27.2</v>
      </c>
      <c r="AA193" s="36">
        <v>21.6</v>
      </c>
      <c r="AB193" s="58">
        <v>0</v>
      </c>
      <c r="AC193" s="7"/>
    </row>
    <row r="194" spans="1:29">
      <c r="A194" s="57">
        <v>7</v>
      </c>
      <c r="B194" s="36">
        <v>0</v>
      </c>
      <c r="C194" s="36">
        <v>0</v>
      </c>
      <c r="D194" s="36">
        <v>0</v>
      </c>
      <c r="E194" s="36">
        <v>0</v>
      </c>
      <c r="F194" s="36">
        <v>21.6</v>
      </c>
      <c r="G194" s="36">
        <v>0</v>
      </c>
      <c r="H194" s="36">
        <v>6.3</v>
      </c>
      <c r="I194" s="36">
        <v>31</v>
      </c>
      <c r="J194" s="36">
        <v>15.2</v>
      </c>
      <c r="K194" s="36">
        <v>18.399999999999999</v>
      </c>
      <c r="L194" s="36">
        <v>0</v>
      </c>
      <c r="M194" s="58">
        <v>24.6</v>
      </c>
      <c r="N194" s="7"/>
      <c r="P194" s="57">
        <v>7</v>
      </c>
      <c r="Q194" s="36">
        <v>2.1</v>
      </c>
      <c r="R194" s="36">
        <v>0</v>
      </c>
      <c r="S194" s="36">
        <v>2.6</v>
      </c>
      <c r="T194" s="36">
        <v>13.3</v>
      </c>
      <c r="U194" s="36">
        <v>10</v>
      </c>
      <c r="V194" s="36">
        <v>7.1</v>
      </c>
      <c r="W194" s="36">
        <v>15.1</v>
      </c>
      <c r="X194" s="36">
        <v>12.7</v>
      </c>
      <c r="Y194" s="36">
        <v>5.7</v>
      </c>
      <c r="Z194" s="36">
        <v>0</v>
      </c>
      <c r="AA194" s="36">
        <v>10.8</v>
      </c>
      <c r="AB194" s="58">
        <v>6.6</v>
      </c>
      <c r="AC194" s="7"/>
    </row>
    <row r="195" spans="1:29">
      <c r="A195" s="57">
        <v>8</v>
      </c>
      <c r="B195" s="36">
        <v>0</v>
      </c>
      <c r="C195" s="36">
        <v>0</v>
      </c>
      <c r="D195" s="36">
        <v>0</v>
      </c>
      <c r="E195" s="36">
        <v>0</v>
      </c>
      <c r="F195" s="36">
        <v>0</v>
      </c>
      <c r="G195" s="36">
        <v>0</v>
      </c>
      <c r="H195" s="36">
        <v>0</v>
      </c>
      <c r="I195" s="36">
        <v>1.3</v>
      </c>
      <c r="J195" s="36">
        <v>2.1</v>
      </c>
      <c r="K195" s="36">
        <v>0.4</v>
      </c>
      <c r="L195" s="36">
        <v>28</v>
      </c>
      <c r="M195" s="58">
        <v>1.5</v>
      </c>
      <c r="N195" s="7"/>
      <c r="P195" s="57">
        <v>8</v>
      </c>
      <c r="Q195" s="36">
        <v>1.4</v>
      </c>
      <c r="R195" s="36">
        <v>0</v>
      </c>
      <c r="S195" s="36">
        <v>0</v>
      </c>
      <c r="T195" s="36">
        <v>1.2</v>
      </c>
      <c r="U195" s="36">
        <v>0.8</v>
      </c>
      <c r="V195" s="36">
        <v>0</v>
      </c>
      <c r="W195" s="36">
        <v>0.5</v>
      </c>
      <c r="X195" s="36">
        <v>4.8</v>
      </c>
      <c r="Y195" s="36">
        <v>0.2</v>
      </c>
      <c r="Z195" s="36">
        <v>0</v>
      </c>
      <c r="AA195" s="36">
        <v>14.5</v>
      </c>
      <c r="AB195" s="58">
        <v>2.8</v>
      </c>
      <c r="AC195" s="7"/>
    </row>
    <row r="196" spans="1:29">
      <c r="A196" s="57">
        <v>9</v>
      </c>
      <c r="B196" s="36">
        <v>0</v>
      </c>
      <c r="C196" s="36">
        <v>0</v>
      </c>
      <c r="D196" s="36">
        <v>0</v>
      </c>
      <c r="E196" s="36">
        <v>0</v>
      </c>
      <c r="F196" s="36">
        <v>1</v>
      </c>
      <c r="G196" s="36">
        <v>27.5</v>
      </c>
      <c r="H196" s="36">
        <v>102</v>
      </c>
      <c r="I196" s="36">
        <v>0</v>
      </c>
      <c r="J196" s="36">
        <v>6.2</v>
      </c>
      <c r="K196" s="36">
        <v>3.2</v>
      </c>
      <c r="L196" s="36">
        <v>5</v>
      </c>
      <c r="M196" s="58">
        <v>65</v>
      </c>
      <c r="N196" s="7"/>
      <c r="P196" s="57">
        <v>9</v>
      </c>
      <c r="Q196" s="36">
        <v>1.6</v>
      </c>
      <c r="R196" s="36">
        <v>0</v>
      </c>
      <c r="S196" s="36">
        <v>2.5</v>
      </c>
      <c r="T196" s="36">
        <v>0</v>
      </c>
      <c r="U196" s="36">
        <v>42</v>
      </c>
      <c r="V196" s="36">
        <v>59.4</v>
      </c>
      <c r="W196" s="36">
        <v>0</v>
      </c>
      <c r="X196" s="36">
        <v>0</v>
      </c>
      <c r="Y196" s="36">
        <v>0</v>
      </c>
      <c r="Z196" s="36">
        <v>2</v>
      </c>
      <c r="AA196" s="36">
        <v>3.9</v>
      </c>
      <c r="AB196" s="58">
        <v>0</v>
      </c>
      <c r="AC196" s="7"/>
    </row>
    <row r="197" spans="1:29">
      <c r="A197" s="57">
        <v>10</v>
      </c>
      <c r="B197" s="36">
        <v>0</v>
      </c>
      <c r="C197" s="36">
        <v>0</v>
      </c>
      <c r="D197" s="36">
        <v>13</v>
      </c>
      <c r="E197" s="36">
        <v>0</v>
      </c>
      <c r="F197" s="36">
        <v>0</v>
      </c>
      <c r="G197" s="36">
        <v>38.4</v>
      </c>
      <c r="H197" s="36">
        <v>2.8</v>
      </c>
      <c r="I197" s="36">
        <v>45.6</v>
      </c>
      <c r="J197" s="36">
        <v>3.6</v>
      </c>
      <c r="K197" s="36">
        <v>0.8</v>
      </c>
      <c r="L197" s="36">
        <v>1.5</v>
      </c>
      <c r="M197" s="58">
        <v>0</v>
      </c>
      <c r="N197" s="7"/>
      <c r="P197" s="57">
        <v>10</v>
      </c>
      <c r="Q197" s="36">
        <v>1.4</v>
      </c>
      <c r="R197" s="36">
        <v>0</v>
      </c>
      <c r="S197" s="36">
        <v>0.5</v>
      </c>
      <c r="T197" s="36">
        <v>0.3</v>
      </c>
      <c r="U197" s="36">
        <v>8.6999999999999993</v>
      </c>
      <c r="V197" s="36">
        <v>0</v>
      </c>
      <c r="W197" s="36">
        <v>27.1</v>
      </c>
      <c r="X197" s="36">
        <v>0</v>
      </c>
      <c r="Y197" s="36">
        <v>0</v>
      </c>
      <c r="Z197" s="36">
        <v>16.8</v>
      </c>
      <c r="AA197" s="36">
        <v>22.5</v>
      </c>
      <c r="AB197" s="58">
        <v>30.5</v>
      </c>
      <c r="AC197" s="7"/>
    </row>
    <row r="198" spans="1:29">
      <c r="A198" s="57">
        <v>11</v>
      </c>
      <c r="B198" s="36">
        <v>0</v>
      </c>
      <c r="C198" s="36">
        <v>0</v>
      </c>
      <c r="D198" s="36">
        <v>31.1</v>
      </c>
      <c r="E198" s="36">
        <v>0.5</v>
      </c>
      <c r="F198" s="36">
        <v>51</v>
      </c>
      <c r="G198" s="36">
        <v>0</v>
      </c>
      <c r="H198" s="36">
        <v>0</v>
      </c>
      <c r="I198" s="36">
        <v>17.100000000000001</v>
      </c>
      <c r="J198" s="36">
        <v>45.3</v>
      </c>
      <c r="K198" s="36">
        <v>4</v>
      </c>
      <c r="L198" s="36">
        <v>0</v>
      </c>
      <c r="M198" s="58">
        <v>0</v>
      </c>
      <c r="N198" s="7"/>
      <c r="P198" s="57">
        <v>11</v>
      </c>
      <c r="Q198" s="36">
        <v>0</v>
      </c>
      <c r="R198" s="36">
        <v>0</v>
      </c>
      <c r="S198" s="36">
        <v>2.9</v>
      </c>
      <c r="T198" s="36">
        <v>0</v>
      </c>
      <c r="U198" s="36">
        <v>0</v>
      </c>
      <c r="V198" s="36">
        <v>6.6</v>
      </c>
      <c r="W198" s="36">
        <v>43.4</v>
      </c>
      <c r="X198" s="36">
        <v>0</v>
      </c>
      <c r="Y198" s="36">
        <v>0</v>
      </c>
      <c r="Z198" s="36">
        <v>3.3</v>
      </c>
      <c r="AA198" s="36">
        <v>13.3</v>
      </c>
      <c r="AB198" s="58">
        <v>17.100000000000001</v>
      </c>
      <c r="AC198" s="7"/>
    </row>
    <row r="199" spans="1:29">
      <c r="A199" s="57">
        <v>12</v>
      </c>
      <c r="B199" s="36">
        <v>0</v>
      </c>
      <c r="C199" s="36">
        <v>0</v>
      </c>
      <c r="D199" s="36">
        <v>0</v>
      </c>
      <c r="E199" s="36">
        <v>0</v>
      </c>
      <c r="F199" s="36">
        <v>32.299999999999997</v>
      </c>
      <c r="G199" s="36">
        <v>2</v>
      </c>
      <c r="H199" s="36">
        <v>77.099999999999994</v>
      </c>
      <c r="I199" s="36">
        <v>0</v>
      </c>
      <c r="J199" s="36">
        <v>25.6</v>
      </c>
      <c r="K199" s="36">
        <v>8.8000000000000007</v>
      </c>
      <c r="L199" s="36">
        <v>22.1</v>
      </c>
      <c r="M199" s="58">
        <v>3</v>
      </c>
      <c r="N199" s="7"/>
      <c r="P199" s="57">
        <v>12</v>
      </c>
      <c r="Q199" s="36">
        <v>0.1</v>
      </c>
      <c r="R199" s="36">
        <v>0</v>
      </c>
      <c r="S199" s="36">
        <v>1.8</v>
      </c>
      <c r="T199" s="36">
        <v>0</v>
      </c>
      <c r="U199" s="36">
        <v>0</v>
      </c>
      <c r="V199" s="36">
        <v>2.1</v>
      </c>
      <c r="W199" s="36">
        <v>0</v>
      </c>
      <c r="X199" s="36">
        <v>0</v>
      </c>
      <c r="Y199" s="36">
        <v>0</v>
      </c>
      <c r="Z199" s="36">
        <v>5.5</v>
      </c>
      <c r="AA199" s="36">
        <v>7</v>
      </c>
      <c r="AB199" s="58">
        <v>12.3</v>
      </c>
      <c r="AC199" s="7"/>
    </row>
    <row r="200" spans="1:29">
      <c r="A200" s="57">
        <v>13</v>
      </c>
      <c r="B200" s="36">
        <v>11</v>
      </c>
      <c r="C200" s="36">
        <v>0</v>
      </c>
      <c r="D200" s="36">
        <v>0.8</v>
      </c>
      <c r="E200" s="36">
        <v>0</v>
      </c>
      <c r="F200" s="36">
        <v>3.9</v>
      </c>
      <c r="G200" s="36">
        <v>0</v>
      </c>
      <c r="H200" s="36">
        <v>2.1</v>
      </c>
      <c r="I200" s="36">
        <v>32.200000000000003</v>
      </c>
      <c r="J200" s="36">
        <v>5.7</v>
      </c>
      <c r="K200" s="36">
        <v>0.2</v>
      </c>
      <c r="L200" s="36">
        <v>39.9</v>
      </c>
      <c r="M200" s="58">
        <v>4</v>
      </c>
      <c r="N200" s="7"/>
      <c r="P200" s="57">
        <v>13</v>
      </c>
      <c r="Q200" s="36">
        <v>11.6</v>
      </c>
      <c r="R200" s="36">
        <v>39.700000000000003</v>
      </c>
      <c r="S200" s="36">
        <v>2.5</v>
      </c>
      <c r="T200" s="36">
        <v>0</v>
      </c>
      <c r="U200" s="36">
        <v>11.6</v>
      </c>
      <c r="V200" s="36">
        <v>0</v>
      </c>
      <c r="W200" s="36">
        <v>0</v>
      </c>
      <c r="X200" s="36">
        <v>0</v>
      </c>
      <c r="Y200" s="36">
        <v>0</v>
      </c>
      <c r="Z200" s="36">
        <v>0</v>
      </c>
      <c r="AA200" s="36">
        <v>4.5999999999999996</v>
      </c>
      <c r="AB200" s="58">
        <v>1.2</v>
      </c>
      <c r="AC200" s="7"/>
    </row>
    <row r="201" spans="1:29">
      <c r="A201" s="57">
        <v>14</v>
      </c>
      <c r="B201" s="36">
        <v>0</v>
      </c>
      <c r="C201" s="36">
        <v>7</v>
      </c>
      <c r="D201" s="36">
        <v>0</v>
      </c>
      <c r="E201" s="36">
        <v>2.1</v>
      </c>
      <c r="F201" s="36">
        <v>10.3</v>
      </c>
      <c r="G201" s="36">
        <v>5.2</v>
      </c>
      <c r="H201" s="36">
        <v>1.2</v>
      </c>
      <c r="I201" s="36">
        <v>70.099999999999994</v>
      </c>
      <c r="J201" s="36">
        <v>0.1</v>
      </c>
      <c r="K201" s="36">
        <v>2.2000000000000002</v>
      </c>
      <c r="L201" s="36">
        <v>0</v>
      </c>
      <c r="M201" s="58">
        <v>14.2</v>
      </c>
      <c r="N201" s="7"/>
      <c r="P201" s="57">
        <v>14</v>
      </c>
      <c r="Q201" s="36">
        <v>0</v>
      </c>
      <c r="R201" s="36">
        <v>12.1</v>
      </c>
      <c r="S201" s="36">
        <v>21.7</v>
      </c>
      <c r="T201" s="36">
        <v>21.7</v>
      </c>
      <c r="U201" s="36">
        <v>3</v>
      </c>
      <c r="V201" s="36">
        <v>0</v>
      </c>
      <c r="W201" s="36">
        <v>0</v>
      </c>
      <c r="X201" s="36">
        <v>0</v>
      </c>
      <c r="Y201" s="36">
        <v>0</v>
      </c>
      <c r="Z201" s="36">
        <v>8.6</v>
      </c>
      <c r="AA201" s="36">
        <v>0</v>
      </c>
      <c r="AB201" s="58">
        <v>17.600000000000001</v>
      </c>
      <c r="AC201" s="7"/>
    </row>
    <row r="202" spans="1:29">
      <c r="A202" s="57">
        <v>15</v>
      </c>
      <c r="B202" s="36">
        <v>2.4</v>
      </c>
      <c r="C202" s="36">
        <v>0</v>
      </c>
      <c r="D202" s="36">
        <v>0</v>
      </c>
      <c r="E202" s="36">
        <v>0.5</v>
      </c>
      <c r="F202" s="36">
        <v>0</v>
      </c>
      <c r="G202" s="36">
        <v>46.2</v>
      </c>
      <c r="H202" s="36">
        <v>0</v>
      </c>
      <c r="I202" s="36">
        <v>0.6</v>
      </c>
      <c r="J202" s="36">
        <v>0</v>
      </c>
      <c r="K202" s="36">
        <v>0</v>
      </c>
      <c r="L202" s="36">
        <v>3.7</v>
      </c>
      <c r="M202" s="58">
        <v>0</v>
      </c>
      <c r="N202" s="7"/>
      <c r="P202" s="57">
        <v>15</v>
      </c>
      <c r="Q202" s="36">
        <v>0</v>
      </c>
      <c r="R202" s="36">
        <v>0</v>
      </c>
      <c r="S202" s="36">
        <v>0</v>
      </c>
      <c r="T202" s="36">
        <v>0</v>
      </c>
      <c r="U202" s="36">
        <v>0</v>
      </c>
      <c r="V202" s="36">
        <v>3.6</v>
      </c>
      <c r="W202" s="36">
        <v>18.100000000000001</v>
      </c>
      <c r="X202" s="36">
        <v>0</v>
      </c>
      <c r="Y202" s="36">
        <v>3</v>
      </c>
      <c r="Z202" s="36">
        <v>0</v>
      </c>
      <c r="AA202" s="36">
        <v>0</v>
      </c>
      <c r="AB202" s="58">
        <v>35.6</v>
      </c>
      <c r="AC202" s="7"/>
    </row>
    <row r="203" spans="1:29">
      <c r="A203" s="57">
        <v>16</v>
      </c>
      <c r="B203" s="36">
        <v>0</v>
      </c>
      <c r="C203" s="36">
        <v>0</v>
      </c>
      <c r="D203" s="36">
        <v>0</v>
      </c>
      <c r="E203" s="36">
        <v>16.399999999999999</v>
      </c>
      <c r="F203" s="36">
        <v>0</v>
      </c>
      <c r="G203" s="36">
        <v>10.4</v>
      </c>
      <c r="H203" s="36">
        <v>33.5</v>
      </c>
      <c r="I203" s="36">
        <v>29.6</v>
      </c>
      <c r="J203" s="36">
        <v>0</v>
      </c>
      <c r="K203" s="36">
        <v>9.5</v>
      </c>
      <c r="L203" s="36">
        <v>7.6</v>
      </c>
      <c r="M203" s="58">
        <v>0</v>
      </c>
      <c r="N203" s="7"/>
      <c r="P203" s="57">
        <v>16</v>
      </c>
      <c r="Q203" s="36">
        <v>0</v>
      </c>
      <c r="R203" s="36">
        <v>0.3</v>
      </c>
      <c r="S203" s="36">
        <v>6.9</v>
      </c>
      <c r="T203" s="36">
        <v>0</v>
      </c>
      <c r="U203" s="36">
        <v>0</v>
      </c>
      <c r="V203" s="36">
        <v>21.9</v>
      </c>
      <c r="W203" s="36">
        <v>0</v>
      </c>
      <c r="X203" s="36">
        <v>0</v>
      </c>
      <c r="Y203" s="36">
        <v>38.6</v>
      </c>
      <c r="Z203" s="36">
        <v>0</v>
      </c>
      <c r="AA203" s="36">
        <v>9.8000000000000007</v>
      </c>
      <c r="AB203" s="58">
        <v>0</v>
      </c>
      <c r="AC203" s="7"/>
    </row>
    <row r="204" spans="1:29">
      <c r="A204" s="57">
        <v>17</v>
      </c>
      <c r="B204" s="36">
        <v>0</v>
      </c>
      <c r="C204" s="36">
        <v>0.3</v>
      </c>
      <c r="D204" s="36">
        <v>25</v>
      </c>
      <c r="E204" s="36">
        <v>17</v>
      </c>
      <c r="F204" s="36">
        <v>35.4</v>
      </c>
      <c r="G204" s="36">
        <v>24.8</v>
      </c>
      <c r="H204" s="36">
        <v>0.8</v>
      </c>
      <c r="I204" s="36">
        <v>0.7</v>
      </c>
      <c r="J204" s="36">
        <v>0</v>
      </c>
      <c r="K204" s="36">
        <v>15</v>
      </c>
      <c r="L204" s="36">
        <v>1.5</v>
      </c>
      <c r="M204" s="58">
        <v>2.2999999999999998</v>
      </c>
      <c r="N204" s="7"/>
      <c r="P204" s="57">
        <v>17</v>
      </c>
      <c r="Q204" s="36">
        <v>0</v>
      </c>
      <c r="R204" s="36">
        <v>0</v>
      </c>
      <c r="S204" s="36">
        <v>4.5</v>
      </c>
      <c r="T204" s="36">
        <v>0</v>
      </c>
      <c r="U204" s="36">
        <v>0</v>
      </c>
      <c r="V204" s="36">
        <v>0</v>
      </c>
      <c r="W204" s="36">
        <v>0</v>
      </c>
      <c r="X204" s="36">
        <v>0</v>
      </c>
      <c r="Y204" s="36">
        <v>1.4</v>
      </c>
      <c r="Z204" s="36">
        <v>6.2</v>
      </c>
      <c r="AA204" s="36">
        <v>3.5</v>
      </c>
      <c r="AB204" s="58">
        <v>0</v>
      </c>
      <c r="AC204" s="7"/>
    </row>
    <row r="205" spans="1:29">
      <c r="A205" s="57">
        <v>18</v>
      </c>
      <c r="B205" s="36">
        <v>0</v>
      </c>
      <c r="C205" s="36">
        <v>0</v>
      </c>
      <c r="D205" s="36">
        <v>1.9</v>
      </c>
      <c r="E205" s="36">
        <v>0</v>
      </c>
      <c r="F205" s="36">
        <v>32</v>
      </c>
      <c r="G205" s="36">
        <v>0.4</v>
      </c>
      <c r="H205" s="36">
        <v>14.4</v>
      </c>
      <c r="I205" s="36">
        <v>0</v>
      </c>
      <c r="J205" s="36">
        <v>10</v>
      </c>
      <c r="K205" s="36">
        <v>0</v>
      </c>
      <c r="L205" s="36">
        <v>0</v>
      </c>
      <c r="M205" s="58">
        <v>0</v>
      </c>
      <c r="N205" s="7"/>
      <c r="P205" s="57">
        <v>18</v>
      </c>
      <c r="Q205" s="36">
        <v>0</v>
      </c>
      <c r="R205" s="36">
        <v>0</v>
      </c>
      <c r="S205" s="36">
        <v>0.4</v>
      </c>
      <c r="T205" s="36">
        <v>0</v>
      </c>
      <c r="U205" s="36">
        <v>0</v>
      </c>
      <c r="V205" s="36">
        <v>3.4</v>
      </c>
      <c r="W205" s="36">
        <v>0</v>
      </c>
      <c r="X205" s="36">
        <v>1</v>
      </c>
      <c r="Y205" s="36">
        <v>74.8</v>
      </c>
      <c r="Z205" s="36">
        <v>2.2999999999999998</v>
      </c>
      <c r="AA205" s="36">
        <v>0</v>
      </c>
      <c r="AB205" s="58">
        <v>0</v>
      </c>
      <c r="AC205" s="7"/>
    </row>
    <row r="206" spans="1:29">
      <c r="A206" s="57">
        <v>19</v>
      </c>
      <c r="B206" s="36">
        <v>0</v>
      </c>
      <c r="C206" s="36">
        <v>0</v>
      </c>
      <c r="D206" s="36">
        <v>3.2</v>
      </c>
      <c r="E206" s="36">
        <v>1.8</v>
      </c>
      <c r="F206" s="36">
        <v>9.6</v>
      </c>
      <c r="G206" s="36">
        <v>16.7</v>
      </c>
      <c r="H206" s="36">
        <v>0.9</v>
      </c>
      <c r="I206" s="36">
        <v>0</v>
      </c>
      <c r="J206" s="36">
        <v>8.8000000000000007</v>
      </c>
      <c r="K206" s="36">
        <v>0</v>
      </c>
      <c r="L206" s="36">
        <v>0.4</v>
      </c>
      <c r="M206" s="58">
        <v>0</v>
      </c>
      <c r="N206" s="7"/>
      <c r="P206" s="57">
        <v>19</v>
      </c>
      <c r="Q206" s="36">
        <v>1.2</v>
      </c>
      <c r="R206" s="36">
        <v>0</v>
      </c>
      <c r="S206" s="36">
        <v>2.5</v>
      </c>
      <c r="T206" s="36">
        <v>37.5</v>
      </c>
      <c r="U206" s="36">
        <v>0</v>
      </c>
      <c r="V206" s="36">
        <v>0</v>
      </c>
      <c r="W206" s="36">
        <v>0</v>
      </c>
      <c r="X206" s="36">
        <v>2.8</v>
      </c>
      <c r="Y206" s="36">
        <v>39.700000000000003</v>
      </c>
      <c r="Z206" s="36">
        <v>41.9</v>
      </c>
      <c r="AA206" s="36">
        <v>50.3</v>
      </c>
      <c r="AB206" s="58">
        <v>0</v>
      </c>
      <c r="AC206" s="7"/>
    </row>
    <row r="207" spans="1:29">
      <c r="A207" s="57">
        <v>20</v>
      </c>
      <c r="B207" s="36">
        <v>4.5</v>
      </c>
      <c r="C207" s="36">
        <v>0</v>
      </c>
      <c r="D207" s="36">
        <v>0</v>
      </c>
      <c r="E207" s="36">
        <v>0.8</v>
      </c>
      <c r="F207" s="36">
        <v>13.1</v>
      </c>
      <c r="G207" s="36">
        <v>0</v>
      </c>
      <c r="H207" s="36">
        <v>0</v>
      </c>
      <c r="I207" s="36">
        <v>0.2</v>
      </c>
      <c r="J207" s="36">
        <v>1</v>
      </c>
      <c r="K207" s="36">
        <v>0</v>
      </c>
      <c r="L207" s="36">
        <v>0</v>
      </c>
      <c r="M207" s="58">
        <v>3.4</v>
      </c>
      <c r="N207" s="7"/>
      <c r="P207" s="57">
        <v>20</v>
      </c>
      <c r="Q207" s="36">
        <v>4</v>
      </c>
      <c r="R207" s="36">
        <v>0</v>
      </c>
      <c r="S207" s="36">
        <v>0</v>
      </c>
      <c r="T207" s="36">
        <v>0.1</v>
      </c>
      <c r="U207" s="36">
        <v>22.3</v>
      </c>
      <c r="V207" s="36">
        <v>1.2</v>
      </c>
      <c r="W207" s="36">
        <v>102.6</v>
      </c>
      <c r="X207" s="36">
        <v>0</v>
      </c>
      <c r="Y207" s="36">
        <v>7.7</v>
      </c>
      <c r="Z207" s="36">
        <v>0.3</v>
      </c>
      <c r="AA207" s="36">
        <v>10</v>
      </c>
      <c r="AB207" s="58">
        <v>6.2</v>
      </c>
      <c r="AC207" s="7"/>
    </row>
    <row r="208" spans="1:29">
      <c r="A208" s="57">
        <v>21</v>
      </c>
      <c r="B208" s="36">
        <v>0</v>
      </c>
      <c r="C208" s="36">
        <v>0</v>
      </c>
      <c r="D208" s="36">
        <v>22</v>
      </c>
      <c r="E208" s="36">
        <v>0</v>
      </c>
      <c r="F208" s="36">
        <v>0</v>
      </c>
      <c r="G208" s="36">
        <v>0</v>
      </c>
      <c r="H208" s="36">
        <v>0</v>
      </c>
      <c r="I208" s="36">
        <v>65</v>
      </c>
      <c r="J208" s="36">
        <v>0.3</v>
      </c>
      <c r="K208" s="36">
        <v>0</v>
      </c>
      <c r="L208" s="36">
        <v>35.6</v>
      </c>
      <c r="M208" s="58">
        <v>0</v>
      </c>
      <c r="N208" s="7"/>
      <c r="P208" s="57">
        <v>21</v>
      </c>
      <c r="Q208" s="36">
        <v>11.1</v>
      </c>
      <c r="R208" s="36">
        <v>0</v>
      </c>
      <c r="S208" s="36">
        <v>1</v>
      </c>
      <c r="T208" s="36">
        <v>0</v>
      </c>
      <c r="U208" s="36">
        <v>0</v>
      </c>
      <c r="V208" s="36">
        <v>0</v>
      </c>
      <c r="W208" s="36">
        <v>9</v>
      </c>
      <c r="X208" s="36">
        <v>0</v>
      </c>
      <c r="Y208" s="36">
        <v>14.7</v>
      </c>
      <c r="Z208" s="36">
        <v>31</v>
      </c>
      <c r="AA208" s="36">
        <v>7</v>
      </c>
      <c r="AB208" s="58">
        <v>30.4</v>
      </c>
      <c r="AC208" s="7"/>
    </row>
    <row r="209" spans="1:29">
      <c r="A209" s="57">
        <v>22</v>
      </c>
      <c r="B209" s="36">
        <v>0.8</v>
      </c>
      <c r="C209" s="36">
        <v>2</v>
      </c>
      <c r="D209" s="36">
        <v>5.6</v>
      </c>
      <c r="E209" s="36">
        <v>7.3</v>
      </c>
      <c r="F209" s="36">
        <v>33.4</v>
      </c>
      <c r="G209" s="36">
        <v>0</v>
      </c>
      <c r="H209" s="36">
        <v>0</v>
      </c>
      <c r="I209" s="36">
        <v>23.4</v>
      </c>
      <c r="J209" s="36">
        <v>0</v>
      </c>
      <c r="K209" s="36">
        <v>0</v>
      </c>
      <c r="L209" s="36">
        <v>0</v>
      </c>
      <c r="M209" s="58">
        <v>0</v>
      </c>
      <c r="N209" s="7"/>
      <c r="P209" s="57">
        <v>22</v>
      </c>
      <c r="Q209" s="36">
        <v>1.8</v>
      </c>
      <c r="R209" s="36">
        <v>0</v>
      </c>
      <c r="S209" s="36">
        <v>1</v>
      </c>
      <c r="T209" s="36">
        <v>35.9</v>
      </c>
      <c r="U209" s="36">
        <v>0</v>
      </c>
      <c r="V209" s="36">
        <v>0.1</v>
      </c>
      <c r="W209" s="36">
        <v>0</v>
      </c>
      <c r="X209" s="36">
        <v>0</v>
      </c>
      <c r="Y209" s="36">
        <v>0</v>
      </c>
      <c r="Z209" s="36">
        <v>3.5</v>
      </c>
      <c r="AA209" s="36">
        <v>13.4</v>
      </c>
      <c r="AB209" s="58">
        <v>19.7</v>
      </c>
      <c r="AC209" s="7"/>
    </row>
    <row r="210" spans="1:29">
      <c r="A210" s="57">
        <v>23</v>
      </c>
      <c r="B210" s="36">
        <v>0.2</v>
      </c>
      <c r="C210" s="36">
        <v>6.2</v>
      </c>
      <c r="D210" s="36">
        <v>5.4</v>
      </c>
      <c r="E210" s="36">
        <v>7.9</v>
      </c>
      <c r="F210" s="36">
        <v>0.1</v>
      </c>
      <c r="G210" s="36">
        <v>0</v>
      </c>
      <c r="H210" s="36">
        <v>0</v>
      </c>
      <c r="I210" s="36">
        <v>25.8</v>
      </c>
      <c r="J210" s="36">
        <v>0</v>
      </c>
      <c r="K210" s="36">
        <v>0</v>
      </c>
      <c r="L210" s="36">
        <v>0</v>
      </c>
      <c r="M210" s="58">
        <v>0</v>
      </c>
      <c r="N210" s="7"/>
      <c r="P210" s="57">
        <v>23</v>
      </c>
      <c r="Q210" s="36">
        <v>2.2000000000000002</v>
      </c>
      <c r="R210" s="36">
        <v>0</v>
      </c>
      <c r="S210" s="36">
        <v>23.8</v>
      </c>
      <c r="T210" s="36">
        <v>46.2</v>
      </c>
      <c r="U210" s="36">
        <v>0</v>
      </c>
      <c r="V210" s="36">
        <v>27.5</v>
      </c>
      <c r="W210" s="36">
        <v>0</v>
      </c>
      <c r="X210" s="36">
        <v>0</v>
      </c>
      <c r="Y210" s="36">
        <v>0</v>
      </c>
      <c r="Z210" s="36">
        <v>22.3</v>
      </c>
      <c r="AA210" s="36">
        <v>11.3</v>
      </c>
      <c r="AB210" s="58">
        <v>14</v>
      </c>
      <c r="AC210" s="7"/>
    </row>
    <row r="211" spans="1:29">
      <c r="A211" s="57">
        <v>24</v>
      </c>
      <c r="B211" s="36">
        <v>7.6</v>
      </c>
      <c r="C211" s="36">
        <v>0</v>
      </c>
      <c r="D211" s="36">
        <v>0</v>
      </c>
      <c r="E211" s="36">
        <v>0</v>
      </c>
      <c r="F211" s="36">
        <v>0</v>
      </c>
      <c r="G211" s="36">
        <v>23.8</v>
      </c>
      <c r="H211" s="36">
        <v>0</v>
      </c>
      <c r="I211" s="36">
        <v>0</v>
      </c>
      <c r="J211" s="36">
        <v>0</v>
      </c>
      <c r="K211" s="36">
        <v>0</v>
      </c>
      <c r="L211" s="36">
        <v>15.2</v>
      </c>
      <c r="M211" s="58">
        <v>0</v>
      </c>
      <c r="N211" s="7"/>
      <c r="P211" s="57">
        <v>24</v>
      </c>
      <c r="Q211" s="36">
        <v>21.5</v>
      </c>
      <c r="R211" s="36">
        <v>0</v>
      </c>
      <c r="S211" s="36">
        <v>13.3</v>
      </c>
      <c r="T211" s="36">
        <v>0.3</v>
      </c>
      <c r="U211" s="36">
        <v>5.9</v>
      </c>
      <c r="V211" s="36">
        <v>0</v>
      </c>
      <c r="W211" s="36">
        <v>0</v>
      </c>
      <c r="X211" s="36">
        <v>27.5</v>
      </c>
      <c r="Y211" s="36">
        <v>0</v>
      </c>
      <c r="Z211" s="36">
        <v>0</v>
      </c>
      <c r="AA211" s="36">
        <v>48.8</v>
      </c>
      <c r="AB211" s="58">
        <v>0</v>
      </c>
      <c r="AC211" s="7"/>
    </row>
    <row r="212" spans="1:29">
      <c r="A212" s="57">
        <v>25</v>
      </c>
      <c r="B212" s="36">
        <v>12.6</v>
      </c>
      <c r="C212" s="36">
        <v>0</v>
      </c>
      <c r="D212" s="36">
        <v>0</v>
      </c>
      <c r="E212" s="36">
        <v>8</v>
      </c>
      <c r="F212" s="36">
        <v>0</v>
      </c>
      <c r="G212" s="36">
        <v>0</v>
      </c>
      <c r="H212" s="36">
        <v>0</v>
      </c>
      <c r="I212" s="36">
        <v>45</v>
      </c>
      <c r="J212" s="36">
        <v>0</v>
      </c>
      <c r="K212" s="36">
        <v>0</v>
      </c>
      <c r="L212" s="36">
        <v>8.1999999999999993</v>
      </c>
      <c r="M212" s="58">
        <v>28.6</v>
      </c>
      <c r="N212" s="7"/>
      <c r="P212" s="57">
        <v>25</v>
      </c>
      <c r="Q212" s="36">
        <v>14</v>
      </c>
      <c r="R212" s="36">
        <v>2.2999999999999998</v>
      </c>
      <c r="S212" s="36">
        <v>6.7</v>
      </c>
      <c r="T212" s="36">
        <v>6.9</v>
      </c>
      <c r="U212" s="36">
        <v>2.7</v>
      </c>
      <c r="V212" s="36">
        <v>17</v>
      </c>
      <c r="W212" s="36">
        <v>0</v>
      </c>
      <c r="X212" s="36">
        <v>5.6</v>
      </c>
      <c r="Y212" s="36">
        <v>0</v>
      </c>
      <c r="Z212" s="36">
        <v>11.6</v>
      </c>
      <c r="AA212" s="36">
        <v>1</v>
      </c>
      <c r="AB212" s="58">
        <v>6.6</v>
      </c>
      <c r="AC212" s="7"/>
    </row>
    <row r="213" spans="1:29">
      <c r="A213" s="57">
        <v>26</v>
      </c>
      <c r="B213" s="36">
        <v>3.3</v>
      </c>
      <c r="C213" s="36">
        <v>1.2</v>
      </c>
      <c r="D213" s="36">
        <v>0</v>
      </c>
      <c r="E213" s="36">
        <v>0</v>
      </c>
      <c r="F213" s="36">
        <v>24.7</v>
      </c>
      <c r="G213" s="36">
        <v>0.7</v>
      </c>
      <c r="H213" s="36">
        <v>0</v>
      </c>
      <c r="I213" s="36">
        <v>48.5</v>
      </c>
      <c r="J213" s="36">
        <v>0</v>
      </c>
      <c r="K213" s="36">
        <v>0</v>
      </c>
      <c r="L213" s="36">
        <v>0.3</v>
      </c>
      <c r="M213" s="58">
        <v>14.9</v>
      </c>
      <c r="N213" s="7"/>
      <c r="P213" s="57">
        <v>26</v>
      </c>
      <c r="Q213" s="36">
        <v>0.7</v>
      </c>
      <c r="R213" s="36">
        <v>29.4</v>
      </c>
      <c r="S213" s="36">
        <v>1.2</v>
      </c>
      <c r="T213" s="36">
        <v>0.7</v>
      </c>
      <c r="U213" s="36">
        <v>0</v>
      </c>
      <c r="V213" s="36">
        <v>2</v>
      </c>
      <c r="W213" s="36">
        <v>0</v>
      </c>
      <c r="X213" s="36">
        <v>24.5</v>
      </c>
      <c r="Y213" s="36">
        <v>1</v>
      </c>
      <c r="Z213" s="36">
        <v>5</v>
      </c>
      <c r="AA213" s="36">
        <v>11</v>
      </c>
      <c r="AB213" s="58">
        <v>1.8</v>
      </c>
      <c r="AC213" s="7"/>
    </row>
    <row r="214" spans="1:29">
      <c r="A214" s="57">
        <v>27</v>
      </c>
      <c r="B214" s="36">
        <v>0.9</v>
      </c>
      <c r="C214" s="36">
        <v>0</v>
      </c>
      <c r="D214" s="36">
        <v>76.900000000000006</v>
      </c>
      <c r="E214" s="36">
        <v>2.7</v>
      </c>
      <c r="F214" s="36">
        <v>0.8</v>
      </c>
      <c r="G214" s="36">
        <v>2.9</v>
      </c>
      <c r="H214" s="36">
        <v>0</v>
      </c>
      <c r="I214" s="36">
        <v>0</v>
      </c>
      <c r="J214" s="36">
        <v>0</v>
      </c>
      <c r="K214" s="36">
        <v>0</v>
      </c>
      <c r="L214" s="36">
        <v>2.6</v>
      </c>
      <c r="M214" s="58">
        <v>0</v>
      </c>
      <c r="N214" s="7"/>
      <c r="P214" s="57">
        <v>27</v>
      </c>
      <c r="Q214" s="36">
        <v>25.4</v>
      </c>
      <c r="R214" s="36">
        <v>0</v>
      </c>
      <c r="S214" s="36">
        <v>0</v>
      </c>
      <c r="T214" s="36">
        <v>6</v>
      </c>
      <c r="U214" s="36">
        <v>7.3</v>
      </c>
      <c r="V214" s="36">
        <v>0</v>
      </c>
      <c r="W214" s="36">
        <v>0</v>
      </c>
      <c r="X214" s="36">
        <v>0</v>
      </c>
      <c r="Y214" s="36">
        <v>0</v>
      </c>
      <c r="Z214" s="36">
        <v>6</v>
      </c>
      <c r="AA214" s="36">
        <v>13.6</v>
      </c>
      <c r="AB214" s="58">
        <v>7.5</v>
      </c>
      <c r="AC214" s="7"/>
    </row>
    <row r="215" spans="1:29">
      <c r="A215" s="57">
        <v>28</v>
      </c>
      <c r="B215" s="36">
        <v>4</v>
      </c>
      <c r="C215" s="36">
        <v>0</v>
      </c>
      <c r="D215" s="36">
        <v>69.400000000000006</v>
      </c>
      <c r="E215" s="36">
        <v>11.2</v>
      </c>
      <c r="F215" s="36">
        <v>61.9</v>
      </c>
      <c r="G215" s="36">
        <v>2.6</v>
      </c>
      <c r="H215" s="36">
        <v>0</v>
      </c>
      <c r="I215" s="36">
        <v>2.2999999999999998</v>
      </c>
      <c r="J215" s="36">
        <v>0.4</v>
      </c>
      <c r="K215" s="36">
        <v>2.7</v>
      </c>
      <c r="L215" s="36">
        <v>0.2</v>
      </c>
      <c r="M215" s="58">
        <v>0</v>
      </c>
      <c r="N215" s="7"/>
      <c r="P215" s="57">
        <v>28</v>
      </c>
      <c r="Q215" s="36">
        <v>24.5</v>
      </c>
      <c r="R215" s="36">
        <v>14</v>
      </c>
      <c r="S215" s="36">
        <v>9</v>
      </c>
      <c r="T215" s="36">
        <v>18.600000000000001</v>
      </c>
      <c r="U215" s="36">
        <v>0.1</v>
      </c>
      <c r="V215" s="36">
        <v>30.2</v>
      </c>
      <c r="W215" s="36">
        <v>0</v>
      </c>
      <c r="X215" s="36">
        <v>0</v>
      </c>
      <c r="Y215" s="36">
        <v>0</v>
      </c>
      <c r="Z215" s="36">
        <v>25.5</v>
      </c>
      <c r="AA215" s="36">
        <v>9.1</v>
      </c>
      <c r="AB215" s="58">
        <v>0</v>
      </c>
      <c r="AC215" s="7"/>
    </row>
    <row r="216" spans="1:29">
      <c r="A216" s="57">
        <v>29</v>
      </c>
      <c r="B216" s="36">
        <v>41.3</v>
      </c>
      <c r="C216" s="36"/>
      <c r="D216" s="36">
        <v>2.5</v>
      </c>
      <c r="E216" s="36">
        <v>18.600000000000001</v>
      </c>
      <c r="F216" s="36">
        <v>0.9</v>
      </c>
      <c r="G216" s="36">
        <v>0</v>
      </c>
      <c r="H216" s="36">
        <v>0</v>
      </c>
      <c r="I216" s="36">
        <v>40</v>
      </c>
      <c r="J216" s="36">
        <v>0</v>
      </c>
      <c r="K216" s="36">
        <v>0</v>
      </c>
      <c r="L216" s="36">
        <v>3.6</v>
      </c>
      <c r="M216" s="58">
        <v>0</v>
      </c>
      <c r="N216" s="7"/>
      <c r="P216" s="57">
        <v>29</v>
      </c>
      <c r="Q216" s="36">
        <v>4.8</v>
      </c>
      <c r="R216" s="36"/>
      <c r="S216" s="36">
        <v>0</v>
      </c>
      <c r="T216" s="36">
        <v>27.6</v>
      </c>
      <c r="U216" s="36">
        <v>0</v>
      </c>
      <c r="V216" s="36">
        <v>0</v>
      </c>
      <c r="W216" s="36">
        <v>0</v>
      </c>
      <c r="X216" s="36">
        <v>2.2000000000000002</v>
      </c>
      <c r="Y216" s="36">
        <v>26.1</v>
      </c>
      <c r="Z216" s="36">
        <v>18.8</v>
      </c>
      <c r="AA216" s="36">
        <v>0</v>
      </c>
      <c r="AB216" s="58">
        <v>6.6</v>
      </c>
      <c r="AC216" s="7"/>
    </row>
    <row r="217" spans="1:29">
      <c r="A217" s="57">
        <v>30</v>
      </c>
      <c r="B217" s="36">
        <v>55.4</v>
      </c>
      <c r="C217" s="24"/>
      <c r="D217" s="36">
        <v>0</v>
      </c>
      <c r="E217" s="36">
        <v>0</v>
      </c>
      <c r="F217" s="36">
        <v>2.2000000000000002</v>
      </c>
      <c r="G217" s="36">
        <v>0.8</v>
      </c>
      <c r="H217" s="36">
        <v>0</v>
      </c>
      <c r="I217" s="36">
        <v>12.1</v>
      </c>
      <c r="J217" s="36">
        <v>17.7</v>
      </c>
      <c r="K217" s="36">
        <v>14.5</v>
      </c>
      <c r="L217" s="36">
        <v>17.8</v>
      </c>
      <c r="M217" s="58">
        <v>12</v>
      </c>
      <c r="N217" s="7"/>
      <c r="P217" s="57">
        <v>30</v>
      </c>
      <c r="Q217" s="36">
        <v>7.1</v>
      </c>
      <c r="R217" s="24"/>
      <c r="S217" s="36">
        <v>0</v>
      </c>
      <c r="T217" s="36">
        <v>0.6</v>
      </c>
      <c r="U217" s="36">
        <v>0.6</v>
      </c>
      <c r="V217" s="36">
        <v>0</v>
      </c>
      <c r="W217" s="36">
        <v>0</v>
      </c>
      <c r="X217" s="36">
        <v>0</v>
      </c>
      <c r="Y217" s="36">
        <v>4</v>
      </c>
      <c r="Z217" s="36">
        <v>4</v>
      </c>
      <c r="AA217" s="36">
        <v>0</v>
      </c>
      <c r="AB217" s="58">
        <v>17.600000000000001</v>
      </c>
      <c r="AC217" s="7"/>
    </row>
    <row r="218" spans="1:29">
      <c r="A218" s="57">
        <v>31</v>
      </c>
      <c r="B218" s="36">
        <v>0</v>
      </c>
      <c r="C218" s="24"/>
      <c r="D218" s="36">
        <v>9.8000000000000007</v>
      </c>
      <c r="E218" s="36">
        <v>0</v>
      </c>
      <c r="F218" s="36">
        <v>11.5</v>
      </c>
      <c r="G218" s="36">
        <v>0</v>
      </c>
      <c r="H218" s="36">
        <v>0.1</v>
      </c>
      <c r="I218" s="36">
        <v>28.4</v>
      </c>
      <c r="J218" s="36">
        <v>0</v>
      </c>
      <c r="K218" s="36">
        <v>10.5</v>
      </c>
      <c r="L218" s="36">
        <v>0</v>
      </c>
      <c r="M218" s="58">
        <v>11.2</v>
      </c>
      <c r="N218" s="7"/>
      <c r="P218" s="57">
        <v>31</v>
      </c>
      <c r="Q218" s="36">
        <v>25.5</v>
      </c>
      <c r="R218" s="24"/>
      <c r="S218" s="36">
        <v>19.2</v>
      </c>
      <c r="T218" s="24"/>
      <c r="U218" s="36">
        <v>69.8</v>
      </c>
      <c r="V218" s="24"/>
      <c r="W218" s="36">
        <v>0</v>
      </c>
      <c r="X218" s="36">
        <v>0</v>
      </c>
      <c r="Y218" s="24"/>
      <c r="Z218" s="36">
        <v>2.1</v>
      </c>
      <c r="AA218" s="24"/>
      <c r="AB218" s="58">
        <v>8.1999999999999993</v>
      </c>
      <c r="AC218" s="7"/>
    </row>
    <row r="219" spans="1:29">
      <c r="A219" s="59"/>
      <c r="B219" s="26"/>
      <c r="C219" s="26"/>
      <c r="D219" s="26"/>
      <c r="E219" s="27"/>
      <c r="F219" s="26"/>
      <c r="G219" s="26"/>
      <c r="H219" s="26"/>
      <c r="I219" s="26"/>
      <c r="J219" s="26"/>
      <c r="K219" s="26"/>
      <c r="L219" s="28"/>
      <c r="M219" s="58">
        <v>0</v>
      </c>
      <c r="N219" s="7"/>
      <c r="P219" s="59"/>
      <c r="Q219" s="26"/>
      <c r="R219" s="26"/>
      <c r="S219" s="26"/>
      <c r="T219" s="27"/>
      <c r="U219" s="26"/>
      <c r="V219" s="26"/>
      <c r="W219" s="26"/>
      <c r="X219" s="26"/>
      <c r="Y219" s="26"/>
      <c r="Z219" s="26"/>
      <c r="AA219" s="28"/>
      <c r="AB219" s="60"/>
      <c r="AC219" s="7"/>
    </row>
    <row r="220" spans="1:29">
      <c r="A220" s="57" t="s">
        <v>65</v>
      </c>
      <c r="B220" s="30">
        <f t="shared" ref="B220:M220" si="17">SUM(B188:B218)</f>
        <v>144.19999999999999</v>
      </c>
      <c r="C220" s="30">
        <f t="shared" si="17"/>
        <v>59.1</v>
      </c>
      <c r="D220" s="30">
        <f t="shared" si="17"/>
        <v>372.2</v>
      </c>
      <c r="E220" s="30">
        <f t="shared" si="17"/>
        <v>101.5</v>
      </c>
      <c r="F220" s="30">
        <f t="shared" si="17"/>
        <v>416</v>
      </c>
      <c r="G220" s="30">
        <f t="shared" si="17"/>
        <v>240.40000000000003</v>
      </c>
      <c r="H220" s="30">
        <f t="shared" si="17"/>
        <v>321.79999999999995</v>
      </c>
      <c r="I220" s="30">
        <f t="shared" si="17"/>
        <v>538.9</v>
      </c>
      <c r="J220" s="30">
        <f t="shared" si="17"/>
        <v>158.6</v>
      </c>
      <c r="K220" s="30">
        <f t="shared" si="17"/>
        <v>168.89999999999998</v>
      </c>
      <c r="L220" s="30">
        <f t="shared" si="17"/>
        <v>247.19999999999996</v>
      </c>
      <c r="M220" s="61">
        <f t="shared" si="17"/>
        <v>196.79999999999998</v>
      </c>
      <c r="N220" s="37">
        <f>SUM(B220:M220)</f>
        <v>2965.6</v>
      </c>
      <c r="P220" s="57" t="s">
        <v>65</v>
      </c>
      <c r="Q220" s="30">
        <f t="shared" ref="Q220:AB220" si="18">SUM(Q188:Q218)</f>
        <v>176.20000000000002</v>
      </c>
      <c r="R220" s="30">
        <f t="shared" si="18"/>
        <v>140.6</v>
      </c>
      <c r="S220" s="30">
        <f t="shared" si="18"/>
        <v>149.5</v>
      </c>
      <c r="T220" s="30">
        <f t="shared" si="18"/>
        <v>220.09999999999997</v>
      </c>
      <c r="U220" s="30">
        <f t="shared" si="18"/>
        <v>231.5</v>
      </c>
      <c r="V220" s="30">
        <f t="shared" si="18"/>
        <v>238.89999999999998</v>
      </c>
      <c r="W220" s="30">
        <f t="shared" si="18"/>
        <v>300</v>
      </c>
      <c r="X220" s="30">
        <f t="shared" si="18"/>
        <v>95.3</v>
      </c>
      <c r="Y220" s="30">
        <f t="shared" si="18"/>
        <v>259.19999999999993</v>
      </c>
      <c r="Z220" s="30">
        <f t="shared" si="18"/>
        <v>276.90000000000003</v>
      </c>
      <c r="AA220" s="30">
        <f t="shared" si="18"/>
        <v>337.80000000000007</v>
      </c>
      <c r="AB220" s="61">
        <f t="shared" si="18"/>
        <v>348.90000000000003</v>
      </c>
      <c r="AC220" s="37">
        <f>SUM(Q220:AB220)</f>
        <v>2774.9</v>
      </c>
    </row>
    <row r="221" spans="1:29">
      <c r="A221" s="57" t="s">
        <v>66</v>
      </c>
      <c r="B221" s="30">
        <f>MAX(B188:B218)</f>
        <v>55.4</v>
      </c>
      <c r="C221" s="30">
        <f t="shared" ref="C221:M221" si="19">MAX(C188:C218)</f>
        <v>25.5</v>
      </c>
      <c r="D221" s="30">
        <f t="shared" si="19"/>
        <v>76.900000000000006</v>
      </c>
      <c r="E221" s="30">
        <f t="shared" si="19"/>
        <v>18.600000000000001</v>
      </c>
      <c r="F221" s="30">
        <f t="shared" si="19"/>
        <v>61.9</v>
      </c>
      <c r="G221" s="30">
        <f t="shared" si="19"/>
        <v>46.2</v>
      </c>
      <c r="H221" s="30">
        <f t="shared" si="19"/>
        <v>102</v>
      </c>
      <c r="I221" s="30">
        <f t="shared" si="19"/>
        <v>70.099999999999994</v>
      </c>
      <c r="J221" s="30">
        <f t="shared" si="19"/>
        <v>45.3</v>
      </c>
      <c r="K221" s="30">
        <f t="shared" si="19"/>
        <v>45.5</v>
      </c>
      <c r="L221" s="30">
        <f t="shared" si="19"/>
        <v>39.9</v>
      </c>
      <c r="M221" s="61">
        <f t="shared" si="19"/>
        <v>65</v>
      </c>
      <c r="N221" s="37">
        <f>MAX(B221:M221)</f>
        <v>102</v>
      </c>
      <c r="P221" s="57" t="s">
        <v>66</v>
      </c>
      <c r="Q221" s="30">
        <f>MAX(Q188:Q218)</f>
        <v>25.5</v>
      </c>
      <c r="R221" s="30">
        <f t="shared" ref="R221:AB221" si="20">MAX(R188:R218)</f>
        <v>39.700000000000003</v>
      </c>
      <c r="S221" s="30">
        <f t="shared" si="20"/>
        <v>23.8</v>
      </c>
      <c r="T221" s="30">
        <f t="shared" si="20"/>
        <v>46.2</v>
      </c>
      <c r="U221" s="30">
        <f t="shared" si="20"/>
        <v>69.8</v>
      </c>
      <c r="V221" s="30">
        <f t="shared" si="20"/>
        <v>59.4</v>
      </c>
      <c r="W221" s="30">
        <f t="shared" si="20"/>
        <v>102.6</v>
      </c>
      <c r="X221" s="30">
        <f t="shared" si="20"/>
        <v>27.5</v>
      </c>
      <c r="Y221" s="30">
        <f t="shared" si="20"/>
        <v>74.8</v>
      </c>
      <c r="Z221" s="30">
        <f t="shared" si="20"/>
        <v>41.9</v>
      </c>
      <c r="AA221" s="30">
        <f t="shared" si="20"/>
        <v>50.3</v>
      </c>
      <c r="AB221" s="61">
        <f t="shared" si="20"/>
        <v>43</v>
      </c>
      <c r="AC221" s="37">
        <f>MAX(Q221:AB221)</f>
        <v>102.6</v>
      </c>
    </row>
    <row r="222" spans="1:29">
      <c r="A222" s="62"/>
      <c r="B222" s="7"/>
      <c r="C222" s="7"/>
      <c r="D222" s="7"/>
      <c r="E222" s="7"/>
      <c r="F222" s="7"/>
      <c r="G222" s="7"/>
      <c r="H222" s="32"/>
      <c r="I222" s="7"/>
      <c r="J222" s="7"/>
      <c r="K222" s="7"/>
      <c r="L222" s="7"/>
      <c r="M222" s="63"/>
      <c r="N222" s="7"/>
      <c r="P222" s="62"/>
      <c r="Q222" s="7"/>
      <c r="R222" s="7"/>
      <c r="S222" s="7"/>
      <c r="T222" s="7"/>
      <c r="U222" s="7"/>
      <c r="V222" s="7"/>
      <c r="W222" s="32"/>
      <c r="X222" s="7"/>
      <c r="Y222" s="7"/>
      <c r="Z222" s="7"/>
      <c r="AA222" s="7"/>
      <c r="AB222" s="63"/>
      <c r="AC222" s="7"/>
    </row>
    <row r="223" spans="1:29" ht="15.75" thickBot="1">
      <c r="A223" s="64" t="s">
        <v>67</v>
      </c>
      <c r="B223" s="65">
        <v>0</v>
      </c>
      <c r="C223" s="66" t="s">
        <v>68</v>
      </c>
      <c r="D223" s="67"/>
      <c r="E223" s="68"/>
      <c r="F223" s="68"/>
      <c r="G223" s="68"/>
      <c r="H223" s="69"/>
      <c r="I223" s="68"/>
      <c r="J223" s="68"/>
      <c r="K223" s="68"/>
      <c r="L223" s="68"/>
      <c r="M223" s="70"/>
      <c r="N223" s="7"/>
      <c r="P223" s="64" t="s">
        <v>67</v>
      </c>
      <c r="Q223" s="65">
        <v>0</v>
      </c>
      <c r="R223" s="66" t="s">
        <v>68</v>
      </c>
      <c r="S223" s="67"/>
      <c r="T223" s="68"/>
      <c r="U223" s="68"/>
      <c r="V223" s="68"/>
      <c r="W223" s="69"/>
      <c r="X223" s="68"/>
      <c r="Y223" s="68"/>
      <c r="Z223" s="68"/>
      <c r="AA223" s="68"/>
      <c r="AB223" s="70"/>
      <c r="AC223" s="7"/>
    </row>
    <row r="225" spans="1:29" ht="15.75" thickBot="1"/>
    <row r="226" spans="1:29" ht="18">
      <c r="A226" s="44" t="s">
        <v>41</v>
      </c>
      <c r="B226" s="45"/>
      <c r="C226" s="45"/>
      <c r="D226" s="45"/>
      <c r="E226" s="46">
        <v>2018</v>
      </c>
      <c r="F226" s="47"/>
      <c r="G226" s="47"/>
      <c r="H226" s="48"/>
      <c r="I226" s="47"/>
      <c r="J226" s="47"/>
      <c r="K226" s="47"/>
      <c r="L226" s="47"/>
      <c r="M226" s="49"/>
      <c r="N226" s="7"/>
      <c r="P226" s="44" t="s">
        <v>41</v>
      </c>
      <c r="Q226" s="45"/>
      <c r="R226" s="45"/>
      <c r="S226" s="45"/>
      <c r="T226" s="46">
        <v>2024</v>
      </c>
      <c r="U226" s="47"/>
      <c r="V226" s="47"/>
      <c r="W226" s="48"/>
      <c r="X226" s="47"/>
      <c r="Y226" s="47"/>
      <c r="Z226" s="47"/>
      <c r="AA226" s="47"/>
      <c r="AB226" s="49"/>
      <c r="AC226" s="7"/>
    </row>
    <row r="227" spans="1:29">
      <c r="A227" s="50"/>
      <c r="B227" s="9"/>
      <c r="C227" s="9"/>
      <c r="D227" s="9"/>
      <c r="E227" s="10"/>
      <c r="F227" s="10"/>
      <c r="G227" s="10"/>
      <c r="H227" s="11"/>
      <c r="I227" s="9"/>
      <c r="J227" s="9"/>
      <c r="K227" s="9"/>
      <c r="L227" s="9"/>
      <c r="M227" s="51"/>
      <c r="N227" s="7"/>
      <c r="P227" s="50"/>
      <c r="Q227" s="9"/>
      <c r="R227" s="9"/>
      <c r="S227" s="9"/>
      <c r="T227" s="10"/>
      <c r="U227" s="10"/>
      <c r="V227" s="10"/>
      <c r="W227" s="11"/>
      <c r="X227" s="9"/>
      <c r="Y227" s="9"/>
      <c r="Z227" s="9"/>
      <c r="AA227" s="9"/>
      <c r="AB227" s="51"/>
      <c r="AC227" s="7"/>
    </row>
    <row r="228" spans="1:29" ht="15.75">
      <c r="A228" s="52" t="s">
        <v>42</v>
      </c>
      <c r="B228" s="14"/>
      <c r="C228" s="14" t="s">
        <v>43</v>
      </c>
      <c r="D228" s="14"/>
      <c r="E228" s="14"/>
      <c r="F228" s="14"/>
      <c r="G228" s="14"/>
      <c r="H228" s="15"/>
      <c r="I228" s="14"/>
      <c r="J228" s="14" t="s">
        <v>74</v>
      </c>
      <c r="K228" s="14" t="s">
        <v>75</v>
      </c>
      <c r="L228" s="14"/>
      <c r="M228" s="51"/>
      <c r="N228" s="7"/>
      <c r="P228" s="52" t="s">
        <v>42</v>
      </c>
      <c r="Q228" s="14"/>
      <c r="R228" s="14" t="s">
        <v>43</v>
      </c>
      <c r="S228" s="14"/>
      <c r="T228" s="14"/>
      <c r="U228" s="14"/>
      <c r="V228" s="14"/>
      <c r="W228" s="15"/>
      <c r="X228" s="14"/>
      <c r="Y228" s="14" t="s">
        <v>74</v>
      </c>
      <c r="Z228" s="14" t="s">
        <v>75</v>
      </c>
      <c r="AA228" s="14"/>
      <c r="AB228" s="51"/>
      <c r="AC228" s="7"/>
    </row>
    <row r="229" spans="1:29" ht="15.75">
      <c r="A229" s="52" t="s">
        <v>46</v>
      </c>
      <c r="B229" s="14"/>
      <c r="C229" s="14" t="s">
        <v>76</v>
      </c>
      <c r="D229" s="14"/>
      <c r="E229" s="14"/>
      <c r="F229" s="14"/>
      <c r="G229" s="14"/>
      <c r="H229" s="15"/>
      <c r="I229" s="14"/>
      <c r="J229" s="14" t="s">
        <v>77</v>
      </c>
      <c r="K229" s="14" t="s">
        <v>78</v>
      </c>
      <c r="L229" s="14"/>
      <c r="M229" s="51"/>
      <c r="N229" s="7"/>
      <c r="P229" s="52" t="s">
        <v>46</v>
      </c>
      <c r="Q229" s="14"/>
      <c r="R229" s="14" t="s">
        <v>76</v>
      </c>
      <c r="S229" s="14"/>
      <c r="T229" s="14"/>
      <c r="U229" s="14"/>
      <c r="V229" s="14"/>
      <c r="W229" s="15"/>
      <c r="X229" s="14"/>
      <c r="Y229" s="14" t="s">
        <v>77</v>
      </c>
      <c r="Z229" s="14" t="s">
        <v>78</v>
      </c>
      <c r="AA229" s="14"/>
      <c r="AB229" s="51"/>
      <c r="AC229" s="7"/>
    </row>
    <row r="230" spans="1:29" ht="15.75">
      <c r="A230" s="52" t="s">
        <v>49</v>
      </c>
      <c r="B230" s="14"/>
      <c r="C230" s="14" t="s">
        <v>89</v>
      </c>
      <c r="D230" s="14"/>
      <c r="E230" s="14"/>
      <c r="F230" s="14"/>
      <c r="G230" s="14"/>
      <c r="H230" s="15"/>
      <c r="I230" s="14"/>
      <c r="J230" s="14" t="s">
        <v>51</v>
      </c>
      <c r="K230" s="14" t="s">
        <v>52</v>
      </c>
      <c r="L230" s="14"/>
      <c r="M230" s="51"/>
      <c r="N230" s="7"/>
      <c r="P230" s="52" t="s">
        <v>49</v>
      </c>
      <c r="Q230" s="14"/>
      <c r="R230" s="14" t="s">
        <v>90</v>
      </c>
      <c r="S230" s="14"/>
      <c r="T230" s="14"/>
      <c r="U230" s="14"/>
      <c r="V230" s="14"/>
      <c r="W230" s="15"/>
      <c r="X230" s="14"/>
      <c r="Y230" s="14" t="s">
        <v>51</v>
      </c>
      <c r="Z230" s="14" t="s">
        <v>52</v>
      </c>
      <c r="AA230" s="14"/>
      <c r="AB230" s="51"/>
      <c r="AC230" s="7"/>
    </row>
    <row r="231" spans="1:29">
      <c r="A231" s="53"/>
      <c r="B231" s="10"/>
      <c r="C231" s="10"/>
      <c r="D231" s="10"/>
      <c r="E231" s="10"/>
      <c r="F231" s="10"/>
      <c r="G231" s="10"/>
      <c r="H231" s="17"/>
      <c r="I231" s="10"/>
      <c r="J231" s="10"/>
      <c r="K231" s="10"/>
      <c r="L231" s="10"/>
      <c r="M231" s="54"/>
      <c r="N231" s="19"/>
      <c r="P231" s="53"/>
      <c r="Q231" s="10"/>
      <c r="R231" s="10"/>
      <c r="S231" s="10"/>
      <c r="T231" s="10"/>
      <c r="U231" s="10"/>
      <c r="V231" s="10"/>
      <c r="W231" s="17"/>
      <c r="X231" s="10"/>
      <c r="Y231" s="10"/>
      <c r="Z231" s="10"/>
      <c r="AA231" s="10"/>
      <c r="AB231" s="54"/>
      <c r="AC231" s="19"/>
    </row>
    <row r="232" spans="1:29">
      <c r="A232" s="55" t="s">
        <v>53</v>
      </c>
      <c r="B232" s="21" t="s">
        <v>54</v>
      </c>
      <c r="C232" s="21" t="s">
        <v>55</v>
      </c>
      <c r="D232" s="21" t="s">
        <v>56</v>
      </c>
      <c r="E232" s="21" t="s">
        <v>57</v>
      </c>
      <c r="F232" s="21" t="s">
        <v>20</v>
      </c>
      <c r="G232" s="21" t="s">
        <v>58</v>
      </c>
      <c r="H232" s="21" t="s">
        <v>59</v>
      </c>
      <c r="I232" s="21" t="s">
        <v>60</v>
      </c>
      <c r="J232" s="21" t="s">
        <v>61</v>
      </c>
      <c r="K232" s="21" t="s">
        <v>62</v>
      </c>
      <c r="L232" s="21" t="s">
        <v>63</v>
      </c>
      <c r="M232" s="56" t="s">
        <v>64</v>
      </c>
      <c r="N232" s="19"/>
      <c r="P232" s="55" t="s">
        <v>53</v>
      </c>
      <c r="Q232" s="21" t="s">
        <v>54</v>
      </c>
      <c r="R232" s="21" t="s">
        <v>55</v>
      </c>
      <c r="S232" s="21" t="s">
        <v>56</v>
      </c>
      <c r="T232" s="21" t="s">
        <v>57</v>
      </c>
      <c r="U232" s="21" t="s">
        <v>20</v>
      </c>
      <c r="V232" s="21" t="s">
        <v>58</v>
      </c>
      <c r="W232" s="21" t="s">
        <v>59</v>
      </c>
      <c r="X232" s="21" t="s">
        <v>60</v>
      </c>
      <c r="Y232" s="21" t="s">
        <v>61</v>
      </c>
      <c r="Z232" s="21" t="s">
        <v>62</v>
      </c>
      <c r="AA232" s="21" t="s">
        <v>63</v>
      </c>
      <c r="AB232" s="56" t="s">
        <v>64</v>
      </c>
      <c r="AC232" s="19"/>
    </row>
    <row r="233" spans="1:29">
      <c r="A233" s="57">
        <v>1</v>
      </c>
      <c r="B233" s="36">
        <v>53</v>
      </c>
      <c r="C233" s="36">
        <v>0</v>
      </c>
      <c r="D233" s="36">
        <v>0</v>
      </c>
      <c r="E233" s="36">
        <v>0</v>
      </c>
      <c r="F233" s="36">
        <v>21.8</v>
      </c>
      <c r="G233" s="36">
        <v>0</v>
      </c>
      <c r="H233" s="36">
        <v>6.7</v>
      </c>
      <c r="I233" s="36">
        <v>5.4</v>
      </c>
      <c r="J233" s="36">
        <v>62.5</v>
      </c>
      <c r="K233" s="36">
        <v>1.4</v>
      </c>
      <c r="L233" s="36">
        <v>25.8</v>
      </c>
      <c r="M233" s="58">
        <v>0</v>
      </c>
      <c r="N233" s="7"/>
      <c r="P233" s="57">
        <v>1</v>
      </c>
      <c r="Q233" s="36">
        <v>9.5</v>
      </c>
      <c r="R233" s="36">
        <v>14.4</v>
      </c>
      <c r="S233" s="36">
        <v>0</v>
      </c>
      <c r="T233" s="36">
        <v>35</v>
      </c>
      <c r="U233" s="36">
        <v>26.4</v>
      </c>
      <c r="V233" s="36">
        <v>6.3</v>
      </c>
      <c r="W233" s="36"/>
      <c r="X233" s="36"/>
      <c r="Y233" s="36"/>
      <c r="Z233" s="36"/>
      <c r="AA233" s="36"/>
      <c r="AB233" s="58"/>
      <c r="AC233" s="7"/>
    </row>
    <row r="234" spans="1:29">
      <c r="A234" s="57">
        <v>2</v>
      </c>
      <c r="B234" s="36">
        <v>7.8</v>
      </c>
      <c r="C234" s="36">
        <v>0</v>
      </c>
      <c r="D234" s="36">
        <v>20</v>
      </c>
      <c r="E234" s="36">
        <v>0</v>
      </c>
      <c r="F234" s="36">
        <v>48.1</v>
      </c>
      <c r="G234" s="36">
        <v>3.6</v>
      </c>
      <c r="H234" s="36">
        <v>0</v>
      </c>
      <c r="I234" s="36">
        <v>1</v>
      </c>
      <c r="J234" s="36">
        <v>0.7</v>
      </c>
      <c r="K234" s="36">
        <v>0.2</v>
      </c>
      <c r="L234" s="36">
        <v>5.4</v>
      </c>
      <c r="M234" s="58">
        <v>48.5</v>
      </c>
      <c r="N234" s="7"/>
      <c r="P234" s="57">
        <v>2</v>
      </c>
      <c r="Q234" s="36">
        <v>56</v>
      </c>
      <c r="R234" s="36">
        <v>8.8000000000000007</v>
      </c>
      <c r="S234" s="36">
        <v>25.8</v>
      </c>
      <c r="T234" s="36">
        <v>24.5</v>
      </c>
      <c r="U234" s="36">
        <v>36.299999999999997</v>
      </c>
      <c r="V234" s="36">
        <v>28.1</v>
      </c>
      <c r="W234" s="36"/>
      <c r="X234" s="36"/>
      <c r="Y234" s="36"/>
      <c r="Z234" s="36"/>
      <c r="AA234" s="36"/>
      <c r="AB234" s="58"/>
      <c r="AC234" s="7"/>
    </row>
    <row r="235" spans="1:29">
      <c r="A235" s="57">
        <v>3</v>
      </c>
      <c r="B235" s="36">
        <v>38.799999999999997</v>
      </c>
      <c r="C235" s="36">
        <v>12.6</v>
      </c>
      <c r="D235" s="36">
        <v>0</v>
      </c>
      <c r="E235" s="36">
        <v>0</v>
      </c>
      <c r="F235" s="36">
        <v>2</v>
      </c>
      <c r="G235" s="36">
        <v>9</v>
      </c>
      <c r="H235" s="36">
        <v>24.8</v>
      </c>
      <c r="I235" s="36">
        <v>0</v>
      </c>
      <c r="J235" s="36">
        <v>0</v>
      </c>
      <c r="K235" s="36">
        <v>31.9</v>
      </c>
      <c r="L235" s="36">
        <v>13</v>
      </c>
      <c r="M235" s="58">
        <v>24.1</v>
      </c>
      <c r="N235" s="7"/>
      <c r="P235" s="57">
        <v>3</v>
      </c>
      <c r="Q235" s="36">
        <v>10.5</v>
      </c>
      <c r="R235" s="36">
        <v>0</v>
      </c>
      <c r="S235" s="36">
        <v>1.2</v>
      </c>
      <c r="T235" s="36">
        <v>11</v>
      </c>
      <c r="U235" s="36">
        <v>4.3</v>
      </c>
      <c r="V235" s="36">
        <v>0</v>
      </c>
      <c r="W235" s="36"/>
      <c r="X235" s="36"/>
      <c r="Y235" s="36"/>
      <c r="Z235" s="36"/>
      <c r="AA235" s="36"/>
      <c r="AB235" s="58"/>
      <c r="AC235" s="7"/>
    </row>
    <row r="236" spans="1:29">
      <c r="A236" s="57">
        <v>4</v>
      </c>
      <c r="B236" s="36">
        <v>0</v>
      </c>
      <c r="C236" s="36">
        <v>3.8</v>
      </c>
      <c r="D236" s="36">
        <v>0</v>
      </c>
      <c r="E236" s="36">
        <v>0</v>
      </c>
      <c r="F236" s="36">
        <v>23.5</v>
      </c>
      <c r="G236" s="36">
        <v>0.2</v>
      </c>
      <c r="H236" s="36">
        <v>1.5</v>
      </c>
      <c r="I236" s="36">
        <v>0</v>
      </c>
      <c r="J236" s="36">
        <v>0</v>
      </c>
      <c r="K236" s="36">
        <v>4.2</v>
      </c>
      <c r="L236" s="36">
        <v>15.2</v>
      </c>
      <c r="M236" s="58">
        <v>2.4</v>
      </c>
      <c r="N236" s="7"/>
      <c r="P236" s="57">
        <v>4</v>
      </c>
      <c r="Q236" s="36">
        <v>7.5</v>
      </c>
      <c r="R236" s="36">
        <v>15.5</v>
      </c>
      <c r="S236" s="36">
        <v>22</v>
      </c>
      <c r="T236" s="36">
        <v>0</v>
      </c>
      <c r="U236" s="36">
        <v>0</v>
      </c>
      <c r="V236" s="36">
        <v>0</v>
      </c>
      <c r="W236" s="36"/>
      <c r="X236" s="36"/>
      <c r="Y236" s="36"/>
      <c r="Z236" s="36"/>
      <c r="AA236" s="36"/>
      <c r="AB236" s="58"/>
      <c r="AC236" s="7"/>
    </row>
    <row r="237" spans="1:29">
      <c r="A237" s="57">
        <v>5</v>
      </c>
      <c r="B237" s="36">
        <v>6.4</v>
      </c>
      <c r="C237" s="36">
        <v>11.8</v>
      </c>
      <c r="D237" s="36">
        <v>0</v>
      </c>
      <c r="E237" s="36">
        <v>36</v>
      </c>
      <c r="F237" s="36">
        <v>0</v>
      </c>
      <c r="G237" s="36">
        <v>0</v>
      </c>
      <c r="H237" s="36">
        <v>0</v>
      </c>
      <c r="I237" s="36">
        <v>0</v>
      </c>
      <c r="J237" s="36">
        <v>0</v>
      </c>
      <c r="K237" s="36">
        <v>0</v>
      </c>
      <c r="L237" s="36">
        <v>2</v>
      </c>
      <c r="M237" s="58">
        <v>73.900000000000006</v>
      </c>
      <c r="N237" s="7"/>
      <c r="P237" s="57">
        <v>5</v>
      </c>
      <c r="Q237" s="36">
        <v>27</v>
      </c>
      <c r="R237" s="36">
        <v>0</v>
      </c>
      <c r="S237" s="36">
        <v>16</v>
      </c>
      <c r="T237" s="36">
        <v>0</v>
      </c>
      <c r="U237" s="36">
        <v>106</v>
      </c>
      <c r="V237" s="36">
        <v>0</v>
      </c>
      <c r="W237" s="36"/>
      <c r="X237" s="36"/>
      <c r="Y237" s="36"/>
      <c r="Z237" s="36"/>
      <c r="AA237" s="36"/>
      <c r="AB237" s="58"/>
      <c r="AC237" s="7"/>
    </row>
    <row r="238" spans="1:29">
      <c r="A238" s="57">
        <v>6</v>
      </c>
      <c r="B238" s="36">
        <v>1.8</v>
      </c>
      <c r="C238" s="36">
        <v>22.1</v>
      </c>
      <c r="D238" s="36">
        <v>0.4</v>
      </c>
      <c r="E238" s="36">
        <v>0</v>
      </c>
      <c r="F238" s="36">
        <v>0</v>
      </c>
      <c r="G238" s="36">
        <v>0</v>
      </c>
      <c r="H238" s="36">
        <v>9.1</v>
      </c>
      <c r="I238" s="36">
        <v>0</v>
      </c>
      <c r="J238" s="36">
        <v>12.5</v>
      </c>
      <c r="K238" s="36">
        <v>0</v>
      </c>
      <c r="L238" s="36">
        <v>28.6</v>
      </c>
      <c r="M238" s="58">
        <v>0</v>
      </c>
      <c r="N238" s="7"/>
      <c r="P238" s="57">
        <v>6</v>
      </c>
      <c r="Q238" s="36">
        <v>0</v>
      </c>
      <c r="R238" s="36">
        <v>8</v>
      </c>
      <c r="S238" s="36">
        <v>45.9</v>
      </c>
      <c r="T238" s="36">
        <v>0</v>
      </c>
      <c r="U238" s="36">
        <v>0</v>
      </c>
      <c r="V238" s="36">
        <v>0</v>
      </c>
      <c r="W238" s="36"/>
      <c r="X238" s="36"/>
      <c r="Y238" s="36"/>
      <c r="Z238" s="36"/>
      <c r="AA238" s="36"/>
      <c r="AB238" s="58"/>
      <c r="AC238" s="7"/>
    </row>
    <row r="239" spans="1:29">
      <c r="A239" s="57">
        <v>7</v>
      </c>
      <c r="B239" s="36">
        <v>38.700000000000003</v>
      </c>
      <c r="C239" s="36">
        <v>0</v>
      </c>
      <c r="D239" s="36">
        <v>25.1</v>
      </c>
      <c r="E239" s="36">
        <v>0</v>
      </c>
      <c r="F239" s="36">
        <v>0.1</v>
      </c>
      <c r="G239" s="36">
        <v>14</v>
      </c>
      <c r="H239" s="36">
        <v>0</v>
      </c>
      <c r="I239" s="36">
        <v>0</v>
      </c>
      <c r="J239" s="36">
        <v>0</v>
      </c>
      <c r="K239" s="36">
        <v>3.3</v>
      </c>
      <c r="L239" s="36">
        <v>74</v>
      </c>
      <c r="M239" s="58">
        <v>16.2</v>
      </c>
      <c r="N239" s="7"/>
      <c r="P239" s="57">
        <v>7</v>
      </c>
      <c r="Q239" s="36">
        <v>9.4</v>
      </c>
      <c r="R239" s="36">
        <v>0</v>
      </c>
      <c r="S239" s="36">
        <v>6.7</v>
      </c>
      <c r="T239" s="36">
        <v>0</v>
      </c>
      <c r="U239" s="36">
        <v>0</v>
      </c>
      <c r="V239" s="36">
        <v>0</v>
      </c>
      <c r="W239" s="36"/>
      <c r="X239" s="36"/>
      <c r="Y239" s="36"/>
      <c r="Z239" s="36"/>
      <c r="AA239" s="36"/>
      <c r="AB239" s="58"/>
      <c r="AC239" s="7"/>
    </row>
    <row r="240" spans="1:29">
      <c r="A240" s="57">
        <v>8</v>
      </c>
      <c r="B240" s="36">
        <v>0</v>
      </c>
      <c r="C240" s="36">
        <v>0</v>
      </c>
      <c r="D240" s="36">
        <v>5.5</v>
      </c>
      <c r="E240" s="36">
        <v>4.5</v>
      </c>
      <c r="F240" s="36">
        <v>41.1</v>
      </c>
      <c r="G240" s="36">
        <v>23.3</v>
      </c>
      <c r="H240" s="36">
        <v>0</v>
      </c>
      <c r="I240" s="36">
        <v>0</v>
      </c>
      <c r="J240" s="36">
        <v>3.2</v>
      </c>
      <c r="K240" s="36">
        <v>8.1999999999999993</v>
      </c>
      <c r="L240" s="36">
        <v>1.5</v>
      </c>
      <c r="M240" s="58">
        <v>0.2</v>
      </c>
      <c r="N240" s="7"/>
      <c r="P240" s="57">
        <v>8</v>
      </c>
      <c r="Q240" s="36">
        <v>4</v>
      </c>
      <c r="R240" s="36">
        <v>0</v>
      </c>
      <c r="S240" s="36">
        <v>3.5</v>
      </c>
      <c r="T240" s="36">
        <v>1.7</v>
      </c>
      <c r="U240" s="36">
        <v>0</v>
      </c>
      <c r="V240" s="36">
        <v>0</v>
      </c>
      <c r="W240" s="36"/>
      <c r="X240" s="36"/>
      <c r="Y240" s="36"/>
      <c r="Z240" s="36"/>
      <c r="AA240" s="36"/>
      <c r="AB240" s="58"/>
      <c r="AC240" s="7"/>
    </row>
    <row r="241" spans="1:29">
      <c r="A241" s="57">
        <v>9</v>
      </c>
      <c r="B241" s="36">
        <v>0</v>
      </c>
      <c r="C241" s="36">
        <v>0</v>
      </c>
      <c r="D241" s="36">
        <v>1</v>
      </c>
      <c r="E241" s="36">
        <v>49.7</v>
      </c>
      <c r="F241" s="36">
        <v>6</v>
      </c>
      <c r="G241" s="36">
        <v>47.5</v>
      </c>
      <c r="H241" s="36">
        <v>0</v>
      </c>
      <c r="I241" s="36">
        <v>5.9</v>
      </c>
      <c r="J241" s="36">
        <v>30.8</v>
      </c>
      <c r="K241" s="36">
        <v>0</v>
      </c>
      <c r="L241" s="36">
        <v>0</v>
      </c>
      <c r="M241" s="58">
        <v>86.2</v>
      </c>
      <c r="N241" s="7"/>
      <c r="P241" s="57">
        <v>9</v>
      </c>
      <c r="Q241" s="36">
        <v>2.2000000000000002</v>
      </c>
      <c r="R241" s="36">
        <v>0</v>
      </c>
      <c r="S241" s="36">
        <v>65.900000000000006</v>
      </c>
      <c r="T241" s="36">
        <v>0</v>
      </c>
      <c r="U241" s="36">
        <v>27.6</v>
      </c>
      <c r="V241" s="36">
        <v>0</v>
      </c>
      <c r="W241" s="36"/>
      <c r="X241" s="36"/>
      <c r="Y241" s="36"/>
      <c r="Z241" s="36"/>
      <c r="AA241" s="36"/>
      <c r="AB241" s="58"/>
      <c r="AC241" s="7"/>
    </row>
    <row r="242" spans="1:29">
      <c r="A242" s="57">
        <v>10</v>
      </c>
      <c r="B242" s="36">
        <v>0</v>
      </c>
      <c r="C242" s="36">
        <v>0</v>
      </c>
      <c r="D242" s="36">
        <v>0</v>
      </c>
      <c r="E242" s="36">
        <v>13.3</v>
      </c>
      <c r="F242" s="36">
        <v>58.1</v>
      </c>
      <c r="G242" s="36">
        <v>4.0999999999999996</v>
      </c>
      <c r="H242" s="36">
        <v>0</v>
      </c>
      <c r="I242" s="36">
        <v>0</v>
      </c>
      <c r="J242" s="36">
        <v>1</v>
      </c>
      <c r="K242" s="36">
        <v>14.8</v>
      </c>
      <c r="L242" s="36">
        <v>16.600000000000001</v>
      </c>
      <c r="M242" s="58">
        <v>0</v>
      </c>
      <c r="N242" s="7"/>
      <c r="P242" s="57">
        <v>10</v>
      </c>
      <c r="Q242" s="36">
        <v>28.7</v>
      </c>
      <c r="R242" s="36">
        <v>0</v>
      </c>
      <c r="S242" s="36">
        <v>0</v>
      </c>
      <c r="T242" s="36">
        <v>44</v>
      </c>
      <c r="U242" s="36">
        <v>0</v>
      </c>
      <c r="V242" s="36">
        <v>5.6</v>
      </c>
      <c r="W242" s="36"/>
      <c r="X242" s="36"/>
      <c r="Y242" s="36"/>
      <c r="Z242" s="36"/>
      <c r="AA242" s="36"/>
      <c r="AB242" s="58"/>
      <c r="AC242" s="7"/>
    </row>
    <row r="243" spans="1:29">
      <c r="A243" s="57">
        <v>11</v>
      </c>
      <c r="B243" s="36">
        <v>4.9000000000000004</v>
      </c>
      <c r="C243" s="36">
        <v>0</v>
      </c>
      <c r="D243" s="36">
        <v>10.3</v>
      </c>
      <c r="E243" s="36">
        <v>1.3</v>
      </c>
      <c r="F243" s="36">
        <v>0</v>
      </c>
      <c r="G243" s="36">
        <v>0</v>
      </c>
      <c r="H243" s="36">
        <v>0</v>
      </c>
      <c r="I243" s="36">
        <v>0</v>
      </c>
      <c r="J243" s="36">
        <v>84.4</v>
      </c>
      <c r="K243" s="36">
        <v>3.4</v>
      </c>
      <c r="L243" s="36">
        <v>9.4</v>
      </c>
      <c r="M243" s="58">
        <v>0</v>
      </c>
      <c r="N243" s="7"/>
      <c r="P243" s="57">
        <v>11</v>
      </c>
      <c r="Q243" s="36">
        <v>6.5</v>
      </c>
      <c r="R243" s="36">
        <v>7.4</v>
      </c>
      <c r="S243" s="36">
        <v>6.2</v>
      </c>
      <c r="T243" s="36">
        <v>23.1</v>
      </c>
      <c r="U243" s="36">
        <v>0.4</v>
      </c>
      <c r="V243" s="36">
        <v>36.200000000000003</v>
      </c>
      <c r="W243" s="36"/>
      <c r="X243" s="36"/>
      <c r="Y243" s="36"/>
      <c r="Z243" s="36"/>
      <c r="AA243" s="36"/>
      <c r="AB243" s="58"/>
      <c r="AC243" s="7"/>
    </row>
    <row r="244" spans="1:29">
      <c r="A244" s="57">
        <v>12</v>
      </c>
      <c r="B244" s="36">
        <v>76.8</v>
      </c>
      <c r="C244" s="36">
        <v>0</v>
      </c>
      <c r="D244" s="36">
        <v>16</v>
      </c>
      <c r="E244" s="36">
        <v>9.1999999999999993</v>
      </c>
      <c r="F244" s="36">
        <v>0</v>
      </c>
      <c r="G244" s="36">
        <v>6.7</v>
      </c>
      <c r="H244" s="36">
        <v>0</v>
      </c>
      <c r="I244" s="36">
        <v>0</v>
      </c>
      <c r="J244" s="36">
        <v>0</v>
      </c>
      <c r="K244" s="36">
        <v>103.6</v>
      </c>
      <c r="L244" s="36">
        <v>0.2</v>
      </c>
      <c r="M244" s="58">
        <v>20.100000000000001</v>
      </c>
      <c r="N244" s="7"/>
      <c r="P244" s="57">
        <v>12</v>
      </c>
      <c r="Q244" s="36">
        <v>0</v>
      </c>
      <c r="R244" s="36">
        <v>27</v>
      </c>
      <c r="S244" s="36">
        <v>1.1000000000000001</v>
      </c>
      <c r="T244" s="36">
        <v>23.5</v>
      </c>
      <c r="U244" s="36">
        <v>70.900000000000006</v>
      </c>
      <c r="V244" s="36">
        <v>0.8</v>
      </c>
      <c r="W244" s="36"/>
      <c r="X244" s="36"/>
      <c r="Y244" s="36"/>
      <c r="Z244" s="36"/>
      <c r="AA244" s="36"/>
      <c r="AB244" s="58"/>
      <c r="AC244" s="7"/>
    </row>
    <row r="245" spans="1:29">
      <c r="A245" s="57">
        <v>13</v>
      </c>
      <c r="B245" s="36">
        <v>112.7</v>
      </c>
      <c r="C245" s="36">
        <v>0</v>
      </c>
      <c r="D245" s="36">
        <v>32.5</v>
      </c>
      <c r="E245" s="36">
        <v>0</v>
      </c>
      <c r="F245" s="36">
        <v>36.299999999999997</v>
      </c>
      <c r="G245" s="36">
        <v>4</v>
      </c>
      <c r="H245" s="36">
        <v>0</v>
      </c>
      <c r="I245" s="36">
        <v>0</v>
      </c>
      <c r="J245" s="36">
        <v>0.8</v>
      </c>
      <c r="K245" s="36">
        <v>11.5</v>
      </c>
      <c r="L245" s="36">
        <v>0</v>
      </c>
      <c r="M245" s="58">
        <v>0.2</v>
      </c>
      <c r="N245" s="7"/>
      <c r="P245" s="57">
        <v>13</v>
      </c>
      <c r="Q245" s="36">
        <v>17.100000000000001</v>
      </c>
      <c r="R245" s="36">
        <v>1.8</v>
      </c>
      <c r="S245" s="36">
        <v>1.8</v>
      </c>
      <c r="T245" s="36">
        <v>5.7</v>
      </c>
      <c r="U245" s="36">
        <v>0.1</v>
      </c>
      <c r="V245" s="36">
        <v>49.1</v>
      </c>
      <c r="W245" s="36"/>
      <c r="X245" s="36"/>
      <c r="Y245" s="36"/>
      <c r="Z245" s="36"/>
      <c r="AA245" s="36"/>
      <c r="AB245" s="58"/>
      <c r="AC245" s="7"/>
    </row>
    <row r="246" spans="1:29">
      <c r="A246" s="57">
        <v>14</v>
      </c>
      <c r="B246" s="36">
        <v>88.1</v>
      </c>
      <c r="C246" s="36">
        <v>0</v>
      </c>
      <c r="D246" s="36">
        <v>0.1</v>
      </c>
      <c r="E246" s="36">
        <v>25.4</v>
      </c>
      <c r="F246" s="36">
        <v>0.3</v>
      </c>
      <c r="G246" s="36">
        <v>0</v>
      </c>
      <c r="H246" s="36">
        <v>0</v>
      </c>
      <c r="I246" s="36">
        <v>0</v>
      </c>
      <c r="J246" s="36">
        <v>0</v>
      </c>
      <c r="K246" s="36">
        <v>118.7</v>
      </c>
      <c r="L246" s="36">
        <v>4.5</v>
      </c>
      <c r="M246" s="58">
        <v>0.8</v>
      </c>
      <c r="N246" s="7"/>
      <c r="P246" s="57">
        <v>14</v>
      </c>
      <c r="Q246" s="36">
        <v>9.6</v>
      </c>
      <c r="R246" s="36">
        <v>19</v>
      </c>
      <c r="S246" s="36">
        <v>0</v>
      </c>
      <c r="T246" s="36">
        <v>14.6</v>
      </c>
      <c r="U246" s="36">
        <v>2.2000000000000002</v>
      </c>
      <c r="V246" s="36">
        <v>0</v>
      </c>
      <c r="W246" s="36"/>
      <c r="X246" s="36"/>
      <c r="Y246" s="36"/>
      <c r="Z246" s="36"/>
      <c r="AA246" s="36"/>
      <c r="AB246" s="58"/>
      <c r="AC246" s="7"/>
    </row>
    <row r="247" spans="1:29">
      <c r="A247" s="57">
        <v>15</v>
      </c>
      <c r="B247" s="36">
        <v>2</v>
      </c>
      <c r="C247" s="36">
        <v>0</v>
      </c>
      <c r="D247" s="36">
        <v>21</v>
      </c>
      <c r="E247" s="36">
        <v>11.7</v>
      </c>
      <c r="F247" s="36">
        <v>14.2</v>
      </c>
      <c r="G247" s="36">
        <v>16.2</v>
      </c>
      <c r="H247" s="36">
        <v>0</v>
      </c>
      <c r="I247" s="36">
        <v>0</v>
      </c>
      <c r="J247" s="36">
        <v>0</v>
      </c>
      <c r="K247" s="36">
        <v>0</v>
      </c>
      <c r="L247" s="36">
        <v>3</v>
      </c>
      <c r="M247" s="58">
        <v>41.4</v>
      </c>
      <c r="N247" s="7"/>
      <c r="P247" s="57">
        <v>15</v>
      </c>
      <c r="Q247" s="36">
        <v>6.4</v>
      </c>
      <c r="R247" s="36">
        <v>10</v>
      </c>
      <c r="S247" s="36">
        <v>0</v>
      </c>
      <c r="T247" s="36">
        <v>1.4</v>
      </c>
      <c r="U247" s="36">
        <v>12.6</v>
      </c>
      <c r="V247" s="36">
        <v>11.6</v>
      </c>
      <c r="W247" s="36"/>
      <c r="X247" s="36"/>
      <c r="Y247" s="36"/>
      <c r="Z247" s="36"/>
      <c r="AA247" s="36"/>
      <c r="AB247" s="58"/>
      <c r="AC247" s="7"/>
    </row>
    <row r="248" spans="1:29">
      <c r="A248" s="57">
        <v>16</v>
      </c>
      <c r="B248" s="36">
        <v>0.5</v>
      </c>
      <c r="C248" s="36">
        <v>0</v>
      </c>
      <c r="D248" s="36">
        <v>0</v>
      </c>
      <c r="E248" s="36">
        <v>30.1</v>
      </c>
      <c r="F248" s="36">
        <v>82.7</v>
      </c>
      <c r="G248" s="36">
        <v>6.3</v>
      </c>
      <c r="H248" s="36">
        <v>0</v>
      </c>
      <c r="I248" s="36">
        <v>0</v>
      </c>
      <c r="J248" s="36">
        <v>0</v>
      </c>
      <c r="K248" s="36">
        <v>27</v>
      </c>
      <c r="L248" s="36">
        <v>0</v>
      </c>
      <c r="M248" s="58">
        <v>1.4</v>
      </c>
      <c r="N248" s="7"/>
      <c r="P248" s="57">
        <v>16</v>
      </c>
      <c r="Q248" s="36">
        <v>0.2</v>
      </c>
      <c r="R248" s="36">
        <v>7.7</v>
      </c>
      <c r="S248" s="36">
        <v>0</v>
      </c>
      <c r="T248" s="36">
        <v>27.6</v>
      </c>
      <c r="U248" s="36">
        <v>14.1</v>
      </c>
      <c r="V248" s="36">
        <v>0</v>
      </c>
      <c r="W248" s="36"/>
      <c r="X248" s="36"/>
      <c r="Y248" s="36"/>
      <c r="Z248" s="36"/>
      <c r="AA248" s="36"/>
      <c r="AB248" s="58"/>
      <c r="AC248" s="7"/>
    </row>
    <row r="249" spans="1:29">
      <c r="A249" s="57">
        <v>17</v>
      </c>
      <c r="B249" s="36">
        <v>0</v>
      </c>
      <c r="C249" s="36">
        <v>0</v>
      </c>
      <c r="D249" s="36">
        <v>0</v>
      </c>
      <c r="E249" s="36">
        <v>9.8000000000000007</v>
      </c>
      <c r="F249" s="36">
        <v>0.5</v>
      </c>
      <c r="G249" s="36">
        <v>0</v>
      </c>
      <c r="H249" s="36">
        <v>0</v>
      </c>
      <c r="I249" s="36">
        <v>0</v>
      </c>
      <c r="J249" s="36">
        <v>0</v>
      </c>
      <c r="K249" s="36">
        <v>29.7</v>
      </c>
      <c r="L249" s="36">
        <v>21.2</v>
      </c>
      <c r="M249" s="58">
        <v>0.2</v>
      </c>
      <c r="N249" s="7"/>
      <c r="P249" s="57">
        <v>17</v>
      </c>
      <c r="Q249" s="36">
        <v>32</v>
      </c>
      <c r="R249" s="36">
        <v>25.2</v>
      </c>
      <c r="S249" s="36">
        <v>0</v>
      </c>
      <c r="T249" s="36">
        <v>21.3</v>
      </c>
      <c r="U249" s="36">
        <v>6.1</v>
      </c>
      <c r="V249" s="36">
        <v>0</v>
      </c>
      <c r="W249" s="36"/>
      <c r="X249" s="36"/>
      <c r="Y249" s="36"/>
      <c r="Z249" s="36"/>
      <c r="AA249" s="36"/>
      <c r="AB249" s="58"/>
      <c r="AC249" s="7"/>
    </row>
    <row r="250" spans="1:29">
      <c r="A250" s="57">
        <v>18</v>
      </c>
      <c r="B250" s="36">
        <v>0</v>
      </c>
      <c r="C250" s="36">
        <v>0</v>
      </c>
      <c r="D250" s="36">
        <v>0</v>
      </c>
      <c r="E250" s="36">
        <v>7.4</v>
      </c>
      <c r="F250" s="36">
        <v>0.1</v>
      </c>
      <c r="G250" s="36">
        <v>0</v>
      </c>
      <c r="H250" s="36">
        <v>0</v>
      </c>
      <c r="I250" s="36">
        <v>0</v>
      </c>
      <c r="J250" s="36">
        <v>2</v>
      </c>
      <c r="K250" s="36">
        <v>6.8</v>
      </c>
      <c r="L250" s="36">
        <v>0.9</v>
      </c>
      <c r="M250" s="58">
        <v>0.1</v>
      </c>
      <c r="N250" s="7"/>
      <c r="P250" s="57">
        <v>18</v>
      </c>
      <c r="Q250" s="36">
        <v>1.5</v>
      </c>
      <c r="R250" s="36">
        <v>19.5</v>
      </c>
      <c r="S250" s="36">
        <v>0</v>
      </c>
      <c r="T250" s="36">
        <v>2.2999999999999998</v>
      </c>
      <c r="U250" s="36">
        <v>14</v>
      </c>
      <c r="V250" s="36">
        <v>2.5</v>
      </c>
      <c r="W250" s="36"/>
      <c r="X250" s="36"/>
      <c r="Y250" s="36"/>
      <c r="Z250" s="36"/>
      <c r="AA250" s="36"/>
      <c r="AB250" s="58"/>
      <c r="AC250" s="7"/>
    </row>
    <row r="251" spans="1:29">
      <c r="A251" s="57">
        <v>19</v>
      </c>
      <c r="B251" s="36">
        <v>0</v>
      </c>
      <c r="C251" s="36">
        <v>0</v>
      </c>
      <c r="D251" s="36">
        <v>0</v>
      </c>
      <c r="E251" s="36">
        <v>0</v>
      </c>
      <c r="F251" s="36">
        <v>52</v>
      </c>
      <c r="G251" s="36">
        <v>0</v>
      </c>
      <c r="H251" s="36">
        <v>0</v>
      </c>
      <c r="I251" s="36">
        <v>0</v>
      </c>
      <c r="J251" s="36">
        <v>20.9</v>
      </c>
      <c r="K251" s="36">
        <v>1.9</v>
      </c>
      <c r="L251" s="36">
        <v>60.8</v>
      </c>
      <c r="M251" s="58">
        <v>0</v>
      </c>
      <c r="N251" s="7"/>
      <c r="P251" s="57">
        <v>19</v>
      </c>
      <c r="Q251" s="36">
        <v>8.8000000000000007</v>
      </c>
      <c r="R251" s="36">
        <v>2.2000000000000002</v>
      </c>
      <c r="S251" s="36">
        <v>0</v>
      </c>
      <c r="T251" s="36">
        <v>0</v>
      </c>
      <c r="U251" s="36">
        <v>4.0999999999999996</v>
      </c>
      <c r="V251" s="36">
        <v>0</v>
      </c>
      <c r="W251" s="36"/>
      <c r="X251" s="36"/>
      <c r="Y251" s="36"/>
      <c r="Z251" s="36"/>
      <c r="AA251" s="36"/>
      <c r="AB251" s="58"/>
      <c r="AC251" s="7"/>
    </row>
    <row r="252" spans="1:29">
      <c r="A252" s="57">
        <v>20</v>
      </c>
      <c r="B252" s="36">
        <v>5.8</v>
      </c>
      <c r="C252" s="36">
        <v>0.2</v>
      </c>
      <c r="D252" s="36">
        <v>0</v>
      </c>
      <c r="E252" s="36">
        <v>19</v>
      </c>
      <c r="F252" s="36">
        <v>0.5</v>
      </c>
      <c r="G252" s="36">
        <v>49</v>
      </c>
      <c r="H252" s="36">
        <v>0</v>
      </c>
      <c r="I252" s="36">
        <v>0</v>
      </c>
      <c r="J252" s="36">
        <v>0.6</v>
      </c>
      <c r="K252" s="36">
        <v>0.1</v>
      </c>
      <c r="L252" s="36">
        <v>16.399999999999999</v>
      </c>
      <c r="M252" s="58">
        <v>60</v>
      </c>
      <c r="N252" s="7"/>
      <c r="P252" s="57">
        <v>20</v>
      </c>
      <c r="Q252" s="36">
        <v>10.1</v>
      </c>
      <c r="R252" s="36">
        <v>7.6</v>
      </c>
      <c r="S252" s="36">
        <v>0</v>
      </c>
      <c r="T252" s="36">
        <v>0</v>
      </c>
      <c r="U252" s="36">
        <v>34.299999999999997</v>
      </c>
      <c r="V252" s="36">
        <v>0</v>
      </c>
      <c r="W252" s="36"/>
      <c r="X252" s="36"/>
      <c r="Y252" s="36"/>
      <c r="Z252" s="36"/>
      <c r="AA252" s="36"/>
      <c r="AB252" s="58"/>
      <c r="AC252" s="7"/>
    </row>
    <row r="253" spans="1:29">
      <c r="A253" s="57">
        <v>21</v>
      </c>
      <c r="B253" s="36">
        <v>0</v>
      </c>
      <c r="C253" s="36">
        <v>0</v>
      </c>
      <c r="D253" s="36">
        <v>0</v>
      </c>
      <c r="E253" s="36">
        <v>10.8</v>
      </c>
      <c r="F253" s="36">
        <v>22.1</v>
      </c>
      <c r="G253" s="36">
        <v>0</v>
      </c>
      <c r="H253" s="36">
        <v>0</v>
      </c>
      <c r="I253" s="36">
        <v>0</v>
      </c>
      <c r="J253" s="36">
        <v>5.4</v>
      </c>
      <c r="K253" s="36">
        <v>35.6</v>
      </c>
      <c r="L253" s="36">
        <v>0</v>
      </c>
      <c r="M253" s="58">
        <v>0</v>
      </c>
      <c r="N253" s="7"/>
      <c r="P253" s="57">
        <v>21</v>
      </c>
      <c r="Q253" s="36">
        <v>32.6</v>
      </c>
      <c r="R253" s="36">
        <v>79.599999999999994</v>
      </c>
      <c r="S253" s="36">
        <v>0</v>
      </c>
      <c r="T253" s="36">
        <v>7.8</v>
      </c>
      <c r="U253" s="36">
        <v>22.5</v>
      </c>
      <c r="V253" s="36">
        <v>34</v>
      </c>
      <c r="W253" s="36"/>
      <c r="X253" s="36"/>
      <c r="Y253" s="36"/>
      <c r="Z253" s="36"/>
      <c r="AA253" s="36"/>
      <c r="AB253" s="58"/>
      <c r="AC253" s="7"/>
    </row>
    <row r="254" spans="1:29">
      <c r="A254" s="57">
        <v>22</v>
      </c>
      <c r="B254" s="36">
        <v>0</v>
      </c>
      <c r="C254" s="36">
        <v>0</v>
      </c>
      <c r="D254" s="36">
        <v>0</v>
      </c>
      <c r="E254" s="36">
        <v>1.6</v>
      </c>
      <c r="F254" s="36">
        <v>4.5</v>
      </c>
      <c r="G254" s="36">
        <v>0</v>
      </c>
      <c r="H254" s="36">
        <v>0</v>
      </c>
      <c r="I254" s="36">
        <v>16.5</v>
      </c>
      <c r="J254" s="36">
        <v>0</v>
      </c>
      <c r="K254" s="36">
        <v>0</v>
      </c>
      <c r="L254" s="36">
        <v>2.1</v>
      </c>
      <c r="M254" s="58">
        <v>0</v>
      </c>
      <c r="N254" s="7"/>
      <c r="P254" s="57">
        <v>22</v>
      </c>
      <c r="Q254" s="36">
        <v>0.2</v>
      </c>
      <c r="R254" s="36">
        <v>2.5</v>
      </c>
      <c r="S254" s="36">
        <v>0</v>
      </c>
      <c r="T254" s="36">
        <v>19.5</v>
      </c>
      <c r="U254" s="36">
        <v>61</v>
      </c>
      <c r="V254" s="36">
        <v>107.6</v>
      </c>
      <c r="W254" s="36"/>
      <c r="X254" s="36"/>
      <c r="Y254" s="36"/>
      <c r="Z254" s="36"/>
      <c r="AA254" s="36"/>
      <c r="AB254" s="58"/>
      <c r="AC254" s="7"/>
    </row>
    <row r="255" spans="1:29">
      <c r="A255" s="57">
        <v>23</v>
      </c>
      <c r="B255" s="36">
        <v>0</v>
      </c>
      <c r="C255" s="36">
        <v>2.1</v>
      </c>
      <c r="D255" s="36">
        <v>3</v>
      </c>
      <c r="E255" s="36">
        <v>0.1</v>
      </c>
      <c r="F255" s="36">
        <v>4.5</v>
      </c>
      <c r="G255" s="36">
        <v>7.4</v>
      </c>
      <c r="H255" s="36">
        <v>0</v>
      </c>
      <c r="I255" s="36">
        <v>0</v>
      </c>
      <c r="J255" s="36">
        <v>0</v>
      </c>
      <c r="K255" s="36">
        <v>9.6</v>
      </c>
      <c r="L255" s="36">
        <v>0</v>
      </c>
      <c r="M255" s="58">
        <v>0</v>
      </c>
      <c r="N255" s="7"/>
      <c r="P255" s="57">
        <v>23</v>
      </c>
      <c r="Q255" s="36">
        <v>0</v>
      </c>
      <c r="R255" s="36">
        <v>0</v>
      </c>
      <c r="S255" s="36">
        <v>4.9000000000000004</v>
      </c>
      <c r="T255" s="36">
        <v>30.5</v>
      </c>
      <c r="U255" s="36">
        <v>0.8</v>
      </c>
      <c r="V255" s="36">
        <v>0.4</v>
      </c>
      <c r="W255" s="36"/>
      <c r="X255" s="36"/>
      <c r="Y255" s="36"/>
      <c r="Z255" s="36"/>
      <c r="AA255" s="36"/>
      <c r="AB255" s="58"/>
      <c r="AC255" s="7"/>
    </row>
    <row r="256" spans="1:29">
      <c r="A256" s="57">
        <v>24</v>
      </c>
      <c r="B256" s="36">
        <v>0</v>
      </c>
      <c r="C256" s="36">
        <v>10</v>
      </c>
      <c r="D256" s="36">
        <v>22.3</v>
      </c>
      <c r="E256" s="36">
        <v>4</v>
      </c>
      <c r="F256" s="36">
        <v>34.5</v>
      </c>
      <c r="G256" s="36">
        <v>6</v>
      </c>
      <c r="H256" s="36">
        <v>0</v>
      </c>
      <c r="I256" s="36">
        <v>0</v>
      </c>
      <c r="J256" s="36">
        <v>0</v>
      </c>
      <c r="K256" s="36">
        <v>0</v>
      </c>
      <c r="L256" s="36">
        <v>6.5</v>
      </c>
      <c r="M256" s="58">
        <v>0</v>
      </c>
      <c r="N256" s="7"/>
      <c r="P256" s="57">
        <v>24</v>
      </c>
      <c r="Q256" s="36">
        <v>0</v>
      </c>
      <c r="R256" s="36">
        <v>0.2</v>
      </c>
      <c r="S256" s="36">
        <v>18.600000000000001</v>
      </c>
      <c r="T256" s="36">
        <v>26</v>
      </c>
      <c r="U256" s="36">
        <v>62.4</v>
      </c>
      <c r="V256" s="36">
        <v>0</v>
      </c>
      <c r="W256" s="36"/>
      <c r="X256" s="36"/>
      <c r="Y256" s="36"/>
      <c r="Z256" s="36"/>
      <c r="AA256" s="36"/>
      <c r="AB256" s="58"/>
      <c r="AC256" s="7"/>
    </row>
    <row r="257" spans="1:29">
      <c r="A257" s="57">
        <v>25</v>
      </c>
      <c r="B257" s="36">
        <v>0.8</v>
      </c>
      <c r="C257" s="36">
        <v>10.5</v>
      </c>
      <c r="D257" s="36">
        <v>2.7</v>
      </c>
      <c r="E257" s="36">
        <v>1.4</v>
      </c>
      <c r="F257" s="36">
        <v>3</v>
      </c>
      <c r="G257" s="36">
        <v>65.8</v>
      </c>
      <c r="H257" s="36">
        <v>0</v>
      </c>
      <c r="I257" s="36">
        <v>0.1</v>
      </c>
      <c r="J257" s="36">
        <v>3.3</v>
      </c>
      <c r="K257" s="36">
        <v>47.9</v>
      </c>
      <c r="L257" s="36">
        <v>31.8</v>
      </c>
      <c r="M257" s="58">
        <v>0</v>
      </c>
      <c r="N257" s="7"/>
      <c r="P257" s="57">
        <v>25</v>
      </c>
      <c r="Q257" s="36">
        <v>0</v>
      </c>
      <c r="R257" s="36">
        <v>0</v>
      </c>
      <c r="S257" s="36">
        <v>44.7</v>
      </c>
      <c r="T257" s="36">
        <v>39.5</v>
      </c>
      <c r="U257" s="36">
        <v>0</v>
      </c>
      <c r="V257" s="36">
        <v>0</v>
      </c>
      <c r="W257" s="36"/>
      <c r="X257" s="36"/>
      <c r="Y257" s="36"/>
      <c r="Z257" s="36"/>
      <c r="AA257" s="36"/>
      <c r="AB257" s="58"/>
      <c r="AC257" s="7"/>
    </row>
    <row r="258" spans="1:29">
      <c r="A258" s="57">
        <v>26</v>
      </c>
      <c r="B258" s="36">
        <v>10.1</v>
      </c>
      <c r="C258" s="36">
        <v>2.2999999999999998</v>
      </c>
      <c r="D258" s="36">
        <v>0.3</v>
      </c>
      <c r="E258" s="36">
        <v>16.7</v>
      </c>
      <c r="F258" s="36">
        <v>53.5</v>
      </c>
      <c r="G258" s="36">
        <v>92.3</v>
      </c>
      <c r="H258" s="36">
        <v>1.6</v>
      </c>
      <c r="I258" s="36">
        <v>0</v>
      </c>
      <c r="J258" s="36">
        <v>32</v>
      </c>
      <c r="K258" s="36">
        <v>9.4</v>
      </c>
      <c r="L258" s="36">
        <v>2.5</v>
      </c>
      <c r="M258" s="58">
        <v>0</v>
      </c>
      <c r="N258" s="7"/>
      <c r="P258" s="57">
        <v>26</v>
      </c>
      <c r="Q258" s="36">
        <v>19.600000000000001</v>
      </c>
      <c r="R258" s="36">
        <v>1.4</v>
      </c>
      <c r="S258" s="36">
        <v>10.7</v>
      </c>
      <c r="T258" s="36">
        <v>0</v>
      </c>
      <c r="U258" s="36">
        <v>0</v>
      </c>
      <c r="V258" s="36">
        <v>0</v>
      </c>
      <c r="W258" s="36"/>
      <c r="X258" s="36"/>
      <c r="Y258" s="36"/>
      <c r="Z258" s="36"/>
      <c r="AA258" s="36"/>
      <c r="AB258" s="58"/>
      <c r="AC258" s="7"/>
    </row>
    <row r="259" spans="1:29">
      <c r="A259" s="57">
        <v>27</v>
      </c>
      <c r="B259" s="36">
        <v>0</v>
      </c>
      <c r="C259" s="36">
        <v>12</v>
      </c>
      <c r="D259" s="36">
        <v>29.6</v>
      </c>
      <c r="E259" s="36">
        <v>0</v>
      </c>
      <c r="F259" s="36">
        <v>3.7</v>
      </c>
      <c r="G259" s="36">
        <v>0</v>
      </c>
      <c r="H259" s="36">
        <v>9</v>
      </c>
      <c r="I259" s="36">
        <v>0.4</v>
      </c>
      <c r="J259" s="36">
        <v>0</v>
      </c>
      <c r="K259" s="36">
        <v>21</v>
      </c>
      <c r="L259" s="36">
        <v>0</v>
      </c>
      <c r="M259" s="58">
        <v>0.7</v>
      </c>
      <c r="N259" s="7"/>
      <c r="P259" s="57">
        <v>27</v>
      </c>
      <c r="Q259" s="36">
        <v>0.8</v>
      </c>
      <c r="R259" s="36">
        <v>1.5</v>
      </c>
      <c r="S259" s="36">
        <v>4.5999999999999996</v>
      </c>
      <c r="T259" s="36">
        <v>23.3</v>
      </c>
      <c r="U259" s="36">
        <v>14.2</v>
      </c>
      <c r="V259" s="36">
        <v>1.6</v>
      </c>
      <c r="W259" s="36"/>
      <c r="X259" s="36"/>
      <c r="Y259" s="36"/>
      <c r="Z259" s="36"/>
      <c r="AA259" s="36"/>
      <c r="AB259" s="58"/>
      <c r="AC259" s="7"/>
    </row>
    <row r="260" spans="1:29">
      <c r="A260" s="57">
        <v>28</v>
      </c>
      <c r="B260" s="36">
        <v>0</v>
      </c>
      <c r="C260" s="36">
        <v>16.100000000000001</v>
      </c>
      <c r="D260" s="36">
        <v>44.3</v>
      </c>
      <c r="E260" s="36">
        <v>0.9</v>
      </c>
      <c r="F260" s="36">
        <v>10.199999999999999</v>
      </c>
      <c r="G260" s="36">
        <v>0.1</v>
      </c>
      <c r="H260" s="36">
        <v>0.1</v>
      </c>
      <c r="I260" s="36">
        <v>15.7</v>
      </c>
      <c r="J260" s="36">
        <v>5.0999999999999996</v>
      </c>
      <c r="K260" s="36">
        <v>0</v>
      </c>
      <c r="L260" s="36">
        <v>0</v>
      </c>
      <c r="M260" s="58">
        <v>10</v>
      </c>
      <c r="N260" s="7"/>
      <c r="P260" s="57">
        <v>28</v>
      </c>
      <c r="Q260" s="36">
        <v>18.600000000000001</v>
      </c>
      <c r="R260" s="36">
        <v>0.2</v>
      </c>
      <c r="S260" s="36">
        <v>154</v>
      </c>
      <c r="T260" s="36">
        <v>63</v>
      </c>
      <c r="U260" s="36">
        <v>1</v>
      </c>
      <c r="V260" s="36">
        <v>14.8</v>
      </c>
      <c r="W260" s="36"/>
      <c r="X260" s="36"/>
      <c r="Y260" s="36"/>
      <c r="Z260" s="36"/>
      <c r="AA260" s="36"/>
      <c r="AB260" s="58"/>
      <c r="AC260" s="7"/>
    </row>
    <row r="261" spans="1:29">
      <c r="A261" s="57">
        <v>29</v>
      </c>
      <c r="B261" s="36">
        <v>0</v>
      </c>
      <c r="C261" s="24"/>
      <c r="D261" s="36">
        <v>0</v>
      </c>
      <c r="E261" s="36">
        <v>0</v>
      </c>
      <c r="F261" s="36">
        <v>0</v>
      </c>
      <c r="G261" s="36">
        <v>0.7</v>
      </c>
      <c r="H261" s="36">
        <v>0</v>
      </c>
      <c r="I261" s="36">
        <v>24</v>
      </c>
      <c r="J261" s="36">
        <v>0</v>
      </c>
      <c r="K261" s="36">
        <v>0</v>
      </c>
      <c r="L261" s="36">
        <v>75</v>
      </c>
      <c r="M261" s="58">
        <v>16.5</v>
      </c>
      <c r="N261" s="7"/>
      <c r="P261" s="57">
        <v>29</v>
      </c>
      <c r="Q261" s="36">
        <v>0.8</v>
      </c>
      <c r="R261" s="36">
        <v>1</v>
      </c>
      <c r="S261" s="36">
        <v>0</v>
      </c>
      <c r="T261" s="36">
        <v>4.4000000000000004</v>
      </c>
      <c r="U261" s="36">
        <v>5.6</v>
      </c>
      <c r="V261" s="36">
        <v>9.4</v>
      </c>
      <c r="W261" s="36"/>
      <c r="X261" s="36"/>
      <c r="Y261" s="36"/>
      <c r="Z261" s="36"/>
      <c r="AA261" s="36"/>
      <c r="AB261" s="58"/>
      <c r="AC261" s="7"/>
    </row>
    <row r="262" spans="1:29">
      <c r="A262" s="57">
        <v>30</v>
      </c>
      <c r="B262" s="36">
        <v>6.8</v>
      </c>
      <c r="C262" s="24"/>
      <c r="D262" s="36">
        <v>0</v>
      </c>
      <c r="E262" s="36">
        <v>0</v>
      </c>
      <c r="F262" s="36">
        <v>1.8</v>
      </c>
      <c r="G262" s="36">
        <v>44.2</v>
      </c>
      <c r="H262" s="36">
        <v>1.1000000000000001</v>
      </c>
      <c r="I262" s="36">
        <v>9</v>
      </c>
      <c r="J262" s="36">
        <v>54</v>
      </c>
      <c r="K262" s="36">
        <v>0</v>
      </c>
      <c r="L262" s="36">
        <v>12.4</v>
      </c>
      <c r="M262" s="58">
        <v>45.8</v>
      </c>
      <c r="N262" s="7"/>
      <c r="P262" s="57">
        <v>30</v>
      </c>
      <c r="Q262" s="36">
        <v>0.7</v>
      </c>
      <c r="R262" s="24"/>
      <c r="S262" s="36">
        <v>17.100000000000001</v>
      </c>
      <c r="T262" s="36">
        <v>0</v>
      </c>
      <c r="U262" s="36">
        <v>0</v>
      </c>
      <c r="V262" s="36">
        <v>16.100000000000001</v>
      </c>
      <c r="W262" s="36"/>
      <c r="X262" s="36"/>
      <c r="Y262" s="36"/>
      <c r="Z262" s="36"/>
      <c r="AA262" s="36"/>
      <c r="AB262" s="58"/>
      <c r="AC262" s="7"/>
    </row>
    <row r="263" spans="1:29">
      <c r="A263" s="57">
        <v>31</v>
      </c>
      <c r="B263" s="36">
        <v>0</v>
      </c>
      <c r="C263" s="24"/>
      <c r="D263" s="36">
        <v>0</v>
      </c>
      <c r="E263" s="24"/>
      <c r="F263" s="36">
        <v>24.7</v>
      </c>
      <c r="G263" s="24"/>
      <c r="H263" s="36">
        <v>2.6</v>
      </c>
      <c r="I263" s="36">
        <v>0</v>
      </c>
      <c r="J263" s="24"/>
      <c r="K263" s="36">
        <v>25.6</v>
      </c>
      <c r="L263" s="24"/>
      <c r="M263" s="58">
        <v>0.6</v>
      </c>
      <c r="N263" s="7"/>
      <c r="P263" s="57">
        <v>31</v>
      </c>
      <c r="Q263" s="36">
        <v>13.5</v>
      </c>
      <c r="R263" s="24"/>
      <c r="S263" s="36">
        <v>6.4</v>
      </c>
      <c r="T263" s="24"/>
      <c r="U263" s="36">
        <v>1.8</v>
      </c>
      <c r="V263" s="24"/>
      <c r="W263" s="36"/>
      <c r="X263" s="36"/>
      <c r="Y263" s="24"/>
      <c r="Z263" s="36"/>
      <c r="AA263" s="24"/>
      <c r="AB263" s="58"/>
      <c r="AC263" s="7"/>
    </row>
    <row r="264" spans="1:29">
      <c r="A264" s="59"/>
      <c r="B264" s="26"/>
      <c r="C264" s="26"/>
      <c r="D264" s="26"/>
      <c r="E264" s="27"/>
      <c r="F264" s="26"/>
      <c r="G264" s="26"/>
      <c r="H264" s="26"/>
      <c r="I264" s="26"/>
      <c r="J264" s="26"/>
      <c r="K264" s="26"/>
      <c r="L264" s="28"/>
      <c r="M264" s="60"/>
      <c r="N264" s="7"/>
      <c r="P264" s="59"/>
      <c r="Q264" s="26"/>
      <c r="R264" s="26"/>
      <c r="S264" s="26"/>
      <c r="T264" s="27"/>
      <c r="U264" s="26"/>
      <c r="V264" s="26"/>
      <c r="W264" s="26"/>
      <c r="X264" s="26"/>
      <c r="Y264" s="26"/>
      <c r="Z264" s="26"/>
      <c r="AA264" s="28"/>
      <c r="AB264" s="60"/>
      <c r="AC264" s="7"/>
    </row>
    <row r="265" spans="1:29">
      <c r="A265" s="57" t="s">
        <v>65</v>
      </c>
      <c r="B265" s="30">
        <f t="shared" ref="B265:M265" si="21">SUM(B233:B263)</f>
        <v>455.00000000000006</v>
      </c>
      <c r="C265" s="30">
        <f t="shared" si="21"/>
        <v>103.5</v>
      </c>
      <c r="D265" s="30">
        <f t="shared" si="21"/>
        <v>234.09999999999997</v>
      </c>
      <c r="E265" s="30">
        <f t="shared" si="21"/>
        <v>252.9</v>
      </c>
      <c r="F265" s="30">
        <f t="shared" si="21"/>
        <v>549.80000000000007</v>
      </c>
      <c r="G265" s="30">
        <f t="shared" si="21"/>
        <v>400.40000000000003</v>
      </c>
      <c r="H265" s="30">
        <f t="shared" si="21"/>
        <v>56.500000000000007</v>
      </c>
      <c r="I265" s="30">
        <f t="shared" si="21"/>
        <v>78</v>
      </c>
      <c r="J265" s="30">
        <f t="shared" si="21"/>
        <v>319.20000000000005</v>
      </c>
      <c r="K265" s="30">
        <f t="shared" si="21"/>
        <v>515.79999999999995</v>
      </c>
      <c r="L265" s="30">
        <f t="shared" si="21"/>
        <v>428.79999999999995</v>
      </c>
      <c r="M265" s="61">
        <f t="shared" si="21"/>
        <v>449.3</v>
      </c>
      <c r="N265" s="37">
        <f>SUM(B265:M265)</f>
        <v>3843.3000000000011</v>
      </c>
      <c r="P265" s="57" t="s">
        <v>65</v>
      </c>
      <c r="Q265" s="30">
        <f t="shared" ref="Q265:AB265" si="22">SUM(Q233:Q263)</f>
        <v>333.80000000000007</v>
      </c>
      <c r="R265" s="30">
        <f t="shared" si="22"/>
        <v>260.49999999999989</v>
      </c>
      <c r="S265" s="30">
        <f t="shared" si="22"/>
        <v>457.1</v>
      </c>
      <c r="T265" s="30">
        <f t="shared" si="22"/>
        <v>449.7</v>
      </c>
      <c r="U265" s="30">
        <f t="shared" si="22"/>
        <v>528.70000000000005</v>
      </c>
      <c r="V265" s="30">
        <f t="shared" si="22"/>
        <v>324.09999999999997</v>
      </c>
      <c r="W265" s="30">
        <f t="shared" si="22"/>
        <v>0</v>
      </c>
      <c r="X265" s="30">
        <f t="shared" si="22"/>
        <v>0</v>
      </c>
      <c r="Y265" s="30">
        <f t="shared" si="22"/>
        <v>0</v>
      </c>
      <c r="Z265" s="30">
        <f t="shared" si="22"/>
        <v>0</v>
      </c>
      <c r="AA265" s="30">
        <f t="shared" si="22"/>
        <v>0</v>
      </c>
      <c r="AB265" s="61">
        <f t="shared" si="22"/>
        <v>0</v>
      </c>
      <c r="AC265" s="37">
        <f>SUM(Q265:AB265)</f>
        <v>2353.9</v>
      </c>
    </row>
    <row r="266" spans="1:29">
      <c r="A266" s="57" t="s">
        <v>66</v>
      </c>
      <c r="B266" s="30">
        <f>MAX(B233:B263)</f>
        <v>112.7</v>
      </c>
      <c r="C266" s="30">
        <f t="shared" ref="C266:M266" si="23">MAX(C233:C263)</f>
        <v>22.1</v>
      </c>
      <c r="D266" s="30">
        <f t="shared" si="23"/>
        <v>44.3</v>
      </c>
      <c r="E266" s="30">
        <f t="shared" si="23"/>
        <v>49.7</v>
      </c>
      <c r="F266" s="30">
        <f t="shared" si="23"/>
        <v>82.7</v>
      </c>
      <c r="G266" s="30">
        <f t="shared" si="23"/>
        <v>92.3</v>
      </c>
      <c r="H266" s="30">
        <f t="shared" si="23"/>
        <v>24.8</v>
      </c>
      <c r="I266" s="30">
        <f t="shared" si="23"/>
        <v>24</v>
      </c>
      <c r="J266" s="30">
        <f t="shared" si="23"/>
        <v>84.4</v>
      </c>
      <c r="K266" s="30">
        <f t="shared" si="23"/>
        <v>118.7</v>
      </c>
      <c r="L266" s="30">
        <f t="shared" si="23"/>
        <v>75</v>
      </c>
      <c r="M266" s="61">
        <f t="shared" si="23"/>
        <v>86.2</v>
      </c>
      <c r="N266" s="37">
        <f>MAX(B266:M266)</f>
        <v>118.7</v>
      </c>
      <c r="P266" s="57" t="s">
        <v>66</v>
      </c>
      <c r="Q266" s="30">
        <f>MAX(Q233:Q263)</f>
        <v>56</v>
      </c>
      <c r="R266" s="30">
        <f t="shared" ref="R266:AB266" si="24">MAX(R233:R263)</f>
        <v>79.599999999999994</v>
      </c>
      <c r="S266" s="30">
        <f t="shared" si="24"/>
        <v>154</v>
      </c>
      <c r="T266" s="30">
        <f t="shared" si="24"/>
        <v>63</v>
      </c>
      <c r="U266" s="30">
        <f t="shared" si="24"/>
        <v>106</v>
      </c>
      <c r="V266" s="30">
        <f t="shared" si="24"/>
        <v>107.6</v>
      </c>
      <c r="W266" s="30">
        <f t="shared" si="24"/>
        <v>0</v>
      </c>
      <c r="X266" s="30">
        <f t="shared" si="24"/>
        <v>0</v>
      </c>
      <c r="Y266" s="30">
        <f t="shared" si="24"/>
        <v>0</v>
      </c>
      <c r="Z266" s="30">
        <f t="shared" si="24"/>
        <v>0</v>
      </c>
      <c r="AA266" s="30">
        <f t="shared" si="24"/>
        <v>0</v>
      </c>
      <c r="AB266" s="61">
        <f t="shared" si="24"/>
        <v>0</v>
      </c>
      <c r="AC266" s="37">
        <f>MAX(Q266:AB266)</f>
        <v>154</v>
      </c>
    </row>
    <row r="267" spans="1:29">
      <c r="A267" s="62"/>
      <c r="B267" s="7"/>
      <c r="C267" s="7"/>
      <c r="D267" s="7"/>
      <c r="E267" s="7"/>
      <c r="F267" s="7"/>
      <c r="G267" s="7"/>
      <c r="H267" s="32"/>
      <c r="I267" s="7"/>
      <c r="J267" s="7"/>
      <c r="K267" s="7"/>
      <c r="L267" s="7"/>
      <c r="M267" s="63"/>
      <c r="N267" s="7"/>
      <c r="P267" s="62"/>
      <c r="Q267" s="7"/>
      <c r="R267" s="7"/>
      <c r="S267" s="7"/>
      <c r="T267" s="7"/>
      <c r="U267" s="7"/>
      <c r="V267" s="7"/>
      <c r="W267" s="32"/>
      <c r="X267" s="7"/>
      <c r="Y267" s="7"/>
      <c r="Z267" s="7"/>
      <c r="AA267" s="7"/>
      <c r="AB267" s="63"/>
      <c r="AC267" s="7"/>
    </row>
    <row r="268" spans="1:29" ht="15.75" thickBot="1">
      <c r="A268" s="64" t="s">
        <v>67</v>
      </c>
      <c r="B268" s="65">
        <v>0</v>
      </c>
      <c r="C268" s="66" t="s">
        <v>68</v>
      </c>
      <c r="D268" s="67"/>
      <c r="E268" s="68"/>
      <c r="F268" s="68"/>
      <c r="G268" s="68"/>
      <c r="H268" s="69"/>
      <c r="I268" s="68"/>
      <c r="J268" s="68"/>
      <c r="K268" s="68"/>
      <c r="L268" s="68"/>
      <c r="M268" s="70"/>
      <c r="N268" s="7"/>
      <c r="P268" s="64" t="s">
        <v>67</v>
      </c>
      <c r="Q268" s="65">
        <v>0</v>
      </c>
      <c r="R268" s="66" t="s">
        <v>68</v>
      </c>
      <c r="S268" s="67"/>
      <c r="T268" s="68"/>
      <c r="U268" s="68"/>
      <c r="V268" s="68"/>
      <c r="W268" s="69"/>
      <c r="X268" s="68"/>
      <c r="Y268" s="68"/>
      <c r="Z268" s="68"/>
      <c r="AA268" s="68"/>
      <c r="AB268" s="70"/>
      <c r="AC26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AE82B-AE3F-4DF9-AF50-0F46668021ED}">
  <dimension ref="A1:BR365"/>
  <sheetViews>
    <sheetView topLeftCell="I1" zoomScale="71" zoomScaleNormal="50" workbookViewId="0">
      <selection activeCell="Y15" sqref="Y15"/>
    </sheetView>
  </sheetViews>
  <sheetFormatPr defaultColWidth="9.140625" defaultRowHeight="15"/>
  <cols>
    <col min="1" max="13" width="9.140625" style="127"/>
    <col min="14" max="14" width="9.140625" style="129" customWidth="1"/>
    <col min="15" max="18" width="9.140625" style="127"/>
    <col min="19" max="19" width="10.28515625" style="127" customWidth="1"/>
    <col min="20" max="20" width="9.140625" style="127"/>
    <col min="21" max="21" width="11.5703125" style="127" customWidth="1"/>
    <col min="22" max="27" width="9.140625" style="127"/>
    <col min="28" max="28" width="9.140625" style="129"/>
    <col min="29" max="41" width="9.140625" style="127"/>
    <col min="42" max="42" width="9.28515625" style="129" customWidth="1"/>
    <col min="43" max="43" width="9.140625" style="127"/>
    <col min="44" max="44" width="10.42578125" style="127" customWidth="1"/>
    <col min="45" max="45" width="9.140625" style="127"/>
    <col min="46" max="46" width="10.7109375" style="127" customWidth="1"/>
    <col min="47" max="55" width="9.140625" style="127"/>
    <col min="56" max="56" width="9.140625" style="129"/>
    <col min="57" max="59" width="9.140625" style="127"/>
    <col min="60" max="60" width="10" style="127" customWidth="1"/>
    <col min="61" max="63" width="9.140625" style="127"/>
    <col min="64" max="64" width="10.28515625" style="127" customWidth="1"/>
    <col min="65" max="65" width="12.140625" style="127" customWidth="1"/>
    <col min="66" max="66" width="10.5703125" style="127" customWidth="1"/>
    <col min="67" max="69" width="9.140625" style="127"/>
    <col min="70" max="16384" width="9.140625" style="129"/>
  </cols>
  <sheetData>
    <row r="1" spans="1:69">
      <c r="A1" s="126" t="s">
        <v>0</v>
      </c>
      <c r="F1" s="128">
        <v>14.2</v>
      </c>
      <c r="O1" s="126" t="s">
        <v>1</v>
      </c>
      <c r="T1" s="128">
        <v>14.2</v>
      </c>
      <c r="AC1" s="126"/>
      <c r="AH1" s="128"/>
      <c r="AQ1" s="126" t="s">
        <v>2</v>
      </c>
      <c r="AV1" s="128">
        <v>25</v>
      </c>
      <c r="AW1" s="127" t="s">
        <v>3</v>
      </c>
      <c r="BE1" s="126" t="s">
        <v>4</v>
      </c>
      <c r="BI1" s="127">
        <v>37.6</v>
      </c>
      <c r="BJ1" s="128"/>
    </row>
    <row r="2" spans="1:69">
      <c r="A2" s="126" t="s">
        <v>5</v>
      </c>
      <c r="F2" s="127">
        <v>20.3</v>
      </c>
      <c r="O2" s="126" t="s">
        <v>6</v>
      </c>
      <c r="T2" s="128">
        <v>7.9</v>
      </c>
      <c r="AC2" s="126"/>
      <c r="AH2" s="128"/>
      <c r="AQ2" s="126" t="s">
        <v>7</v>
      </c>
      <c r="AV2" s="128">
        <v>17.3</v>
      </c>
      <c r="AW2" s="127" t="s">
        <v>3</v>
      </c>
      <c r="BE2" s="126"/>
      <c r="BJ2" s="128"/>
    </row>
    <row r="3" spans="1:69">
      <c r="O3" s="126" t="s">
        <v>8</v>
      </c>
      <c r="T3" s="128">
        <v>25</v>
      </c>
      <c r="AQ3" s="126"/>
      <c r="AV3" s="128"/>
      <c r="BE3" s="126"/>
    </row>
    <row r="5" spans="1:69">
      <c r="A5" s="150" t="s">
        <v>9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O5" s="150" t="s">
        <v>10</v>
      </c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C5" s="150" t="s">
        <v>11</v>
      </c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Q5" s="151" t="s">
        <v>12</v>
      </c>
      <c r="AR5" s="151"/>
      <c r="AS5" s="151"/>
      <c r="AT5" s="151"/>
      <c r="AU5" s="151"/>
      <c r="AV5" s="151"/>
      <c r="AW5" s="151"/>
      <c r="AX5" s="151"/>
      <c r="AY5" s="151"/>
      <c r="AZ5" s="151"/>
      <c r="BA5" s="151"/>
      <c r="BB5" s="151"/>
      <c r="BC5" s="151"/>
      <c r="BE5" s="151" t="s">
        <v>13</v>
      </c>
      <c r="BF5" s="151"/>
      <c r="BG5" s="151"/>
      <c r="BH5" s="151"/>
      <c r="BI5" s="151"/>
      <c r="BJ5" s="151"/>
      <c r="BK5" s="151"/>
      <c r="BL5" s="151"/>
      <c r="BM5" s="151"/>
      <c r="BN5" s="151"/>
      <c r="BO5" s="151"/>
      <c r="BP5" s="151"/>
      <c r="BQ5" s="151"/>
    </row>
    <row r="6" spans="1:69" ht="15.75" thickBot="1"/>
    <row r="7" spans="1:69">
      <c r="A7" s="147" t="s">
        <v>14</v>
      </c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9"/>
      <c r="O7" s="147" t="s">
        <v>14</v>
      </c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9"/>
      <c r="AC7" s="147" t="s">
        <v>14</v>
      </c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9"/>
      <c r="AQ7" s="147" t="s">
        <v>14</v>
      </c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9"/>
      <c r="BE7" s="147" t="s">
        <v>14</v>
      </c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9"/>
    </row>
    <row r="8" spans="1:69">
      <c r="A8" s="144"/>
      <c r="B8" s="145" t="s">
        <v>15</v>
      </c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6"/>
      <c r="O8" s="144"/>
      <c r="P8" s="145" t="s">
        <v>15</v>
      </c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6"/>
      <c r="AC8" s="144"/>
      <c r="AD8" s="145" t="s">
        <v>15</v>
      </c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6"/>
      <c r="AQ8" s="144"/>
      <c r="AR8" s="145" t="s">
        <v>15</v>
      </c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6"/>
      <c r="BE8" s="144"/>
      <c r="BF8" s="145" t="s">
        <v>15</v>
      </c>
      <c r="BG8" s="145"/>
      <c r="BH8" s="145"/>
      <c r="BI8" s="145"/>
      <c r="BJ8" s="145"/>
      <c r="BK8" s="145"/>
      <c r="BL8" s="145"/>
      <c r="BM8" s="145"/>
      <c r="BN8" s="145"/>
      <c r="BO8" s="145"/>
      <c r="BP8" s="145"/>
      <c r="BQ8" s="146"/>
    </row>
    <row r="9" spans="1:69">
      <c r="A9" s="144"/>
      <c r="B9" s="131" t="s">
        <v>16</v>
      </c>
      <c r="C9" s="131" t="s">
        <v>17</v>
      </c>
      <c r="D9" s="131" t="s">
        <v>18</v>
      </c>
      <c r="E9" s="131" t="s">
        <v>19</v>
      </c>
      <c r="F9" s="131" t="s">
        <v>20</v>
      </c>
      <c r="G9" s="131" t="s">
        <v>21</v>
      </c>
      <c r="H9" s="131" t="s">
        <v>22</v>
      </c>
      <c r="I9" s="131" t="s">
        <v>23</v>
      </c>
      <c r="J9" s="131" t="s">
        <v>24</v>
      </c>
      <c r="K9" s="131" t="s">
        <v>25</v>
      </c>
      <c r="L9" s="131" t="s">
        <v>26</v>
      </c>
      <c r="M9" s="132" t="s">
        <v>27</v>
      </c>
      <c r="O9" s="144"/>
      <c r="P9" s="131" t="s">
        <v>16</v>
      </c>
      <c r="Q9" s="131" t="s">
        <v>17</v>
      </c>
      <c r="R9" s="131" t="s">
        <v>18</v>
      </c>
      <c r="S9" s="131" t="s">
        <v>19</v>
      </c>
      <c r="T9" s="131" t="s">
        <v>20</v>
      </c>
      <c r="U9" s="131" t="s">
        <v>21</v>
      </c>
      <c r="V9" s="131" t="s">
        <v>22</v>
      </c>
      <c r="W9" s="131" t="s">
        <v>23</v>
      </c>
      <c r="X9" s="131" t="s">
        <v>24</v>
      </c>
      <c r="Y9" s="131" t="s">
        <v>25</v>
      </c>
      <c r="Z9" s="131" t="s">
        <v>26</v>
      </c>
      <c r="AA9" s="132" t="s">
        <v>27</v>
      </c>
      <c r="AC9" s="144"/>
      <c r="AD9" s="131" t="s">
        <v>16</v>
      </c>
      <c r="AE9" s="131" t="s">
        <v>17</v>
      </c>
      <c r="AF9" s="131" t="s">
        <v>18</v>
      </c>
      <c r="AG9" s="131" t="s">
        <v>19</v>
      </c>
      <c r="AH9" s="131" t="s">
        <v>20</v>
      </c>
      <c r="AI9" s="131" t="s">
        <v>21</v>
      </c>
      <c r="AJ9" s="131" t="s">
        <v>22</v>
      </c>
      <c r="AK9" s="131" t="s">
        <v>23</v>
      </c>
      <c r="AL9" s="131" t="s">
        <v>24</v>
      </c>
      <c r="AM9" s="131" t="s">
        <v>25</v>
      </c>
      <c r="AN9" s="131" t="s">
        <v>26</v>
      </c>
      <c r="AO9" s="132" t="s">
        <v>27</v>
      </c>
      <c r="AQ9" s="144"/>
      <c r="AR9" s="131" t="s">
        <v>16</v>
      </c>
      <c r="AS9" s="131" t="s">
        <v>17</v>
      </c>
      <c r="AT9" s="131" t="s">
        <v>18</v>
      </c>
      <c r="AU9" s="131" t="s">
        <v>19</v>
      </c>
      <c r="AV9" s="131" t="s">
        <v>20</v>
      </c>
      <c r="AW9" s="131" t="s">
        <v>21</v>
      </c>
      <c r="AX9" s="131" t="s">
        <v>22</v>
      </c>
      <c r="AY9" s="131" t="s">
        <v>23</v>
      </c>
      <c r="AZ9" s="131" t="s">
        <v>24</v>
      </c>
      <c r="BA9" s="131" t="s">
        <v>25</v>
      </c>
      <c r="BB9" s="131" t="s">
        <v>26</v>
      </c>
      <c r="BC9" s="132" t="s">
        <v>27</v>
      </c>
      <c r="BE9" s="144"/>
      <c r="BF9" s="131" t="s">
        <v>16</v>
      </c>
      <c r="BG9" s="131" t="s">
        <v>17</v>
      </c>
      <c r="BH9" s="131" t="s">
        <v>18</v>
      </c>
      <c r="BI9" s="131" t="s">
        <v>19</v>
      </c>
      <c r="BJ9" s="131" t="s">
        <v>20</v>
      </c>
      <c r="BK9" s="131" t="s">
        <v>21</v>
      </c>
      <c r="BL9" s="131" t="s">
        <v>22</v>
      </c>
      <c r="BM9" s="131" t="s">
        <v>23</v>
      </c>
      <c r="BN9" s="131" t="s">
        <v>24</v>
      </c>
      <c r="BO9" s="131" t="s">
        <v>25</v>
      </c>
      <c r="BP9" s="131" t="s">
        <v>26</v>
      </c>
      <c r="BQ9" s="132" t="s">
        <v>27</v>
      </c>
    </row>
    <row r="10" spans="1:69">
      <c r="A10" s="130">
        <v>1</v>
      </c>
      <c r="B10" s="131">
        <f>((P10/($F$1^2))+(AD10/($F$2^2)))/((1/($F$1^2))+(1/($F$2^2)))</f>
        <v>32.901129161031726</v>
      </c>
      <c r="C10" s="131">
        <f t="shared" ref="C10:M10" si="0">((Q10/($F$1^2))+(AE10/($F$2^2)))/((1/($F$1^2))+(1/($F$2^2)))</f>
        <v>3.4826128753686469</v>
      </c>
      <c r="D10" s="131">
        <f t="shared" si="0"/>
        <v>0</v>
      </c>
      <c r="E10" s="131">
        <f t="shared" si="0"/>
        <v>3.7741612761311969</v>
      </c>
      <c r="F10" s="131">
        <f t="shared" si="0"/>
        <v>8.7617258403532503</v>
      </c>
      <c r="G10" s="131">
        <f t="shared" si="0"/>
        <v>9.8564515340622078E-2</v>
      </c>
      <c r="H10" s="131">
        <f t="shared" si="0"/>
        <v>22.8622097665097</v>
      </c>
      <c r="I10" s="131">
        <f t="shared" si="0"/>
        <v>1.3429032310625193</v>
      </c>
      <c r="J10" s="131">
        <f t="shared" si="0"/>
        <v>9.1109999511185702</v>
      </c>
      <c r="K10" s="131">
        <f t="shared" si="0"/>
        <v>0</v>
      </c>
      <c r="L10" s="131">
        <f t="shared" si="0"/>
        <v>0</v>
      </c>
      <c r="M10" s="131">
        <f t="shared" si="0"/>
        <v>18.127580532155832</v>
      </c>
      <c r="O10" s="130">
        <v>1</v>
      </c>
      <c r="P10" s="131">
        <f>'Stasiun Pontianak Kota'!Q52</f>
        <v>49</v>
      </c>
      <c r="Q10" s="131">
        <f>'Stasiun Pontianak Kota'!R52</f>
        <v>0</v>
      </c>
      <c r="R10" s="131">
        <f>'Stasiun Pontianak Kota'!S52</f>
        <v>0</v>
      </c>
      <c r="S10" s="131">
        <f>'Stasiun Pontianak Kota'!T52</f>
        <v>2</v>
      </c>
      <c r="T10" s="131">
        <f>'Stasiun Pontianak Kota'!U52</f>
        <v>13</v>
      </c>
      <c r="U10" s="131">
        <f>'Stasiun Pontianak Kota'!V52</f>
        <v>0</v>
      </c>
      <c r="V10" s="131">
        <f>'Stasiun Pontianak Kota'!W52</f>
        <v>34</v>
      </c>
      <c r="W10" s="131">
        <f>'Stasiun Pontianak Kota'!X52</f>
        <v>2</v>
      </c>
      <c r="X10" s="131">
        <f>'Stasiun Pontianak Kota'!Y52</f>
        <v>3</v>
      </c>
      <c r="Y10" s="131">
        <f>'Stasiun Pontianak Kota'!Z52</f>
        <v>0</v>
      </c>
      <c r="Z10" s="131">
        <f>'Stasiun Pontianak Kota'!AA52</f>
        <v>0</v>
      </c>
      <c r="AA10" s="131">
        <f>'Stasiun Pontianak Kota'!AB52</f>
        <v>4</v>
      </c>
      <c r="AC10" s="130">
        <v>1</v>
      </c>
      <c r="AD10" s="131">
        <f>'Sta. Meteorologi pnk'!B8</f>
        <v>0</v>
      </c>
      <c r="AE10" s="131">
        <f>'Sta. Meteorologi pnk'!C8</f>
        <v>10.6</v>
      </c>
      <c r="AF10" s="131">
        <f>'Sta. Meteorologi pnk'!D8</f>
        <v>0</v>
      </c>
      <c r="AG10" s="131">
        <f>'Sta. Meteorologi pnk'!E8</f>
        <v>7.4</v>
      </c>
      <c r="AH10" s="131">
        <f>'Sta. Meteorologi pnk'!F8</f>
        <v>0.1</v>
      </c>
      <c r="AI10" s="131">
        <f>'Sta. Meteorologi pnk'!G8</f>
        <v>0.3</v>
      </c>
      <c r="AJ10" s="131">
        <f>'Sta. Meteorologi pnk'!H8</f>
        <v>0.1</v>
      </c>
      <c r="AK10" s="131">
        <f>'Sta. Meteorologi pnk'!I8</f>
        <v>0</v>
      </c>
      <c r="AL10" s="131">
        <f>'Sta. Meteorologi pnk'!J8</f>
        <v>21.6</v>
      </c>
      <c r="AM10" s="131">
        <f>'Sta. Meteorologi pnk'!K8</f>
        <v>0</v>
      </c>
      <c r="AN10" s="131">
        <f>'Sta. Meteorologi pnk'!L8</f>
        <v>0</v>
      </c>
      <c r="AO10" s="131">
        <f>'Sta. Meteorologi pnk'!M8</f>
        <v>47</v>
      </c>
      <c r="AQ10" s="130">
        <v>1</v>
      </c>
      <c r="AR10" s="131">
        <f>((P10/($AV$1^2))+(AD10/($AV$2^2)))/((1/($AV$1^2))+(1/($AV$2^2)))</f>
        <v>15.866459660928928</v>
      </c>
      <c r="AS10" s="131">
        <f t="shared" ref="AS10:BC10" si="1">((Q10/($AV$1^2))+(AE10/($AV$2^2)))/((1/($AV$1^2))+(1/($AV$2^2)))</f>
        <v>7.1676638284521088</v>
      </c>
      <c r="AT10" s="131">
        <f t="shared" si="1"/>
        <v>0</v>
      </c>
      <c r="AU10" s="131">
        <f t="shared" si="1"/>
        <v>5.6514513843057914</v>
      </c>
      <c r="AV10" s="131">
        <f t="shared" si="1"/>
        <v>4.2770883597139422</v>
      </c>
      <c r="AW10" s="131">
        <f t="shared" si="1"/>
        <v>0.20285841023921061</v>
      </c>
      <c r="AX10" s="131">
        <f t="shared" si="1"/>
        <v>11.076999642969197</v>
      </c>
      <c r="AY10" s="131">
        <f t="shared" si="1"/>
        <v>0.64761059840526247</v>
      </c>
      <c r="AZ10" s="131">
        <f t="shared" si="1"/>
        <v>15.577221434831058</v>
      </c>
      <c r="BA10" s="131">
        <f t="shared" si="1"/>
        <v>0</v>
      </c>
      <c r="BB10" s="131">
        <f t="shared" si="1"/>
        <v>0</v>
      </c>
      <c r="BC10" s="131">
        <f t="shared" si="1"/>
        <v>33.076372134286856</v>
      </c>
      <c r="BE10" s="130">
        <v>1</v>
      </c>
      <c r="BF10" s="131">
        <f>((B10/($BI$1^2))+(P10/($AV$1^2))+(AD10/($AV$2^2)))/((1/($BI$1^2))+(1/($AV$1^2))+(1/($AV$2^2)))</f>
        <v>17.999598658584961</v>
      </c>
      <c r="BG10" s="131">
        <f t="shared" ref="BG10:BQ10" si="2">((C10/($BI$1^2))+(Q10/($AV$1^2))+(AE10/($AV$2^2)))/((1/($BI$1^2))+(1/($AV$1^2))+(1/($AV$2^2)))</f>
        <v>6.7062092697754982</v>
      </c>
      <c r="BH10" s="131">
        <f t="shared" si="2"/>
        <v>0</v>
      </c>
      <c r="BI10" s="131">
        <f t="shared" si="2"/>
        <v>5.4163707600743098</v>
      </c>
      <c r="BJ10" s="131">
        <f t="shared" si="2"/>
        <v>4.8386698509335915</v>
      </c>
      <c r="BK10" s="131">
        <f t="shared" si="2"/>
        <v>0.18979837555968387</v>
      </c>
      <c r="BL10" s="131">
        <f t="shared" si="2"/>
        <v>12.552783561755717</v>
      </c>
      <c r="BM10" s="131">
        <f t="shared" si="2"/>
        <v>0.73467749626877399</v>
      </c>
      <c r="BN10" s="131">
        <f t="shared" si="2"/>
        <v>14.767499284700403</v>
      </c>
      <c r="BO10" s="131">
        <f t="shared" si="2"/>
        <v>0</v>
      </c>
      <c r="BP10" s="131">
        <f t="shared" si="2"/>
        <v>0</v>
      </c>
      <c r="BQ10" s="131">
        <f t="shared" si="2"/>
        <v>31.204433830221362</v>
      </c>
    </row>
    <row r="11" spans="1:69">
      <c r="A11" s="130">
        <v>2</v>
      </c>
      <c r="B11" s="131">
        <f t="shared" ref="B11:B40" si="3">((P11/($F$1^2))+(AD11/($F$2^2)))/((1/($F$1^2))+(1/($F$2^2)))</f>
        <v>0.39425806136248831</v>
      </c>
      <c r="C11" s="131">
        <f t="shared" ref="C11:C40" si="4">((Q11/($F$1^2))+(AE11/($F$2^2)))/((1/($F$1^2))+(1/($F$2^2)))</f>
        <v>0.65709676893748048</v>
      </c>
      <c r="D11" s="131">
        <f t="shared" ref="D11:D40" si="5">((R11/($F$1^2))+(AF11/($F$2^2)))/((1/($F$1^2))+(1/($F$2^2)))</f>
        <v>0</v>
      </c>
      <c r="E11" s="131">
        <f t="shared" ref="E11:E40" si="6">((S11/($F$1^2))+(AG11/($F$2^2)))/((1/($F$1^2))+(1/($F$2^2)))</f>
        <v>0</v>
      </c>
      <c r="F11" s="131">
        <f t="shared" ref="F11:F40" si="7">((T11/($F$1^2))+(AH11/($F$2^2)))/((1/($F$1^2))+(1/($F$2^2)))</f>
        <v>3.1129193619344009</v>
      </c>
      <c r="G11" s="131">
        <f t="shared" ref="G11:G40" si="8">((U11/($F$1^2))+(AI11/($F$2^2)))/((1/($F$1^2))+(1/($F$2^2)))</f>
        <v>0</v>
      </c>
      <c r="H11" s="131">
        <f t="shared" ref="H11:H40" si="9">((V11/($F$1^2))+(AJ11/($F$2^2)))/((1/($F$1^2))+(1/($F$2^2)))</f>
        <v>0.4271128998093624</v>
      </c>
      <c r="I11" s="131">
        <f t="shared" ref="I11:I40" si="10">((W11/($F$1^2))+(AK11/($F$2^2)))/((1/($F$1^2))+(1/($F$2^2)))</f>
        <v>0</v>
      </c>
      <c r="J11" s="131">
        <f t="shared" ref="J11:J40" si="11">((X11/($F$1^2))+(AL11/($F$2^2)))/((1/($F$1^2))+(1/($F$2^2)))</f>
        <v>13.020419402668926</v>
      </c>
      <c r="K11" s="131">
        <f t="shared" ref="K11:K40" si="12">((Y11/($F$1^2))+(AM11/($F$2^2)))/((1/($F$1^2))+(1/($F$2^2)))</f>
        <v>0</v>
      </c>
      <c r="L11" s="131">
        <f t="shared" ref="L11:L40" si="13">((Z11/($F$1^2))+(AN11/($F$2^2)))/((1/($F$1^2))+(1/($F$2^2)))</f>
        <v>1.7741612761311976</v>
      </c>
      <c r="M11" s="131">
        <f t="shared" ref="M11:M40" si="14">((AA11/($F$1^2))+(AO11/($F$2^2)))/((1/($F$1^2))+(1/($F$2^2)))</f>
        <v>29.975129128444102</v>
      </c>
      <c r="O11" s="130">
        <v>2</v>
      </c>
      <c r="P11" s="131">
        <f>'Stasiun Pontianak Kota'!Q53</f>
        <v>0</v>
      </c>
      <c r="Q11" s="131">
        <f>'Stasiun Pontianak Kota'!R53</f>
        <v>0</v>
      </c>
      <c r="R11" s="131">
        <f>'Stasiun Pontianak Kota'!S53</f>
        <v>0</v>
      </c>
      <c r="S11" s="131">
        <f>'Stasiun Pontianak Kota'!T53</f>
        <v>0</v>
      </c>
      <c r="T11" s="131">
        <f>'Stasiun Pontianak Kota'!U53</f>
        <v>4</v>
      </c>
      <c r="U11" s="131">
        <f>'Stasiun Pontianak Kota'!V53</f>
        <v>0</v>
      </c>
      <c r="V11" s="131">
        <f>'Stasiun Pontianak Kota'!W53</f>
        <v>0</v>
      </c>
      <c r="W11" s="131">
        <f>'Stasiun Pontianak Kota'!X53</f>
        <v>0</v>
      </c>
      <c r="X11" s="131">
        <f>'Stasiun Pontianak Kota'!Y53</f>
        <v>19</v>
      </c>
      <c r="Y11" s="131">
        <f>'Stasiun Pontianak Kota'!Z53</f>
        <v>0</v>
      </c>
      <c r="Z11" s="131">
        <f>'Stasiun Pontianak Kota'!AA53</f>
        <v>0</v>
      </c>
      <c r="AA11" s="131">
        <f>'Stasiun Pontianak Kota'!AB53</f>
        <v>42</v>
      </c>
      <c r="AC11" s="130">
        <v>2</v>
      </c>
      <c r="AD11" s="131">
        <f>'Sta. Meteorologi pnk'!B9</f>
        <v>1.2</v>
      </c>
      <c r="AE11" s="131">
        <f>'Sta. Meteorologi pnk'!C9</f>
        <v>2</v>
      </c>
      <c r="AF11" s="131">
        <f>'Sta. Meteorologi pnk'!D9</f>
        <v>0</v>
      </c>
      <c r="AG11" s="131">
        <f>'Sta. Meteorologi pnk'!E9</f>
        <v>0</v>
      </c>
      <c r="AH11" s="131">
        <f>'Sta. Meteorologi pnk'!F9</f>
        <v>1.3</v>
      </c>
      <c r="AI11" s="131">
        <f>'Sta. Meteorologi pnk'!G9</f>
        <v>0</v>
      </c>
      <c r="AJ11" s="131">
        <f>'Sta. Meteorologi pnk'!H9</f>
        <v>1.3</v>
      </c>
      <c r="AK11" s="131">
        <f>'Sta. Meteorologi pnk'!I9</f>
        <v>0</v>
      </c>
      <c r="AL11" s="131">
        <f>'Sta. Meteorologi pnk'!J9</f>
        <v>0.8</v>
      </c>
      <c r="AM11" s="131">
        <f>'Sta. Meteorologi pnk'!K9</f>
        <v>0</v>
      </c>
      <c r="AN11" s="131">
        <f>'Sta. Meteorologi pnk'!L9</f>
        <v>5.4</v>
      </c>
      <c r="AO11" s="131">
        <f>'Sta. Meteorologi pnk'!M9</f>
        <v>5.4</v>
      </c>
      <c r="AQ11" s="130">
        <v>2</v>
      </c>
      <c r="AR11" s="131">
        <f t="shared" ref="AR11:AR40" si="15">((P11/($AV$1^2))+(AD11/($AV$2^2)))/((1/($AV$1^2))+(1/($AV$2^2)))</f>
        <v>0.81143364095684245</v>
      </c>
      <c r="AS11" s="131">
        <f t="shared" ref="AS11:AS40" si="16">((Q11/($AV$1^2))+(AE11/($AV$2^2)))/((1/($AV$1^2))+(1/($AV$2^2)))</f>
        <v>1.3523894015947375</v>
      </c>
      <c r="AT11" s="131">
        <f t="shared" ref="AT11:AT40" si="17">((R11/($AV$1^2))+(AF11/($AV$2^2)))/((1/($AV$1^2))+(1/($AV$2^2)))</f>
        <v>0</v>
      </c>
      <c r="AU11" s="131">
        <f t="shared" ref="AU11:AU40" si="18">((S11/($AV$1^2))+(AG11/($AV$2^2)))/((1/($AV$1^2))+(1/($AV$2^2)))</f>
        <v>0</v>
      </c>
      <c r="AV11" s="131">
        <f t="shared" ref="AV11:AV40" si="19">((T11/($AV$1^2))+(AH11/($AV$2^2)))/((1/($AV$1^2))+(1/($AV$2^2)))</f>
        <v>2.1742743078471043</v>
      </c>
      <c r="AW11" s="131">
        <f t="shared" ref="AW11:AW40" si="20">((U11/($AV$1^2))+(AI11/($AV$2^2)))/((1/($AV$1^2))+(1/($AV$2^2)))</f>
        <v>0</v>
      </c>
      <c r="AX11" s="131">
        <f t="shared" ref="AX11:AX40" si="21">((V11/($AV$1^2))+(AJ11/($AV$2^2)))/((1/($AV$1^2))+(1/($AV$2^2)))</f>
        <v>0.87905311103657935</v>
      </c>
      <c r="AY11" s="131">
        <f t="shared" ref="AY11:AY40" si="22">((W11/($AV$1^2))+(AK11/($AV$2^2)))/((1/($AV$1^2))+(1/($AV$2^2)))</f>
        <v>0</v>
      </c>
      <c r="AZ11" s="131">
        <f t="shared" ref="AZ11:AZ40" si="23">((X11/($AV$1^2))+(AL11/($AV$2^2)))/((1/($AV$1^2))+(1/($AV$2^2)))</f>
        <v>6.6932564454878882</v>
      </c>
      <c r="BA11" s="131">
        <f t="shared" ref="BA11:BA40" si="24">((Y11/($AV$1^2))+(AM11/($AV$2^2)))/((1/($AV$1^2))+(1/($AV$2^2)))</f>
        <v>0</v>
      </c>
      <c r="BB11" s="131">
        <f t="shared" ref="BB11:BB40" si="25">((Z11/($AV$1^2))+(AN11/($AV$2^2)))/((1/($AV$1^2))+(1/($AV$2^2)))</f>
        <v>3.651451384305791</v>
      </c>
      <c r="BC11" s="131">
        <f t="shared" ref="BC11:BC40" si="26">((AA11/($AV$1^2))+(AO11/($AV$2^2)))/((1/($AV$1^2))+(1/($AV$2^2)))</f>
        <v>17.251273950816298</v>
      </c>
      <c r="BE11" s="130">
        <v>2</v>
      </c>
      <c r="BF11" s="131">
        <f>((B11/($BI$1^2))+(P11/($AV$1^2))+(AD11/($AV$2^2)))/((1/($BI$1^2))+(1/($AV$1^2))+(1/($AV$2^2)))</f>
        <v>0.7591935022387355</v>
      </c>
      <c r="BG11" s="131">
        <f t="shared" ref="BG11:BG40" si="27">((C11/($BI$1^2))+(Q11/($AV$1^2))+(AE11/($AV$2^2)))/((1/($BI$1^2))+(1/($AV$1^2))+(1/($AV$2^2)))</f>
        <v>1.2653225037312259</v>
      </c>
      <c r="BH11" s="131">
        <f t="shared" ref="BH11:BH40" si="28">((D11/($BI$1^2))+(R11/($AV$1^2))+(AF11/($AV$2^2)))/((1/($BI$1^2))+(1/($AV$1^2))+(1/($AV$2^2)))</f>
        <v>0</v>
      </c>
      <c r="BI11" s="131">
        <f t="shared" ref="BI11:BI40" si="29">((E11/($BI$1^2))+(S11/($AV$1^2))+(AG11/($AV$2^2)))/((1/($BI$1^2))+(1/($AV$1^2))+(1/($AV$2^2)))</f>
        <v>0</v>
      </c>
      <c r="BJ11" s="131">
        <f t="shared" ref="BJ11:BJ40" si="30">((F11/($BI$1^2))+(T11/($AV$1^2))+(AH11/($AV$2^2)))/((1/($BI$1^2))+(1/($AV$1^2))+(1/($AV$2^2)))</f>
        <v>2.2918146199628451</v>
      </c>
      <c r="BK11" s="131">
        <f t="shared" ref="BK11:BK40" si="31">((G11/($BI$1^2))+(U11/($AV$1^2))+(AI11/($AV$2^2)))/((1/($BI$1^2))+(1/($AV$1^2))+(1/($AV$2^2)))</f>
        <v>0</v>
      </c>
      <c r="BL11" s="131">
        <f t="shared" ref="BL11:BL40" si="32">((H11/($BI$1^2))+(V11/($AV$1^2))+(AJ11/($AV$2^2)))/((1/($BI$1^2))+(1/($AV$1^2))+(1/($AV$2^2)))</f>
        <v>0.82245962742529699</v>
      </c>
      <c r="BM11" s="131">
        <f t="shared" ref="BM11:BM40" si="33">((I11/($BI$1^2))+(W11/($AV$1^2))+(AK11/($AV$2^2)))/((1/($BI$1^2))+(1/($AV$1^2))+(1/($AV$2^2)))</f>
        <v>0</v>
      </c>
      <c r="BN11" s="131">
        <f t="shared" ref="BN11:BN40" si="34">((J11/($BI$1^2))+(X11/($AV$1^2))+(AL11/($AV$2^2)))/((1/($BI$1^2))+(1/($AV$1^2))+(1/($AV$2^2)))</f>
        <v>7.4855652160458419</v>
      </c>
      <c r="BO11" s="131">
        <f t="shared" ref="BO11:BO40" si="35">((K11/($BI$1^2))+(Y11/($AV$1^2))+(AM11/($AV$2^2)))/((1/($BI$1^2))+(1/($AV$1^2))+(1/($AV$2^2)))</f>
        <v>0</v>
      </c>
      <c r="BP11" s="131">
        <f t="shared" ref="BP11:BP40" si="36">((L11/($BI$1^2))+(Z11/($AV$1^2))+(AN11/($AV$2^2)))/((1/($BI$1^2))+(1/($AV$1^2))+(1/($AV$2^2)))</f>
        <v>3.4163707600743098</v>
      </c>
      <c r="BQ11" s="131">
        <f t="shared" ref="BQ11:BQ40" si="37">((M11/($BI$1^2))+(AA11/($AV$1^2))+(AO11/($AV$2^2)))/((1/($BI$1^2))+(1/($AV$1^2))+(1/($AV$2^2)))</f>
        <v>18.844598181718563</v>
      </c>
    </row>
    <row r="12" spans="1:69">
      <c r="A12" s="130">
        <v>3</v>
      </c>
      <c r="B12" s="131">
        <f t="shared" si="3"/>
        <v>2.0472096850406531</v>
      </c>
      <c r="C12" s="131">
        <f t="shared" si="4"/>
        <v>6.5381128509279316</v>
      </c>
      <c r="D12" s="131">
        <f t="shared" si="5"/>
        <v>0</v>
      </c>
      <c r="E12" s="131">
        <f t="shared" si="6"/>
        <v>0</v>
      </c>
      <c r="F12" s="131">
        <f t="shared" si="7"/>
        <v>22.0127417594056</v>
      </c>
      <c r="G12" s="131">
        <f t="shared" si="8"/>
        <v>0</v>
      </c>
      <c r="H12" s="131">
        <f t="shared" si="9"/>
        <v>8.2216935786094858</v>
      </c>
      <c r="I12" s="131">
        <f t="shared" si="10"/>
        <v>0</v>
      </c>
      <c r="J12" s="131">
        <f t="shared" si="11"/>
        <v>1.6714516155312595</v>
      </c>
      <c r="K12" s="131">
        <f t="shared" si="12"/>
        <v>0</v>
      </c>
      <c r="L12" s="131">
        <f t="shared" si="13"/>
        <v>19.523451680706497</v>
      </c>
      <c r="M12" s="131">
        <f t="shared" si="14"/>
        <v>8.8255161064311647</v>
      </c>
      <c r="O12" s="130">
        <v>3</v>
      </c>
      <c r="P12" s="131">
        <f>'Stasiun Pontianak Kota'!Q54</f>
        <v>3</v>
      </c>
      <c r="Q12" s="131">
        <f>'Stasiun Pontianak Kota'!R54</f>
        <v>0</v>
      </c>
      <c r="R12" s="131">
        <f>'Stasiun Pontianak Kota'!S54</f>
        <v>0</v>
      </c>
      <c r="S12" s="131">
        <f>'Stasiun Pontianak Kota'!T54</f>
        <v>0</v>
      </c>
      <c r="T12" s="131">
        <f>'Stasiun Pontianak Kota'!U54</f>
        <v>0</v>
      </c>
      <c r="U12" s="131">
        <f>'Stasiun Pontianak Kota'!V54</f>
        <v>0</v>
      </c>
      <c r="V12" s="131">
        <f>'Stasiun Pontianak Kota'!W54</f>
        <v>12</v>
      </c>
      <c r="W12" s="131">
        <f>'Stasiun Pontianak Kota'!X54</f>
        <v>0</v>
      </c>
      <c r="X12" s="131">
        <f>'Stasiun Pontianak Kota'!Y54</f>
        <v>2</v>
      </c>
      <c r="Y12" s="131">
        <f>'Stasiun Pontianak Kota'!Z54</f>
        <v>0</v>
      </c>
      <c r="Z12" s="131">
        <f>'Stasiun Pontianak Kota'!AA54</f>
        <v>28</v>
      </c>
      <c r="AA12" s="131">
        <f>'Stasiun Pontianak Kota'!AB54</f>
        <v>6</v>
      </c>
      <c r="AC12" s="130">
        <v>3</v>
      </c>
      <c r="AD12" s="131">
        <f>'Sta. Meteorologi pnk'!B10</f>
        <v>0.1</v>
      </c>
      <c r="AE12" s="131">
        <f>'Sta. Meteorologi pnk'!C10</f>
        <v>19.899999999999999</v>
      </c>
      <c r="AF12" s="131">
        <f>'Sta. Meteorologi pnk'!D10</f>
        <v>0</v>
      </c>
      <c r="AG12" s="131">
        <f>'Sta. Meteorologi pnk'!E10</f>
        <v>0</v>
      </c>
      <c r="AH12" s="131">
        <f>'Sta. Meteorologi pnk'!F10</f>
        <v>67</v>
      </c>
      <c r="AI12" s="131">
        <f>'Sta. Meteorologi pnk'!G10</f>
        <v>0</v>
      </c>
      <c r="AJ12" s="131">
        <f>'Sta. Meteorologi pnk'!H10</f>
        <v>0.5</v>
      </c>
      <c r="AK12" s="131">
        <f>'Sta. Meteorologi pnk'!I10</f>
        <v>0</v>
      </c>
      <c r="AL12" s="131">
        <f>'Sta. Meteorologi pnk'!J10</f>
        <v>1</v>
      </c>
      <c r="AM12" s="131">
        <f>'Sta. Meteorologi pnk'!K10</f>
        <v>0</v>
      </c>
      <c r="AN12" s="131">
        <f>'Sta. Meteorologi pnk'!L10</f>
        <v>2.2000000000000002</v>
      </c>
      <c r="AO12" s="131">
        <f>'Sta. Meteorologi pnk'!M10</f>
        <v>14.6</v>
      </c>
      <c r="AQ12" s="130">
        <v>3</v>
      </c>
      <c r="AR12" s="131">
        <f t="shared" si="15"/>
        <v>1.0390353676876303</v>
      </c>
      <c r="AS12" s="131">
        <f t="shared" si="16"/>
        <v>13.456274545867636</v>
      </c>
      <c r="AT12" s="131">
        <f t="shared" si="17"/>
        <v>0</v>
      </c>
      <c r="AU12" s="131">
        <f t="shared" si="18"/>
        <v>0</v>
      </c>
      <c r="AV12" s="131">
        <f t="shared" si="19"/>
        <v>45.305044953423703</v>
      </c>
      <c r="AW12" s="131">
        <f t="shared" si="20"/>
        <v>0</v>
      </c>
      <c r="AX12" s="131">
        <f t="shared" si="21"/>
        <v>4.2237609408302585</v>
      </c>
      <c r="AY12" s="131">
        <f t="shared" si="22"/>
        <v>0</v>
      </c>
      <c r="AZ12" s="131">
        <f t="shared" si="23"/>
        <v>1.3238052992026312</v>
      </c>
      <c r="BA12" s="131">
        <f t="shared" si="24"/>
        <v>0</v>
      </c>
      <c r="BB12" s="131">
        <f t="shared" si="25"/>
        <v>10.554176719427884</v>
      </c>
      <c r="BC12" s="131">
        <f t="shared" si="26"/>
        <v>11.81527442685737</v>
      </c>
      <c r="BE12" s="130">
        <v>3</v>
      </c>
      <c r="BF12" s="131">
        <f t="shared" ref="BF12:BF40" si="38">((B12/($BI$1^2))+(P12/($AV$1^2))+(AD12/($AV$2^2)))/((1/($BI$1^2))+(1/($AV$1^2))+(1/($AV$2^2)))</f>
        <v>1.1652823695897221</v>
      </c>
      <c r="BG12" s="131">
        <f t="shared" si="27"/>
        <v>12.589958912125697</v>
      </c>
      <c r="BH12" s="131">
        <f t="shared" si="28"/>
        <v>0</v>
      </c>
      <c r="BI12" s="131">
        <f t="shared" si="29"/>
        <v>0</v>
      </c>
      <c r="BJ12" s="131">
        <f t="shared" si="30"/>
        <v>42.388303874996069</v>
      </c>
      <c r="BK12" s="131">
        <f t="shared" si="31"/>
        <v>0</v>
      </c>
      <c r="BL12" s="131">
        <f t="shared" si="32"/>
        <v>4.7243956035454504</v>
      </c>
      <c r="BM12" s="131">
        <f t="shared" si="33"/>
        <v>0</v>
      </c>
      <c r="BN12" s="131">
        <f t="shared" si="34"/>
        <v>1.367338748134387</v>
      </c>
      <c r="BO12" s="131">
        <f t="shared" si="35"/>
        <v>0</v>
      </c>
      <c r="BP12" s="131">
        <f t="shared" si="36"/>
        <v>11.677339701867183</v>
      </c>
      <c r="BQ12" s="131">
        <f t="shared" si="37"/>
        <v>11.440886766044271</v>
      </c>
    </row>
    <row r="13" spans="1:69">
      <c r="A13" s="130">
        <v>4</v>
      </c>
      <c r="B13" s="131">
        <f t="shared" si="3"/>
        <v>0.16427419223437012</v>
      </c>
      <c r="C13" s="131">
        <f t="shared" si="4"/>
        <v>26.186613005719128</v>
      </c>
      <c r="D13" s="131">
        <f t="shared" si="5"/>
        <v>0.13141935378749611</v>
      </c>
      <c r="E13" s="131">
        <f t="shared" si="6"/>
        <v>2.1027096605999378</v>
      </c>
      <c r="F13" s="131">
        <f t="shared" si="7"/>
        <v>58.711984097241455</v>
      </c>
      <c r="G13" s="131">
        <f t="shared" si="8"/>
        <v>0.19712903068124416</v>
      </c>
      <c r="H13" s="131">
        <f t="shared" si="9"/>
        <v>4.7001613087188172</v>
      </c>
      <c r="I13" s="131">
        <f t="shared" si="10"/>
        <v>14.653257947305816</v>
      </c>
      <c r="J13" s="131">
        <f t="shared" si="11"/>
        <v>22.168725661121336</v>
      </c>
      <c r="K13" s="131">
        <f t="shared" si="12"/>
        <v>0</v>
      </c>
      <c r="L13" s="131">
        <f t="shared" si="13"/>
        <v>2.0143548465937791</v>
      </c>
      <c r="M13" s="131">
        <f t="shared" si="14"/>
        <v>4.4743225848500154</v>
      </c>
      <c r="O13" s="130">
        <v>4</v>
      </c>
      <c r="P13" s="131">
        <f>'Stasiun Pontianak Kota'!Q55</f>
        <v>0</v>
      </c>
      <c r="Q13" s="131">
        <f>'Stasiun Pontianak Kota'!R55</f>
        <v>39</v>
      </c>
      <c r="R13" s="131">
        <f>'Stasiun Pontianak Kota'!S55</f>
        <v>0</v>
      </c>
      <c r="S13" s="131">
        <f>'Stasiun Pontianak Kota'!T55</f>
        <v>0</v>
      </c>
      <c r="T13" s="131">
        <f>'Stasiun Pontianak Kota'!U55</f>
        <v>87</v>
      </c>
      <c r="U13" s="131">
        <f>'Stasiun Pontianak Kota'!V55</f>
        <v>0</v>
      </c>
      <c r="V13" s="131">
        <f>'Stasiun Pontianak Kota'!W55</f>
        <v>7</v>
      </c>
      <c r="W13" s="131">
        <f>'Stasiun Pontianak Kota'!X55</f>
        <v>0</v>
      </c>
      <c r="X13" s="131">
        <f>'Stasiun Pontianak Kota'!Y55</f>
        <v>4</v>
      </c>
      <c r="Y13" s="131">
        <f>'Stasiun Pontianak Kota'!Z55</f>
        <v>0</v>
      </c>
      <c r="Z13" s="131">
        <f>'Stasiun Pontianak Kota'!AA55</f>
        <v>3</v>
      </c>
      <c r="AA13" s="131">
        <f>'Stasiun Pontianak Kota'!AB55</f>
        <v>5</v>
      </c>
      <c r="AC13" s="130">
        <v>4</v>
      </c>
      <c r="AD13" s="131">
        <f>'Sta. Meteorologi pnk'!B11</f>
        <v>0.5</v>
      </c>
      <c r="AE13" s="131">
        <f>'Sta. Meteorologi pnk'!C11</f>
        <v>0</v>
      </c>
      <c r="AF13" s="131">
        <f>'Sta. Meteorologi pnk'!D11</f>
        <v>0.4</v>
      </c>
      <c r="AG13" s="131">
        <f>'Sta. Meteorologi pnk'!E11</f>
        <v>6.4</v>
      </c>
      <c r="AH13" s="131">
        <f>'Sta. Meteorologi pnk'!F11</f>
        <v>0.9</v>
      </c>
      <c r="AI13" s="131">
        <f>'Sta. Meteorologi pnk'!G11</f>
        <v>0.6</v>
      </c>
      <c r="AJ13" s="131">
        <f>'Sta. Meteorologi pnk'!H11</f>
        <v>0</v>
      </c>
      <c r="AK13" s="131">
        <f>'Sta. Meteorologi pnk'!I11</f>
        <v>44.6</v>
      </c>
      <c r="AL13" s="131">
        <f>'Sta. Meteorologi pnk'!J11</f>
        <v>59.3</v>
      </c>
      <c r="AM13" s="131">
        <f>'Sta. Meteorologi pnk'!K11</f>
        <v>0</v>
      </c>
      <c r="AN13" s="131">
        <f>'Sta. Meteorologi pnk'!L11</f>
        <v>0</v>
      </c>
      <c r="AO13" s="131">
        <f>'Sta. Meteorologi pnk'!M11</f>
        <v>3.4</v>
      </c>
      <c r="AQ13" s="130">
        <v>4</v>
      </c>
      <c r="AR13" s="131">
        <f t="shared" si="15"/>
        <v>0.33809735039868438</v>
      </c>
      <c r="AS13" s="131">
        <f t="shared" si="16"/>
        <v>12.628406668902617</v>
      </c>
      <c r="AT13" s="131">
        <f t="shared" si="17"/>
        <v>0.27047788031894748</v>
      </c>
      <c r="AU13" s="131">
        <f t="shared" si="18"/>
        <v>4.3276460851031597</v>
      </c>
      <c r="AV13" s="131">
        <f t="shared" si="19"/>
        <v>28.779636261346546</v>
      </c>
      <c r="AW13" s="131">
        <f t="shared" si="20"/>
        <v>0.40571682047842123</v>
      </c>
      <c r="AX13" s="131">
        <f t="shared" si="21"/>
        <v>2.2666370944184182</v>
      </c>
      <c r="AY13" s="131">
        <f t="shared" si="22"/>
        <v>30.158283655562645</v>
      </c>
      <c r="AZ13" s="131">
        <f t="shared" si="23"/>
        <v>41.393566954094482</v>
      </c>
      <c r="BA13" s="131">
        <f t="shared" si="24"/>
        <v>0</v>
      </c>
      <c r="BB13" s="131">
        <f t="shared" si="25"/>
        <v>0.97141589760789349</v>
      </c>
      <c r="BC13" s="131">
        <f t="shared" si="26"/>
        <v>3.9180884787242101</v>
      </c>
      <c r="BE13" s="130">
        <v>4</v>
      </c>
      <c r="BF13" s="131">
        <f t="shared" si="38"/>
        <v>0.31633062593280648</v>
      </c>
      <c r="BG13" s="131">
        <f t="shared" si="27"/>
        <v>14.326211177241094</v>
      </c>
      <c r="BH13" s="131">
        <f t="shared" si="28"/>
        <v>0.2530645007462452</v>
      </c>
      <c r="BI13" s="131">
        <f t="shared" si="29"/>
        <v>4.0490320119399232</v>
      </c>
      <c r="BJ13" s="131">
        <f t="shared" si="30"/>
        <v>32.527866214370718</v>
      </c>
      <c r="BK13" s="131">
        <f t="shared" si="31"/>
        <v>0.37959675111936775</v>
      </c>
      <c r="BL13" s="131">
        <f t="shared" si="32"/>
        <v>2.5713712369407089</v>
      </c>
      <c r="BM13" s="131">
        <f t="shared" si="33"/>
        <v>28.21669183320634</v>
      </c>
      <c r="BN13" s="131">
        <f t="shared" si="34"/>
        <v>38.986167228168398</v>
      </c>
      <c r="BO13" s="131">
        <f t="shared" si="35"/>
        <v>0</v>
      </c>
      <c r="BP13" s="131">
        <f t="shared" si="36"/>
        <v>1.1020162444031609</v>
      </c>
      <c r="BQ13" s="131">
        <f t="shared" si="37"/>
        <v>3.9877419970150192</v>
      </c>
    </row>
    <row r="14" spans="1:69">
      <c r="A14" s="130">
        <v>5</v>
      </c>
      <c r="B14" s="131">
        <f t="shared" si="3"/>
        <v>0</v>
      </c>
      <c r="C14" s="131">
        <f t="shared" si="4"/>
        <v>36.304596483795798</v>
      </c>
      <c r="D14" s="131">
        <f t="shared" si="5"/>
        <v>16.033161162074524</v>
      </c>
      <c r="E14" s="131">
        <f t="shared" si="6"/>
        <v>6.7145161553125963</v>
      </c>
      <c r="F14" s="131">
        <f t="shared" si="7"/>
        <v>7.4867580206279625</v>
      </c>
      <c r="G14" s="131">
        <f t="shared" si="8"/>
        <v>24.607967673080992</v>
      </c>
      <c r="H14" s="131">
        <f t="shared" si="9"/>
        <v>0</v>
      </c>
      <c r="I14" s="131">
        <f t="shared" si="10"/>
        <v>18.129193619344012</v>
      </c>
      <c r="J14" s="131">
        <f t="shared" si="11"/>
        <v>45.447225978850639</v>
      </c>
      <c r="K14" s="131">
        <f t="shared" si="12"/>
        <v>0</v>
      </c>
      <c r="L14" s="131">
        <f t="shared" si="13"/>
        <v>2.2998386912811819</v>
      </c>
      <c r="M14" s="131">
        <f t="shared" si="14"/>
        <v>5.6015967933781958</v>
      </c>
      <c r="O14" s="130">
        <v>5</v>
      </c>
      <c r="P14" s="131">
        <f>'Stasiun Pontianak Kota'!Q56</f>
        <v>0</v>
      </c>
      <c r="Q14" s="131">
        <f>'Stasiun Pontianak Kota'!R56</f>
        <v>0</v>
      </c>
      <c r="R14" s="131">
        <f>'Stasiun Pontianak Kota'!S56</f>
        <v>0</v>
      </c>
      <c r="S14" s="131">
        <f>'Stasiun Pontianak Kota'!T56</f>
        <v>10</v>
      </c>
      <c r="T14" s="131">
        <f>'Stasiun Pontianak Kota'!U56</f>
        <v>2</v>
      </c>
      <c r="U14" s="131">
        <f>'Stasiun Pontianak Kota'!V56</f>
        <v>16</v>
      </c>
      <c r="V14" s="131">
        <f>'Stasiun Pontianak Kota'!W56</f>
        <v>0</v>
      </c>
      <c r="W14" s="131">
        <f>'Stasiun Pontianak Kota'!X56</f>
        <v>27</v>
      </c>
      <c r="X14" s="131">
        <f>'Stasiun Pontianak Kota'!Y56</f>
        <v>67</v>
      </c>
      <c r="Y14" s="131">
        <f>'Stasiun Pontianak Kota'!Z56</f>
        <v>0</v>
      </c>
      <c r="Z14" s="131">
        <f>'Stasiun Pontianak Kota'!AA56</f>
        <v>0</v>
      </c>
      <c r="AA14" s="131">
        <f>'Stasiun Pontianak Kota'!AB56</f>
        <v>8</v>
      </c>
      <c r="AC14" s="130">
        <v>5</v>
      </c>
      <c r="AD14" s="131">
        <f>'Sta. Meteorologi pnk'!B12</f>
        <v>0</v>
      </c>
      <c r="AE14" s="131">
        <f>'Sta. Meteorologi pnk'!C12</f>
        <v>110.5</v>
      </c>
      <c r="AF14" s="131">
        <f>'Sta. Meteorologi pnk'!D12</f>
        <v>48.8</v>
      </c>
      <c r="AG14" s="131">
        <f>'Sta. Meteorologi pnk'!E12</f>
        <v>0</v>
      </c>
      <c r="AH14" s="131">
        <f>'Sta. Meteorologi pnk'!F12</f>
        <v>18.7</v>
      </c>
      <c r="AI14" s="131">
        <f>'Sta. Meteorologi pnk'!G12</f>
        <v>42.2</v>
      </c>
      <c r="AJ14" s="131">
        <f>'Sta. Meteorologi pnk'!H12</f>
        <v>0</v>
      </c>
      <c r="AK14" s="131">
        <f>'Sta. Meteorologi pnk'!I12</f>
        <v>0</v>
      </c>
      <c r="AL14" s="131">
        <f>'Sta. Meteorologi pnk'!J12</f>
        <v>1.4</v>
      </c>
      <c r="AM14" s="131">
        <f>'Sta. Meteorologi pnk'!K12</f>
        <v>0</v>
      </c>
      <c r="AN14" s="131">
        <f>'Sta. Meteorologi pnk'!L12</f>
        <v>7</v>
      </c>
      <c r="AO14" s="131">
        <f>'Sta. Meteorologi pnk'!M12</f>
        <v>0.7</v>
      </c>
      <c r="AQ14" s="130">
        <v>5</v>
      </c>
      <c r="AR14" s="131">
        <f t="shared" si="15"/>
        <v>0</v>
      </c>
      <c r="AS14" s="131">
        <f t="shared" si="16"/>
        <v>74.719514438109243</v>
      </c>
      <c r="AT14" s="131">
        <f t="shared" si="17"/>
        <v>32.998301398911593</v>
      </c>
      <c r="AU14" s="131">
        <f t="shared" si="18"/>
        <v>3.2380529920263119</v>
      </c>
      <c r="AV14" s="131">
        <f t="shared" si="19"/>
        <v>13.292451503316055</v>
      </c>
      <c r="AW14" s="131">
        <f t="shared" si="20"/>
        <v>33.716301160891064</v>
      </c>
      <c r="AX14" s="131">
        <f t="shared" si="21"/>
        <v>0</v>
      </c>
      <c r="AY14" s="131">
        <f t="shared" si="22"/>
        <v>8.742743078471042</v>
      </c>
      <c r="AZ14" s="131">
        <f t="shared" si="23"/>
        <v>22.641627627692607</v>
      </c>
      <c r="BA14" s="131">
        <f t="shared" si="24"/>
        <v>0</v>
      </c>
      <c r="BB14" s="131">
        <f t="shared" si="25"/>
        <v>4.7333629055815809</v>
      </c>
      <c r="BC14" s="131">
        <f t="shared" si="26"/>
        <v>3.0637786841792076</v>
      </c>
      <c r="BE14" s="130">
        <v>5</v>
      </c>
      <c r="BF14" s="131">
        <f t="shared" si="38"/>
        <v>0</v>
      </c>
      <c r="BG14" s="131">
        <f t="shared" si="27"/>
        <v>69.909068331150237</v>
      </c>
      <c r="BH14" s="131">
        <f t="shared" si="28"/>
        <v>30.873869091041907</v>
      </c>
      <c r="BI14" s="131">
        <f t="shared" si="29"/>
        <v>3.6733874813438696</v>
      </c>
      <c r="BJ14" s="131">
        <f t="shared" si="30"/>
        <v>12.565442906155736</v>
      </c>
      <c r="BK14" s="131">
        <f t="shared" si="31"/>
        <v>32.575724798879058</v>
      </c>
      <c r="BL14" s="131">
        <f t="shared" si="32"/>
        <v>0</v>
      </c>
      <c r="BM14" s="131">
        <f t="shared" si="33"/>
        <v>9.918146199628449</v>
      </c>
      <c r="BN14" s="131">
        <f t="shared" si="34"/>
        <v>25.497421877615785</v>
      </c>
      <c r="BO14" s="131">
        <f t="shared" si="35"/>
        <v>0</v>
      </c>
      <c r="BP14" s="131">
        <f t="shared" si="36"/>
        <v>4.4286287630592911</v>
      </c>
      <c r="BQ14" s="131">
        <f t="shared" si="37"/>
        <v>3.3815728613810254</v>
      </c>
    </row>
    <row r="15" spans="1:69">
      <c r="A15" s="130">
        <v>6</v>
      </c>
      <c r="B15" s="131">
        <f t="shared" si="3"/>
        <v>0</v>
      </c>
      <c r="C15" s="131">
        <f t="shared" si="4"/>
        <v>51.252322682612878</v>
      </c>
      <c r="D15" s="131">
        <f t="shared" si="5"/>
        <v>20.815000081469051</v>
      </c>
      <c r="E15" s="131">
        <f t="shared" si="6"/>
        <v>33.183386831342773</v>
      </c>
      <c r="F15" s="131">
        <f t="shared" si="7"/>
        <v>34.285483844687398</v>
      </c>
      <c r="G15" s="131">
        <f t="shared" si="8"/>
        <v>12.086129079562673</v>
      </c>
      <c r="H15" s="131">
        <f t="shared" si="9"/>
        <v>42.046903361413001</v>
      </c>
      <c r="I15" s="131">
        <f t="shared" si="10"/>
        <v>0</v>
      </c>
      <c r="J15" s="131">
        <f t="shared" si="11"/>
        <v>0.16427419223437012</v>
      </c>
      <c r="K15" s="131">
        <f t="shared" si="12"/>
        <v>0</v>
      </c>
      <c r="L15" s="131">
        <f t="shared" si="13"/>
        <v>0</v>
      </c>
      <c r="M15" s="131">
        <f t="shared" si="14"/>
        <v>1</v>
      </c>
      <c r="O15" s="130">
        <v>6</v>
      </c>
      <c r="P15" s="131">
        <f>'Stasiun Pontianak Kota'!Q57</f>
        <v>0</v>
      </c>
      <c r="Q15" s="131">
        <f>'Stasiun Pontianak Kota'!R57</f>
        <v>64</v>
      </c>
      <c r="R15" s="131">
        <f>'Stasiun Pontianak Kota'!S57</f>
        <v>31</v>
      </c>
      <c r="S15" s="131">
        <f>'Stasiun Pontianak Kota'!T57</f>
        <v>0</v>
      </c>
      <c r="T15" s="131">
        <f>'Stasiun Pontianak Kota'!U57</f>
        <v>31</v>
      </c>
      <c r="U15" s="131">
        <f>'Stasiun Pontianak Kota'!V57</f>
        <v>18</v>
      </c>
      <c r="V15" s="131">
        <f>'Stasiun Pontianak Kota'!W57</f>
        <v>59</v>
      </c>
      <c r="W15" s="131">
        <f>'Stasiun Pontianak Kota'!X57</f>
        <v>0</v>
      </c>
      <c r="X15" s="131">
        <f>'Stasiun Pontianak Kota'!Y57</f>
        <v>0</v>
      </c>
      <c r="Y15" s="131">
        <f>'Stasiun Pontianak Kota'!Z57</f>
        <v>0</v>
      </c>
      <c r="Z15" s="131">
        <f>'Stasiun Pontianak Kota'!AA57</f>
        <v>0</v>
      </c>
      <c r="AA15" s="131">
        <f>'Stasiun Pontianak Kota'!AB57</f>
        <v>1</v>
      </c>
      <c r="AC15" s="130">
        <v>6</v>
      </c>
      <c r="AD15" s="131">
        <f>'Sta. Meteorologi pnk'!B13</f>
        <v>0</v>
      </c>
      <c r="AE15" s="131">
        <f>'Sta. Meteorologi pnk'!C13</f>
        <v>25.2</v>
      </c>
      <c r="AF15" s="131">
        <f>'Sta. Meteorologi pnk'!D13</f>
        <v>0</v>
      </c>
      <c r="AG15" s="131">
        <f>'Sta. Meteorologi pnk'!E13</f>
        <v>101</v>
      </c>
      <c r="AH15" s="131">
        <f>'Sta. Meteorologi pnk'!F13</f>
        <v>41</v>
      </c>
      <c r="AI15" s="131">
        <f>'Sta. Meteorologi pnk'!G13</f>
        <v>0</v>
      </c>
      <c r="AJ15" s="131">
        <f>'Sta. Meteorologi pnk'!H13</f>
        <v>7.4</v>
      </c>
      <c r="AK15" s="131">
        <f>'Sta. Meteorologi pnk'!I13</f>
        <v>0</v>
      </c>
      <c r="AL15" s="131">
        <f>'Sta. Meteorologi pnk'!J13</f>
        <v>0.5</v>
      </c>
      <c r="AM15" s="131">
        <f>'Sta. Meteorologi pnk'!K13</f>
        <v>0</v>
      </c>
      <c r="AN15" s="131">
        <f>'Sta. Meteorologi pnk'!L13</f>
        <v>0</v>
      </c>
      <c r="AO15" s="131">
        <f>'Sta. Meteorologi pnk'!M13</f>
        <v>1</v>
      </c>
      <c r="AQ15" s="130">
        <v>6</v>
      </c>
      <c r="AR15" s="131">
        <f t="shared" si="15"/>
        <v>0</v>
      </c>
      <c r="AS15" s="131">
        <f t="shared" si="16"/>
        <v>37.763645609062088</v>
      </c>
      <c r="AT15" s="131">
        <f t="shared" si="17"/>
        <v>10.037964275281567</v>
      </c>
      <c r="AU15" s="131">
        <f t="shared" si="18"/>
        <v>68.295664780534253</v>
      </c>
      <c r="AV15" s="131">
        <f t="shared" si="19"/>
        <v>37.761947007973689</v>
      </c>
      <c r="AW15" s="131">
        <f t="shared" si="20"/>
        <v>5.8284953856473614</v>
      </c>
      <c r="AX15" s="131">
        <f t="shared" si="21"/>
        <v>24.108353438855769</v>
      </c>
      <c r="AY15" s="131">
        <f t="shared" si="22"/>
        <v>0</v>
      </c>
      <c r="AZ15" s="131">
        <f t="shared" si="23"/>
        <v>0.33809735039868438</v>
      </c>
      <c r="BA15" s="131">
        <f t="shared" si="24"/>
        <v>0</v>
      </c>
      <c r="BB15" s="131">
        <f t="shared" si="25"/>
        <v>0</v>
      </c>
      <c r="BC15" s="131">
        <f t="shared" si="26"/>
        <v>1</v>
      </c>
      <c r="BE15" s="130">
        <v>6</v>
      </c>
      <c r="BF15" s="131">
        <f t="shared" si="38"/>
        <v>0</v>
      </c>
      <c r="BG15" s="131">
        <f t="shared" si="27"/>
        <v>39.452743427614216</v>
      </c>
      <c r="BH15" s="131">
        <f t="shared" si="28"/>
        <v>11.387501192165997</v>
      </c>
      <c r="BI15" s="131">
        <f t="shared" si="29"/>
        <v>63.898786438426924</v>
      </c>
      <c r="BJ15" s="131">
        <f t="shared" si="30"/>
        <v>37.326612518656134</v>
      </c>
      <c r="BK15" s="131">
        <f t="shared" si="31"/>
        <v>6.6120974664189651</v>
      </c>
      <c r="BL15" s="131">
        <f t="shared" si="32"/>
        <v>26.354679403734369</v>
      </c>
      <c r="BM15" s="131">
        <f t="shared" si="33"/>
        <v>0</v>
      </c>
      <c r="BN15" s="131">
        <f t="shared" si="34"/>
        <v>0.31633062593280648</v>
      </c>
      <c r="BO15" s="131">
        <f t="shared" si="35"/>
        <v>0</v>
      </c>
      <c r="BP15" s="131">
        <f t="shared" si="36"/>
        <v>0</v>
      </c>
      <c r="BQ15" s="131">
        <f t="shared" si="37"/>
        <v>1</v>
      </c>
    </row>
    <row r="16" spans="1:69">
      <c r="A16" s="130">
        <v>7</v>
      </c>
      <c r="B16" s="131">
        <f t="shared" si="3"/>
        <v>0</v>
      </c>
      <c r="C16" s="131">
        <f t="shared" si="4"/>
        <v>14.100483926156452</v>
      </c>
      <c r="D16" s="131">
        <f t="shared" si="5"/>
        <v>0</v>
      </c>
      <c r="E16" s="131">
        <f t="shared" si="6"/>
        <v>70.229983869128105</v>
      </c>
      <c r="F16" s="131">
        <f t="shared" si="7"/>
        <v>47.11706450719371</v>
      </c>
      <c r="G16" s="131">
        <f t="shared" si="8"/>
        <v>0</v>
      </c>
      <c r="H16" s="131">
        <f t="shared" si="9"/>
        <v>0</v>
      </c>
      <c r="I16" s="131">
        <f t="shared" si="10"/>
        <v>2.6858064621250386</v>
      </c>
      <c r="J16" s="131">
        <f t="shared" si="11"/>
        <v>0.4271128998093624</v>
      </c>
      <c r="K16" s="131">
        <f t="shared" si="12"/>
        <v>1.1170645071937169</v>
      </c>
      <c r="L16" s="131">
        <f t="shared" si="13"/>
        <v>12.123435386896515</v>
      </c>
      <c r="M16" s="131">
        <f t="shared" si="14"/>
        <v>15.883241816433934</v>
      </c>
      <c r="O16" s="130">
        <v>7</v>
      </c>
      <c r="P16" s="131">
        <f>'Stasiun Pontianak Kota'!Q58</f>
        <v>0</v>
      </c>
      <c r="Q16" s="131">
        <f>'Stasiun Pontianak Kota'!R58</f>
        <v>21</v>
      </c>
      <c r="R16" s="131">
        <f>'Stasiun Pontianak Kota'!S58</f>
        <v>0</v>
      </c>
      <c r="S16" s="131">
        <f>'Stasiun Pontianak Kota'!T58</f>
        <v>70</v>
      </c>
      <c r="T16" s="131">
        <f>'Stasiun Pontianak Kota'!U58</f>
        <v>46</v>
      </c>
      <c r="U16" s="131">
        <f>'Stasiun Pontianak Kota'!V58</f>
        <v>0</v>
      </c>
      <c r="V16" s="131">
        <f>'Stasiun Pontianak Kota'!W58</f>
        <v>0</v>
      </c>
      <c r="W16" s="131">
        <f>'Stasiun Pontianak Kota'!X58</f>
        <v>4</v>
      </c>
      <c r="X16" s="131">
        <f>'Stasiun Pontianak Kota'!Y58</f>
        <v>0</v>
      </c>
      <c r="Y16" s="131">
        <f>'Stasiun Pontianak Kota'!Z58</f>
        <v>0</v>
      </c>
      <c r="Z16" s="131">
        <f>'Stasiun Pontianak Kota'!AA58</f>
        <v>0</v>
      </c>
      <c r="AA16" s="131">
        <f>'Stasiun Pontianak Kota'!AB58</f>
        <v>1</v>
      </c>
      <c r="AC16" s="130">
        <v>7</v>
      </c>
      <c r="AD16" s="131">
        <f>'Sta. Meteorologi pnk'!B14</f>
        <v>0</v>
      </c>
      <c r="AE16" s="131">
        <f>'Sta. Meteorologi pnk'!C14</f>
        <v>0</v>
      </c>
      <c r="AF16" s="131">
        <f>'Sta. Meteorologi pnk'!D14</f>
        <v>0</v>
      </c>
      <c r="AG16" s="131">
        <f>'Sta. Meteorologi pnk'!E14</f>
        <v>70.7</v>
      </c>
      <c r="AH16" s="131">
        <f>'Sta. Meteorologi pnk'!F14</f>
        <v>49.4</v>
      </c>
      <c r="AI16" s="131">
        <f>'Sta. Meteorologi pnk'!G14</f>
        <v>0</v>
      </c>
      <c r="AJ16" s="131">
        <f>'Sta. Meteorologi pnk'!H14</f>
        <v>0</v>
      </c>
      <c r="AK16" s="131">
        <f>'Sta. Meteorologi pnk'!I14</f>
        <v>0</v>
      </c>
      <c r="AL16" s="131">
        <f>'Sta. Meteorologi pnk'!J14</f>
        <v>1.3</v>
      </c>
      <c r="AM16" s="131">
        <f>'Sta. Meteorologi pnk'!K14</f>
        <v>3.4</v>
      </c>
      <c r="AN16" s="131">
        <f>'Sta. Meteorologi pnk'!L14</f>
        <v>36.9</v>
      </c>
      <c r="AO16" s="131">
        <f>'Sta. Meteorologi pnk'!M14</f>
        <v>46.3</v>
      </c>
      <c r="AQ16" s="130">
        <v>7</v>
      </c>
      <c r="AR16" s="131">
        <f t="shared" si="15"/>
        <v>0</v>
      </c>
      <c r="AS16" s="131">
        <f t="shared" si="16"/>
        <v>6.7999112832552546</v>
      </c>
      <c r="AT16" s="131">
        <f t="shared" si="17"/>
        <v>0</v>
      </c>
      <c r="AU16" s="131">
        <f t="shared" si="18"/>
        <v>70.473336290558152</v>
      </c>
      <c r="AV16" s="131">
        <f t="shared" si="19"/>
        <v>48.299061982711052</v>
      </c>
      <c r="AW16" s="131">
        <f t="shared" si="20"/>
        <v>0</v>
      </c>
      <c r="AX16" s="131">
        <f t="shared" si="21"/>
        <v>0</v>
      </c>
      <c r="AY16" s="131">
        <f t="shared" si="22"/>
        <v>1.2952211968105249</v>
      </c>
      <c r="AZ16" s="131">
        <f t="shared" si="23"/>
        <v>0.87905311103657935</v>
      </c>
      <c r="BA16" s="131">
        <f t="shared" si="24"/>
        <v>2.2990619827110534</v>
      </c>
      <c r="BB16" s="131">
        <f t="shared" si="25"/>
        <v>24.951584459422904</v>
      </c>
      <c r="BC16" s="131">
        <f t="shared" si="26"/>
        <v>31.6316199461208</v>
      </c>
      <c r="BE16" s="130">
        <v>7</v>
      </c>
      <c r="BF16" s="131">
        <f t="shared" si="38"/>
        <v>0</v>
      </c>
      <c r="BG16" s="131">
        <f t="shared" si="27"/>
        <v>7.7141137108221267</v>
      </c>
      <c r="BH16" s="131">
        <f t="shared" si="28"/>
        <v>0</v>
      </c>
      <c r="BI16" s="131">
        <f t="shared" si="29"/>
        <v>70.442862876305938</v>
      </c>
      <c r="BJ16" s="131">
        <f t="shared" si="30"/>
        <v>48.151048256343088</v>
      </c>
      <c r="BK16" s="131">
        <f t="shared" si="31"/>
        <v>0</v>
      </c>
      <c r="BL16" s="131">
        <f t="shared" si="32"/>
        <v>0</v>
      </c>
      <c r="BM16" s="131">
        <f t="shared" si="33"/>
        <v>1.469354992537548</v>
      </c>
      <c r="BN16" s="131">
        <f t="shared" si="34"/>
        <v>0.82245962742529699</v>
      </c>
      <c r="BO16" s="131">
        <f t="shared" si="35"/>
        <v>2.1510482563430839</v>
      </c>
      <c r="BP16" s="131">
        <f t="shared" si="36"/>
        <v>23.345200193841119</v>
      </c>
      <c r="BQ16" s="131">
        <f t="shared" si="37"/>
        <v>29.659554709512271</v>
      </c>
    </row>
    <row r="17" spans="1:69">
      <c r="A17" s="130">
        <v>8</v>
      </c>
      <c r="B17" s="131">
        <f t="shared" si="3"/>
        <v>0</v>
      </c>
      <c r="C17" s="131">
        <f t="shared" si="4"/>
        <v>0</v>
      </c>
      <c r="D17" s="131">
        <f t="shared" si="5"/>
        <v>0</v>
      </c>
      <c r="E17" s="131">
        <f t="shared" si="6"/>
        <v>58.416290551219589</v>
      </c>
      <c r="F17" s="131">
        <f t="shared" si="7"/>
        <v>75.202580939501075</v>
      </c>
      <c r="G17" s="131">
        <f t="shared" si="8"/>
        <v>0</v>
      </c>
      <c r="H17" s="131">
        <f t="shared" si="9"/>
        <v>3.2854838446874028E-2</v>
      </c>
      <c r="I17" s="131">
        <f t="shared" si="10"/>
        <v>0</v>
      </c>
      <c r="J17" s="131">
        <f t="shared" si="11"/>
        <v>6.0430645397813363</v>
      </c>
      <c r="K17" s="131">
        <f t="shared" si="12"/>
        <v>10.845935509100093</v>
      </c>
      <c r="L17" s="131">
        <f t="shared" si="13"/>
        <v>59.759193782282111</v>
      </c>
      <c r="M17" s="131">
        <f t="shared" si="14"/>
        <v>20.043064539781337</v>
      </c>
      <c r="O17" s="130">
        <v>8</v>
      </c>
      <c r="P17" s="131">
        <f>'Stasiun Pontianak Kota'!Q59</f>
        <v>0</v>
      </c>
      <c r="Q17" s="131">
        <f>'Stasiun Pontianak Kota'!R59</f>
        <v>0</v>
      </c>
      <c r="R17" s="131">
        <f>'Stasiun Pontianak Kota'!S59</f>
        <v>0</v>
      </c>
      <c r="S17" s="131">
        <f>'Stasiun Pontianak Kota'!T59</f>
        <v>87</v>
      </c>
      <c r="T17" s="131">
        <f>'Stasiun Pontianak Kota'!U59</f>
        <v>112</v>
      </c>
      <c r="U17" s="131">
        <f>'Stasiun Pontianak Kota'!V59</f>
        <v>0</v>
      </c>
      <c r="V17" s="131">
        <f>'Stasiun Pontianak Kota'!W59</f>
        <v>0</v>
      </c>
      <c r="W17" s="131">
        <f>'Stasiun Pontianak Kota'!X59</f>
        <v>0</v>
      </c>
      <c r="X17" s="131">
        <f>'Stasiun Pontianak Kota'!Y59</f>
        <v>9</v>
      </c>
      <c r="Y17" s="131">
        <f>'Stasiun Pontianak Kota'!Z59</f>
        <v>14</v>
      </c>
      <c r="Z17" s="131">
        <f>'Stasiun Pontianak Kota'!AA59</f>
        <v>89</v>
      </c>
      <c r="AA17" s="131">
        <f>'Stasiun Pontianak Kota'!AB59</f>
        <v>23</v>
      </c>
      <c r="AC17" s="130">
        <v>8</v>
      </c>
      <c r="AD17" s="131">
        <f>'Sta. Meteorologi pnk'!B15</f>
        <v>0</v>
      </c>
      <c r="AE17" s="131">
        <f>'Sta. Meteorologi pnk'!C15</f>
        <v>0</v>
      </c>
      <c r="AF17" s="131">
        <f>'Sta. Meteorologi pnk'!D15</f>
        <v>0</v>
      </c>
      <c r="AG17" s="131">
        <f>'Sta. Meteorologi pnk'!E15</f>
        <v>0</v>
      </c>
      <c r="AH17" s="131">
        <f>'Sta. Meteorologi pnk'!F15</f>
        <v>0</v>
      </c>
      <c r="AI17" s="131">
        <f>'Sta. Meteorologi pnk'!G15</f>
        <v>0</v>
      </c>
      <c r="AJ17" s="131">
        <f>'Sta. Meteorologi pnk'!H15</f>
        <v>0.1</v>
      </c>
      <c r="AK17" s="131">
        <f>'Sta. Meteorologi pnk'!I15</f>
        <v>0</v>
      </c>
      <c r="AL17" s="131">
        <f>'Sta. Meteorologi pnk'!J15</f>
        <v>0</v>
      </c>
      <c r="AM17" s="131">
        <f>'Sta. Meteorologi pnk'!K15</f>
        <v>4.4000000000000004</v>
      </c>
      <c r="AN17" s="131">
        <f>'Sta. Meteorologi pnk'!L15</f>
        <v>0</v>
      </c>
      <c r="AO17" s="131">
        <f>'Sta. Meteorologi pnk'!M15</f>
        <v>14</v>
      </c>
      <c r="AQ17" s="130">
        <v>8</v>
      </c>
      <c r="AR17" s="131">
        <f t="shared" si="15"/>
        <v>0</v>
      </c>
      <c r="AS17" s="131">
        <f t="shared" si="16"/>
        <v>0</v>
      </c>
      <c r="AT17" s="131">
        <f t="shared" si="17"/>
        <v>0</v>
      </c>
      <c r="AU17" s="131">
        <f t="shared" si="18"/>
        <v>28.171061030628913</v>
      </c>
      <c r="AV17" s="131">
        <f t="shared" si="19"/>
        <v>36.266193510694691</v>
      </c>
      <c r="AW17" s="131">
        <f t="shared" si="20"/>
        <v>0</v>
      </c>
      <c r="AX17" s="131">
        <f t="shared" si="21"/>
        <v>6.7619470079736871E-2</v>
      </c>
      <c r="AY17" s="131">
        <f t="shared" si="22"/>
        <v>0</v>
      </c>
      <c r="AZ17" s="131">
        <f t="shared" si="23"/>
        <v>2.9142476928236807</v>
      </c>
      <c r="BA17" s="131">
        <f t="shared" si="24"/>
        <v>7.5085308723452595</v>
      </c>
      <c r="BB17" s="131">
        <f t="shared" si="25"/>
        <v>28.818671629034178</v>
      </c>
      <c r="BC17" s="131">
        <f t="shared" si="26"/>
        <v>16.914247692823679</v>
      </c>
      <c r="BE17" s="130">
        <v>8</v>
      </c>
      <c r="BF17" s="131">
        <f t="shared" si="38"/>
        <v>0</v>
      </c>
      <c r="BG17" s="131">
        <f>((C17/($BI$1^2))+(Q17/($AV$1^2))+(AE17/($AV$2^2)))/((1/($BI$1^2))+(1/($AV$1^2))+(1/($AV$2^2)))</f>
        <v>0</v>
      </c>
      <c r="BH17" s="131">
        <f t="shared" si="28"/>
        <v>0</v>
      </c>
      <c r="BI17" s="131">
        <f t="shared" si="29"/>
        <v>31.958471087691667</v>
      </c>
      <c r="BJ17" s="131">
        <f t="shared" si="30"/>
        <v>41.141939791051342</v>
      </c>
      <c r="BK17" s="131">
        <f t="shared" si="31"/>
        <v>0</v>
      </c>
      <c r="BL17" s="131">
        <f t="shared" si="32"/>
        <v>6.3266125186561301E-2</v>
      </c>
      <c r="BM17" s="131">
        <f t="shared" si="33"/>
        <v>0</v>
      </c>
      <c r="BN17" s="131">
        <f t="shared" si="34"/>
        <v>3.3060487332094826</v>
      </c>
      <c r="BO17" s="131">
        <f t="shared" si="35"/>
        <v>7.926451982090116</v>
      </c>
      <c r="BP17" s="131">
        <f t="shared" si="36"/>
        <v>32.693148583960443</v>
      </c>
      <c r="BQ17" s="131">
        <f t="shared" si="37"/>
        <v>17.306048733209483</v>
      </c>
    </row>
    <row r="18" spans="1:69">
      <c r="A18" s="130">
        <v>9</v>
      </c>
      <c r="B18" s="131">
        <f t="shared" si="3"/>
        <v>0.82137096117185071</v>
      </c>
      <c r="C18" s="131">
        <f t="shared" si="4"/>
        <v>14.916096654880807</v>
      </c>
      <c r="D18" s="131">
        <f t="shared" si="5"/>
        <v>0</v>
      </c>
      <c r="E18" s="131">
        <f t="shared" si="6"/>
        <v>0.13141935378749611</v>
      </c>
      <c r="F18" s="131">
        <f t="shared" si="7"/>
        <v>0</v>
      </c>
      <c r="G18" s="131">
        <f t="shared" si="8"/>
        <v>0</v>
      </c>
      <c r="H18" s="131">
        <f t="shared" si="9"/>
        <v>7.3859677708438571</v>
      </c>
      <c r="I18" s="131">
        <f t="shared" si="10"/>
        <v>0</v>
      </c>
      <c r="J18" s="131">
        <f t="shared" si="11"/>
        <v>0.13141935378749611</v>
      </c>
      <c r="K18" s="131">
        <f t="shared" si="12"/>
        <v>10.743225848500154</v>
      </c>
      <c r="L18" s="131">
        <f t="shared" si="13"/>
        <v>0</v>
      </c>
      <c r="M18" s="131">
        <f t="shared" si="14"/>
        <v>10.071774232968895</v>
      </c>
      <c r="O18" s="130">
        <v>9</v>
      </c>
      <c r="P18" s="131">
        <f>'Stasiun Pontianak Kota'!Q60</f>
        <v>0</v>
      </c>
      <c r="Q18" s="131">
        <f>'Stasiun Pontianak Kota'!R60</f>
        <v>0</v>
      </c>
      <c r="R18" s="131">
        <f>'Stasiun Pontianak Kota'!S60</f>
        <v>0</v>
      </c>
      <c r="S18" s="131">
        <f>'Stasiun Pontianak Kota'!T60</f>
        <v>0</v>
      </c>
      <c r="T18" s="131">
        <f>'Stasiun Pontianak Kota'!U60</f>
        <v>0</v>
      </c>
      <c r="U18" s="131">
        <f>'Stasiun Pontianak Kota'!V60</f>
        <v>0</v>
      </c>
      <c r="V18" s="131">
        <f>'Stasiun Pontianak Kota'!W60</f>
        <v>11</v>
      </c>
      <c r="W18" s="131">
        <f>'Stasiun Pontianak Kota'!X60</f>
        <v>0</v>
      </c>
      <c r="X18" s="131">
        <f>'Stasiun Pontianak Kota'!Y60</f>
        <v>0</v>
      </c>
      <c r="Y18" s="131">
        <f>'Stasiun Pontianak Kota'!Z60</f>
        <v>16</v>
      </c>
      <c r="Z18" s="131">
        <f>'Stasiun Pontianak Kota'!AA60</f>
        <v>0</v>
      </c>
      <c r="AA18" s="131">
        <f>'Stasiun Pontianak Kota'!AB60</f>
        <v>15</v>
      </c>
      <c r="AC18" s="130">
        <v>9</v>
      </c>
      <c r="AD18" s="131">
        <f>'Sta. Meteorologi pnk'!B16</f>
        <v>2.5</v>
      </c>
      <c r="AE18" s="131">
        <f>'Sta. Meteorologi pnk'!C16</f>
        <v>45.4</v>
      </c>
      <c r="AF18" s="131">
        <f>'Sta. Meteorologi pnk'!D16</f>
        <v>0</v>
      </c>
      <c r="AG18" s="131">
        <f>'Sta. Meteorologi pnk'!E16</f>
        <v>0.4</v>
      </c>
      <c r="AH18" s="131">
        <f>'Sta. Meteorologi pnk'!F16</f>
        <v>0</v>
      </c>
      <c r="AI18" s="131">
        <f>'Sta. Meteorologi pnk'!G16</f>
        <v>0</v>
      </c>
      <c r="AJ18" s="131">
        <f>'Sta. Meteorologi pnk'!H16</f>
        <v>0</v>
      </c>
      <c r="AK18" s="131">
        <f>'Sta. Meteorologi pnk'!I16</f>
        <v>0</v>
      </c>
      <c r="AL18" s="131">
        <f>'Sta. Meteorologi pnk'!J16</f>
        <v>0.4</v>
      </c>
      <c r="AM18" s="131">
        <f>'Sta. Meteorologi pnk'!K16</f>
        <v>0</v>
      </c>
      <c r="AN18" s="131">
        <f>'Sta. Meteorologi pnk'!L16</f>
        <v>0</v>
      </c>
      <c r="AO18" s="131">
        <f>'Sta. Meteorologi pnk'!M16</f>
        <v>0</v>
      </c>
      <c r="AQ18" s="130">
        <v>9</v>
      </c>
      <c r="AR18" s="131">
        <f t="shared" si="15"/>
        <v>1.6904867519934219</v>
      </c>
      <c r="AS18" s="131">
        <f t="shared" si="16"/>
        <v>30.699239416200538</v>
      </c>
      <c r="AT18" s="131">
        <f t="shared" si="17"/>
        <v>0</v>
      </c>
      <c r="AU18" s="131">
        <f t="shared" si="18"/>
        <v>0.27047788031894748</v>
      </c>
      <c r="AV18" s="131">
        <f t="shared" si="19"/>
        <v>0</v>
      </c>
      <c r="AW18" s="131">
        <f t="shared" si="20"/>
        <v>0</v>
      </c>
      <c r="AX18" s="131">
        <f t="shared" si="21"/>
        <v>3.5618582912289436</v>
      </c>
      <c r="AY18" s="131">
        <f t="shared" si="22"/>
        <v>0</v>
      </c>
      <c r="AZ18" s="131">
        <f t="shared" si="23"/>
        <v>0.27047788031894748</v>
      </c>
      <c r="BA18" s="131">
        <f t="shared" si="24"/>
        <v>5.1808847872420998</v>
      </c>
      <c r="BB18" s="131">
        <f t="shared" si="25"/>
        <v>0</v>
      </c>
      <c r="BC18" s="131">
        <f t="shared" si="26"/>
        <v>4.8570794880394681</v>
      </c>
      <c r="BE18" s="130">
        <v>9</v>
      </c>
      <c r="BF18" s="131">
        <f t="shared" si="38"/>
        <v>1.5816531296640326</v>
      </c>
      <c r="BG18" s="131">
        <f t="shared" si="27"/>
        <v>28.722820834698826</v>
      </c>
      <c r="BH18" s="131">
        <f t="shared" si="28"/>
        <v>0</v>
      </c>
      <c r="BI18" s="131">
        <f t="shared" si="29"/>
        <v>0.2530645007462452</v>
      </c>
      <c r="BJ18" s="131">
        <f t="shared" si="30"/>
        <v>0</v>
      </c>
      <c r="BK18" s="131">
        <f t="shared" si="31"/>
        <v>0</v>
      </c>
      <c r="BL18" s="131">
        <f t="shared" si="32"/>
        <v>4.0407262294782571</v>
      </c>
      <c r="BM18" s="131">
        <f t="shared" si="33"/>
        <v>0</v>
      </c>
      <c r="BN18" s="131">
        <f t="shared" si="34"/>
        <v>0.2530645007462452</v>
      </c>
      <c r="BO18" s="131">
        <f t="shared" si="35"/>
        <v>5.8774199701501919</v>
      </c>
      <c r="BP18" s="131">
        <f t="shared" si="36"/>
        <v>0</v>
      </c>
      <c r="BQ18" s="131">
        <f t="shared" si="37"/>
        <v>5.5100812220158053</v>
      </c>
    </row>
    <row r="19" spans="1:69">
      <c r="A19" s="130">
        <v>10</v>
      </c>
      <c r="B19" s="131">
        <f t="shared" si="3"/>
        <v>1.8070161145780717</v>
      </c>
      <c r="C19" s="131">
        <f t="shared" si="4"/>
        <v>36.786290388281493</v>
      </c>
      <c r="D19" s="131">
        <f t="shared" si="5"/>
        <v>0</v>
      </c>
      <c r="E19" s="131">
        <f t="shared" si="6"/>
        <v>6.2956935460218659</v>
      </c>
      <c r="F19" s="131">
        <f t="shared" si="7"/>
        <v>1.7741612761311976</v>
      </c>
      <c r="G19" s="131">
        <f t="shared" si="8"/>
        <v>1.7741612761311976</v>
      </c>
      <c r="H19" s="131">
        <f t="shared" si="9"/>
        <v>13.509403157740373</v>
      </c>
      <c r="I19" s="131">
        <f t="shared" si="10"/>
        <v>1.4456128916624573</v>
      </c>
      <c r="J19" s="131">
        <f t="shared" si="11"/>
        <v>0</v>
      </c>
      <c r="K19" s="131">
        <f t="shared" si="12"/>
        <v>8.6159516399719731</v>
      </c>
      <c r="L19" s="131">
        <f t="shared" si="13"/>
        <v>2.3655483681749301</v>
      </c>
      <c r="M19" s="131">
        <f t="shared" si="14"/>
        <v>2.9569354602186624</v>
      </c>
      <c r="O19" s="130">
        <v>10</v>
      </c>
      <c r="P19" s="131">
        <f>'Stasiun Pontianak Kota'!Q61</f>
        <v>0</v>
      </c>
      <c r="Q19" s="131">
        <f>'Stasiun Pontianak Kota'!R61</f>
        <v>45</v>
      </c>
      <c r="R19" s="131">
        <f>'Stasiun Pontianak Kota'!S61</f>
        <v>0</v>
      </c>
      <c r="S19" s="131">
        <f>'Stasiun Pontianak Kota'!T61</f>
        <v>6</v>
      </c>
      <c r="T19" s="131">
        <f>'Stasiun Pontianak Kota'!U61</f>
        <v>0</v>
      </c>
      <c r="U19" s="131">
        <f>'Stasiun Pontianak Kota'!V61</f>
        <v>0</v>
      </c>
      <c r="V19" s="131">
        <f>'Stasiun Pontianak Kota'!W61</f>
        <v>5</v>
      </c>
      <c r="W19" s="131">
        <f>'Stasiun Pontianak Kota'!X61</f>
        <v>0</v>
      </c>
      <c r="X19" s="131">
        <f>'Stasiun Pontianak Kota'!Y61</f>
        <v>0</v>
      </c>
      <c r="Y19" s="131">
        <f>'Stasiun Pontianak Kota'!Z61</f>
        <v>12</v>
      </c>
      <c r="Z19" s="131">
        <f>'Stasiun Pontianak Kota'!AA61</f>
        <v>0</v>
      </c>
      <c r="AA19" s="131">
        <f>'Stasiun Pontianak Kota'!AB61</f>
        <v>0</v>
      </c>
      <c r="AC19" s="130">
        <v>10</v>
      </c>
      <c r="AD19" s="131">
        <f>'Sta. Meteorologi pnk'!B17</f>
        <v>5.5</v>
      </c>
      <c r="AE19" s="131">
        <f>'Sta. Meteorologi pnk'!C17</f>
        <v>20</v>
      </c>
      <c r="AF19" s="131">
        <f>'Sta. Meteorologi pnk'!D17</f>
        <v>0</v>
      </c>
      <c r="AG19" s="131">
        <f>'Sta. Meteorologi pnk'!E17</f>
        <v>6.9</v>
      </c>
      <c r="AH19" s="131">
        <f>'Sta. Meteorologi pnk'!F17</f>
        <v>5.4</v>
      </c>
      <c r="AI19" s="131">
        <f>'Sta. Meteorologi pnk'!G17</f>
        <v>5.4</v>
      </c>
      <c r="AJ19" s="131">
        <f>'Sta. Meteorologi pnk'!H17</f>
        <v>30.9</v>
      </c>
      <c r="AK19" s="131">
        <f>'Sta. Meteorologi pnk'!I17</f>
        <v>4.4000000000000004</v>
      </c>
      <c r="AL19" s="131">
        <f>'Sta. Meteorologi pnk'!J17</f>
        <v>0</v>
      </c>
      <c r="AM19" s="131">
        <f>'Sta. Meteorologi pnk'!K17</f>
        <v>1.7</v>
      </c>
      <c r="AN19" s="131">
        <f>'Sta. Meteorologi pnk'!L17</f>
        <v>7.2</v>
      </c>
      <c r="AO19" s="131">
        <f>'Sta. Meteorologi pnk'!M17</f>
        <v>9</v>
      </c>
      <c r="AQ19" s="130">
        <v>10</v>
      </c>
      <c r="AR19" s="131">
        <f t="shared" si="15"/>
        <v>3.719070854385528</v>
      </c>
      <c r="AS19" s="131">
        <f t="shared" si="16"/>
        <v>28.095132480065775</v>
      </c>
      <c r="AT19" s="131">
        <f t="shared" si="17"/>
        <v>0</v>
      </c>
      <c r="AU19" s="131">
        <f t="shared" si="18"/>
        <v>6.6085752307176309</v>
      </c>
      <c r="AV19" s="131">
        <f t="shared" si="19"/>
        <v>3.651451384305791</v>
      </c>
      <c r="AW19" s="131">
        <f t="shared" si="20"/>
        <v>3.651451384305791</v>
      </c>
      <c r="AX19" s="131">
        <f t="shared" si="21"/>
        <v>22.513442750651848</v>
      </c>
      <c r="AY19" s="131">
        <f t="shared" si="22"/>
        <v>2.9752566835084227</v>
      </c>
      <c r="AZ19" s="131">
        <f t="shared" si="23"/>
        <v>0</v>
      </c>
      <c r="BA19" s="131">
        <f t="shared" si="24"/>
        <v>5.0351945817871009</v>
      </c>
      <c r="BB19" s="131">
        <f t="shared" si="25"/>
        <v>4.8686018457410549</v>
      </c>
      <c r="BC19" s="131">
        <f t="shared" si="26"/>
        <v>6.0857523071763184</v>
      </c>
      <c r="BE19" s="130">
        <v>10</v>
      </c>
      <c r="BF19" s="131">
        <f t="shared" si="38"/>
        <v>3.4796368852608714</v>
      </c>
      <c r="BG19" s="131">
        <f t="shared" si="27"/>
        <v>29.183468703359676</v>
      </c>
      <c r="BH19" s="131">
        <f t="shared" si="28"/>
        <v>0</v>
      </c>
      <c r="BI19" s="131">
        <f t="shared" si="29"/>
        <v>6.5693951266790513</v>
      </c>
      <c r="BJ19" s="131">
        <f t="shared" si="30"/>
        <v>3.4163707600743098</v>
      </c>
      <c r="BK19" s="131">
        <f t="shared" si="31"/>
        <v>3.4163707600743098</v>
      </c>
      <c r="BL19" s="131">
        <f t="shared" si="32"/>
        <v>21.385926423319376</v>
      </c>
      <c r="BM19" s="131">
        <f t="shared" si="33"/>
        <v>2.7837095082086973</v>
      </c>
      <c r="BN19" s="131">
        <f t="shared" si="34"/>
        <v>0</v>
      </c>
      <c r="BO19" s="131">
        <f t="shared" si="35"/>
        <v>5.4835891057841861</v>
      </c>
      <c r="BP19" s="131">
        <f t="shared" si="36"/>
        <v>4.5551610134324143</v>
      </c>
      <c r="BQ19" s="131">
        <f t="shared" si="37"/>
        <v>5.693951266790517</v>
      </c>
    </row>
    <row r="20" spans="1:69">
      <c r="A20" s="130">
        <v>11</v>
      </c>
      <c r="B20" s="131">
        <f t="shared" si="3"/>
        <v>4.7001613087188172</v>
      </c>
      <c r="C20" s="131">
        <f t="shared" si="4"/>
        <v>8.6858064621250382</v>
      </c>
      <c r="D20" s="131">
        <f t="shared" si="5"/>
        <v>0</v>
      </c>
      <c r="E20" s="131">
        <f t="shared" si="6"/>
        <v>16.114838772750232</v>
      </c>
      <c r="F20" s="131">
        <f t="shared" si="7"/>
        <v>5.967145161553125</v>
      </c>
      <c r="G20" s="131">
        <f t="shared" si="8"/>
        <v>16.720887035015398</v>
      </c>
      <c r="H20" s="131">
        <f t="shared" si="9"/>
        <v>3.3572580776562981</v>
      </c>
      <c r="I20" s="131">
        <f t="shared" si="10"/>
        <v>2.6858064621250386</v>
      </c>
      <c r="J20" s="131">
        <f t="shared" si="11"/>
        <v>0</v>
      </c>
      <c r="K20" s="131">
        <f t="shared" si="12"/>
        <v>16.786290388281493</v>
      </c>
      <c r="L20" s="131">
        <f t="shared" si="13"/>
        <v>8.5751128346341225</v>
      </c>
      <c r="M20" s="131">
        <f t="shared" si="14"/>
        <v>9.2424193049060666</v>
      </c>
      <c r="O20" s="130">
        <v>11</v>
      </c>
      <c r="P20" s="131">
        <f>'Stasiun Pontianak Kota'!Q62</f>
        <v>7</v>
      </c>
      <c r="Q20" s="131">
        <f>'Stasiun Pontianak Kota'!R62</f>
        <v>10</v>
      </c>
      <c r="R20" s="131">
        <f>'Stasiun Pontianak Kota'!S62</f>
        <v>0</v>
      </c>
      <c r="S20" s="131">
        <f>'Stasiun Pontianak Kota'!T62</f>
        <v>24</v>
      </c>
      <c r="T20" s="131">
        <f>'Stasiun Pontianak Kota'!U62</f>
        <v>6</v>
      </c>
      <c r="U20" s="131">
        <f>'Stasiun Pontianak Kota'!V62</f>
        <v>9</v>
      </c>
      <c r="V20" s="131">
        <f>'Stasiun Pontianak Kota'!W62</f>
        <v>5</v>
      </c>
      <c r="W20" s="131">
        <f>'Stasiun Pontianak Kota'!X62</f>
        <v>4</v>
      </c>
      <c r="X20" s="131">
        <f>'Stasiun Pontianak Kota'!Y62</f>
        <v>0</v>
      </c>
      <c r="Y20" s="131">
        <f>'Stasiun Pontianak Kota'!Z62</f>
        <v>25</v>
      </c>
      <c r="Z20" s="131">
        <f>'Stasiun Pontianak Kota'!AA62</f>
        <v>0</v>
      </c>
      <c r="AA20" s="131">
        <f>'Stasiun Pontianak Kota'!AB62</f>
        <v>3</v>
      </c>
      <c r="AC20" s="130">
        <v>11</v>
      </c>
      <c r="AD20" s="131">
        <f>'Sta. Meteorologi pnk'!B18</f>
        <v>0</v>
      </c>
      <c r="AE20" s="131">
        <f>'Sta. Meteorologi pnk'!C18</f>
        <v>6</v>
      </c>
      <c r="AF20" s="131">
        <f>'Sta. Meteorologi pnk'!D18</f>
        <v>0</v>
      </c>
      <c r="AG20" s="131">
        <f>'Sta. Meteorologi pnk'!E18</f>
        <v>0</v>
      </c>
      <c r="AH20" s="131">
        <f>'Sta. Meteorologi pnk'!F18</f>
        <v>5.9</v>
      </c>
      <c r="AI20" s="131">
        <f>'Sta. Meteorologi pnk'!G18</f>
        <v>32.5</v>
      </c>
      <c r="AJ20" s="131">
        <f>'Sta. Meteorologi pnk'!H18</f>
        <v>0</v>
      </c>
      <c r="AK20" s="131">
        <f>'Sta. Meteorologi pnk'!I18</f>
        <v>0</v>
      </c>
      <c r="AL20" s="131">
        <f>'Sta. Meteorologi pnk'!J18</f>
        <v>0</v>
      </c>
      <c r="AM20" s="131">
        <f>'Sta. Meteorologi pnk'!K18</f>
        <v>0</v>
      </c>
      <c r="AN20" s="131">
        <f>'Sta. Meteorologi pnk'!L18</f>
        <v>26.1</v>
      </c>
      <c r="AO20" s="131">
        <f>'Sta. Meteorologi pnk'!M18</f>
        <v>22</v>
      </c>
      <c r="AQ20" s="130">
        <v>11</v>
      </c>
      <c r="AR20" s="131">
        <f t="shared" si="15"/>
        <v>2.2666370944184182</v>
      </c>
      <c r="AS20" s="131">
        <f t="shared" si="16"/>
        <v>7.2952211968105258</v>
      </c>
      <c r="AT20" s="131">
        <f t="shared" si="17"/>
        <v>0</v>
      </c>
      <c r="AU20" s="131">
        <f t="shared" si="18"/>
        <v>7.7713271808631479</v>
      </c>
      <c r="AV20" s="131">
        <f t="shared" si="19"/>
        <v>5.9323805299202634</v>
      </c>
      <c r="AW20" s="131">
        <f t="shared" si="20"/>
        <v>24.890575468738163</v>
      </c>
      <c r="AX20" s="131">
        <f t="shared" si="21"/>
        <v>1.619026496013156</v>
      </c>
      <c r="AY20" s="131">
        <f t="shared" si="22"/>
        <v>1.2952211968105249</v>
      </c>
      <c r="AZ20" s="131">
        <f t="shared" si="23"/>
        <v>0</v>
      </c>
      <c r="BA20" s="131">
        <f t="shared" si="24"/>
        <v>8.0951324800657805</v>
      </c>
      <c r="BB20" s="131">
        <f t="shared" si="25"/>
        <v>17.648681690811326</v>
      </c>
      <c r="BC20" s="131">
        <f t="shared" si="26"/>
        <v>15.847699315150004</v>
      </c>
      <c r="BE20" s="130">
        <v>11</v>
      </c>
      <c r="BF20" s="131">
        <f t="shared" si="38"/>
        <v>2.5713712369407089</v>
      </c>
      <c r="BG20" s="131">
        <f t="shared" si="27"/>
        <v>7.4693549925375473</v>
      </c>
      <c r="BH20" s="131">
        <f t="shared" si="28"/>
        <v>0</v>
      </c>
      <c r="BI20" s="131">
        <f t="shared" si="29"/>
        <v>8.8161299552252874</v>
      </c>
      <c r="BJ20" s="131">
        <f t="shared" si="30"/>
        <v>5.936733874813438</v>
      </c>
      <c r="BK20" s="131">
        <f t="shared" si="31"/>
        <v>23.867539418841908</v>
      </c>
      <c r="BL20" s="131">
        <f t="shared" si="32"/>
        <v>1.8366937406719348</v>
      </c>
      <c r="BM20" s="131">
        <f t="shared" si="33"/>
        <v>1.469354992537548</v>
      </c>
      <c r="BN20" s="131">
        <f t="shared" si="34"/>
        <v>0</v>
      </c>
      <c r="BO20" s="131">
        <f t="shared" si="35"/>
        <v>9.1834687033596758</v>
      </c>
      <c r="BP20" s="131">
        <f t="shared" si="36"/>
        <v>16.512458673692503</v>
      </c>
      <c r="BQ20" s="131">
        <f t="shared" si="37"/>
        <v>15.020563785446646</v>
      </c>
    </row>
    <row r="21" spans="1:69">
      <c r="A21" s="130">
        <v>12</v>
      </c>
      <c r="B21" s="131">
        <f t="shared" si="3"/>
        <v>0</v>
      </c>
      <c r="C21" s="131">
        <f t="shared" si="4"/>
        <v>5.3716129242500772</v>
      </c>
      <c r="D21" s="131">
        <f t="shared" si="5"/>
        <v>0</v>
      </c>
      <c r="E21" s="131">
        <f t="shared" si="6"/>
        <v>0</v>
      </c>
      <c r="F21" s="131">
        <f t="shared" si="7"/>
        <v>12.848161243543577</v>
      </c>
      <c r="G21" s="131">
        <f t="shared" si="8"/>
        <v>24.237967836019095</v>
      </c>
      <c r="H21" s="131">
        <f t="shared" si="9"/>
        <v>2.6940967526436701</v>
      </c>
      <c r="I21" s="131">
        <f t="shared" si="10"/>
        <v>0</v>
      </c>
      <c r="J21" s="131">
        <f t="shared" si="11"/>
        <v>0</v>
      </c>
      <c r="K21" s="131">
        <f t="shared" si="12"/>
        <v>0</v>
      </c>
      <c r="L21" s="131">
        <f t="shared" si="13"/>
        <v>17.987564564222051</v>
      </c>
      <c r="M21" s="131">
        <f t="shared" si="14"/>
        <v>15.443387157218973</v>
      </c>
      <c r="O21" s="130">
        <v>12</v>
      </c>
      <c r="P21" s="131">
        <f>'Stasiun Pontianak Kota'!Q63</f>
        <v>0</v>
      </c>
      <c r="Q21" s="131">
        <f>'Stasiun Pontianak Kota'!R63</f>
        <v>8</v>
      </c>
      <c r="R21" s="131">
        <f>'Stasiun Pontianak Kota'!S63</f>
        <v>0</v>
      </c>
      <c r="S21" s="131">
        <f>'Stasiun Pontianak Kota'!T63</f>
        <v>0</v>
      </c>
      <c r="T21" s="131">
        <f>'Stasiun Pontianak Kota'!U63</f>
        <v>7</v>
      </c>
      <c r="U21" s="131">
        <f>'Stasiun Pontianak Kota'!V63</f>
        <v>36</v>
      </c>
      <c r="V21" s="131">
        <f>'Stasiun Pontianak Kota'!W63</f>
        <v>0</v>
      </c>
      <c r="W21" s="131">
        <f>'Stasiun Pontianak Kota'!X63</f>
        <v>0</v>
      </c>
      <c r="X21" s="131">
        <f>'Stasiun Pontianak Kota'!Y63</f>
        <v>0</v>
      </c>
      <c r="Y21" s="131">
        <f>'Stasiun Pontianak Kota'!Z63</f>
        <v>0</v>
      </c>
      <c r="Z21" s="131">
        <f>'Stasiun Pontianak Kota'!AA63</f>
        <v>24</v>
      </c>
      <c r="AA21" s="131">
        <f>'Stasiun Pontianak Kota'!AB63</f>
        <v>23</v>
      </c>
      <c r="AC21" s="130">
        <v>12</v>
      </c>
      <c r="AD21" s="131">
        <f>'Sta. Meteorologi pnk'!B19</f>
        <v>0</v>
      </c>
      <c r="AE21" s="131">
        <f>'Sta. Meteorologi pnk'!C19</f>
        <v>0</v>
      </c>
      <c r="AF21" s="131">
        <f>'Sta. Meteorologi pnk'!D19</f>
        <v>0</v>
      </c>
      <c r="AG21" s="131">
        <f>'Sta. Meteorologi pnk'!E19</f>
        <v>0</v>
      </c>
      <c r="AH21" s="131">
        <f>'Sta. Meteorologi pnk'!F19</f>
        <v>24.8</v>
      </c>
      <c r="AI21" s="131">
        <f>'Sta. Meteorologi pnk'!G19</f>
        <v>0.2</v>
      </c>
      <c r="AJ21" s="131">
        <f>'Sta. Meteorologi pnk'!H19</f>
        <v>8.1999999999999993</v>
      </c>
      <c r="AK21" s="131">
        <f>'Sta. Meteorologi pnk'!I19</f>
        <v>0</v>
      </c>
      <c r="AL21" s="131">
        <f>'Sta. Meteorologi pnk'!J19</f>
        <v>0</v>
      </c>
      <c r="AM21" s="131">
        <f>'Sta. Meteorologi pnk'!K19</f>
        <v>0</v>
      </c>
      <c r="AN21" s="131">
        <f>'Sta. Meteorologi pnk'!L19</f>
        <v>5.7</v>
      </c>
      <c r="AO21" s="131">
        <f>'Sta. Meteorologi pnk'!M19</f>
        <v>0</v>
      </c>
      <c r="AQ21" s="130">
        <v>12</v>
      </c>
      <c r="AR21" s="131">
        <f t="shared" si="15"/>
        <v>0</v>
      </c>
      <c r="AS21" s="131">
        <f t="shared" si="16"/>
        <v>2.5904423936210499</v>
      </c>
      <c r="AT21" s="131">
        <f t="shared" si="17"/>
        <v>0</v>
      </c>
      <c r="AU21" s="131">
        <f t="shared" si="18"/>
        <v>0</v>
      </c>
      <c r="AV21" s="131">
        <f t="shared" si="19"/>
        <v>19.036265674193164</v>
      </c>
      <c r="AW21" s="131">
        <f t="shared" si="20"/>
        <v>11.792229711454196</v>
      </c>
      <c r="AX21" s="131">
        <f t="shared" si="21"/>
        <v>5.5447965465384232</v>
      </c>
      <c r="AY21" s="131">
        <f t="shared" si="22"/>
        <v>0</v>
      </c>
      <c r="AZ21" s="131">
        <f t="shared" si="23"/>
        <v>0</v>
      </c>
      <c r="BA21" s="131">
        <f t="shared" si="24"/>
        <v>0</v>
      </c>
      <c r="BB21" s="131">
        <f t="shared" si="25"/>
        <v>11.625636975408149</v>
      </c>
      <c r="BC21" s="131">
        <f t="shared" si="26"/>
        <v>7.4475218816605171</v>
      </c>
      <c r="BE21" s="130">
        <v>12</v>
      </c>
      <c r="BF21" s="131">
        <f t="shared" si="38"/>
        <v>0</v>
      </c>
      <c r="BG21" s="131">
        <f t="shared" si="27"/>
        <v>2.938709985075096</v>
      </c>
      <c r="BH21" s="131">
        <f t="shared" si="28"/>
        <v>0</v>
      </c>
      <c r="BI21" s="131">
        <f t="shared" si="29"/>
        <v>0</v>
      </c>
      <c r="BJ21" s="131">
        <f t="shared" si="30"/>
        <v>18.26137028320791</v>
      </c>
      <c r="BK21" s="131">
        <f t="shared" si="31"/>
        <v>13.350727183211054</v>
      </c>
      <c r="BL21" s="131">
        <f t="shared" si="32"/>
        <v>5.1878222652980259</v>
      </c>
      <c r="BM21" s="131">
        <f t="shared" si="33"/>
        <v>0</v>
      </c>
      <c r="BN21" s="131">
        <f t="shared" si="34"/>
        <v>0</v>
      </c>
      <c r="BO21" s="131">
        <f t="shared" si="35"/>
        <v>0</v>
      </c>
      <c r="BP21" s="131">
        <f t="shared" si="36"/>
        <v>12.42229909085928</v>
      </c>
      <c r="BQ21" s="131">
        <f t="shared" si="37"/>
        <v>8.4487912070909008</v>
      </c>
    </row>
    <row r="22" spans="1:69">
      <c r="A22" s="130">
        <v>13</v>
      </c>
      <c r="B22" s="131">
        <f t="shared" si="3"/>
        <v>0</v>
      </c>
      <c r="C22" s="131">
        <f t="shared" si="4"/>
        <v>3.0226451371124101</v>
      </c>
      <c r="D22" s="131">
        <f t="shared" si="5"/>
        <v>0</v>
      </c>
      <c r="E22" s="131">
        <f t="shared" si="6"/>
        <v>9.8564515340622078E-2</v>
      </c>
      <c r="F22" s="131">
        <f t="shared" si="7"/>
        <v>14.985645153406219</v>
      </c>
      <c r="G22" s="131">
        <f t="shared" si="8"/>
        <v>0</v>
      </c>
      <c r="H22" s="131">
        <f t="shared" si="9"/>
        <v>39.072386880224194</v>
      </c>
      <c r="I22" s="131">
        <f t="shared" si="10"/>
        <v>2.0143548465937791</v>
      </c>
      <c r="J22" s="131">
        <f t="shared" si="11"/>
        <v>1.6427419223437014</v>
      </c>
      <c r="K22" s="131">
        <f t="shared" si="12"/>
        <v>0</v>
      </c>
      <c r="L22" s="131">
        <f t="shared" si="13"/>
        <v>3.3470483763218351</v>
      </c>
      <c r="M22" s="131">
        <f t="shared" si="14"/>
        <v>4.6653870594561111</v>
      </c>
      <c r="O22" s="130">
        <v>13</v>
      </c>
      <c r="P22" s="131">
        <f>'Stasiun Pontianak Kota'!Q64</f>
        <v>0</v>
      </c>
      <c r="Q22" s="131">
        <f>'Stasiun Pontianak Kota'!R64</f>
        <v>0</v>
      </c>
      <c r="R22" s="131">
        <f>'Stasiun Pontianak Kota'!S64</f>
        <v>0</v>
      </c>
      <c r="S22" s="131">
        <f>'Stasiun Pontianak Kota'!T64</f>
        <v>0</v>
      </c>
      <c r="T22" s="131">
        <f>'Stasiun Pontianak Kota'!U64</f>
        <v>14</v>
      </c>
      <c r="U22" s="131">
        <f>'Stasiun Pontianak Kota'!V64</f>
        <v>0</v>
      </c>
      <c r="V22" s="131">
        <f>'Stasiun Pontianak Kota'!W64</f>
        <v>12</v>
      </c>
      <c r="W22" s="131">
        <f>'Stasiun Pontianak Kota'!X64</f>
        <v>3</v>
      </c>
      <c r="X22" s="131">
        <f>'Stasiun Pontianak Kota'!Y64</f>
        <v>0</v>
      </c>
      <c r="Y22" s="131">
        <f>'Stasiun Pontianak Kota'!Z64</f>
        <v>0</v>
      </c>
      <c r="Z22" s="131">
        <f>'Stasiun Pontianak Kota'!AA64</f>
        <v>2</v>
      </c>
      <c r="AA22" s="131">
        <f>'Stasiun Pontianak Kota'!AB64</f>
        <v>0</v>
      </c>
      <c r="AC22" s="130">
        <v>13</v>
      </c>
      <c r="AD22" s="131">
        <f>'Sta. Meteorologi pnk'!B20</f>
        <v>0</v>
      </c>
      <c r="AE22" s="131">
        <f>'Sta. Meteorologi pnk'!C20</f>
        <v>9.1999999999999993</v>
      </c>
      <c r="AF22" s="131">
        <f>'Sta. Meteorologi pnk'!D20</f>
        <v>0</v>
      </c>
      <c r="AG22" s="131">
        <f>'Sta. Meteorologi pnk'!E20</f>
        <v>0.3</v>
      </c>
      <c r="AH22" s="131">
        <f>'Sta. Meteorologi pnk'!F20</f>
        <v>17</v>
      </c>
      <c r="AI22" s="131">
        <f>'Sta. Meteorologi pnk'!G20</f>
        <v>0</v>
      </c>
      <c r="AJ22" s="131">
        <f>'Sta. Meteorologi pnk'!H20</f>
        <v>94.4</v>
      </c>
      <c r="AK22" s="131">
        <f>'Sta. Meteorologi pnk'!I20</f>
        <v>0</v>
      </c>
      <c r="AL22" s="131">
        <f>'Sta. Meteorologi pnk'!J20</f>
        <v>5</v>
      </c>
      <c r="AM22" s="131">
        <f>'Sta. Meteorologi pnk'!K20</f>
        <v>0</v>
      </c>
      <c r="AN22" s="131">
        <f>'Sta. Meteorologi pnk'!L20</f>
        <v>6.1</v>
      </c>
      <c r="AO22" s="131">
        <f>'Sta. Meteorologi pnk'!M20</f>
        <v>14.2</v>
      </c>
      <c r="AQ22" s="130">
        <v>13</v>
      </c>
      <c r="AR22" s="131">
        <f t="shared" si="15"/>
        <v>0</v>
      </c>
      <c r="AS22" s="131">
        <f t="shared" si="16"/>
        <v>6.2209912473357925</v>
      </c>
      <c r="AT22" s="131">
        <f t="shared" si="17"/>
        <v>0</v>
      </c>
      <c r="AU22" s="131">
        <f t="shared" si="18"/>
        <v>0.20285841023921061</v>
      </c>
      <c r="AV22" s="131">
        <f t="shared" si="19"/>
        <v>16.028584102392102</v>
      </c>
      <c r="AW22" s="131">
        <f t="shared" si="20"/>
        <v>0</v>
      </c>
      <c r="AX22" s="131">
        <f t="shared" si="21"/>
        <v>67.718443345703193</v>
      </c>
      <c r="AY22" s="131">
        <f t="shared" si="22"/>
        <v>0.97141589760789349</v>
      </c>
      <c r="AZ22" s="131">
        <f t="shared" si="23"/>
        <v>3.3809735039868438</v>
      </c>
      <c r="BA22" s="131">
        <f t="shared" si="24"/>
        <v>0</v>
      </c>
      <c r="BB22" s="131">
        <f t="shared" si="25"/>
        <v>4.7723982732692116</v>
      </c>
      <c r="BC22" s="131">
        <f t="shared" si="26"/>
        <v>9.6019647513226367</v>
      </c>
      <c r="BE22" s="130">
        <v>13</v>
      </c>
      <c r="BF22" s="131">
        <f t="shared" si="38"/>
        <v>0</v>
      </c>
      <c r="BG22" s="131">
        <f t="shared" si="27"/>
        <v>5.8204835171636402</v>
      </c>
      <c r="BH22" s="131">
        <f t="shared" si="28"/>
        <v>0</v>
      </c>
      <c r="BI22" s="131">
        <f t="shared" si="29"/>
        <v>0.18979837555968387</v>
      </c>
      <c r="BJ22" s="131">
        <f t="shared" si="30"/>
        <v>15.897983755596838</v>
      </c>
      <c r="BK22" s="131">
        <f t="shared" si="31"/>
        <v>0</v>
      </c>
      <c r="BL22" s="131">
        <f t="shared" si="32"/>
        <v>64.131287153726518</v>
      </c>
      <c r="BM22" s="131">
        <f t="shared" si="33"/>
        <v>1.1020162444031609</v>
      </c>
      <c r="BN22" s="131">
        <f t="shared" si="34"/>
        <v>3.1633062593280652</v>
      </c>
      <c r="BO22" s="131">
        <f t="shared" si="35"/>
        <v>0</v>
      </c>
      <c r="BP22" s="131">
        <f t="shared" si="36"/>
        <v>4.593911132649013</v>
      </c>
      <c r="BQ22" s="131">
        <f t="shared" si="37"/>
        <v>8.9837897764917045</v>
      </c>
    </row>
    <row r="23" spans="1:69">
      <c r="A23" s="130">
        <v>14</v>
      </c>
      <c r="B23" s="131">
        <f t="shared" si="3"/>
        <v>0</v>
      </c>
      <c r="C23" s="131">
        <f t="shared" si="4"/>
        <v>12.069854822153063</v>
      </c>
      <c r="D23" s="131">
        <f t="shared" si="5"/>
        <v>0</v>
      </c>
      <c r="E23" s="131">
        <f t="shared" si="6"/>
        <v>9.0698548221530633</v>
      </c>
      <c r="F23" s="131">
        <f t="shared" si="7"/>
        <v>6.0430645397813363</v>
      </c>
      <c r="G23" s="131">
        <f t="shared" si="8"/>
        <v>0</v>
      </c>
      <c r="H23" s="131">
        <f t="shared" si="9"/>
        <v>30.199661088752382</v>
      </c>
      <c r="I23" s="131">
        <f t="shared" si="10"/>
        <v>0</v>
      </c>
      <c r="J23" s="131">
        <f t="shared" si="11"/>
        <v>33.450064360549426</v>
      </c>
      <c r="K23" s="131">
        <f t="shared" si="12"/>
        <v>0.22998386912811819</v>
      </c>
      <c r="L23" s="131">
        <f t="shared" si="13"/>
        <v>0</v>
      </c>
      <c r="M23" s="131">
        <f t="shared" si="14"/>
        <v>15.845935509100093</v>
      </c>
      <c r="O23" s="130">
        <v>14</v>
      </c>
      <c r="P23" s="131">
        <f>'Stasiun Pontianak Kota'!Q65</f>
        <v>0</v>
      </c>
      <c r="Q23" s="131">
        <f>'Stasiun Pontianak Kota'!R65</f>
        <v>10</v>
      </c>
      <c r="R23" s="131">
        <f>'Stasiun Pontianak Kota'!S65</f>
        <v>0</v>
      </c>
      <c r="S23" s="131">
        <f>'Stasiun Pontianak Kota'!T65</f>
        <v>7</v>
      </c>
      <c r="T23" s="131">
        <f>'Stasiun Pontianak Kota'!U65</f>
        <v>9</v>
      </c>
      <c r="U23" s="131">
        <f>'Stasiun Pontianak Kota'!V65</f>
        <v>0</v>
      </c>
      <c r="V23" s="131">
        <f>'Stasiun Pontianak Kota'!W65</f>
        <v>5</v>
      </c>
      <c r="W23" s="131">
        <f>'Stasiun Pontianak Kota'!X65</f>
        <v>0</v>
      </c>
      <c r="X23" s="131">
        <f>'Stasiun Pontianak Kota'!Y65</f>
        <v>14</v>
      </c>
      <c r="Y23" s="131">
        <f>'Stasiun Pontianak Kota'!Z65</f>
        <v>0</v>
      </c>
      <c r="Z23" s="131">
        <f>'Stasiun Pontianak Kota'!AA65</f>
        <v>0</v>
      </c>
      <c r="AA23" s="131">
        <f>'Stasiun Pontianak Kota'!AB65</f>
        <v>19</v>
      </c>
      <c r="AC23" s="130">
        <v>14</v>
      </c>
      <c r="AD23" s="131">
        <f>'Sta. Meteorologi pnk'!B21</f>
        <v>0</v>
      </c>
      <c r="AE23" s="131">
        <f>'Sta. Meteorologi pnk'!C21</f>
        <v>16.3</v>
      </c>
      <c r="AF23" s="131">
        <f>'Sta. Meteorologi pnk'!D21</f>
        <v>0</v>
      </c>
      <c r="AG23" s="131">
        <f>'Sta. Meteorologi pnk'!E21</f>
        <v>13.3</v>
      </c>
      <c r="AH23" s="131">
        <f>'Sta. Meteorologi pnk'!F21</f>
        <v>0</v>
      </c>
      <c r="AI23" s="131">
        <f>'Sta. Meteorologi pnk'!G21</f>
        <v>0</v>
      </c>
      <c r="AJ23" s="131">
        <f>'Sta. Meteorologi pnk'!H21</f>
        <v>81.7</v>
      </c>
      <c r="AK23" s="131">
        <f>'Sta. Meteorologi pnk'!I21</f>
        <v>0</v>
      </c>
      <c r="AL23" s="131">
        <f>'Sta. Meteorologi pnk'!J21</f>
        <v>73.2</v>
      </c>
      <c r="AM23" s="131">
        <f>'Sta. Meteorologi pnk'!K21</f>
        <v>0.7</v>
      </c>
      <c r="AN23" s="131">
        <f>'Sta. Meteorologi pnk'!L21</f>
        <v>0</v>
      </c>
      <c r="AO23" s="131">
        <f>'Sta. Meteorologi pnk'!M21</f>
        <v>9.4</v>
      </c>
      <c r="AQ23" s="130">
        <v>14</v>
      </c>
      <c r="AR23" s="131">
        <f t="shared" si="15"/>
        <v>0</v>
      </c>
      <c r="AS23" s="131">
        <f t="shared" si="16"/>
        <v>14.260026615023421</v>
      </c>
      <c r="AT23" s="131">
        <f t="shared" si="17"/>
        <v>0</v>
      </c>
      <c r="AU23" s="131">
        <f t="shared" si="18"/>
        <v>11.260026615023424</v>
      </c>
      <c r="AV23" s="131">
        <f t="shared" si="19"/>
        <v>2.9142476928236807</v>
      </c>
      <c r="AW23" s="131">
        <f t="shared" si="20"/>
        <v>0</v>
      </c>
      <c r="AX23" s="131">
        <f t="shared" si="21"/>
        <v>56.864133551158183</v>
      </c>
      <c r="AY23" s="131">
        <f t="shared" si="22"/>
        <v>0</v>
      </c>
      <c r="AZ23" s="131">
        <f t="shared" si="23"/>
        <v>54.030726287204224</v>
      </c>
      <c r="BA23" s="131">
        <f t="shared" si="24"/>
        <v>0.47333629055815807</v>
      </c>
      <c r="BB23" s="131">
        <f t="shared" si="25"/>
        <v>0</v>
      </c>
      <c r="BC23" s="131">
        <f t="shared" si="26"/>
        <v>12.50853087234526</v>
      </c>
      <c r="BE23" s="130">
        <v>14</v>
      </c>
      <c r="BF23" s="131">
        <f t="shared" si="38"/>
        <v>0</v>
      </c>
      <c r="BG23" s="131">
        <f t="shared" si="27"/>
        <v>13.985765886753363</v>
      </c>
      <c r="BH23" s="131">
        <f t="shared" si="28"/>
        <v>0</v>
      </c>
      <c r="BI23" s="131">
        <f t="shared" si="29"/>
        <v>10.985765886753363</v>
      </c>
      <c r="BJ23" s="131">
        <f t="shared" si="30"/>
        <v>3.3060487332094826</v>
      </c>
      <c r="BK23" s="131">
        <f t="shared" si="31"/>
        <v>0</v>
      </c>
      <c r="BL23" s="131">
        <f t="shared" si="32"/>
        <v>53.52511801809252</v>
      </c>
      <c r="BM23" s="131">
        <f t="shared" si="33"/>
        <v>0</v>
      </c>
      <c r="BN23" s="131">
        <f t="shared" si="34"/>
        <v>51.453546110444286</v>
      </c>
      <c r="BO23" s="131">
        <f t="shared" si="35"/>
        <v>0.44286287630592908</v>
      </c>
      <c r="BP23" s="131">
        <f t="shared" si="36"/>
        <v>0</v>
      </c>
      <c r="BQ23" s="131">
        <f t="shared" si="37"/>
        <v>12.926451982090116</v>
      </c>
    </row>
    <row r="24" spans="1:69">
      <c r="A24" s="130">
        <v>15</v>
      </c>
      <c r="B24" s="131">
        <f t="shared" si="3"/>
        <v>0</v>
      </c>
      <c r="C24" s="131">
        <f t="shared" si="4"/>
        <v>1.4784677301093312</v>
      </c>
      <c r="D24" s="131">
        <f t="shared" si="5"/>
        <v>0</v>
      </c>
      <c r="E24" s="131">
        <f t="shared" si="6"/>
        <v>8.7288710019063753</v>
      </c>
      <c r="F24" s="131">
        <f t="shared" si="7"/>
        <v>0</v>
      </c>
      <c r="G24" s="131">
        <f t="shared" si="8"/>
        <v>0</v>
      </c>
      <c r="H24" s="131">
        <f t="shared" si="9"/>
        <v>30.215322698906686</v>
      </c>
      <c r="I24" s="131">
        <f t="shared" si="10"/>
        <v>0</v>
      </c>
      <c r="J24" s="131">
        <f t="shared" si="11"/>
        <v>34.215322698906682</v>
      </c>
      <c r="K24" s="131">
        <f t="shared" si="12"/>
        <v>4.7001613087188172</v>
      </c>
      <c r="L24" s="131">
        <f t="shared" si="13"/>
        <v>0</v>
      </c>
      <c r="M24" s="131">
        <f t="shared" si="14"/>
        <v>13.429032310625193</v>
      </c>
      <c r="O24" s="130">
        <v>15</v>
      </c>
      <c r="P24" s="131">
        <f>'Stasiun Pontianak Kota'!Q66</f>
        <v>0</v>
      </c>
      <c r="Q24" s="131">
        <f>'Stasiun Pontianak Kota'!R66</f>
        <v>0</v>
      </c>
      <c r="R24" s="131">
        <f>'Stasiun Pontianak Kota'!S66</f>
        <v>0</v>
      </c>
      <c r="S24" s="131">
        <f>'Stasiun Pontianak Kota'!T66</f>
        <v>13</v>
      </c>
      <c r="T24" s="131">
        <f>'Stasiun Pontianak Kota'!U66</f>
        <v>0</v>
      </c>
      <c r="U24" s="131">
        <f>'Stasiun Pontianak Kota'!V66</f>
        <v>0</v>
      </c>
      <c r="V24" s="131">
        <f>'Stasiun Pontianak Kota'!W66</f>
        <v>45</v>
      </c>
      <c r="W24" s="131">
        <f>'Stasiun Pontianak Kota'!X66</f>
        <v>0</v>
      </c>
      <c r="X24" s="131">
        <f>'Stasiun Pontianak Kota'!Y66</f>
        <v>49</v>
      </c>
      <c r="Y24" s="131">
        <f>'Stasiun Pontianak Kota'!Z66</f>
        <v>7</v>
      </c>
      <c r="Z24" s="131">
        <f>'Stasiun Pontianak Kota'!AA66</f>
        <v>0</v>
      </c>
      <c r="AA24" s="131">
        <f>'Stasiun Pontianak Kota'!AB66</f>
        <v>20</v>
      </c>
      <c r="AC24" s="130">
        <v>15</v>
      </c>
      <c r="AD24" s="131">
        <f>'Sta. Meteorologi pnk'!B22</f>
        <v>0</v>
      </c>
      <c r="AE24" s="131">
        <f>'Sta. Meteorologi pnk'!C22</f>
        <v>4.5</v>
      </c>
      <c r="AF24" s="131">
        <f>'Sta. Meteorologi pnk'!D22</f>
        <v>0</v>
      </c>
      <c r="AG24" s="131">
        <f>'Sta. Meteorologi pnk'!E22</f>
        <v>0</v>
      </c>
      <c r="AH24" s="131">
        <f>'Sta. Meteorologi pnk'!F22</f>
        <v>0</v>
      </c>
      <c r="AI24" s="131">
        <f>'Sta. Meteorologi pnk'!G22</f>
        <v>0</v>
      </c>
      <c r="AJ24" s="131">
        <f>'Sta. Meteorologi pnk'!H22</f>
        <v>0</v>
      </c>
      <c r="AK24" s="131">
        <f>'Sta. Meteorologi pnk'!I22</f>
        <v>0</v>
      </c>
      <c r="AL24" s="131">
        <f>'Sta. Meteorologi pnk'!J22</f>
        <v>4</v>
      </c>
      <c r="AM24" s="131">
        <f>'Sta. Meteorologi pnk'!K22</f>
        <v>0</v>
      </c>
      <c r="AN24" s="131">
        <f>'Sta. Meteorologi pnk'!L22</f>
        <v>0</v>
      </c>
      <c r="AO24" s="131">
        <f>'Sta. Meteorologi pnk'!M22</f>
        <v>0</v>
      </c>
      <c r="AQ24" s="130">
        <v>15</v>
      </c>
      <c r="AR24" s="131">
        <f t="shared" si="15"/>
        <v>0</v>
      </c>
      <c r="AS24" s="131">
        <f t="shared" si="16"/>
        <v>3.0428761535881592</v>
      </c>
      <c r="AT24" s="131">
        <f t="shared" si="17"/>
        <v>0</v>
      </c>
      <c r="AU24" s="131">
        <f t="shared" si="18"/>
        <v>4.2094688896342056</v>
      </c>
      <c r="AV24" s="131">
        <f t="shared" si="19"/>
        <v>0</v>
      </c>
      <c r="AW24" s="131">
        <f t="shared" si="20"/>
        <v>0</v>
      </c>
      <c r="AX24" s="131">
        <f t="shared" si="21"/>
        <v>14.571238464118403</v>
      </c>
      <c r="AY24" s="131">
        <f t="shared" si="22"/>
        <v>0</v>
      </c>
      <c r="AZ24" s="131">
        <f t="shared" si="23"/>
        <v>18.571238464118402</v>
      </c>
      <c r="BA24" s="131">
        <f t="shared" si="24"/>
        <v>2.2666370944184182</v>
      </c>
      <c r="BB24" s="131">
        <f t="shared" si="25"/>
        <v>0</v>
      </c>
      <c r="BC24" s="131">
        <f t="shared" si="26"/>
        <v>6.4761059840526238</v>
      </c>
      <c r="BE24" s="130">
        <v>15</v>
      </c>
      <c r="BF24" s="131">
        <f t="shared" si="38"/>
        <v>0</v>
      </c>
      <c r="BG24" s="131">
        <f t="shared" si="27"/>
        <v>2.8469756333952585</v>
      </c>
      <c r="BH24" s="131">
        <f t="shared" si="28"/>
        <v>0</v>
      </c>
      <c r="BI24" s="131">
        <f t="shared" si="29"/>
        <v>4.7754037257470312</v>
      </c>
      <c r="BJ24" s="131">
        <f t="shared" si="30"/>
        <v>0</v>
      </c>
      <c r="BK24" s="131">
        <f t="shared" si="31"/>
        <v>0</v>
      </c>
      <c r="BL24" s="131">
        <f t="shared" si="32"/>
        <v>16.530243666047411</v>
      </c>
      <c r="BM24" s="131">
        <f t="shared" si="33"/>
        <v>0</v>
      </c>
      <c r="BN24" s="131">
        <f t="shared" si="34"/>
        <v>20.530243666047411</v>
      </c>
      <c r="BO24" s="131">
        <f t="shared" si="35"/>
        <v>2.5713712369407089</v>
      </c>
      <c r="BP24" s="131">
        <f t="shared" si="36"/>
        <v>0</v>
      </c>
      <c r="BQ24" s="131">
        <f t="shared" si="37"/>
        <v>7.3467749626877392</v>
      </c>
    </row>
    <row r="25" spans="1:69">
      <c r="A25" s="130">
        <v>16</v>
      </c>
      <c r="B25" s="131">
        <f t="shared" si="3"/>
        <v>0</v>
      </c>
      <c r="C25" s="131">
        <f t="shared" si="4"/>
        <v>12.757580695093933</v>
      </c>
      <c r="D25" s="131">
        <f t="shared" si="5"/>
        <v>26.940354879181399</v>
      </c>
      <c r="E25" s="131">
        <f t="shared" si="6"/>
        <v>0</v>
      </c>
      <c r="F25" s="131">
        <f t="shared" si="7"/>
        <v>0.73716129242500772</v>
      </c>
      <c r="G25" s="131">
        <f t="shared" si="8"/>
        <v>0</v>
      </c>
      <c r="H25" s="131">
        <f t="shared" si="9"/>
        <v>0.26283870757499223</v>
      </c>
      <c r="I25" s="131">
        <f t="shared" si="10"/>
        <v>0</v>
      </c>
      <c r="J25" s="131">
        <f t="shared" si="11"/>
        <v>20.143548465937791</v>
      </c>
      <c r="K25" s="131">
        <f t="shared" si="12"/>
        <v>0</v>
      </c>
      <c r="L25" s="131">
        <f t="shared" si="13"/>
        <v>1.7084515992374496</v>
      </c>
      <c r="M25" s="131">
        <f t="shared" si="14"/>
        <v>0</v>
      </c>
      <c r="O25" s="130">
        <v>16</v>
      </c>
      <c r="P25" s="131">
        <f>'Stasiun Pontianak Kota'!Q67</f>
        <v>0</v>
      </c>
      <c r="Q25" s="131">
        <f>'Stasiun Pontianak Kota'!R67</f>
        <v>19</v>
      </c>
      <c r="R25" s="131">
        <f>'Stasiun Pontianak Kota'!S67</f>
        <v>32</v>
      </c>
      <c r="S25" s="131">
        <f>'Stasiun Pontianak Kota'!T67</f>
        <v>0</v>
      </c>
      <c r="T25" s="131">
        <f>'Stasiun Pontianak Kota'!U67</f>
        <v>1</v>
      </c>
      <c r="U25" s="131">
        <f>'Stasiun Pontianak Kota'!V67</f>
        <v>0</v>
      </c>
      <c r="V25" s="131">
        <f>'Stasiun Pontianak Kota'!W67</f>
        <v>0</v>
      </c>
      <c r="W25" s="131">
        <f>'Stasiun Pontianak Kota'!X67</f>
        <v>0</v>
      </c>
      <c r="X25" s="131">
        <f>'Stasiun Pontianak Kota'!Y67</f>
        <v>30</v>
      </c>
      <c r="Y25" s="131">
        <f>'Stasiun Pontianak Kota'!Z67</f>
        <v>0</v>
      </c>
      <c r="Z25" s="131">
        <f>'Stasiun Pontianak Kota'!AA67</f>
        <v>0</v>
      </c>
      <c r="AA25" s="131">
        <f>'Stasiun Pontianak Kota'!AB67</f>
        <v>0</v>
      </c>
      <c r="AC25" s="130">
        <v>16</v>
      </c>
      <c r="AD25" s="131">
        <f>'Sta. Meteorologi pnk'!B23</f>
        <v>0</v>
      </c>
      <c r="AE25" s="131">
        <f>'Sta. Meteorologi pnk'!C23</f>
        <v>0</v>
      </c>
      <c r="AF25" s="131">
        <f>'Sta. Meteorologi pnk'!D23</f>
        <v>16.600000000000001</v>
      </c>
      <c r="AG25" s="131">
        <f>'Sta. Meteorologi pnk'!E23</f>
        <v>0</v>
      </c>
      <c r="AH25" s="131">
        <f>'Sta. Meteorologi pnk'!F23</f>
        <v>0.2</v>
      </c>
      <c r="AI25" s="131">
        <f>'Sta. Meteorologi pnk'!G23</f>
        <v>0</v>
      </c>
      <c r="AJ25" s="131">
        <f>'Sta. Meteorologi pnk'!H23</f>
        <v>0.8</v>
      </c>
      <c r="AK25" s="131">
        <f>'Sta. Meteorologi pnk'!I23</f>
        <v>0</v>
      </c>
      <c r="AL25" s="131">
        <f>'Sta. Meteorologi pnk'!J23</f>
        <v>0</v>
      </c>
      <c r="AM25" s="131">
        <f>'Sta. Meteorologi pnk'!K23</f>
        <v>0</v>
      </c>
      <c r="AN25" s="131">
        <f>'Sta. Meteorologi pnk'!L23</f>
        <v>5.2</v>
      </c>
      <c r="AO25" s="131">
        <f>'Sta. Meteorologi pnk'!M23</f>
        <v>0</v>
      </c>
      <c r="AQ25" s="130">
        <v>16</v>
      </c>
      <c r="AR25" s="131">
        <f t="shared" si="15"/>
        <v>0</v>
      </c>
      <c r="AS25" s="131">
        <f t="shared" si="16"/>
        <v>6.152300684849993</v>
      </c>
      <c r="AT25" s="131">
        <f t="shared" si="17"/>
        <v>21.586601607720521</v>
      </c>
      <c r="AU25" s="131">
        <f t="shared" si="18"/>
        <v>0</v>
      </c>
      <c r="AV25" s="131">
        <f t="shared" si="19"/>
        <v>0.45904423936210492</v>
      </c>
      <c r="AW25" s="131">
        <f t="shared" si="20"/>
        <v>0</v>
      </c>
      <c r="AX25" s="131">
        <f t="shared" si="21"/>
        <v>0.54095576063789497</v>
      </c>
      <c r="AY25" s="131">
        <f t="shared" si="22"/>
        <v>0</v>
      </c>
      <c r="AZ25" s="131">
        <f t="shared" si="23"/>
        <v>9.7141589760789362</v>
      </c>
      <c r="BA25" s="131">
        <f t="shared" si="24"/>
        <v>0</v>
      </c>
      <c r="BB25" s="131">
        <f t="shared" si="25"/>
        <v>3.5162124441463174</v>
      </c>
      <c r="BC25" s="131">
        <f t="shared" si="26"/>
        <v>0</v>
      </c>
      <c r="BE25" s="130">
        <v>16</v>
      </c>
      <c r="BF25" s="131">
        <f t="shared" si="38"/>
        <v>0</v>
      </c>
      <c r="BG25" s="131">
        <f t="shared" si="27"/>
        <v>6.9794362145533526</v>
      </c>
      <c r="BH25" s="131">
        <f t="shared" si="28"/>
        <v>22.257016721269562</v>
      </c>
      <c r="BI25" s="131">
        <f t="shared" si="29"/>
        <v>0</v>
      </c>
      <c r="BJ25" s="131">
        <f t="shared" si="30"/>
        <v>0.4938709985075096</v>
      </c>
      <c r="BK25" s="131">
        <f t="shared" si="31"/>
        <v>0</v>
      </c>
      <c r="BL25" s="131">
        <f t="shared" si="32"/>
        <v>0.5061290014924904</v>
      </c>
      <c r="BM25" s="131">
        <f t="shared" si="33"/>
        <v>0</v>
      </c>
      <c r="BN25" s="131">
        <f t="shared" si="34"/>
        <v>11.020162444031611</v>
      </c>
      <c r="BO25" s="131">
        <f t="shared" si="35"/>
        <v>0</v>
      </c>
      <c r="BP25" s="131">
        <f t="shared" si="36"/>
        <v>3.289838509701188</v>
      </c>
      <c r="BQ25" s="131">
        <f t="shared" si="37"/>
        <v>0</v>
      </c>
    </row>
    <row r="26" spans="1:69">
      <c r="A26" s="130">
        <v>17</v>
      </c>
      <c r="B26" s="131">
        <f t="shared" si="3"/>
        <v>0</v>
      </c>
      <c r="C26" s="131">
        <f t="shared" si="4"/>
        <v>8.2794192886122548</v>
      </c>
      <c r="D26" s="131">
        <f t="shared" si="5"/>
        <v>2.825516106431166</v>
      </c>
      <c r="E26" s="131">
        <f t="shared" si="6"/>
        <v>0</v>
      </c>
      <c r="F26" s="131">
        <f t="shared" si="7"/>
        <v>0.22998386912811819</v>
      </c>
      <c r="G26" s="131">
        <f t="shared" si="8"/>
        <v>3.7454515829436392</v>
      </c>
      <c r="H26" s="131">
        <f t="shared" si="9"/>
        <v>2.0369999837061896</v>
      </c>
      <c r="I26" s="131">
        <f t="shared" si="10"/>
        <v>0</v>
      </c>
      <c r="J26" s="131">
        <f t="shared" si="11"/>
        <v>7.655177358121648</v>
      </c>
      <c r="K26" s="131">
        <f t="shared" si="12"/>
        <v>9.4293386342528454</v>
      </c>
      <c r="L26" s="131">
        <f t="shared" si="13"/>
        <v>31.105241718671074</v>
      </c>
      <c r="M26" s="131">
        <f t="shared" si="14"/>
        <v>0</v>
      </c>
      <c r="O26" s="130">
        <v>17</v>
      </c>
      <c r="P26" s="131">
        <f>'Stasiun Pontianak Kota'!Q68</f>
        <v>0</v>
      </c>
      <c r="Q26" s="131">
        <f>'Stasiun Pontianak Kota'!R68</f>
        <v>0</v>
      </c>
      <c r="R26" s="131">
        <f>'Stasiun Pontianak Kota'!S68</f>
        <v>0</v>
      </c>
      <c r="S26" s="131">
        <f>'Stasiun Pontianak Kota'!T68</f>
        <v>0</v>
      </c>
      <c r="T26" s="131">
        <f>'Stasiun Pontianak Kota'!U68</f>
        <v>0</v>
      </c>
      <c r="U26" s="131">
        <f>'Stasiun Pontianak Kota'!V68</f>
        <v>0</v>
      </c>
      <c r="V26" s="131">
        <f>'Stasiun Pontianak Kota'!W68</f>
        <v>0</v>
      </c>
      <c r="W26" s="131">
        <f>'Stasiun Pontianak Kota'!X68</f>
        <v>0</v>
      </c>
      <c r="X26" s="131">
        <f>'Stasiun Pontianak Kota'!Y68</f>
        <v>0</v>
      </c>
      <c r="Y26" s="131">
        <f>'Stasiun Pontianak Kota'!Z68</f>
        <v>0</v>
      </c>
      <c r="Z26" s="131">
        <f>'Stasiun Pontianak Kota'!AA68</f>
        <v>4</v>
      </c>
      <c r="AA26" s="131">
        <f>'Stasiun Pontianak Kota'!AB68</f>
        <v>0</v>
      </c>
      <c r="AC26" s="130">
        <v>17</v>
      </c>
      <c r="AD26" s="131">
        <f>'Sta. Meteorologi pnk'!B24</f>
        <v>0</v>
      </c>
      <c r="AE26" s="131">
        <f>'Sta. Meteorologi pnk'!C24</f>
        <v>25.2</v>
      </c>
      <c r="AF26" s="131">
        <f>'Sta. Meteorologi pnk'!D24</f>
        <v>8.6</v>
      </c>
      <c r="AG26" s="131">
        <f>'Sta. Meteorologi pnk'!E24</f>
        <v>0</v>
      </c>
      <c r="AH26" s="131">
        <f>'Sta. Meteorologi pnk'!F24</f>
        <v>0.7</v>
      </c>
      <c r="AI26" s="131">
        <f>'Sta. Meteorologi pnk'!G24</f>
        <v>11.4</v>
      </c>
      <c r="AJ26" s="131">
        <f>'Sta. Meteorologi pnk'!H24</f>
        <v>6.2</v>
      </c>
      <c r="AK26" s="131">
        <f>'Sta. Meteorologi pnk'!I24</f>
        <v>0</v>
      </c>
      <c r="AL26" s="131">
        <f>'Sta. Meteorologi pnk'!J24</f>
        <v>23.3</v>
      </c>
      <c r="AM26" s="131">
        <f>'Sta. Meteorologi pnk'!K24</f>
        <v>28.7</v>
      </c>
      <c r="AN26" s="131">
        <f>'Sta. Meteorologi pnk'!L24</f>
        <v>86.5</v>
      </c>
      <c r="AO26" s="131">
        <f>'Sta. Meteorologi pnk'!M24</f>
        <v>0</v>
      </c>
      <c r="AQ26" s="130">
        <v>17</v>
      </c>
      <c r="AR26" s="131">
        <f t="shared" si="15"/>
        <v>0</v>
      </c>
      <c r="AS26" s="131">
        <f t="shared" si="16"/>
        <v>17.040106460093693</v>
      </c>
      <c r="AT26" s="131">
        <f t="shared" si="17"/>
        <v>5.8152744268573704</v>
      </c>
      <c r="AU26" s="131">
        <f t="shared" si="18"/>
        <v>0</v>
      </c>
      <c r="AV26" s="131">
        <f t="shared" si="19"/>
        <v>0.47333629055815807</v>
      </c>
      <c r="AW26" s="131">
        <f t="shared" si="20"/>
        <v>7.7086195890900031</v>
      </c>
      <c r="AX26" s="131">
        <f t="shared" si="21"/>
        <v>4.1924071449436866</v>
      </c>
      <c r="AY26" s="131">
        <f t="shared" si="22"/>
        <v>0</v>
      </c>
      <c r="AZ26" s="131">
        <f t="shared" si="23"/>
        <v>15.755336528578693</v>
      </c>
      <c r="BA26" s="131">
        <f t="shared" si="24"/>
        <v>19.406787912884482</v>
      </c>
      <c r="BB26" s="131">
        <f t="shared" si="25"/>
        <v>59.78606281578292</v>
      </c>
      <c r="BC26" s="131">
        <f t="shared" si="26"/>
        <v>0</v>
      </c>
      <c r="BE26" s="130">
        <v>17</v>
      </c>
      <c r="BF26" s="131">
        <f t="shared" si="38"/>
        <v>0</v>
      </c>
      <c r="BG26" s="131">
        <f t="shared" si="27"/>
        <v>15.943063547013448</v>
      </c>
      <c r="BH26" s="131">
        <f t="shared" si="28"/>
        <v>5.4408867660442715</v>
      </c>
      <c r="BI26" s="131">
        <f t="shared" si="29"/>
        <v>0</v>
      </c>
      <c r="BJ26" s="131">
        <f t="shared" si="30"/>
        <v>0.44286287630592908</v>
      </c>
      <c r="BK26" s="131">
        <f t="shared" si="31"/>
        <v>7.2123382712679884</v>
      </c>
      <c r="BL26" s="131">
        <f t="shared" si="32"/>
        <v>3.9224997615668005</v>
      </c>
      <c r="BM26" s="131">
        <f t="shared" si="33"/>
        <v>0</v>
      </c>
      <c r="BN26" s="131">
        <f t="shared" si="34"/>
        <v>14.741007168468785</v>
      </c>
      <c r="BO26" s="131">
        <f t="shared" si="35"/>
        <v>18.157377928543092</v>
      </c>
      <c r="BP26" s="131">
        <f t="shared" si="36"/>
        <v>56.19455327891307</v>
      </c>
      <c r="BQ26" s="131">
        <f t="shared" si="37"/>
        <v>0</v>
      </c>
    </row>
    <row r="27" spans="1:69">
      <c r="A27" s="130">
        <v>18</v>
      </c>
      <c r="B27" s="131">
        <f t="shared" si="3"/>
        <v>0</v>
      </c>
      <c r="C27" s="131">
        <f t="shared" si="4"/>
        <v>14.100483926156452</v>
      </c>
      <c r="D27" s="131">
        <f t="shared" si="5"/>
        <v>1.3429032310625193</v>
      </c>
      <c r="E27" s="131">
        <f t="shared" si="6"/>
        <v>2.5298225604093001</v>
      </c>
      <c r="F27" s="131">
        <f t="shared" si="7"/>
        <v>1.314193537874961</v>
      </c>
      <c r="G27" s="131">
        <f t="shared" si="8"/>
        <v>12.086129079562673</v>
      </c>
      <c r="H27" s="131">
        <f t="shared" si="9"/>
        <v>14.771935541687714</v>
      </c>
      <c r="I27" s="131">
        <f t="shared" si="10"/>
        <v>0</v>
      </c>
      <c r="J27" s="131">
        <f t="shared" si="11"/>
        <v>7.3859677708438571</v>
      </c>
      <c r="K27" s="131">
        <f t="shared" si="12"/>
        <v>28.589161357600247</v>
      </c>
      <c r="L27" s="131">
        <f t="shared" si="13"/>
        <v>51.161742134163234</v>
      </c>
      <c r="M27" s="131">
        <f t="shared" si="14"/>
        <v>10.579257979893438</v>
      </c>
      <c r="O27" s="130">
        <v>18</v>
      </c>
      <c r="P27" s="131">
        <f>'Stasiun Pontianak Kota'!Q69</f>
        <v>0</v>
      </c>
      <c r="Q27" s="131">
        <f>'Stasiun Pontianak Kota'!R69</f>
        <v>21</v>
      </c>
      <c r="R27" s="131">
        <f>'Stasiun Pontianak Kota'!S69</f>
        <v>2</v>
      </c>
      <c r="S27" s="131">
        <f>'Stasiun Pontianak Kota'!T69</f>
        <v>0</v>
      </c>
      <c r="T27" s="131">
        <f>'Stasiun Pontianak Kota'!U69</f>
        <v>0</v>
      </c>
      <c r="U27" s="131">
        <f>'Stasiun Pontianak Kota'!V69</f>
        <v>18</v>
      </c>
      <c r="V27" s="131">
        <f>'Stasiun Pontianak Kota'!W69</f>
        <v>22</v>
      </c>
      <c r="W27" s="131">
        <f>'Stasiun Pontianak Kota'!X69</f>
        <v>0</v>
      </c>
      <c r="X27" s="131">
        <f>'Stasiun Pontianak Kota'!Y69</f>
        <v>11</v>
      </c>
      <c r="Y27" s="131">
        <f>'Stasiun Pontianak Kota'!Z69</f>
        <v>37</v>
      </c>
      <c r="Z27" s="131">
        <f>'Stasiun Pontianak Kota'!AA69</f>
        <v>76</v>
      </c>
      <c r="AA27" s="131">
        <f>'Stasiun Pontianak Kota'!AB69</f>
        <v>0</v>
      </c>
      <c r="AC27" s="130">
        <v>18</v>
      </c>
      <c r="AD27" s="131">
        <f>'Sta. Meteorologi pnk'!B25</f>
        <v>0</v>
      </c>
      <c r="AE27" s="131">
        <f>'Sta. Meteorologi pnk'!C25</f>
        <v>0</v>
      </c>
      <c r="AF27" s="131">
        <f>'Sta. Meteorologi pnk'!D25</f>
        <v>0</v>
      </c>
      <c r="AG27" s="131">
        <f>'Sta. Meteorologi pnk'!E25</f>
        <v>7.7</v>
      </c>
      <c r="AH27" s="131">
        <f>'Sta. Meteorologi pnk'!F25</f>
        <v>4</v>
      </c>
      <c r="AI27" s="131">
        <f>'Sta. Meteorologi pnk'!G25</f>
        <v>0</v>
      </c>
      <c r="AJ27" s="131">
        <f>'Sta. Meteorologi pnk'!H25</f>
        <v>0</v>
      </c>
      <c r="AK27" s="131">
        <f>'Sta. Meteorologi pnk'!I25</f>
        <v>0</v>
      </c>
      <c r="AL27" s="131">
        <f>'Sta. Meteorologi pnk'!J25</f>
        <v>0</v>
      </c>
      <c r="AM27" s="131">
        <f>'Sta. Meteorologi pnk'!K25</f>
        <v>11.4</v>
      </c>
      <c r="AN27" s="131">
        <f>'Sta. Meteorologi pnk'!L25</f>
        <v>0.4</v>
      </c>
      <c r="AO27" s="131">
        <f>'Sta. Meteorologi pnk'!M25</f>
        <v>32.200000000000003</v>
      </c>
      <c r="AQ27" s="130">
        <v>18</v>
      </c>
      <c r="AR27" s="131">
        <f t="shared" si="15"/>
        <v>0</v>
      </c>
      <c r="AS27" s="131">
        <f t="shared" si="16"/>
        <v>6.7999112832552546</v>
      </c>
      <c r="AT27" s="131">
        <f t="shared" si="17"/>
        <v>0.64761059840526247</v>
      </c>
      <c r="AU27" s="131">
        <f t="shared" si="18"/>
        <v>5.2066991961397395</v>
      </c>
      <c r="AV27" s="131">
        <f t="shared" si="19"/>
        <v>2.7047788031894751</v>
      </c>
      <c r="AW27" s="131">
        <f t="shared" si="20"/>
        <v>5.8284953856473614</v>
      </c>
      <c r="AX27" s="131">
        <f t="shared" si="21"/>
        <v>7.1237165824578872</v>
      </c>
      <c r="AY27" s="131">
        <f t="shared" si="22"/>
        <v>0</v>
      </c>
      <c r="AZ27" s="131">
        <f t="shared" si="23"/>
        <v>3.5618582912289436</v>
      </c>
      <c r="BA27" s="131">
        <f t="shared" si="24"/>
        <v>19.689415659587358</v>
      </c>
      <c r="BB27" s="131">
        <f t="shared" si="25"/>
        <v>24.879680619718918</v>
      </c>
      <c r="BC27" s="131">
        <f t="shared" si="26"/>
        <v>21.773469365675275</v>
      </c>
      <c r="BE27" s="130">
        <v>18</v>
      </c>
      <c r="BF27" s="131">
        <f t="shared" si="38"/>
        <v>0</v>
      </c>
      <c r="BG27" s="131">
        <f t="shared" si="27"/>
        <v>7.7141137108221267</v>
      </c>
      <c r="BH27" s="131">
        <f t="shared" si="28"/>
        <v>0.73467749626877399</v>
      </c>
      <c r="BI27" s="131">
        <f t="shared" si="29"/>
        <v>4.8714916393652201</v>
      </c>
      <c r="BJ27" s="131">
        <f t="shared" si="30"/>
        <v>2.5306450074624518</v>
      </c>
      <c r="BK27" s="131">
        <f t="shared" si="31"/>
        <v>6.6120974664189651</v>
      </c>
      <c r="BL27" s="131">
        <f t="shared" si="32"/>
        <v>8.0814524589565142</v>
      </c>
      <c r="BM27" s="131">
        <f t="shared" si="33"/>
        <v>0</v>
      </c>
      <c r="BN27" s="131">
        <f t="shared" si="34"/>
        <v>4.0407262294782571</v>
      </c>
      <c r="BO27" s="131">
        <f t="shared" si="35"/>
        <v>20.803871952240307</v>
      </c>
      <c r="BP27" s="131">
        <f t="shared" si="36"/>
        <v>28.170809358959659</v>
      </c>
      <c r="BQ27" s="131">
        <f t="shared" si="37"/>
        <v>20.371692310072742</v>
      </c>
    </row>
    <row r="28" spans="1:69">
      <c r="A28" s="130">
        <v>19</v>
      </c>
      <c r="B28" s="131">
        <f t="shared" si="3"/>
        <v>14.554693431965195</v>
      </c>
      <c r="C28" s="131">
        <f t="shared" si="4"/>
        <v>0.45996773825623638</v>
      </c>
      <c r="D28" s="131">
        <f t="shared" si="5"/>
        <v>2.1027096605999378</v>
      </c>
      <c r="E28" s="131">
        <f t="shared" si="6"/>
        <v>2.0143548465937791</v>
      </c>
      <c r="F28" s="131">
        <f t="shared" si="7"/>
        <v>4.7001613087188172</v>
      </c>
      <c r="G28" s="131">
        <f t="shared" si="8"/>
        <v>0</v>
      </c>
      <c r="H28" s="131">
        <f t="shared" si="9"/>
        <v>18.800645234875269</v>
      </c>
      <c r="I28" s="131">
        <f t="shared" si="10"/>
        <v>0</v>
      </c>
      <c r="J28" s="131">
        <f t="shared" si="11"/>
        <v>0</v>
      </c>
      <c r="K28" s="131">
        <f t="shared" si="12"/>
        <v>7.67145161553126</v>
      </c>
      <c r="L28" s="131">
        <f t="shared" si="13"/>
        <v>6.5709676893748056E-2</v>
      </c>
      <c r="M28" s="131">
        <f t="shared" si="14"/>
        <v>27.712290420869113</v>
      </c>
      <c r="O28" s="130">
        <v>19</v>
      </c>
      <c r="P28" s="131">
        <f>'Stasiun Pontianak Kota'!Q70</f>
        <v>0</v>
      </c>
      <c r="Q28" s="131">
        <f>'Stasiun Pontianak Kota'!R70</f>
        <v>0</v>
      </c>
      <c r="R28" s="131">
        <f>'Stasiun Pontianak Kota'!S70</f>
        <v>0</v>
      </c>
      <c r="S28" s="131">
        <f>'Stasiun Pontianak Kota'!T70</f>
        <v>3</v>
      </c>
      <c r="T28" s="131">
        <f>'Stasiun Pontianak Kota'!U70</f>
        <v>7</v>
      </c>
      <c r="U28" s="131">
        <f>'Stasiun Pontianak Kota'!V70</f>
        <v>0</v>
      </c>
      <c r="V28" s="131">
        <f>'Stasiun Pontianak Kota'!W70</f>
        <v>28</v>
      </c>
      <c r="W28" s="131">
        <f>'Stasiun Pontianak Kota'!X70</f>
        <v>0</v>
      </c>
      <c r="X28" s="131">
        <f>'Stasiun Pontianak Kota'!Y70</f>
        <v>0</v>
      </c>
      <c r="Y28" s="131">
        <f>'Stasiun Pontianak Kota'!Z70</f>
        <v>8</v>
      </c>
      <c r="Z28" s="131">
        <f>'Stasiun Pontianak Kota'!AA70</f>
        <v>0</v>
      </c>
      <c r="AA28" s="131">
        <f>'Stasiun Pontianak Kota'!AB70</f>
        <v>40</v>
      </c>
      <c r="AC28" s="130">
        <v>19</v>
      </c>
      <c r="AD28" s="131">
        <f>'Sta. Meteorologi pnk'!B26</f>
        <v>44.3</v>
      </c>
      <c r="AE28" s="131">
        <f>'Sta. Meteorologi pnk'!C26</f>
        <v>1.4</v>
      </c>
      <c r="AF28" s="131">
        <f>'Sta. Meteorologi pnk'!D26</f>
        <v>6.4</v>
      </c>
      <c r="AG28" s="131">
        <f>'Sta. Meteorologi pnk'!E26</f>
        <v>0</v>
      </c>
      <c r="AH28" s="131">
        <f>'Sta. Meteorologi pnk'!F26</f>
        <v>0</v>
      </c>
      <c r="AI28" s="131">
        <f>'Sta. Meteorologi pnk'!G26</f>
        <v>0</v>
      </c>
      <c r="AJ28" s="131">
        <f>'Sta. Meteorologi pnk'!H26</f>
        <v>0</v>
      </c>
      <c r="AK28" s="131">
        <f>'Sta. Meteorologi pnk'!I26</f>
        <v>0</v>
      </c>
      <c r="AL28" s="131">
        <f>'Sta. Meteorologi pnk'!J26</f>
        <v>0</v>
      </c>
      <c r="AM28" s="131">
        <f>'Sta. Meteorologi pnk'!K26</f>
        <v>7</v>
      </c>
      <c r="AN28" s="131">
        <f>'Sta. Meteorologi pnk'!L26</f>
        <v>0.2</v>
      </c>
      <c r="AO28" s="131">
        <f>'Sta. Meteorologi pnk'!M26</f>
        <v>2.6</v>
      </c>
      <c r="AQ28" s="130">
        <v>19</v>
      </c>
      <c r="AR28" s="131">
        <f t="shared" si="15"/>
        <v>29.955425245323433</v>
      </c>
      <c r="AS28" s="131">
        <f t="shared" si="16"/>
        <v>0.94667258111631614</v>
      </c>
      <c r="AT28" s="131">
        <f t="shared" si="17"/>
        <v>4.3276460851031597</v>
      </c>
      <c r="AU28" s="131">
        <f t="shared" si="18"/>
        <v>0.97141589760789349</v>
      </c>
      <c r="AV28" s="131">
        <f t="shared" si="19"/>
        <v>2.2666370944184182</v>
      </c>
      <c r="AW28" s="131">
        <f t="shared" si="20"/>
        <v>0</v>
      </c>
      <c r="AX28" s="131">
        <f t="shared" si="21"/>
        <v>9.0665483776736728</v>
      </c>
      <c r="AY28" s="131">
        <f t="shared" si="22"/>
        <v>0</v>
      </c>
      <c r="AZ28" s="131">
        <f t="shared" si="23"/>
        <v>0</v>
      </c>
      <c r="BA28" s="131">
        <f t="shared" si="24"/>
        <v>7.3238052992026308</v>
      </c>
      <c r="BB28" s="131">
        <f t="shared" si="25"/>
        <v>0.13523894015947374</v>
      </c>
      <c r="BC28" s="131">
        <f t="shared" si="26"/>
        <v>14.710318190178407</v>
      </c>
      <c r="BE28" s="130">
        <v>19</v>
      </c>
      <c r="BF28" s="131">
        <f t="shared" si="38"/>
        <v>28.026893457646654</v>
      </c>
      <c r="BG28" s="131">
        <f t="shared" si="27"/>
        <v>0.88572575261185815</v>
      </c>
      <c r="BH28" s="131">
        <f t="shared" si="28"/>
        <v>4.0490320119399232</v>
      </c>
      <c r="BI28" s="131">
        <f t="shared" si="29"/>
        <v>1.1020162444031609</v>
      </c>
      <c r="BJ28" s="131">
        <f t="shared" si="30"/>
        <v>2.5713712369407089</v>
      </c>
      <c r="BK28" s="131">
        <f t="shared" si="31"/>
        <v>0</v>
      </c>
      <c r="BL28" s="131">
        <f t="shared" si="32"/>
        <v>10.285484947762836</v>
      </c>
      <c r="BM28" s="131">
        <f t="shared" si="33"/>
        <v>0</v>
      </c>
      <c r="BN28" s="131">
        <f t="shared" si="34"/>
        <v>0</v>
      </c>
      <c r="BO28" s="131">
        <f t="shared" si="35"/>
        <v>7.3673387481343875</v>
      </c>
      <c r="BP28" s="131">
        <f t="shared" si="36"/>
        <v>0.1265322503731226</v>
      </c>
      <c r="BQ28" s="131">
        <f t="shared" si="37"/>
        <v>16.338469180226074</v>
      </c>
    </row>
    <row r="29" spans="1:69">
      <c r="A29" s="130">
        <v>20</v>
      </c>
      <c r="B29" s="131">
        <f t="shared" si="3"/>
        <v>2.2484838609812132</v>
      </c>
      <c r="C29" s="131">
        <f t="shared" si="4"/>
        <v>2.0143548465937791</v>
      </c>
      <c r="D29" s="131">
        <f t="shared" si="5"/>
        <v>0.90143548465937784</v>
      </c>
      <c r="E29" s="131">
        <f t="shared" si="6"/>
        <v>0</v>
      </c>
      <c r="F29" s="131">
        <f t="shared" si="7"/>
        <v>3.2197741677936551</v>
      </c>
      <c r="G29" s="131">
        <f t="shared" si="8"/>
        <v>0</v>
      </c>
      <c r="H29" s="131">
        <f t="shared" si="9"/>
        <v>0</v>
      </c>
      <c r="I29" s="131">
        <f t="shared" si="10"/>
        <v>4.4025483518811193</v>
      </c>
      <c r="J29" s="131">
        <f t="shared" si="11"/>
        <v>0</v>
      </c>
      <c r="K29" s="131">
        <f t="shared" si="12"/>
        <v>0</v>
      </c>
      <c r="L29" s="131">
        <f t="shared" si="13"/>
        <v>0</v>
      </c>
      <c r="M29" s="131">
        <f t="shared" si="14"/>
        <v>32.197741677936548</v>
      </c>
      <c r="O29" s="130">
        <v>20</v>
      </c>
      <c r="P29" s="131">
        <f>'Stasiun Pontianak Kota'!Q71</f>
        <v>1</v>
      </c>
      <c r="Q29" s="131">
        <f>'Stasiun Pontianak Kota'!R71</f>
        <v>3</v>
      </c>
      <c r="R29" s="131">
        <f>'Stasiun Pontianak Kota'!S71</f>
        <v>1</v>
      </c>
      <c r="S29" s="131">
        <f>'Stasiun Pontianak Kota'!T71</f>
        <v>0</v>
      </c>
      <c r="T29" s="131">
        <f>'Stasiun Pontianak Kota'!U71</f>
        <v>0</v>
      </c>
      <c r="U29" s="131">
        <f>'Stasiun Pontianak Kota'!V71</f>
        <v>0</v>
      </c>
      <c r="V29" s="131">
        <f>'Stasiun Pontianak Kota'!W71</f>
        <v>0</v>
      </c>
      <c r="W29" s="131">
        <f>'Stasiun Pontianak Kota'!X71</f>
        <v>0</v>
      </c>
      <c r="X29" s="131">
        <f>'Stasiun Pontianak Kota'!Y71</f>
        <v>0</v>
      </c>
      <c r="Y29" s="131">
        <f>'Stasiun Pontianak Kota'!Z71</f>
        <v>0</v>
      </c>
      <c r="Z29" s="131">
        <f>'Stasiun Pontianak Kota'!AA71</f>
        <v>0</v>
      </c>
      <c r="AA29" s="131">
        <f>'Stasiun Pontianak Kota'!AB71</f>
        <v>0</v>
      </c>
      <c r="AC29" s="130">
        <v>20</v>
      </c>
      <c r="AD29" s="131">
        <f>'Sta. Meteorologi pnk'!B27</f>
        <v>4.8</v>
      </c>
      <c r="AE29" s="131">
        <f>'Sta. Meteorologi pnk'!C27</f>
        <v>0</v>
      </c>
      <c r="AF29" s="131">
        <f>'Sta. Meteorologi pnk'!D27</f>
        <v>0.7</v>
      </c>
      <c r="AG29" s="131">
        <f>'Sta. Meteorologi pnk'!E27</f>
        <v>0</v>
      </c>
      <c r="AH29" s="131">
        <f>'Sta. Meteorologi pnk'!F27</f>
        <v>9.8000000000000007</v>
      </c>
      <c r="AI29" s="131">
        <f>'Sta. Meteorologi pnk'!G27</f>
        <v>0</v>
      </c>
      <c r="AJ29" s="131">
        <f>'Sta. Meteorologi pnk'!H27</f>
        <v>0</v>
      </c>
      <c r="AK29" s="131">
        <f>'Sta. Meteorologi pnk'!I27</f>
        <v>13.4</v>
      </c>
      <c r="AL29" s="131">
        <f>'Sta. Meteorologi pnk'!J27</f>
        <v>0</v>
      </c>
      <c r="AM29" s="131">
        <f>'Sta. Meteorologi pnk'!K27</f>
        <v>0</v>
      </c>
      <c r="AN29" s="131">
        <f>'Sta. Meteorologi pnk'!L27</f>
        <v>0</v>
      </c>
      <c r="AO29" s="131">
        <f>'Sta. Meteorologi pnk'!M27</f>
        <v>98</v>
      </c>
      <c r="AQ29" s="130">
        <v>20</v>
      </c>
      <c r="AR29" s="131">
        <f t="shared" si="15"/>
        <v>3.569539863030001</v>
      </c>
      <c r="AS29" s="131">
        <f t="shared" si="16"/>
        <v>0.97141589760789349</v>
      </c>
      <c r="AT29" s="131">
        <f t="shared" si="17"/>
        <v>0.7971415897607893</v>
      </c>
      <c r="AU29" s="131">
        <f t="shared" si="18"/>
        <v>0</v>
      </c>
      <c r="AV29" s="131">
        <f t="shared" si="19"/>
        <v>6.6267080678142145</v>
      </c>
      <c r="AW29" s="131">
        <f t="shared" si="20"/>
        <v>0</v>
      </c>
      <c r="AX29" s="131">
        <f t="shared" si="21"/>
        <v>0</v>
      </c>
      <c r="AY29" s="131">
        <f t="shared" si="22"/>
        <v>9.0610089906847424</v>
      </c>
      <c r="AZ29" s="131">
        <f t="shared" si="23"/>
        <v>0</v>
      </c>
      <c r="BA29" s="131">
        <f t="shared" si="24"/>
        <v>0</v>
      </c>
      <c r="BB29" s="131">
        <f t="shared" si="25"/>
        <v>0</v>
      </c>
      <c r="BC29" s="131">
        <f t="shared" si="26"/>
        <v>66.267080678142136</v>
      </c>
      <c r="BE29" s="130">
        <v>20</v>
      </c>
      <c r="BF29" s="131">
        <f t="shared" si="38"/>
        <v>3.4041127570893295</v>
      </c>
      <c r="BG29" s="131">
        <f t="shared" si="27"/>
        <v>1.1020162444031609</v>
      </c>
      <c r="BH29" s="131">
        <f t="shared" si="28"/>
        <v>0.81020162444031607</v>
      </c>
      <c r="BI29" s="131">
        <f t="shared" si="29"/>
        <v>0</v>
      </c>
      <c r="BJ29" s="131">
        <f t="shared" si="30"/>
        <v>6.2000802682830081</v>
      </c>
      <c r="BK29" s="131">
        <f t="shared" si="31"/>
        <v>0</v>
      </c>
      <c r="BL29" s="131">
        <f t="shared" si="32"/>
        <v>0</v>
      </c>
      <c r="BM29" s="131">
        <f t="shared" si="33"/>
        <v>8.4776607749992152</v>
      </c>
      <c r="BN29" s="131">
        <f t="shared" si="34"/>
        <v>0</v>
      </c>
      <c r="BO29" s="131">
        <f t="shared" si="35"/>
        <v>0</v>
      </c>
      <c r="BP29" s="131">
        <f t="shared" si="36"/>
        <v>0</v>
      </c>
      <c r="BQ29" s="131">
        <f t="shared" si="37"/>
        <v>62.000802682830077</v>
      </c>
    </row>
    <row r="30" spans="1:69">
      <c r="A30" s="130">
        <v>21</v>
      </c>
      <c r="B30" s="131">
        <f t="shared" si="3"/>
        <v>10.203193586756392</v>
      </c>
      <c r="C30" s="131">
        <f t="shared" si="4"/>
        <v>0.82137096117185071</v>
      </c>
      <c r="D30" s="131">
        <f t="shared" si="5"/>
        <v>2.2998386912811819</v>
      </c>
      <c r="E30" s="131">
        <f t="shared" si="6"/>
        <v>1.0184999918530948</v>
      </c>
      <c r="F30" s="131">
        <f t="shared" si="7"/>
        <v>0.19712903068124416</v>
      </c>
      <c r="G30" s="131">
        <f t="shared" si="8"/>
        <v>0</v>
      </c>
      <c r="H30" s="131">
        <f t="shared" si="9"/>
        <v>0</v>
      </c>
      <c r="I30" s="131">
        <f t="shared" si="10"/>
        <v>0</v>
      </c>
      <c r="J30" s="131">
        <f t="shared" si="11"/>
        <v>1.7741612761311976</v>
      </c>
      <c r="K30" s="131">
        <f t="shared" si="12"/>
        <v>25.373838658693561</v>
      </c>
      <c r="L30" s="131">
        <f t="shared" si="13"/>
        <v>0.55853225359685843</v>
      </c>
      <c r="M30" s="131">
        <f t="shared" si="14"/>
        <v>0.16427419223437012</v>
      </c>
      <c r="O30" s="130">
        <v>21</v>
      </c>
      <c r="P30" s="131">
        <f>'Stasiun Pontianak Kota'!Q72</f>
        <v>15</v>
      </c>
      <c r="Q30" s="131">
        <f>'Stasiun Pontianak Kota'!R72</f>
        <v>0</v>
      </c>
      <c r="R30" s="131">
        <f>'Stasiun Pontianak Kota'!S72</f>
        <v>0</v>
      </c>
      <c r="S30" s="131">
        <f>'Stasiun Pontianak Kota'!T72</f>
        <v>0</v>
      </c>
      <c r="T30" s="131">
        <f>'Stasiun Pontianak Kota'!U72</f>
        <v>0</v>
      </c>
      <c r="U30" s="131">
        <f>'Stasiun Pontianak Kota'!V72</f>
        <v>0</v>
      </c>
      <c r="V30" s="131">
        <f>'Stasiun Pontianak Kota'!W72</f>
        <v>0</v>
      </c>
      <c r="W30" s="131">
        <f>'Stasiun Pontianak Kota'!X72</f>
        <v>0</v>
      </c>
      <c r="X30" s="131">
        <f>'Stasiun Pontianak Kota'!Y72</f>
        <v>0</v>
      </c>
      <c r="Y30" s="131">
        <f>'Stasiun Pontianak Kota'!Z72</f>
        <v>19</v>
      </c>
      <c r="Z30" s="131">
        <f>'Stasiun Pontianak Kota'!AA72</f>
        <v>0</v>
      </c>
      <c r="AA30" s="131">
        <f>'Stasiun Pontianak Kota'!AB72</f>
        <v>0</v>
      </c>
      <c r="AC30" s="130">
        <v>21</v>
      </c>
      <c r="AD30" s="131">
        <f>'Sta. Meteorologi pnk'!B28</f>
        <v>0.4</v>
      </c>
      <c r="AE30" s="131">
        <f>'Sta. Meteorologi pnk'!C28</f>
        <v>2.5</v>
      </c>
      <c r="AF30" s="131">
        <f>'Sta. Meteorologi pnk'!D28</f>
        <v>7</v>
      </c>
      <c r="AG30" s="131">
        <f>'Sta. Meteorologi pnk'!E28</f>
        <v>3.1</v>
      </c>
      <c r="AH30" s="131">
        <f>'Sta. Meteorologi pnk'!F28</f>
        <v>0.6</v>
      </c>
      <c r="AI30" s="131">
        <f>'Sta. Meteorologi pnk'!G28</f>
        <v>0</v>
      </c>
      <c r="AJ30" s="131">
        <f>'Sta. Meteorologi pnk'!H28</f>
        <v>0</v>
      </c>
      <c r="AK30" s="131">
        <f>'Sta. Meteorologi pnk'!I28</f>
        <v>0</v>
      </c>
      <c r="AL30" s="131">
        <f>'Sta. Meteorologi pnk'!J28</f>
        <v>5.4</v>
      </c>
      <c r="AM30" s="131">
        <f>'Sta. Meteorologi pnk'!K28</f>
        <v>38.4</v>
      </c>
      <c r="AN30" s="131">
        <f>'Sta. Meteorologi pnk'!L28</f>
        <v>1.7</v>
      </c>
      <c r="AO30" s="131">
        <f>'Sta. Meteorologi pnk'!M28</f>
        <v>0.5</v>
      </c>
      <c r="AQ30" s="130">
        <v>21</v>
      </c>
      <c r="AR30" s="131">
        <f t="shared" si="15"/>
        <v>5.1275573683584152</v>
      </c>
      <c r="AS30" s="131">
        <f t="shared" si="16"/>
        <v>1.6904867519934219</v>
      </c>
      <c r="AT30" s="131">
        <f t="shared" si="17"/>
        <v>4.7333629055815809</v>
      </c>
      <c r="AU30" s="131">
        <f t="shared" si="18"/>
        <v>2.0962035724718433</v>
      </c>
      <c r="AV30" s="131">
        <f t="shared" si="19"/>
        <v>0.40571682047842123</v>
      </c>
      <c r="AW30" s="131">
        <f t="shared" si="20"/>
        <v>0</v>
      </c>
      <c r="AX30" s="131">
        <f t="shared" si="21"/>
        <v>0</v>
      </c>
      <c r="AY30" s="131">
        <f t="shared" si="22"/>
        <v>0</v>
      </c>
      <c r="AZ30" s="131">
        <f t="shared" si="23"/>
        <v>3.651451384305791</v>
      </c>
      <c r="BA30" s="131">
        <f t="shared" si="24"/>
        <v>32.118177195468952</v>
      </c>
      <c r="BB30" s="131">
        <f t="shared" si="25"/>
        <v>1.1495309913555267</v>
      </c>
      <c r="BC30" s="131">
        <f t="shared" si="26"/>
        <v>0.33809735039868438</v>
      </c>
      <c r="BE30" s="130">
        <v>21</v>
      </c>
      <c r="BF30" s="131">
        <f t="shared" si="38"/>
        <v>5.7631457227620508</v>
      </c>
      <c r="BG30" s="131">
        <f t="shared" si="27"/>
        <v>1.5816531296640326</v>
      </c>
      <c r="BH30" s="131">
        <f t="shared" si="28"/>
        <v>4.4286287630592911</v>
      </c>
      <c r="BI30" s="131">
        <f t="shared" si="29"/>
        <v>1.9612498807834002</v>
      </c>
      <c r="BJ30" s="131">
        <f t="shared" si="30"/>
        <v>0.37959675111936775</v>
      </c>
      <c r="BK30" s="131">
        <f t="shared" si="31"/>
        <v>0</v>
      </c>
      <c r="BL30" s="131">
        <f t="shared" si="32"/>
        <v>0</v>
      </c>
      <c r="BM30" s="131">
        <f t="shared" si="33"/>
        <v>0</v>
      </c>
      <c r="BN30" s="131">
        <f t="shared" si="34"/>
        <v>3.4163707600743098</v>
      </c>
      <c r="BO30" s="131">
        <f t="shared" si="35"/>
        <v>31.273628286192892</v>
      </c>
      <c r="BP30" s="131">
        <f t="shared" si="36"/>
        <v>1.075524128171542</v>
      </c>
      <c r="BQ30" s="131">
        <f t="shared" si="37"/>
        <v>0.31633062593280648</v>
      </c>
    </row>
    <row r="31" spans="1:69">
      <c r="A31" s="130">
        <v>22</v>
      </c>
      <c r="B31" s="131">
        <f t="shared" si="3"/>
        <v>14.470483763218351</v>
      </c>
      <c r="C31" s="131">
        <f t="shared" si="4"/>
        <v>0</v>
      </c>
      <c r="D31" s="131">
        <f t="shared" si="5"/>
        <v>31.731403059977509</v>
      </c>
      <c r="E31" s="131">
        <f t="shared" si="6"/>
        <v>19.234435338015082</v>
      </c>
      <c r="F31" s="131">
        <f t="shared" si="7"/>
        <v>6.646887067603017</v>
      </c>
      <c r="G31" s="131">
        <f t="shared" si="8"/>
        <v>0</v>
      </c>
      <c r="H31" s="131">
        <f t="shared" si="9"/>
        <v>0</v>
      </c>
      <c r="I31" s="131">
        <f t="shared" si="10"/>
        <v>0.45996773825623638</v>
      </c>
      <c r="J31" s="131">
        <f t="shared" si="11"/>
        <v>0</v>
      </c>
      <c r="K31" s="131">
        <f t="shared" si="12"/>
        <v>23.9936291202972</v>
      </c>
      <c r="L31" s="131">
        <f t="shared" si="13"/>
        <v>8.0574193863751162</v>
      </c>
      <c r="M31" s="131">
        <f t="shared" si="14"/>
        <v>84.266677529206646</v>
      </c>
      <c r="O31" s="130">
        <v>22</v>
      </c>
      <c r="P31" s="131">
        <f>'Stasiun Pontianak Kota'!Q73</f>
        <v>1</v>
      </c>
      <c r="Q31" s="131">
        <f>'Stasiun Pontianak Kota'!R73</f>
        <v>0</v>
      </c>
      <c r="R31" s="131">
        <f>'Stasiun Pontianak Kota'!S73</f>
        <v>11</v>
      </c>
      <c r="S31" s="131">
        <f>'Stasiun Pontianak Kota'!T73</f>
        <v>1</v>
      </c>
      <c r="T31" s="131">
        <f>'Stasiun Pontianak Kota'!U73</f>
        <v>3</v>
      </c>
      <c r="U31" s="131">
        <f>'Stasiun Pontianak Kota'!V73</f>
        <v>0</v>
      </c>
      <c r="V31" s="131">
        <f>'Stasiun Pontianak Kota'!W73</f>
        <v>0</v>
      </c>
      <c r="W31" s="131">
        <f>'Stasiun Pontianak Kota'!X73</f>
        <v>0</v>
      </c>
      <c r="X31" s="131">
        <f>'Stasiun Pontianak Kota'!Y73</f>
        <v>0</v>
      </c>
      <c r="Y31" s="131">
        <f>'Stasiun Pontianak Kota'!Z73</f>
        <v>35</v>
      </c>
      <c r="Z31" s="131">
        <f>'Stasiun Pontianak Kota'!AA73</f>
        <v>12</v>
      </c>
      <c r="AA31" s="131">
        <f>'Stasiun Pontianak Kota'!AB73</f>
        <v>98</v>
      </c>
      <c r="AC31" s="130">
        <v>22</v>
      </c>
      <c r="AD31" s="131">
        <f>'Sta. Meteorologi pnk'!B29</f>
        <v>42</v>
      </c>
      <c r="AE31" s="131">
        <f>'Sta. Meteorologi pnk'!C29</f>
        <v>0</v>
      </c>
      <c r="AF31" s="131">
        <f>'Sta. Meteorologi pnk'!D29</f>
        <v>74.099999999999994</v>
      </c>
      <c r="AG31" s="131">
        <f>'Sta. Meteorologi pnk'!E29</f>
        <v>56.5</v>
      </c>
      <c r="AH31" s="131">
        <f>'Sta. Meteorologi pnk'!F29</f>
        <v>14.1</v>
      </c>
      <c r="AI31" s="131">
        <f>'Sta. Meteorologi pnk'!G29</f>
        <v>0</v>
      </c>
      <c r="AJ31" s="131">
        <f>'Sta. Meteorologi pnk'!H29</f>
        <v>0</v>
      </c>
      <c r="AK31" s="131">
        <f>'Sta. Meteorologi pnk'!I29</f>
        <v>1.4</v>
      </c>
      <c r="AL31" s="131">
        <f>'Sta. Meteorologi pnk'!J29</f>
        <v>0</v>
      </c>
      <c r="AM31" s="131">
        <f>'Sta. Meteorologi pnk'!K29</f>
        <v>1.5</v>
      </c>
      <c r="AN31" s="131">
        <f>'Sta. Meteorologi pnk'!L29</f>
        <v>0</v>
      </c>
      <c r="AO31" s="131">
        <f>'Sta. Meteorologi pnk'!M29</f>
        <v>56.2</v>
      </c>
      <c r="AQ31" s="130">
        <v>22</v>
      </c>
      <c r="AR31" s="131">
        <f t="shared" si="15"/>
        <v>28.723982732692118</v>
      </c>
      <c r="AS31" s="131">
        <f t="shared" si="16"/>
        <v>0</v>
      </c>
      <c r="AT31" s="131">
        <f t="shared" si="17"/>
        <v>53.66788562031396</v>
      </c>
      <c r="AU31" s="131">
        <f t="shared" si="18"/>
        <v>38.528805894253964</v>
      </c>
      <c r="AV31" s="131">
        <f t="shared" si="19"/>
        <v>10.505761178850793</v>
      </c>
      <c r="AW31" s="131">
        <f t="shared" si="20"/>
        <v>0</v>
      </c>
      <c r="AX31" s="131">
        <f t="shared" si="21"/>
        <v>0</v>
      </c>
      <c r="AY31" s="131">
        <f t="shared" si="22"/>
        <v>0.94667258111631614</v>
      </c>
      <c r="AZ31" s="131">
        <f t="shared" si="23"/>
        <v>0</v>
      </c>
      <c r="BA31" s="131">
        <f t="shared" si="24"/>
        <v>12.347477523288145</v>
      </c>
      <c r="BB31" s="131">
        <f t="shared" si="25"/>
        <v>3.8856635904315739</v>
      </c>
      <c r="BC31" s="131">
        <f t="shared" si="26"/>
        <v>69.735061506669993</v>
      </c>
      <c r="BE31" s="130">
        <v>22</v>
      </c>
      <c r="BF31" s="131">
        <f t="shared" si="38"/>
        <v>26.939111326490135</v>
      </c>
      <c r="BG31" s="131">
        <f t="shared" si="27"/>
        <v>0</v>
      </c>
      <c r="BH31" s="131">
        <f t="shared" si="28"/>
        <v>50.920924992720174</v>
      </c>
      <c r="BI31" s="131">
        <f t="shared" si="29"/>
        <v>36.112699478541522</v>
      </c>
      <c r="BJ31" s="131">
        <f t="shared" si="30"/>
        <v>10.022539895708304</v>
      </c>
      <c r="BK31" s="131">
        <f t="shared" si="31"/>
        <v>0</v>
      </c>
      <c r="BL31" s="131">
        <f t="shared" si="32"/>
        <v>0</v>
      </c>
      <c r="BM31" s="131">
        <f t="shared" si="33"/>
        <v>0.88572575261185815</v>
      </c>
      <c r="BN31" s="131">
        <f t="shared" si="34"/>
        <v>0</v>
      </c>
      <c r="BO31" s="131">
        <f t="shared" si="35"/>
        <v>13.805848062501964</v>
      </c>
      <c r="BP31" s="131">
        <f t="shared" si="36"/>
        <v>4.4080649776126437</v>
      </c>
      <c r="BQ31" s="131">
        <f t="shared" si="37"/>
        <v>71.554759672017383</v>
      </c>
    </row>
    <row r="32" spans="1:69">
      <c r="A32" s="130">
        <v>23</v>
      </c>
      <c r="B32" s="131">
        <f t="shared" si="3"/>
        <v>15.7023870431623</v>
      </c>
      <c r="C32" s="131">
        <f t="shared" si="4"/>
        <v>1.0842096687468428</v>
      </c>
      <c r="D32" s="131">
        <f t="shared" si="5"/>
        <v>0.39425806136248831</v>
      </c>
      <c r="E32" s="131">
        <f t="shared" si="6"/>
        <v>69.808629201766237</v>
      </c>
      <c r="F32" s="131">
        <f t="shared" si="7"/>
        <v>16.698241897902985</v>
      </c>
      <c r="G32" s="131">
        <f t="shared" si="8"/>
        <v>0</v>
      </c>
      <c r="H32" s="131">
        <f t="shared" si="9"/>
        <v>0</v>
      </c>
      <c r="I32" s="131">
        <f t="shared" si="10"/>
        <v>0</v>
      </c>
      <c r="J32" s="131">
        <f t="shared" si="11"/>
        <v>0</v>
      </c>
      <c r="K32" s="131">
        <f t="shared" si="12"/>
        <v>22.562677398856174</v>
      </c>
      <c r="L32" s="131">
        <f t="shared" si="13"/>
        <v>0</v>
      </c>
      <c r="M32" s="131">
        <f t="shared" si="14"/>
        <v>37.833500073322142</v>
      </c>
      <c r="O32" s="130">
        <v>23</v>
      </c>
      <c r="P32" s="131">
        <f>'Stasiun Pontianak Kota'!Q74</f>
        <v>9</v>
      </c>
      <c r="Q32" s="131">
        <f>'Stasiun Pontianak Kota'!R74</f>
        <v>0</v>
      </c>
      <c r="R32" s="131">
        <f>'Stasiun Pontianak Kota'!S74</f>
        <v>0</v>
      </c>
      <c r="S32" s="131">
        <f>'Stasiun Pontianak Kota'!T74</f>
        <v>91</v>
      </c>
      <c r="T32" s="131">
        <f>'Stasiun Pontianak Kota'!U74</f>
        <v>12</v>
      </c>
      <c r="U32" s="131">
        <f>'Stasiun Pontianak Kota'!V74</f>
        <v>0</v>
      </c>
      <c r="V32" s="131">
        <f>'Stasiun Pontianak Kota'!W74</f>
        <v>0</v>
      </c>
      <c r="W32" s="131">
        <f>'Stasiun Pontianak Kota'!X74</f>
        <v>0</v>
      </c>
      <c r="X32" s="131">
        <f>'Stasiun Pontianak Kota'!Y74</f>
        <v>0</v>
      </c>
      <c r="Y32" s="131">
        <f>'Stasiun Pontianak Kota'!Z74</f>
        <v>20</v>
      </c>
      <c r="Z32" s="131">
        <f>'Stasiun Pontianak Kota'!AA74</f>
        <v>0</v>
      </c>
      <c r="AA32" s="131">
        <f>'Stasiun Pontianak Kota'!AB74</f>
        <v>47</v>
      </c>
      <c r="AC32" s="130">
        <v>23</v>
      </c>
      <c r="AD32" s="131">
        <f>'Sta. Meteorologi pnk'!B30</f>
        <v>29.4</v>
      </c>
      <c r="AE32" s="131">
        <f>'Sta. Meteorologi pnk'!C30</f>
        <v>3.3</v>
      </c>
      <c r="AF32" s="131">
        <f>'Sta. Meteorologi pnk'!D30</f>
        <v>1.2</v>
      </c>
      <c r="AG32" s="131">
        <f>'Sta. Meteorologi pnk'!E30</f>
        <v>26.5</v>
      </c>
      <c r="AH32" s="131">
        <f>'Sta. Meteorologi pnk'!F30</f>
        <v>26.3</v>
      </c>
      <c r="AI32" s="131">
        <f>'Sta. Meteorologi pnk'!G30</f>
        <v>0</v>
      </c>
      <c r="AJ32" s="131">
        <f>'Sta. Meteorologi pnk'!H30</f>
        <v>0</v>
      </c>
      <c r="AK32" s="131">
        <f>'Sta. Meteorologi pnk'!I30</f>
        <v>0</v>
      </c>
      <c r="AL32" s="131">
        <f>'Sta. Meteorologi pnk'!J30</f>
        <v>0</v>
      </c>
      <c r="AM32" s="131">
        <f>'Sta. Meteorologi pnk'!K30</f>
        <v>27.8</v>
      </c>
      <c r="AN32" s="131">
        <f>'Sta. Meteorologi pnk'!L30</f>
        <v>0</v>
      </c>
      <c r="AO32" s="131">
        <f>'Sta. Meteorologi pnk'!M30</f>
        <v>19.100000000000001</v>
      </c>
      <c r="AQ32" s="130">
        <v>23</v>
      </c>
      <c r="AR32" s="131">
        <f t="shared" si="15"/>
        <v>22.79437189626632</v>
      </c>
      <c r="AS32" s="131">
        <f t="shared" si="16"/>
        <v>2.2314425126313169</v>
      </c>
      <c r="AT32" s="131">
        <f t="shared" si="17"/>
        <v>0.81143364095684245</v>
      </c>
      <c r="AU32" s="131">
        <f t="shared" si="18"/>
        <v>47.385441798569708</v>
      </c>
      <c r="AV32" s="131">
        <f t="shared" si="19"/>
        <v>21.669584221402371</v>
      </c>
      <c r="AW32" s="131">
        <f t="shared" si="20"/>
        <v>0</v>
      </c>
      <c r="AX32" s="131">
        <f t="shared" si="21"/>
        <v>0</v>
      </c>
      <c r="AY32" s="131">
        <f t="shared" si="22"/>
        <v>0</v>
      </c>
      <c r="AZ32" s="131">
        <f t="shared" si="23"/>
        <v>0</v>
      </c>
      <c r="BA32" s="131">
        <f t="shared" si="24"/>
        <v>25.274318666219475</v>
      </c>
      <c r="BB32" s="131">
        <f t="shared" si="25"/>
        <v>0</v>
      </c>
      <c r="BC32" s="131">
        <f t="shared" si="26"/>
        <v>28.13416784775341</v>
      </c>
      <c r="BE32" s="130">
        <v>23</v>
      </c>
      <c r="BF32" s="131">
        <f t="shared" si="38"/>
        <v>21.906289538058505</v>
      </c>
      <c r="BG32" s="131">
        <f t="shared" si="27"/>
        <v>2.0877821311565228</v>
      </c>
      <c r="BH32" s="131">
        <f t="shared" si="28"/>
        <v>0.7591935022387355</v>
      </c>
      <c r="BI32" s="131">
        <f t="shared" si="29"/>
        <v>50.193349254667957</v>
      </c>
      <c r="BJ32" s="131">
        <f t="shared" si="30"/>
        <v>21.047055901678263</v>
      </c>
      <c r="BK32" s="131">
        <f t="shared" si="31"/>
        <v>0</v>
      </c>
      <c r="BL32" s="131">
        <f t="shared" si="32"/>
        <v>0</v>
      </c>
      <c r="BM32" s="131">
        <f t="shared" si="33"/>
        <v>0</v>
      </c>
      <c r="BN32" s="131">
        <f t="shared" si="34"/>
        <v>0</v>
      </c>
      <c r="BO32" s="131">
        <f t="shared" si="35"/>
        <v>24.934757764551783</v>
      </c>
      <c r="BP32" s="131">
        <f t="shared" si="36"/>
        <v>0</v>
      </c>
      <c r="BQ32" s="131">
        <f t="shared" si="37"/>
        <v>29.348751072949394</v>
      </c>
    </row>
    <row r="33" spans="1:70">
      <c r="A33" s="130">
        <v>24</v>
      </c>
      <c r="B33" s="131">
        <f t="shared" si="3"/>
        <v>36.929838854219284</v>
      </c>
      <c r="C33" s="131">
        <f t="shared" si="4"/>
        <v>14.499193456405909</v>
      </c>
      <c r="D33" s="131">
        <f t="shared" si="5"/>
        <v>0</v>
      </c>
      <c r="E33" s="131">
        <f t="shared" si="6"/>
        <v>9.4003226174376344</v>
      </c>
      <c r="F33" s="131">
        <f t="shared" si="7"/>
        <v>8.3202580939501072</v>
      </c>
      <c r="G33" s="131">
        <f t="shared" si="8"/>
        <v>0</v>
      </c>
      <c r="H33" s="131">
        <f t="shared" si="9"/>
        <v>0</v>
      </c>
      <c r="I33" s="131">
        <f t="shared" si="10"/>
        <v>0</v>
      </c>
      <c r="J33" s="131">
        <f t="shared" si="11"/>
        <v>0</v>
      </c>
      <c r="K33" s="131">
        <f t="shared" si="12"/>
        <v>61.485144933439784</v>
      </c>
      <c r="L33" s="131">
        <f t="shared" si="13"/>
        <v>0</v>
      </c>
      <c r="M33" s="131">
        <f t="shared" si="14"/>
        <v>14.771935541687714</v>
      </c>
      <c r="O33" s="130">
        <v>24</v>
      </c>
      <c r="P33" s="131">
        <f>'Stasiun Pontianak Kota'!Q75</f>
        <v>55</v>
      </c>
      <c r="Q33" s="131">
        <f>'Stasiun Pontianak Kota'!R75</f>
        <v>3</v>
      </c>
      <c r="R33" s="131">
        <f>'Stasiun Pontianak Kota'!S75</f>
        <v>0</v>
      </c>
      <c r="S33" s="131">
        <f>'Stasiun Pontianak Kota'!T75</f>
        <v>14</v>
      </c>
      <c r="T33" s="131">
        <f>'Stasiun Pontianak Kota'!U75</f>
        <v>12</v>
      </c>
      <c r="U33" s="131">
        <f>'Stasiun Pontianak Kota'!V75</f>
        <v>0</v>
      </c>
      <c r="V33" s="131">
        <f>'Stasiun Pontianak Kota'!W75</f>
        <v>0</v>
      </c>
      <c r="W33" s="131">
        <f>'Stasiun Pontianak Kota'!X75</f>
        <v>0</v>
      </c>
      <c r="X33" s="131">
        <f>'Stasiun Pontianak Kota'!Y75</f>
        <v>0</v>
      </c>
      <c r="Y33" s="131">
        <f>'Stasiun Pontianak Kota'!Z75</f>
        <v>33</v>
      </c>
      <c r="Z33" s="131">
        <f>'Stasiun Pontianak Kota'!AA75</f>
        <v>0</v>
      </c>
      <c r="AA33" s="131">
        <f>'Stasiun Pontianak Kota'!AB75</f>
        <v>22</v>
      </c>
      <c r="AC33" s="130">
        <v>24</v>
      </c>
      <c r="AD33" s="131">
        <f>'Sta. Meteorologi pnk'!B31</f>
        <v>0</v>
      </c>
      <c r="AE33" s="131">
        <f>'Sta. Meteorologi pnk'!C31</f>
        <v>38</v>
      </c>
      <c r="AF33" s="131">
        <f>'Sta. Meteorologi pnk'!D31</f>
        <v>0</v>
      </c>
      <c r="AG33" s="131">
        <f>'Sta. Meteorologi pnk'!E31</f>
        <v>0</v>
      </c>
      <c r="AH33" s="131">
        <f>'Sta. Meteorologi pnk'!F31</f>
        <v>0.8</v>
      </c>
      <c r="AI33" s="131">
        <f>'Sta. Meteorologi pnk'!G31</f>
        <v>0</v>
      </c>
      <c r="AJ33" s="131">
        <f>'Sta. Meteorologi pnk'!H31</f>
        <v>0</v>
      </c>
      <c r="AK33" s="131">
        <f>'Sta. Meteorologi pnk'!I31</f>
        <v>0</v>
      </c>
      <c r="AL33" s="131">
        <f>'Sta. Meteorologi pnk'!J31</f>
        <v>0</v>
      </c>
      <c r="AM33" s="131">
        <f>'Sta. Meteorologi pnk'!K31</f>
        <v>119.7</v>
      </c>
      <c r="AN33" s="131">
        <f>'Sta. Meteorologi pnk'!L31</f>
        <v>0</v>
      </c>
      <c r="AO33" s="131">
        <f>'Sta. Meteorologi pnk'!M31</f>
        <v>0</v>
      </c>
      <c r="AQ33" s="130">
        <v>24</v>
      </c>
      <c r="AR33" s="131">
        <f t="shared" si="15"/>
        <v>17.809291456144717</v>
      </c>
      <c r="AS33" s="131">
        <f t="shared" si="16"/>
        <v>26.666814527907903</v>
      </c>
      <c r="AT33" s="131">
        <f t="shared" si="17"/>
        <v>0</v>
      </c>
      <c r="AU33" s="131">
        <f t="shared" si="18"/>
        <v>4.5332741888368364</v>
      </c>
      <c r="AV33" s="131">
        <f t="shared" si="19"/>
        <v>4.4266193510694691</v>
      </c>
      <c r="AW33" s="131">
        <f t="shared" si="20"/>
        <v>0</v>
      </c>
      <c r="AX33" s="131">
        <f t="shared" si="21"/>
        <v>0</v>
      </c>
      <c r="AY33" s="131">
        <f t="shared" si="22"/>
        <v>0</v>
      </c>
      <c r="AZ33" s="131">
        <f t="shared" si="23"/>
        <v>0</v>
      </c>
      <c r="BA33" s="131">
        <f t="shared" si="24"/>
        <v>91.626080559131879</v>
      </c>
      <c r="BB33" s="131">
        <f t="shared" si="25"/>
        <v>0</v>
      </c>
      <c r="BC33" s="131">
        <f t="shared" si="26"/>
        <v>7.1237165824578872</v>
      </c>
      <c r="BE33" s="130">
        <v>24</v>
      </c>
      <c r="BF33" s="131">
        <f t="shared" si="38"/>
        <v>20.203631147391285</v>
      </c>
      <c r="BG33" s="131">
        <f t="shared" si="27"/>
        <v>25.143143815296455</v>
      </c>
      <c r="BH33" s="131">
        <f t="shared" si="28"/>
        <v>0</v>
      </c>
      <c r="BI33" s="131">
        <f t="shared" si="29"/>
        <v>5.1427424738814178</v>
      </c>
      <c r="BJ33" s="131">
        <f t="shared" si="30"/>
        <v>4.9141939791051339</v>
      </c>
      <c r="BK33" s="131">
        <f t="shared" si="31"/>
        <v>0</v>
      </c>
      <c r="BL33" s="131">
        <f t="shared" si="32"/>
        <v>0</v>
      </c>
      <c r="BM33" s="131">
        <f t="shared" si="33"/>
        <v>0</v>
      </c>
      <c r="BN33" s="131">
        <f t="shared" si="34"/>
        <v>0</v>
      </c>
      <c r="BO33" s="131">
        <f t="shared" si="35"/>
        <v>87.851730536748647</v>
      </c>
      <c r="BP33" s="131">
        <f t="shared" si="36"/>
        <v>0</v>
      </c>
      <c r="BQ33" s="131">
        <f t="shared" si="37"/>
        <v>8.0814524589565142</v>
      </c>
    </row>
    <row r="34" spans="1:70">
      <c r="A34" s="130">
        <v>25</v>
      </c>
      <c r="B34" s="131">
        <f t="shared" si="3"/>
        <v>0</v>
      </c>
      <c r="C34" s="131">
        <f t="shared" si="4"/>
        <v>22.355032343212816</v>
      </c>
      <c r="D34" s="131">
        <f t="shared" si="5"/>
        <v>0</v>
      </c>
      <c r="E34" s="131">
        <f t="shared" si="6"/>
        <v>0.45996773825623638</v>
      </c>
      <c r="F34" s="131">
        <f t="shared" si="7"/>
        <v>5.1601290469750536</v>
      </c>
      <c r="G34" s="131">
        <f t="shared" si="8"/>
        <v>0</v>
      </c>
      <c r="H34" s="131">
        <f t="shared" si="9"/>
        <v>12.845935509100093</v>
      </c>
      <c r="I34" s="131">
        <f t="shared" si="10"/>
        <v>0</v>
      </c>
      <c r="J34" s="131">
        <f t="shared" si="11"/>
        <v>6.7228064458312282</v>
      </c>
      <c r="K34" s="131">
        <f t="shared" si="12"/>
        <v>9.6816613168657213</v>
      </c>
      <c r="L34" s="131">
        <f t="shared" si="13"/>
        <v>1.314193537874961</v>
      </c>
      <c r="M34" s="131">
        <f t="shared" si="14"/>
        <v>0.29569354602186626</v>
      </c>
      <c r="O34" s="130">
        <v>25</v>
      </c>
      <c r="P34" s="131">
        <f>'Stasiun Pontianak Kota'!Q76</f>
        <v>0</v>
      </c>
      <c r="Q34" s="131">
        <f>'Stasiun Pontianak Kota'!R76</f>
        <v>33</v>
      </c>
      <c r="R34" s="131">
        <f>'Stasiun Pontianak Kota'!S76</f>
        <v>0</v>
      </c>
      <c r="S34" s="131">
        <f>'Stasiun Pontianak Kota'!T76</f>
        <v>0</v>
      </c>
      <c r="T34" s="131">
        <f>'Stasiun Pontianak Kota'!U76</f>
        <v>7</v>
      </c>
      <c r="U34" s="131">
        <f>'Stasiun Pontianak Kota'!V76</f>
        <v>0</v>
      </c>
      <c r="V34" s="131">
        <f>'Stasiun Pontianak Kota'!W76</f>
        <v>16</v>
      </c>
      <c r="W34" s="131">
        <f>'Stasiun Pontianak Kota'!X76</f>
        <v>0</v>
      </c>
      <c r="X34" s="131">
        <f>'Stasiun Pontianak Kota'!Y76</f>
        <v>6</v>
      </c>
      <c r="Y34" s="131">
        <f>'Stasiun Pontianak Kota'!Z76</f>
        <v>13</v>
      </c>
      <c r="Z34" s="131">
        <f>'Stasiun Pontianak Kota'!AA76</f>
        <v>0</v>
      </c>
      <c r="AA34" s="131">
        <f>'Stasiun Pontianak Kota'!AB76</f>
        <v>0</v>
      </c>
      <c r="AC34" s="130">
        <v>25</v>
      </c>
      <c r="AD34" s="131">
        <f>'Sta. Meteorologi pnk'!B32</f>
        <v>0</v>
      </c>
      <c r="AE34" s="131">
        <f>'Sta. Meteorologi pnk'!C32</f>
        <v>0.6</v>
      </c>
      <c r="AF34" s="131">
        <f>'Sta. Meteorologi pnk'!D32</f>
        <v>0</v>
      </c>
      <c r="AG34" s="131">
        <f>'Sta. Meteorologi pnk'!E32</f>
        <v>1.4</v>
      </c>
      <c r="AH34" s="131">
        <f>'Sta. Meteorologi pnk'!F32</f>
        <v>1.4</v>
      </c>
      <c r="AI34" s="131">
        <f>'Sta. Meteorologi pnk'!G32</f>
        <v>0</v>
      </c>
      <c r="AJ34" s="131">
        <f>'Sta. Meteorologi pnk'!H32</f>
        <v>6.4</v>
      </c>
      <c r="AK34" s="131">
        <f>'Sta. Meteorologi pnk'!I32</f>
        <v>0</v>
      </c>
      <c r="AL34" s="131">
        <f>'Sta. Meteorologi pnk'!J32</f>
        <v>8.1999999999999993</v>
      </c>
      <c r="AM34" s="131">
        <f>'Sta. Meteorologi pnk'!K32</f>
        <v>2.9</v>
      </c>
      <c r="AN34" s="131">
        <f>'Sta. Meteorologi pnk'!L32</f>
        <v>4</v>
      </c>
      <c r="AO34" s="131">
        <f>'Sta. Meteorologi pnk'!M32</f>
        <v>0.9</v>
      </c>
      <c r="AQ34" s="130">
        <v>25</v>
      </c>
      <c r="AR34" s="131">
        <f t="shared" si="15"/>
        <v>0</v>
      </c>
      <c r="AS34" s="131">
        <f t="shared" si="16"/>
        <v>11.09129169416525</v>
      </c>
      <c r="AT34" s="131">
        <f t="shared" si="17"/>
        <v>0</v>
      </c>
      <c r="AU34" s="131">
        <f t="shared" si="18"/>
        <v>0.94667258111631614</v>
      </c>
      <c r="AV34" s="131">
        <f t="shared" si="19"/>
        <v>3.2133096755347346</v>
      </c>
      <c r="AW34" s="131">
        <f t="shared" si="20"/>
        <v>0</v>
      </c>
      <c r="AX34" s="131">
        <f t="shared" si="21"/>
        <v>9.5085308723452595</v>
      </c>
      <c r="AY34" s="131">
        <f t="shared" si="22"/>
        <v>0</v>
      </c>
      <c r="AZ34" s="131">
        <f t="shared" si="23"/>
        <v>7.4876283417542098</v>
      </c>
      <c r="BA34" s="131">
        <f t="shared" si="24"/>
        <v>6.1704335219465749</v>
      </c>
      <c r="BB34" s="131">
        <f t="shared" si="25"/>
        <v>2.7047788031894751</v>
      </c>
      <c r="BC34" s="131">
        <f t="shared" si="26"/>
        <v>0.60857523071763187</v>
      </c>
      <c r="BE34" s="130">
        <v>25</v>
      </c>
      <c r="BF34" s="131">
        <f t="shared" si="38"/>
        <v>0</v>
      </c>
      <c r="BG34" s="131">
        <f t="shared" si="27"/>
        <v>12.501775439554137</v>
      </c>
      <c r="BH34" s="131">
        <f t="shared" si="28"/>
        <v>0</v>
      </c>
      <c r="BI34" s="131">
        <f t="shared" si="29"/>
        <v>0.88572575261185815</v>
      </c>
      <c r="BJ34" s="131">
        <f t="shared" si="30"/>
        <v>3.4570969895525669</v>
      </c>
      <c r="BK34" s="131">
        <f t="shared" si="31"/>
        <v>0</v>
      </c>
      <c r="BL34" s="131">
        <f t="shared" si="32"/>
        <v>9.926451982090116</v>
      </c>
      <c r="BM34" s="131">
        <f t="shared" si="33"/>
        <v>0</v>
      </c>
      <c r="BN34" s="131">
        <f t="shared" si="34"/>
        <v>7.3918547541043473</v>
      </c>
      <c r="BO34" s="131">
        <f t="shared" si="35"/>
        <v>6.6101213561573084</v>
      </c>
      <c r="BP34" s="131">
        <f t="shared" si="36"/>
        <v>2.5306450074624518</v>
      </c>
      <c r="BQ34" s="131">
        <f t="shared" si="37"/>
        <v>0.56939512667905179</v>
      </c>
    </row>
    <row r="35" spans="1:70">
      <c r="A35" s="130">
        <v>26</v>
      </c>
      <c r="B35" s="131">
        <f t="shared" si="3"/>
        <v>0</v>
      </c>
      <c r="C35" s="131">
        <f t="shared" si="4"/>
        <v>1.3429032310625193</v>
      </c>
      <c r="D35" s="131">
        <f t="shared" si="5"/>
        <v>0</v>
      </c>
      <c r="E35" s="131">
        <f t="shared" si="6"/>
        <v>16.48483860981213</v>
      </c>
      <c r="F35" s="131">
        <f t="shared" si="7"/>
        <v>2.5400322617437636</v>
      </c>
      <c r="G35" s="131">
        <f t="shared" si="8"/>
        <v>0</v>
      </c>
      <c r="H35" s="131">
        <f t="shared" si="9"/>
        <v>0</v>
      </c>
      <c r="I35" s="131">
        <f t="shared" si="10"/>
        <v>20.041451452593154</v>
      </c>
      <c r="J35" s="131">
        <f t="shared" si="11"/>
        <v>9.1664999266778526</v>
      </c>
      <c r="K35" s="131">
        <f t="shared" si="12"/>
        <v>3.3572580776562981</v>
      </c>
      <c r="L35" s="131">
        <f t="shared" si="13"/>
        <v>8.0574193863751162</v>
      </c>
      <c r="M35" s="131">
        <f t="shared" si="14"/>
        <v>4.3799032147687091</v>
      </c>
      <c r="O35" s="130">
        <v>26</v>
      </c>
      <c r="P35" s="131">
        <f>'Stasiun Pontianak Kota'!Q77</f>
        <v>0</v>
      </c>
      <c r="Q35" s="131">
        <f>'Stasiun Pontianak Kota'!R77</f>
        <v>2</v>
      </c>
      <c r="R35" s="131">
        <f>'Stasiun Pontianak Kota'!S77</f>
        <v>0</v>
      </c>
      <c r="S35" s="131">
        <f>'Stasiun Pontianak Kota'!T77</f>
        <v>4</v>
      </c>
      <c r="T35" s="131">
        <f>'Stasiun Pontianak Kota'!U77</f>
        <v>3</v>
      </c>
      <c r="U35" s="131">
        <f>'Stasiun Pontianak Kota'!V77</f>
        <v>0</v>
      </c>
      <c r="V35" s="131">
        <f>'Stasiun Pontianak Kota'!W77</f>
        <v>0</v>
      </c>
      <c r="W35" s="131">
        <f>'Stasiun Pontianak Kota'!X77</f>
        <v>0</v>
      </c>
      <c r="X35" s="131">
        <f>'Stasiun Pontianak Kota'!Y77</f>
        <v>0</v>
      </c>
      <c r="Y35" s="131">
        <f>'Stasiun Pontianak Kota'!Z77</f>
        <v>5</v>
      </c>
      <c r="Z35" s="131">
        <f>'Stasiun Pontianak Kota'!AA77</f>
        <v>12</v>
      </c>
      <c r="AA35" s="131">
        <f>'Stasiun Pontianak Kota'!AB77</f>
        <v>3</v>
      </c>
      <c r="AC35" s="130">
        <v>26</v>
      </c>
      <c r="AD35" s="131">
        <f>'Sta. Meteorologi pnk'!B33</f>
        <v>0</v>
      </c>
      <c r="AE35" s="131">
        <f>'Sta. Meteorologi pnk'!C33</f>
        <v>0</v>
      </c>
      <c r="AF35" s="131">
        <f>'Sta. Meteorologi pnk'!D33</f>
        <v>0</v>
      </c>
      <c r="AG35" s="131">
        <f>'Sta. Meteorologi pnk'!E33</f>
        <v>42</v>
      </c>
      <c r="AH35" s="131">
        <f>'Sta. Meteorologi pnk'!F33</f>
        <v>1.6</v>
      </c>
      <c r="AI35" s="131">
        <f>'Sta. Meteorologi pnk'!G33</f>
        <v>0</v>
      </c>
      <c r="AJ35" s="131">
        <f>'Sta. Meteorologi pnk'!H33</f>
        <v>0</v>
      </c>
      <c r="AK35" s="131">
        <f>'Sta. Meteorologi pnk'!I33</f>
        <v>61</v>
      </c>
      <c r="AL35" s="131">
        <f>'Sta. Meteorologi pnk'!J33</f>
        <v>27.9</v>
      </c>
      <c r="AM35" s="131">
        <f>'Sta. Meteorologi pnk'!K33</f>
        <v>0</v>
      </c>
      <c r="AN35" s="131">
        <f>'Sta. Meteorologi pnk'!L33</f>
        <v>0</v>
      </c>
      <c r="AO35" s="131">
        <f>'Sta. Meteorologi pnk'!M33</f>
        <v>7.2</v>
      </c>
      <c r="AQ35" s="130">
        <v>26</v>
      </c>
      <c r="AR35" s="131">
        <f t="shared" si="15"/>
        <v>0</v>
      </c>
      <c r="AS35" s="131">
        <f t="shared" si="16"/>
        <v>0.64761059840526247</v>
      </c>
      <c r="AT35" s="131">
        <f t="shared" si="17"/>
        <v>0</v>
      </c>
      <c r="AU35" s="131">
        <f t="shared" si="18"/>
        <v>29.695398630300009</v>
      </c>
      <c r="AV35" s="131">
        <f t="shared" si="19"/>
        <v>2.0533274188836836</v>
      </c>
      <c r="AW35" s="131">
        <f t="shared" si="20"/>
        <v>0</v>
      </c>
      <c r="AX35" s="131">
        <f t="shared" si="21"/>
        <v>0</v>
      </c>
      <c r="AY35" s="131">
        <f t="shared" si="22"/>
        <v>41.247876748639491</v>
      </c>
      <c r="AZ35" s="131">
        <f t="shared" si="23"/>
        <v>18.865832152246586</v>
      </c>
      <c r="BA35" s="131">
        <f t="shared" si="24"/>
        <v>1.619026496013156</v>
      </c>
      <c r="BB35" s="131">
        <f t="shared" si="25"/>
        <v>3.8856635904315739</v>
      </c>
      <c r="BC35" s="131">
        <f t="shared" si="26"/>
        <v>5.8400177433489482</v>
      </c>
      <c r="BE35" s="130">
        <v>26</v>
      </c>
      <c r="BF35" s="131">
        <f t="shared" si="38"/>
        <v>0</v>
      </c>
      <c r="BG35" s="131">
        <f t="shared" si="27"/>
        <v>0.73467749626877399</v>
      </c>
      <c r="BH35" s="131">
        <f t="shared" si="28"/>
        <v>0</v>
      </c>
      <c r="BI35" s="131">
        <f t="shared" si="29"/>
        <v>28.041127570893295</v>
      </c>
      <c r="BJ35" s="131">
        <f t="shared" si="30"/>
        <v>2.114274247388142</v>
      </c>
      <c r="BK35" s="131">
        <f t="shared" si="31"/>
        <v>0</v>
      </c>
      <c r="BL35" s="131">
        <f t="shared" si="32"/>
        <v>0</v>
      </c>
      <c r="BM35" s="131">
        <f t="shared" si="33"/>
        <v>38.592336363802396</v>
      </c>
      <c r="BN35" s="131">
        <f t="shared" si="34"/>
        <v>17.651248927050602</v>
      </c>
      <c r="BO35" s="131">
        <f t="shared" si="35"/>
        <v>1.8366937406719348</v>
      </c>
      <c r="BP35" s="131">
        <f t="shared" si="36"/>
        <v>4.4080649776126437</v>
      </c>
      <c r="BQ35" s="131">
        <f t="shared" si="37"/>
        <v>5.6571772578355741</v>
      </c>
    </row>
    <row r="36" spans="1:70">
      <c r="A36" s="130">
        <v>27</v>
      </c>
      <c r="B36" s="131">
        <f t="shared" si="3"/>
        <v>0</v>
      </c>
      <c r="C36" s="131">
        <f t="shared" si="4"/>
        <v>0</v>
      </c>
      <c r="D36" s="131">
        <f t="shared" si="5"/>
        <v>1.6427419223437014</v>
      </c>
      <c r="E36" s="131">
        <f t="shared" si="6"/>
        <v>32.901129161031726</v>
      </c>
      <c r="F36" s="131">
        <f t="shared" si="7"/>
        <v>1.7371612924250077</v>
      </c>
      <c r="G36" s="131">
        <f t="shared" si="8"/>
        <v>0</v>
      </c>
      <c r="H36" s="131">
        <f t="shared" si="9"/>
        <v>0</v>
      </c>
      <c r="I36" s="131">
        <f t="shared" si="10"/>
        <v>17.870500057028337</v>
      </c>
      <c r="J36" s="131">
        <f t="shared" si="11"/>
        <v>8.2114838772750236</v>
      </c>
      <c r="K36" s="131">
        <f t="shared" si="12"/>
        <v>0</v>
      </c>
      <c r="L36" s="131">
        <f t="shared" si="13"/>
        <v>10.053580564743454</v>
      </c>
      <c r="M36" s="131">
        <f t="shared" si="14"/>
        <v>0.13141935378749611</v>
      </c>
      <c r="O36" s="130">
        <v>27</v>
      </c>
      <c r="P36" s="131">
        <f>'Stasiun Pontianak Kota'!Q78</f>
        <v>0</v>
      </c>
      <c r="Q36" s="131">
        <f>'Stasiun Pontianak Kota'!R78</f>
        <v>0</v>
      </c>
      <c r="R36" s="131">
        <f>'Stasiun Pontianak Kota'!S78</f>
        <v>0</v>
      </c>
      <c r="S36" s="131">
        <f>'Stasiun Pontianak Kota'!T78</f>
        <v>49</v>
      </c>
      <c r="T36" s="131">
        <f>'Stasiun Pontianak Kota'!U78</f>
        <v>2</v>
      </c>
      <c r="U36" s="131">
        <f>'Stasiun Pontianak Kota'!V78</f>
        <v>0</v>
      </c>
      <c r="V36" s="131">
        <f>'Stasiun Pontianak Kota'!W78</f>
        <v>0</v>
      </c>
      <c r="W36" s="131">
        <f>'Stasiun Pontianak Kota'!X78</f>
        <v>25</v>
      </c>
      <c r="X36" s="131">
        <f>'Stasiun Pontianak Kota'!Y78</f>
        <v>9</v>
      </c>
      <c r="Y36" s="131">
        <f>'Stasiun Pontianak Kota'!Z78</f>
        <v>0</v>
      </c>
      <c r="Z36" s="131">
        <f>'Stasiun Pontianak Kota'!AA78</f>
        <v>0</v>
      </c>
      <c r="AA36" s="131">
        <f>'Stasiun Pontianak Kota'!AB78</f>
        <v>0</v>
      </c>
      <c r="AC36" s="130">
        <v>27</v>
      </c>
      <c r="AD36" s="131">
        <f>'Sta. Meteorologi pnk'!B34</f>
        <v>0</v>
      </c>
      <c r="AE36" s="131">
        <f>'Sta. Meteorologi pnk'!C34</f>
        <v>0</v>
      </c>
      <c r="AF36" s="131">
        <f>'Sta. Meteorologi pnk'!D34</f>
        <v>5</v>
      </c>
      <c r="AG36" s="131">
        <f>'Sta. Meteorologi pnk'!E34</f>
        <v>0</v>
      </c>
      <c r="AH36" s="131">
        <f>'Sta. Meteorologi pnk'!F34</f>
        <v>1.2</v>
      </c>
      <c r="AI36" s="131">
        <f>'Sta. Meteorologi pnk'!G34</f>
        <v>0</v>
      </c>
      <c r="AJ36" s="131">
        <f>'Sta. Meteorologi pnk'!H34</f>
        <v>0</v>
      </c>
      <c r="AK36" s="131">
        <f>'Sta. Meteorologi pnk'!I34</f>
        <v>3.3</v>
      </c>
      <c r="AL36" s="131">
        <f>'Sta. Meteorologi pnk'!J34</f>
        <v>6.6</v>
      </c>
      <c r="AM36" s="131">
        <f>'Sta. Meteorologi pnk'!K34</f>
        <v>0</v>
      </c>
      <c r="AN36" s="131">
        <f>'Sta. Meteorologi pnk'!L34</f>
        <v>30.6</v>
      </c>
      <c r="AO36" s="131">
        <f>'Sta. Meteorologi pnk'!M34</f>
        <v>0.4</v>
      </c>
      <c r="AQ36" s="130">
        <v>27</v>
      </c>
      <c r="AR36" s="131">
        <f t="shared" si="15"/>
        <v>0</v>
      </c>
      <c r="AS36" s="131">
        <f t="shared" si="16"/>
        <v>0</v>
      </c>
      <c r="AT36" s="131">
        <f t="shared" si="17"/>
        <v>3.3809735039868438</v>
      </c>
      <c r="AU36" s="131">
        <f t="shared" si="18"/>
        <v>15.866459660928928</v>
      </c>
      <c r="AV36" s="131">
        <f t="shared" si="19"/>
        <v>1.459044239362105</v>
      </c>
      <c r="AW36" s="131">
        <f t="shared" si="20"/>
        <v>0</v>
      </c>
      <c r="AX36" s="131">
        <f t="shared" si="21"/>
        <v>0</v>
      </c>
      <c r="AY36" s="131">
        <f t="shared" si="22"/>
        <v>10.326574992697097</v>
      </c>
      <c r="AZ36" s="131">
        <f t="shared" si="23"/>
        <v>7.3771327180863144</v>
      </c>
      <c r="BA36" s="131">
        <f t="shared" si="24"/>
        <v>0</v>
      </c>
      <c r="BB36" s="131">
        <f t="shared" si="25"/>
        <v>20.691557844399483</v>
      </c>
      <c r="BC36" s="131">
        <f t="shared" si="26"/>
        <v>0.27047788031894748</v>
      </c>
      <c r="BE36" s="130">
        <v>27</v>
      </c>
      <c r="BF36" s="131">
        <f>((B36/($BI$1^2))+(P36/($AV$1^2))+(AD36/($AV$2^2)))/((1/($BI$1^2))+(1/($AV$1^2))+(1/($AV$2^2)))</f>
        <v>0</v>
      </c>
      <c r="BG36" s="131">
        <f t="shared" si="27"/>
        <v>0</v>
      </c>
      <c r="BH36" s="131">
        <f t="shared" si="28"/>
        <v>3.1633062593280652</v>
      </c>
      <c r="BI36" s="131">
        <f t="shared" si="29"/>
        <v>17.999598658584961</v>
      </c>
      <c r="BJ36" s="131">
        <f t="shared" si="30"/>
        <v>1.4938709985075098</v>
      </c>
      <c r="BK36" s="131">
        <f t="shared" si="31"/>
        <v>0</v>
      </c>
      <c r="BL36" s="131">
        <f t="shared" si="32"/>
        <v>0</v>
      </c>
      <c r="BM36" s="131">
        <f t="shared" si="33"/>
        <v>11.271250834516197</v>
      </c>
      <c r="BN36" s="131">
        <f t="shared" si="34"/>
        <v>7.4816129955225286</v>
      </c>
      <c r="BO36" s="131">
        <f t="shared" si="35"/>
        <v>0</v>
      </c>
      <c r="BP36" s="131">
        <f t="shared" si="36"/>
        <v>19.35943430708776</v>
      </c>
      <c r="BQ36" s="131">
        <f t="shared" si="37"/>
        <v>0.2530645007462452</v>
      </c>
    </row>
    <row r="37" spans="1:70">
      <c r="A37" s="130">
        <v>28</v>
      </c>
      <c r="B37" s="131">
        <f t="shared" si="3"/>
        <v>0</v>
      </c>
      <c r="C37" s="131">
        <f t="shared" si="4"/>
        <v>0</v>
      </c>
      <c r="D37" s="131">
        <f t="shared" si="5"/>
        <v>3.7454515829436392</v>
      </c>
      <c r="E37" s="131">
        <f t="shared" si="6"/>
        <v>6.5709676893748056E-2</v>
      </c>
      <c r="F37" s="131">
        <f t="shared" si="7"/>
        <v>3.16427419223437</v>
      </c>
      <c r="G37" s="131">
        <f t="shared" si="8"/>
        <v>0</v>
      </c>
      <c r="H37" s="131">
        <f t="shared" si="9"/>
        <v>0</v>
      </c>
      <c r="I37" s="131">
        <f t="shared" si="10"/>
        <v>14.771935541687714</v>
      </c>
      <c r="J37" s="131">
        <f t="shared" si="11"/>
        <v>14.086129079562673</v>
      </c>
      <c r="K37" s="131">
        <f t="shared" si="12"/>
        <v>4.0287096931875581</v>
      </c>
      <c r="L37" s="131">
        <f t="shared" si="13"/>
        <v>36.652645300050516</v>
      </c>
      <c r="M37" s="131">
        <f t="shared" si="14"/>
        <v>1.5770322454499532</v>
      </c>
      <c r="O37" s="130">
        <v>28</v>
      </c>
      <c r="P37" s="131">
        <f>'Stasiun Pontianak Kota'!Q79</f>
        <v>0</v>
      </c>
      <c r="Q37" s="131">
        <f>'Stasiun Pontianak Kota'!R79</f>
        <v>0</v>
      </c>
      <c r="R37" s="131">
        <f>'Stasiun Pontianak Kota'!S79</f>
        <v>0</v>
      </c>
      <c r="S37" s="131">
        <f>'Stasiun Pontianak Kota'!T79</f>
        <v>0</v>
      </c>
      <c r="T37" s="131">
        <f>'Stasiun Pontianak Kota'!U79</f>
        <v>3</v>
      </c>
      <c r="U37" s="131">
        <f>'Stasiun Pontianak Kota'!V79</f>
        <v>0</v>
      </c>
      <c r="V37" s="131">
        <f>'Stasiun Pontianak Kota'!W79</f>
        <v>0</v>
      </c>
      <c r="W37" s="131">
        <f>'Stasiun Pontianak Kota'!X79</f>
        <v>22</v>
      </c>
      <c r="X37" s="131">
        <f>'Stasiun Pontianak Kota'!Y79</f>
        <v>20</v>
      </c>
      <c r="Y37" s="131">
        <f>'Stasiun Pontianak Kota'!Z79</f>
        <v>6</v>
      </c>
      <c r="Z37" s="131">
        <f>'Stasiun Pontianak Kota'!AA79</f>
        <v>54</v>
      </c>
      <c r="AA37" s="131">
        <f>'Stasiun Pontianak Kota'!AB79</f>
        <v>0</v>
      </c>
      <c r="AC37" s="130">
        <v>28</v>
      </c>
      <c r="AD37" s="131">
        <f>'Sta. Meteorologi pnk'!B35</f>
        <v>0</v>
      </c>
      <c r="AE37" s="131">
        <f>'Sta. Meteorologi pnk'!C35</f>
        <v>0</v>
      </c>
      <c r="AF37" s="131">
        <f>'Sta. Meteorologi pnk'!D35</f>
        <v>11.4</v>
      </c>
      <c r="AG37" s="131">
        <f>'Sta. Meteorologi pnk'!E35</f>
        <v>0.2</v>
      </c>
      <c r="AH37" s="131">
        <f>'Sta. Meteorologi pnk'!F35</f>
        <v>3.5</v>
      </c>
      <c r="AI37" s="131">
        <f>'Sta. Meteorologi pnk'!G35</f>
        <v>0</v>
      </c>
      <c r="AJ37" s="131">
        <f>'Sta. Meteorologi pnk'!H35</f>
        <v>0</v>
      </c>
      <c r="AK37" s="131">
        <f>'Sta. Meteorologi pnk'!I35</f>
        <v>0</v>
      </c>
      <c r="AL37" s="131">
        <f>'Sta. Meteorologi pnk'!J35</f>
        <v>2</v>
      </c>
      <c r="AM37" s="131">
        <f>'Sta. Meteorologi pnk'!K35</f>
        <v>0</v>
      </c>
      <c r="AN37" s="131">
        <f>'Sta. Meteorologi pnk'!L35</f>
        <v>1.2</v>
      </c>
      <c r="AO37" s="131">
        <f>'Sta. Meteorologi pnk'!M35</f>
        <v>4.8</v>
      </c>
      <c r="AQ37" s="130">
        <v>28</v>
      </c>
      <c r="AR37" s="131">
        <f t="shared" si="15"/>
        <v>0</v>
      </c>
      <c r="AS37" s="131">
        <f t="shared" si="16"/>
        <v>0</v>
      </c>
      <c r="AT37" s="131">
        <f t="shared" si="17"/>
        <v>7.7086195890900031</v>
      </c>
      <c r="AU37" s="131">
        <f t="shared" si="18"/>
        <v>0.13523894015947374</v>
      </c>
      <c r="AV37" s="131">
        <f t="shared" si="19"/>
        <v>3.3380973503986842</v>
      </c>
      <c r="AW37" s="131">
        <f t="shared" si="20"/>
        <v>0</v>
      </c>
      <c r="AX37" s="131">
        <f t="shared" si="21"/>
        <v>0</v>
      </c>
      <c r="AY37" s="131">
        <f t="shared" si="22"/>
        <v>7.1237165824578872</v>
      </c>
      <c r="AZ37" s="131">
        <f t="shared" si="23"/>
        <v>7.8284953856473614</v>
      </c>
      <c r="BA37" s="131">
        <f t="shared" si="24"/>
        <v>1.942831795215787</v>
      </c>
      <c r="BB37" s="131">
        <f t="shared" si="25"/>
        <v>18.296919797898926</v>
      </c>
      <c r="BC37" s="131">
        <f t="shared" si="26"/>
        <v>3.2457345638273698</v>
      </c>
      <c r="BE37" s="130">
        <v>28</v>
      </c>
      <c r="BF37" s="131">
        <f t="shared" si="38"/>
        <v>0</v>
      </c>
      <c r="BG37" s="131">
        <f t="shared" si="27"/>
        <v>0</v>
      </c>
      <c r="BH37" s="131">
        <f t="shared" si="28"/>
        <v>7.2123382712679884</v>
      </c>
      <c r="BI37" s="131">
        <f t="shared" si="29"/>
        <v>0.1265322503731226</v>
      </c>
      <c r="BJ37" s="131">
        <f t="shared" si="30"/>
        <v>3.3163306259328067</v>
      </c>
      <c r="BK37" s="131">
        <f t="shared" si="31"/>
        <v>0</v>
      </c>
      <c r="BL37" s="131">
        <f t="shared" si="32"/>
        <v>0</v>
      </c>
      <c r="BM37" s="131">
        <f t="shared" si="33"/>
        <v>8.0814524589565142</v>
      </c>
      <c r="BN37" s="131">
        <f t="shared" si="34"/>
        <v>8.612097466418966</v>
      </c>
      <c r="BO37" s="131">
        <f t="shared" si="35"/>
        <v>2.2040324888063219</v>
      </c>
      <c r="BP37" s="131">
        <f t="shared" si="36"/>
        <v>20.595485901495636</v>
      </c>
      <c r="BQ37" s="131">
        <f t="shared" si="37"/>
        <v>3.036774008954942</v>
      </c>
    </row>
    <row r="38" spans="1:70">
      <c r="A38" s="130">
        <v>29</v>
      </c>
      <c r="B38" s="131">
        <f t="shared" si="3"/>
        <v>0</v>
      </c>
      <c r="C38" s="131">
        <f t="shared" si="4"/>
        <v>0</v>
      </c>
      <c r="D38" s="131">
        <f t="shared" si="5"/>
        <v>5.3716129242500772</v>
      </c>
      <c r="E38" s="131">
        <f t="shared" si="6"/>
        <v>2.8583709448780401</v>
      </c>
      <c r="F38" s="131">
        <f t="shared" si="7"/>
        <v>3.6529516236781645</v>
      </c>
      <c r="G38" s="131">
        <f t="shared" si="8"/>
        <v>0.32854838446874024</v>
      </c>
      <c r="H38" s="131">
        <f t="shared" si="9"/>
        <v>9.4003226174376344</v>
      </c>
      <c r="I38" s="131">
        <f t="shared" si="10"/>
        <v>4.2711289980936229</v>
      </c>
      <c r="J38" s="131">
        <f t="shared" si="11"/>
        <v>0</v>
      </c>
      <c r="K38" s="131">
        <f t="shared" si="12"/>
        <v>11.893451517768399</v>
      </c>
      <c r="L38" s="131">
        <f t="shared" si="13"/>
        <v>13.207645055643361</v>
      </c>
      <c r="M38" s="131">
        <f t="shared" si="14"/>
        <v>1.3429032310625193</v>
      </c>
      <c r="O38" s="130">
        <v>29</v>
      </c>
      <c r="P38" s="131">
        <f>'Stasiun Pontianak Kota'!Q80</f>
        <v>0</v>
      </c>
      <c r="Q38" s="131">
        <f>'Stasiun Pontianak Kota'!R80</f>
        <v>0</v>
      </c>
      <c r="R38" s="131">
        <f>'Stasiun Pontianak Kota'!S80</f>
        <v>8</v>
      </c>
      <c r="S38" s="131">
        <f>'Stasiun Pontianak Kota'!T80</f>
        <v>0</v>
      </c>
      <c r="T38" s="131">
        <f>'Stasiun Pontianak Kota'!U80</f>
        <v>5</v>
      </c>
      <c r="U38" s="131">
        <f>'Stasiun Pontianak Kota'!V80</f>
        <v>0</v>
      </c>
      <c r="V38" s="131">
        <f>'Stasiun Pontianak Kota'!W80</f>
        <v>14</v>
      </c>
      <c r="W38" s="131">
        <f>'Stasiun Pontianak Kota'!X80</f>
        <v>0</v>
      </c>
      <c r="X38" s="131">
        <f>'Stasiun Pontianak Kota'!Y80</f>
        <v>0</v>
      </c>
      <c r="Y38" s="131">
        <f>'Stasiun Pontianak Kota'!Z80</f>
        <v>0</v>
      </c>
      <c r="Z38" s="131">
        <f>'Stasiun Pontianak Kota'!AA80</f>
        <v>0</v>
      </c>
      <c r="AA38" s="131">
        <f>'Stasiun Pontianak Kota'!AB80</f>
        <v>2</v>
      </c>
      <c r="AC38" s="130">
        <v>29</v>
      </c>
      <c r="AD38" s="131">
        <f>'Sta. Meteorologi pnk'!B36</f>
        <v>0</v>
      </c>
      <c r="AE38" s="131">
        <f>'Sta. Meteorologi pnk'!C36</f>
        <v>0</v>
      </c>
      <c r="AF38" s="131">
        <f>'Sta. Meteorologi pnk'!D36</f>
        <v>0</v>
      </c>
      <c r="AG38" s="131">
        <f>'Sta. Meteorologi pnk'!E36</f>
        <v>8.6999999999999993</v>
      </c>
      <c r="AH38" s="131">
        <f>'Sta. Meteorologi pnk'!F36</f>
        <v>0.9</v>
      </c>
      <c r="AI38" s="131">
        <f>'Sta. Meteorologi pnk'!G36</f>
        <v>1</v>
      </c>
      <c r="AJ38" s="131">
        <f>'Sta. Meteorologi pnk'!H36</f>
        <v>0</v>
      </c>
      <c r="AK38" s="131">
        <f>'Sta. Meteorologi pnk'!I36</f>
        <v>13</v>
      </c>
      <c r="AL38" s="131">
        <f>'Sta. Meteorologi pnk'!J36</f>
        <v>0</v>
      </c>
      <c r="AM38" s="131">
        <f>'Sta. Meteorologi pnk'!K36</f>
        <v>36.200000000000003</v>
      </c>
      <c r="AN38" s="131">
        <f>'Sta. Meteorologi pnk'!L36</f>
        <v>40.200000000000003</v>
      </c>
      <c r="AO38" s="131">
        <f>'Sta. Meteorologi pnk'!M36</f>
        <v>0</v>
      </c>
      <c r="AQ38" s="130">
        <v>29</v>
      </c>
      <c r="AR38" s="131">
        <f t="shared" si="15"/>
        <v>0</v>
      </c>
      <c r="AS38" s="131">
        <f t="shared" si="16"/>
        <v>0</v>
      </c>
      <c r="AT38" s="131">
        <f t="shared" si="17"/>
        <v>2.5904423936210499</v>
      </c>
      <c r="AU38" s="131">
        <f t="shared" si="18"/>
        <v>5.8828938969371078</v>
      </c>
      <c r="AV38" s="131">
        <f t="shared" si="19"/>
        <v>2.2276017267307879</v>
      </c>
      <c r="AW38" s="131">
        <f t="shared" si="20"/>
        <v>0.67619470079736876</v>
      </c>
      <c r="AX38" s="131">
        <f t="shared" si="21"/>
        <v>4.5332741888368364</v>
      </c>
      <c r="AY38" s="131">
        <f t="shared" si="22"/>
        <v>8.7905311103657926</v>
      </c>
      <c r="AZ38" s="131">
        <f t="shared" si="23"/>
        <v>0</v>
      </c>
      <c r="BA38" s="131">
        <f t="shared" si="24"/>
        <v>24.478248168864752</v>
      </c>
      <c r="BB38" s="131">
        <f t="shared" si="25"/>
        <v>27.183026972054225</v>
      </c>
      <c r="BC38" s="131">
        <f t="shared" si="26"/>
        <v>0.64761059840526247</v>
      </c>
      <c r="BE38" s="130">
        <v>29</v>
      </c>
      <c r="BF38" s="131">
        <f t="shared" si="38"/>
        <v>0</v>
      </c>
      <c r="BG38" s="131">
        <f t="shared" si="27"/>
        <v>0</v>
      </c>
      <c r="BH38" s="131">
        <f t="shared" si="28"/>
        <v>2.938709985075096</v>
      </c>
      <c r="BI38" s="131">
        <f t="shared" si="29"/>
        <v>5.5041528912308326</v>
      </c>
      <c r="BJ38" s="131">
        <f t="shared" si="30"/>
        <v>2.406088867350987</v>
      </c>
      <c r="BK38" s="131">
        <f t="shared" si="31"/>
        <v>0.63266125186561295</v>
      </c>
      <c r="BL38" s="131">
        <f t="shared" si="32"/>
        <v>5.1427424738814178</v>
      </c>
      <c r="BM38" s="131">
        <f t="shared" si="33"/>
        <v>8.2245962742529688</v>
      </c>
      <c r="BN38" s="131">
        <f t="shared" si="34"/>
        <v>0</v>
      </c>
      <c r="BO38" s="131">
        <f t="shared" si="35"/>
        <v>22.902337317535196</v>
      </c>
      <c r="BP38" s="131">
        <f t="shared" si="36"/>
        <v>25.432982324997646</v>
      </c>
      <c r="BQ38" s="131">
        <f t="shared" si="37"/>
        <v>0.73467749626877399</v>
      </c>
    </row>
    <row r="39" spans="1:70">
      <c r="A39" s="130">
        <v>30</v>
      </c>
      <c r="B39" s="131">
        <f t="shared" si="3"/>
        <v>5.3716129242500772</v>
      </c>
      <c r="C39" s="131">
        <f t="shared" si="4"/>
        <v>0</v>
      </c>
      <c r="D39" s="131">
        <f t="shared" si="5"/>
        <v>3.149919345640591</v>
      </c>
      <c r="E39" s="131">
        <f t="shared" si="6"/>
        <v>64.72250012220357</v>
      </c>
      <c r="F39" s="131">
        <f t="shared" si="7"/>
        <v>0.36140322291561433</v>
      </c>
      <c r="G39" s="131">
        <f t="shared" si="8"/>
        <v>5.6570967689374809</v>
      </c>
      <c r="H39" s="131">
        <f t="shared" si="9"/>
        <v>1.3429032310625193</v>
      </c>
      <c r="I39" s="131">
        <f t="shared" si="10"/>
        <v>2.4743225848500154</v>
      </c>
      <c r="J39" s="131">
        <f t="shared" si="11"/>
        <v>0.13141935378749611</v>
      </c>
      <c r="K39" s="131">
        <f t="shared" si="12"/>
        <v>16.786290388281493</v>
      </c>
      <c r="L39" s="131">
        <f t="shared" si="13"/>
        <v>22.030935427631043</v>
      </c>
      <c r="M39" s="131">
        <f t="shared" si="14"/>
        <v>0.45996773825623638</v>
      </c>
      <c r="O39" s="130">
        <v>30</v>
      </c>
      <c r="P39" s="131">
        <f>'Stasiun Pontianak Kota'!Q81</f>
        <v>8</v>
      </c>
      <c r="Q39" s="131">
        <f>'Stasiun Pontianak Kota'!R81</f>
        <v>0</v>
      </c>
      <c r="R39" s="131">
        <f>'Stasiun Pontianak Kota'!S81</f>
        <v>2</v>
      </c>
      <c r="S39" s="131">
        <f>'Stasiun Pontianak Kota'!T81</f>
        <v>80</v>
      </c>
      <c r="T39" s="131">
        <f>'Stasiun Pontianak Kota'!U81</f>
        <v>0</v>
      </c>
      <c r="U39" s="131">
        <f>'Stasiun Pontianak Kota'!V81</f>
        <v>5</v>
      </c>
      <c r="V39" s="131">
        <f>'Stasiun Pontianak Kota'!W81</f>
        <v>2</v>
      </c>
      <c r="W39" s="131">
        <f>'Stasiun Pontianak Kota'!X81</f>
        <v>3</v>
      </c>
      <c r="X39" s="131">
        <f>'Stasiun Pontianak Kota'!Y81</f>
        <v>0</v>
      </c>
      <c r="Y39" s="131">
        <f>'Stasiun Pontianak Kota'!Z81</f>
        <v>25</v>
      </c>
      <c r="Z39" s="131">
        <f>'Stasiun Pontianak Kota'!AA81</f>
        <v>15</v>
      </c>
      <c r="AA39" s="131">
        <f>'Stasiun Pontianak Kota'!AB81</f>
        <v>0</v>
      </c>
      <c r="AC39" s="130">
        <v>30</v>
      </c>
      <c r="AD39" s="131">
        <f>'Sta. Meteorologi pnk'!B37</f>
        <v>0</v>
      </c>
      <c r="AE39" s="131">
        <f>'Sta. Meteorologi pnk'!C37</f>
        <v>0</v>
      </c>
      <c r="AF39" s="131">
        <f>'Sta. Meteorologi pnk'!D37</f>
        <v>5.5</v>
      </c>
      <c r="AG39" s="131">
        <f>'Sta. Meteorologi pnk'!E37</f>
        <v>33.5</v>
      </c>
      <c r="AH39" s="131">
        <f>'Sta. Meteorologi pnk'!F37</f>
        <v>1.1000000000000001</v>
      </c>
      <c r="AI39" s="131">
        <f>'Sta. Meteorologi pnk'!G37</f>
        <v>7</v>
      </c>
      <c r="AJ39" s="131">
        <f>'Sta. Meteorologi pnk'!H37</f>
        <v>0</v>
      </c>
      <c r="AK39" s="131">
        <f>'Sta. Meteorologi pnk'!I37</f>
        <v>1.4</v>
      </c>
      <c r="AL39" s="131">
        <f>'Sta. Meteorologi pnk'!J37</f>
        <v>0.4</v>
      </c>
      <c r="AM39" s="131">
        <f>'Sta. Meteorologi pnk'!K37</f>
        <v>0</v>
      </c>
      <c r="AN39" s="131">
        <f>'Sta. Meteorologi pnk'!L37</f>
        <v>36.4</v>
      </c>
      <c r="AO39" s="131">
        <f>'Sta. Meteorologi pnk'!M37</f>
        <v>1.4</v>
      </c>
      <c r="AQ39" s="130">
        <v>30</v>
      </c>
      <c r="AR39" s="131">
        <f t="shared" si="15"/>
        <v>2.5904423936210499</v>
      </c>
      <c r="AS39" s="131">
        <f t="shared" si="16"/>
        <v>0</v>
      </c>
      <c r="AT39" s="131">
        <f t="shared" si="17"/>
        <v>4.3666814527907905</v>
      </c>
      <c r="AU39" s="131">
        <f t="shared" si="18"/>
        <v>48.55694641292235</v>
      </c>
      <c r="AV39" s="131">
        <f t="shared" si="19"/>
        <v>0.74381417087710566</v>
      </c>
      <c r="AW39" s="131">
        <f t="shared" si="20"/>
        <v>6.3523894015947375</v>
      </c>
      <c r="AX39" s="131">
        <f t="shared" si="21"/>
        <v>0.64761059840526247</v>
      </c>
      <c r="AY39" s="131">
        <f t="shared" si="22"/>
        <v>1.9180884787242098</v>
      </c>
      <c r="AZ39" s="131">
        <f t="shared" si="23"/>
        <v>0.27047788031894748</v>
      </c>
      <c r="BA39" s="131">
        <f t="shared" si="24"/>
        <v>8.0951324800657805</v>
      </c>
      <c r="BB39" s="131">
        <f t="shared" si="25"/>
        <v>29.470566597063687</v>
      </c>
      <c r="BC39" s="131">
        <f t="shared" si="26"/>
        <v>0.94667258111631614</v>
      </c>
      <c r="BE39" s="130">
        <v>30</v>
      </c>
      <c r="BF39" s="131">
        <f t="shared" si="38"/>
        <v>2.938709985075096</v>
      </c>
      <c r="BG39" s="131">
        <f t="shared" si="27"/>
        <v>0</v>
      </c>
      <c r="BH39" s="131">
        <f t="shared" si="28"/>
        <v>4.2143143815296451</v>
      </c>
      <c r="BI39" s="131">
        <f t="shared" si="29"/>
        <v>50.581251788248991</v>
      </c>
      <c r="BJ39" s="131">
        <f t="shared" si="30"/>
        <v>0.69592737705217433</v>
      </c>
      <c r="BK39" s="131">
        <f t="shared" si="31"/>
        <v>6.2653225037312259</v>
      </c>
      <c r="BL39" s="131">
        <f t="shared" si="32"/>
        <v>0.73467749626877399</v>
      </c>
      <c r="BM39" s="131">
        <f t="shared" si="33"/>
        <v>1.987741997015019</v>
      </c>
      <c r="BN39" s="131">
        <f t="shared" si="34"/>
        <v>0.2530645007462452</v>
      </c>
      <c r="BO39" s="131">
        <f t="shared" si="35"/>
        <v>9.1834687033596758</v>
      </c>
      <c r="BP39" s="131">
        <f t="shared" si="36"/>
        <v>28.538950789924119</v>
      </c>
      <c r="BQ39" s="131">
        <f t="shared" si="37"/>
        <v>0.88572575261185815</v>
      </c>
    </row>
    <row r="40" spans="1:70" ht="15.75" thickBot="1">
      <c r="A40" s="133">
        <v>31</v>
      </c>
      <c r="B40" s="131">
        <f t="shared" si="3"/>
        <v>0</v>
      </c>
      <c r="C40" s="131">
        <f t="shared" si="4"/>
        <v>0</v>
      </c>
      <c r="D40" s="131">
        <f t="shared" si="5"/>
        <v>2</v>
      </c>
      <c r="E40" s="131">
        <f t="shared" si="6"/>
        <v>0</v>
      </c>
      <c r="F40" s="131">
        <f t="shared" si="7"/>
        <v>1.3429032310625193</v>
      </c>
      <c r="G40" s="131">
        <f t="shared" si="8"/>
        <v>0</v>
      </c>
      <c r="H40" s="131">
        <f t="shared" si="9"/>
        <v>0</v>
      </c>
      <c r="I40" s="131">
        <f t="shared" si="10"/>
        <v>37.601290469750538</v>
      </c>
      <c r="J40" s="131">
        <f t="shared" si="11"/>
        <v>0</v>
      </c>
      <c r="K40" s="131">
        <f t="shared" si="12"/>
        <v>0</v>
      </c>
      <c r="L40" s="131">
        <f t="shared" si="13"/>
        <v>0</v>
      </c>
      <c r="M40" s="131">
        <f t="shared" si="14"/>
        <v>1.182774184087465</v>
      </c>
      <c r="O40" s="133">
        <v>31</v>
      </c>
      <c r="P40" s="131">
        <f>'Stasiun Pontianak Kota'!Q82</f>
        <v>0</v>
      </c>
      <c r="Q40" s="131">
        <f>'Stasiun Pontianak Kota'!R82</f>
        <v>0</v>
      </c>
      <c r="R40" s="131">
        <f>'Stasiun Pontianak Kota'!S82</f>
        <v>2</v>
      </c>
      <c r="S40" s="131">
        <f>'Stasiun Pontianak Kota'!T82</f>
        <v>0</v>
      </c>
      <c r="T40" s="131">
        <f>'Stasiun Pontianak Kota'!U82</f>
        <v>2</v>
      </c>
      <c r="U40" s="131">
        <f>'Stasiun Pontianak Kota'!V82</f>
        <v>0</v>
      </c>
      <c r="V40" s="131">
        <f>'Stasiun Pontianak Kota'!W82</f>
        <v>0</v>
      </c>
      <c r="W40" s="131">
        <f>'Stasiun Pontianak Kota'!X82</f>
        <v>56</v>
      </c>
      <c r="X40" s="131">
        <f>'Stasiun Pontianak Kota'!Y82</f>
        <v>0</v>
      </c>
      <c r="Y40" s="131">
        <f>'Stasiun Pontianak Kota'!Z82</f>
        <v>0</v>
      </c>
      <c r="Z40" s="131">
        <f>'Stasiun Pontianak Kota'!AA82</f>
        <v>0</v>
      </c>
      <c r="AA40" s="131">
        <f>'Stasiun Pontianak Kota'!AB82</f>
        <v>0</v>
      </c>
      <c r="AC40" s="133">
        <v>31</v>
      </c>
      <c r="AD40" s="131">
        <f>'Sta. Meteorologi pnk'!B38</f>
        <v>0</v>
      </c>
      <c r="AE40" s="131">
        <f>'Sta. Meteorologi pnk'!C38</f>
        <v>0</v>
      </c>
      <c r="AF40" s="131">
        <f>'Sta. Meteorologi pnk'!D38</f>
        <v>2</v>
      </c>
      <c r="AG40" s="131">
        <f>'Sta. Meteorologi pnk'!E38</f>
        <v>0</v>
      </c>
      <c r="AH40" s="131">
        <f>'Sta. Meteorologi pnk'!F38</f>
        <v>0</v>
      </c>
      <c r="AI40" s="131">
        <f>'Sta. Meteorologi pnk'!G38</f>
        <v>0</v>
      </c>
      <c r="AJ40" s="131">
        <f>'Sta. Meteorologi pnk'!H38</f>
        <v>0</v>
      </c>
      <c r="AK40" s="131">
        <f>'Sta. Meteorologi pnk'!I38</f>
        <v>0</v>
      </c>
      <c r="AL40" s="131">
        <f>'Sta. Meteorologi pnk'!J38</f>
        <v>0</v>
      </c>
      <c r="AM40" s="131">
        <f>'Sta. Meteorologi pnk'!K38</f>
        <v>0</v>
      </c>
      <c r="AN40" s="131">
        <f>'Sta. Meteorologi pnk'!L38</f>
        <v>0</v>
      </c>
      <c r="AO40" s="131">
        <f>'Sta. Meteorologi pnk'!M38</f>
        <v>3.6</v>
      </c>
      <c r="AQ40" s="133">
        <v>31</v>
      </c>
      <c r="AR40" s="131">
        <f t="shared" si="15"/>
        <v>0</v>
      </c>
      <c r="AS40" s="131">
        <f t="shared" si="16"/>
        <v>0</v>
      </c>
      <c r="AT40" s="131">
        <f t="shared" si="17"/>
        <v>2</v>
      </c>
      <c r="AU40" s="131">
        <f t="shared" si="18"/>
        <v>0</v>
      </c>
      <c r="AV40" s="131">
        <f t="shared" si="19"/>
        <v>0.64761059840526247</v>
      </c>
      <c r="AW40" s="131">
        <f t="shared" si="20"/>
        <v>0</v>
      </c>
      <c r="AX40" s="131">
        <f t="shared" si="21"/>
        <v>0</v>
      </c>
      <c r="AY40" s="131">
        <f t="shared" si="22"/>
        <v>18.133096755347346</v>
      </c>
      <c r="AZ40" s="131">
        <f t="shared" si="23"/>
        <v>0</v>
      </c>
      <c r="BA40" s="131">
        <f t="shared" si="24"/>
        <v>0</v>
      </c>
      <c r="BB40" s="131">
        <f t="shared" si="25"/>
        <v>0</v>
      </c>
      <c r="BC40" s="131">
        <f t="shared" si="26"/>
        <v>2.4343009228705275</v>
      </c>
      <c r="BE40" s="133">
        <v>31</v>
      </c>
      <c r="BF40" s="131">
        <f t="shared" si="38"/>
        <v>0</v>
      </c>
      <c r="BG40" s="131">
        <f t="shared" si="27"/>
        <v>0</v>
      </c>
      <c r="BH40" s="131">
        <f t="shared" si="28"/>
        <v>2</v>
      </c>
      <c r="BI40" s="131">
        <f t="shared" si="29"/>
        <v>0</v>
      </c>
      <c r="BJ40" s="131">
        <f t="shared" si="30"/>
        <v>0.73467749626877399</v>
      </c>
      <c r="BK40" s="131">
        <f t="shared" si="31"/>
        <v>0</v>
      </c>
      <c r="BL40" s="131">
        <f t="shared" si="32"/>
        <v>0</v>
      </c>
      <c r="BM40" s="131">
        <f t="shared" si="33"/>
        <v>20.570969895525671</v>
      </c>
      <c r="BN40" s="131">
        <f t="shared" si="34"/>
        <v>0</v>
      </c>
      <c r="BO40" s="131">
        <f t="shared" si="35"/>
        <v>0</v>
      </c>
      <c r="BP40" s="131">
        <f t="shared" si="36"/>
        <v>0</v>
      </c>
      <c r="BQ40" s="131">
        <f t="shared" si="37"/>
        <v>2.2775805067162072</v>
      </c>
    </row>
    <row r="41" spans="1:70">
      <c r="A41" s="135" t="s">
        <v>28</v>
      </c>
      <c r="B41" s="136">
        <f>SUM(B10:B40)</f>
        <v>142.3161129486908</v>
      </c>
      <c r="C41" s="136">
        <f t="shared" ref="C41:M41" si="39">SUM(C10:C40)</f>
        <v>298.56712886774318</v>
      </c>
      <c r="D41" s="136">
        <f t="shared" si="39"/>
        <v>121.42772554706467</v>
      </c>
      <c r="E41" s="136">
        <f t="shared" si="39"/>
        <v>436.35887116484446</v>
      </c>
      <c r="F41" s="136">
        <f t="shared" si="39"/>
        <v>358.33208088247267</v>
      </c>
      <c r="G41" s="136">
        <f t="shared" si="39"/>
        <v>101.54003226174376</v>
      </c>
      <c r="H41" s="136">
        <f t="shared" si="39"/>
        <v>264.1866130057191</v>
      </c>
      <c r="I41" s="136">
        <f t="shared" si="39"/>
        <v>144.8500806543594</v>
      </c>
      <c r="J41" s="136">
        <f t="shared" si="39"/>
        <v>242.77001613087185</v>
      </c>
      <c r="K41" s="136">
        <f t="shared" si="39"/>
        <v>277.8912257833249</v>
      </c>
      <c r="L41" s="136">
        <f t="shared" si="39"/>
        <v>313.74322584850017</v>
      </c>
      <c r="M41" s="136">
        <f t="shared" si="39"/>
        <v>392.48069346455287</v>
      </c>
      <c r="N41" s="137">
        <f>COUNTIF(B10:M40,"&lt;0,1")-COUNTIF(B10:M40,"&lt;=0")</f>
        <v>-128</v>
      </c>
      <c r="O41" s="135" t="s">
        <v>28</v>
      </c>
      <c r="P41" s="136">
        <f>SUM(P10:P40)</f>
        <v>148</v>
      </c>
      <c r="Q41" s="136">
        <f t="shared" ref="Q41:AA41" si="40">SUM(Q10:Q40)</f>
        <v>278</v>
      </c>
      <c r="R41" s="136">
        <f t="shared" si="40"/>
        <v>89</v>
      </c>
      <c r="S41" s="136">
        <f t="shared" si="40"/>
        <v>461</v>
      </c>
      <c r="T41" s="136">
        <f t="shared" si="40"/>
        <v>388</v>
      </c>
      <c r="U41" s="136">
        <f t="shared" si="40"/>
        <v>102</v>
      </c>
      <c r="V41" s="136">
        <f t="shared" si="40"/>
        <v>277</v>
      </c>
      <c r="W41" s="136">
        <f t="shared" si="40"/>
        <v>146</v>
      </c>
      <c r="X41" s="136">
        <f t="shared" si="40"/>
        <v>243</v>
      </c>
      <c r="Y41" s="136">
        <f t="shared" si="40"/>
        <v>275</v>
      </c>
      <c r="Z41" s="136">
        <f t="shared" si="40"/>
        <v>319</v>
      </c>
      <c r="AA41" s="136">
        <f t="shared" si="40"/>
        <v>382</v>
      </c>
      <c r="AB41" s="137">
        <f>COUNTIF(P10:AA40,"&lt;0,1")-COUNTIF(P10:AA40,"&lt;=0")</f>
        <v>-217</v>
      </c>
      <c r="AC41" s="135" t="s">
        <v>28</v>
      </c>
      <c r="AD41" s="136">
        <f>SUM(AD10:AD40)</f>
        <v>130.69999999999999</v>
      </c>
      <c r="AE41" s="136">
        <f t="shared" ref="AE41:AO41" si="41">SUM(AE10:AE40)</f>
        <v>340.59999999999997</v>
      </c>
      <c r="AF41" s="136">
        <f t="shared" si="41"/>
        <v>187.7</v>
      </c>
      <c r="AG41" s="136">
        <f t="shared" si="41"/>
        <v>386</v>
      </c>
      <c r="AH41" s="136">
        <f t="shared" si="41"/>
        <v>297.70000000000005</v>
      </c>
      <c r="AI41" s="136">
        <f t="shared" si="41"/>
        <v>100.60000000000001</v>
      </c>
      <c r="AJ41" s="136">
        <f t="shared" si="41"/>
        <v>238.00000000000003</v>
      </c>
      <c r="AK41" s="136">
        <f t="shared" si="41"/>
        <v>142.5</v>
      </c>
      <c r="AL41" s="136">
        <f t="shared" si="41"/>
        <v>242.3</v>
      </c>
      <c r="AM41" s="136">
        <f t="shared" si="41"/>
        <v>283.8</v>
      </c>
      <c r="AN41" s="136">
        <f t="shared" si="41"/>
        <v>302.99999999999994</v>
      </c>
      <c r="AO41" s="136">
        <f t="shared" si="41"/>
        <v>413.89999999999992</v>
      </c>
      <c r="AP41" s="137">
        <f>COUNTIF(AD10:AO40,"&lt;0,1")-COUNTIF(AD10:AO40,"&lt;=0")</f>
        <v>-188</v>
      </c>
      <c r="AQ41" s="135" t="s">
        <v>28</v>
      </c>
      <c r="AR41" s="136">
        <f>SUM(AR10:AR40)</f>
        <v>136.3018316762055</v>
      </c>
      <c r="AS41" s="136">
        <f t="shared" ref="AS41:BC41" si="42">SUM(AS10:AS40)</f>
        <v>320.32978826991524</v>
      </c>
      <c r="AT41" s="136">
        <f t="shared" si="42"/>
        <v>155.74041696870029</v>
      </c>
      <c r="AU41" s="136">
        <f t="shared" si="42"/>
        <v>410.28539744019736</v>
      </c>
      <c r="AV41" s="136">
        <f t="shared" si="42"/>
        <v>326.93961851799747</v>
      </c>
      <c r="AW41" s="136">
        <f t="shared" si="42"/>
        <v>101.05332741888368</v>
      </c>
      <c r="AX41" s="136">
        <f t="shared" si="42"/>
        <v>250.62840666890261</v>
      </c>
      <c r="AY41" s="136">
        <f t="shared" si="42"/>
        <v>143.63331854720917</v>
      </c>
      <c r="AZ41" s="136">
        <f t="shared" si="42"/>
        <v>242.52666370944178</v>
      </c>
      <c r="BA41" s="136">
        <f t="shared" si="42"/>
        <v>280.95051336701681</v>
      </c>
      <c r="BB41" s="136">
        <f t="shared" si="42"/>
        <v>308.18088478724206</v>
      </c>
      <c r="BC41" s="136">
        <f t="shared" si="42"/>
        <v>403.57061095543611</v>
      </c>
      <c r="BD41" s="137">
        <f>COUNTIF(AR10:BC40,"&lt;0,1")-COUNTIF(AR10:BC40,"&lt;=0")</f>
        <v>-128</v>
      </c>
      <c r="BE41" s="135" t="s">
        <v>28</v>
      </c>
      <c r="BF41" s="136">
        <f>SUM(BF10:BF40)</f>
        <v>137.05496034272488</v>
      </c>
      <c r="BG41" s="136">
        <f t="shared" ref="BG41:BQ41" si="43">SUM(BG10:BG40)</f>
        <v>317.6045943667873</v>
      </c>
      <c r="BH41" s="136">
        <f t="shared" si="43"/>
        <v>151.44366555913598</v>
      </c>
      <c r="BI41" s="136">
        <f t="shared" si="43"/>
        <v>413.550406110079</v>
      </c>
      <c r="BJ41" s="136">
        <f t="shared" si="43"/>
        <v>330.87068895653516</v>
      </c>
      <c r="BK41" s="136">
        <f t="shared" si="43"/>
        <v>101.11427424738812</v>
      </c>
      <c r="BL41" s="136">
        <f t="shared" si="43"/>
        <v>252.32621117724111</v>
      </c>
      <c r="BM41" s="136">
        <f t="shared" si="43"/>
        <v>143.78568561847038</v>
      </c>
      <c r="BN41" s="136">
        <f t="shared" si="43"/>
        <v>242.55713712369408</v>
      </c>
      <c r="BO41" s="136">
        <f t="shared" si="43"/>
        <v>280.56741901641738</v>
      </c>
      <c r="BP41" s="136">
        <f t="shared" si="43"/>
        <v>308.87741997015013</v>
      </c>
      <c r="BQ41" s="136">
        <f t="shared" si="43"/>
        <v>402.18189393451303</v>
      </c>
      <c r="BR41" s="137">
        <f>COUNTIF(BF10:BQ40,"&lt;0,1")-COUNTIF(BF10:BQ40,"&lt;=0")</f>
        <v>-128</v>
      </c>
    </row>
    <row r="42" spans="1:70">
      <c r="A42" s="138" t="s">
        <v>29</v>
      </c>
      <c r="B42" s="139">
        <f>MAX(B10:B40)</f>
        <v>36.929838854219284</v>
      </c>
      <c r="C42" s="139">
        <f t="shared" ref="C42:M42" si="44">MAX(C10:C40)</f>
        <v>51.252322682612878</v>
      </c>
      <c r="D42" s="139">
        <f t="shared" si="44"/>
        <v>31.731403059977509</v>
      </c>
      <c r="E42" s="139">
        <f t="shared" si="44"/>
        <v>70.229983869128105</v>
      </c>
      <c r="F42" s="139">
        <f t="shared" si="44"/>
        <v>75.202580939501075</v>
      </c>
      <c r="G42" s="139">
        <f t="shared" si="44"/>
        <v>24.607967673080992</v>
      </c>
      <c r="H42" s="139">
        <f t="shared" si="44"/>
        <v>42.046903361413001</v>
      </c>
      <c r="I42" s="139">
        <f t="shared" si="44"/>
        <v>37.601290469750538</v>
      </c>
      <c r="J42" s="139">
        <f t="shared" si="44"/>
        <v>45.447225978850639</v>
      </c>
      <c r="K42" s="139">
        <f t="shared" si="44"/>
        <v>61.485144933439784</v>
      </c>
      <c r="L42" s="139">
        <f t="shared" si="44"/>
        <v>59.759193782282111</v>
      </c>
      <c r="M42" s="139">
        <f t="shared" si="44"/>
        <v>84.266677529206646</v>
      </c>
      <c r="N42" s="129">
        <f>MAX(B42:M42)</f>
        <v>84.266677529206646</v>
      </c>
      <c r="O42" s="138" t="s">
        <v>29</v>
      </c>
      <c r="P42" s="139">
        <f>MAX(P10:P40)</f>
        <v>55</v>
      </c>
      <c r="Q42" s="139">
        <f t="shared" ref="Q42:AA42" si="45">MAX(Q10:Q40)</f>
        <v>64</v>
      </c>
      <c r="R42" s="139">
        <f t="shared" si="45"/>
        <v>32</v>
      </c>
      <c r="S42" s="139">
        <f t="shared" si="45"/>
        <v>91</v>
      </c>
      <c r="T42" s="139">
        <f t="shared" si="45"/>
        <v>112</v>
      </c>
      <c r="U42" s="139">
        <f t="shared" si="45"/>
        <v>36</v>
      </c>
      <c r="V42" s="139">
        <f t="shared" si="45"/>
        <v>59</v>
      </c>
      <c r="W42" s="139">
        <f t="shared" si="45"/>
        <v>56</v>
      </c>
      <c r="X42" s="139">
        <f t="shared" si="45"/>
        <v>67</v>
      </c>
      <c r="Y42" s="139">
        <f t="shared" si="45"/>
        <v>37</v>
      </c>
      <c r="Z42" s="139">
        <f t="shared" si="45"/>
        <v>89</v>
      </c>
      <c r="AA42" s="139">
        <f t="shared" si="45"/>
        <v>98</v>
      </c>
      <c r="AB42" s="129">
        <f>MAX(P42:AA42)</f>
        <v>112</v>
      </c>
      <c r="AC42" s="138" t="s">
        <v>29</v>
      </c>
      <c r="AD42" s="139">
        <f>MAX(AD10:AD40)</f>
        <v>44.3</v>
      </c>
      <c r="AE42" s="139">
        <f t="shared" ref="AE42:AO42" si="46">MAX(AE10:AE40)</f>
        <v>110.5</v>
      </c>
      <c r="AF42" s="139">
        <f t="shared" si="46"/>
        <v>74.099999999999994</v>
      </c>
      <c r="AG42" s="139">
        <f t="shared" si="46"/>
        <v>101</v>
      </c>
      <c r="AH42" s="139">
        <f t="shared" si="46"/>
        <v>67</v>
      </c>
      <c r="AI42" s="139">
        <f t="shared" si="46"/>
        <v>42.2</v>
      </c>
      <c r="AJ42" s="139">
        <f t="shared" si="46"/>
        <v>94.4</v>
      </c>
      <c r="AK42" s="139">
        <f t="shared" si="46"/>
        <v>61</v>
      </c>
      <c r="AL42" s="139">
        <f t="shared" si="46"/>
        <v>73.2</v>
      </c>
      <c r="AM42" s="139">
        <f t="shared" si="46"/>
        <v>119.7</v>
      </c>
      <c r="AN42" s="139">
        <f t="shared" si="46"/>
        <v>86.5</v>
      </c>
      <c r="AO42" s="139">
        <f t="shared" si="46"/>
        <v>98</v>
      </c>
      <c r="AQ42" s="138" t="s">
        <v>29</v>
      </c>
      <c r="AR42" s="139">
        <f>MAX(AR10:AR40)</f>
        <v>29.955425245323433</v>
      </c>
      <c r="AS42" s="139">
        <f t="shared" ref="AS42:BC42" si="47">MAX(AS10:AS40)</f>
        <v>74.719514438109243</v>
      </c>
      <c r="AT42" s="139">
        <f t="shared" si="47"/>
        <v>53.66788562031396</v>
      </c>
      <c r="AU42" s="139">
        <f t="shared" si="47"/>
        <v>70.473336290558152</v>
      </c>
      <c r="AV42" s="139">
        <f t="shared" si="47"/>
        <v>48.299061982711052</v>
      </c>
      <c r="AW42" s="139">
        <f t="shared" si="47"/>
        <v>33.716301160891064</v>
      </c>
      <c r="AX42" s="139">
        <f t="shared" si="47"/>
        <v>67.718443345703193</v>
      </c>
      <c r="AY42" s="139">
        <f t="shared" si="47"/>
        <v>41.247876748639491</v>
      </c>
      <c r="AZ42" s="139">
        <f t="shared" si="47"/>
        <v>54.030726287204224</v>
      </c>
      <c r="BA42" s="139">
        <f t="shared" si="47"/>
        <v>91.626080559131879</v>
      </c>
      <c r="BB42" s="139">
        <f t="shared" si="47"/>
        <v>59.78606281578292</v>
      </c>
      <c r="BC42" s="139">
        <f t="shared" si="47"/>
        <v>69.735061506669993</v>
      </c>
      <c r="BE42" s="138" t="s">
        <v>29</v>
      </c>
      <c r="BF42" s="139">
        <f>MAX(BF10:BF40)</f>
        <v>28.026893457646654</v>
      </c>
      <c r="BG42" s="139">
        <f t="shared" ref="BG42:BQ42" si="48">MAX(BG10:BG40)</f>
        <v>69.909068331150237</v>
      </c>
      <c r="BH42" s="139">
        <f t="shared" si="48"/>
        <v>50.920924992720174</v>
      </c>
      <c r="BI42" s="139">
        <f t="shared" si="48"/>
        <v>70.442862876305938</v>
      </c>
      <c r="BJ42" s="139">
        <f t="shared" si="48"/>
        <v>48.151048256343088</v>
      </c>
      <c r="BK42" s="139">
        <f t="shared" si="48"/>
        <v>32.575724798879058</v>
      </c>
      <c r="BL42" s="139">
        <f t="shared" si="48"/>
        <v>64.131287153726518</v>
      </c>
      <c r="BM42" s="139">
        <f t="shared" si="48"/>
        <v>38.592336363802396</v>
      </c>
      <c r="BN42" s="139">
        <f t="shared" si="48"/>
        <v>51.453546110444286</v>
      </c>
      <c r="BO42" s="139">
        <f t="shared" si="48"/>
        <v>87.851730536748647</v>
      </c>
      <c r="BP42" s="139">
        <f t="shared" si="48"/>
        <v>56.19455327891307</v>
      </c>
      <c r="BQ42" s="139">
        <f t="shared" si="48"/>
        <v>71.554759672017383</v>
      </c>
      <c r="BR42" s="129">
        <f>MAX(BF42:BQ42)</f>
        <v>87.851730536748647</v>
      </c>
    </row>
    <row r="43" spans="1:70">
      <c r="A43" s="130" t="s">
        <v>30</v>
      </c>
      <c r="B43" s="131">
        <f>SUM(B10:B24)</f>
        <v>42.835419484137979</v>
      </c>
      <c r="C43" s="131">
        <f t="shared" ref="C43:M43" si="49">SUM(C10:C24)</f>
        <v>220.85261271243058</v>
      </c>
      <c r="D43" s="131">
        <f t="shared" si="49"/>
        <v>36.979580597331072</v>
      </c>
      <c r="E43" s="131">
        <f t="shared" si="49"/>
        <v>214.86029035569385</v>
      </c>
      <c r="F43" s="131">
        <f t="shared" si="49"/>
        <v>298.3094357453603</v>
      </c>
      <c r="G43" s="131">
        <f t="shared" si="49"/>
        <v>79.722806445831225</v>
      </c>
      <c r="H43" s="131">
        <f t="shared" si="49"/>
        <v>204.7250321802747</v>
      </c>
      <c r="I43" s="131">
        <f t="shared" si="49"/>
        <v>42.956935460218659</v>
      </c>
      <c r="J43" s="131">
        <f t="shared" si="49"/>
        <v>167.49282257670311</v>
      </c>
      <c r="K43" s="131">
        <f t="shared" si="49"/>
        <v>53.038613070894371</v>
      </c>
      <c r="L43" s="131">
        <f t="shared" si="49"/>
        <v>129.76970980724423</v>
      </c>
      <c r="M43" s="131">
        <f t="shared" si="49"/>
        <v>175.58532253596857</v>
      </c>
      <c r="O43" s="130" t="s">
        <v>30</v>
      </c>
      <c r="P43" s="131">
        <f>SUM(P10:P24)</f>
        <v>59</v>
      </c>
      <c r="Q43" s="131">
        <f t="shared" ref="Q43:AA43" si="50">SUM(Q10:Q24)</f>
        <v>197</v>
      </c>
      <c r="R43" s="131">
        <f t="shared" si="50"/>
        <v>31</v>
      </c>
      <c r="S43" s="131">
        <f t="shared" si="50"/>
        <v>219</v>
      </c>
      <c r="T43" s="131">
        <f t="shared" si="50"/>
        <v>331</v>
      </c>
      <c r="U43" s="131">
        <f t="shared" si="50"/>
        <v>79</v>
      </c>
      <c r="V43" s="131">
        <f t="shared" si="50"/>
        <v>195</v>
      </c>
      <c r="W43" s="131">
        <f t="shared" si="50"/>
        <v>40</v>
      </c>
      <c r="X43" s="131">
        <f t="shared" si="50"/>
        <v>167</v>
      </c>
      <c r="Y43" s="131">
        <f t="shared" si="50"/>
        <v>74</v>
      </c>
      <c r="Z43" s="131">
        <f t="shared" si="50"/>
        <v>146</v>
      </c>
      <c r="AA43" s="131">
        <f t="shared" si="50"/>
        <v>170</v>
      </c>
      <c r="AC43" s="130" t="s">
        <v>30</v>
      </c>
      <c r="AD43" s="131">
        <f>SUM(AD10:AD24)</f>
        <v>9.8000000000000007</v>
      </c>
      <c r="AE43" s="131">
        <f t="shared" ref="AE43:AO43" si="51">SUM(AE10:AE24)</f>
        <v>269.59999999999997</v>
      </c>
      <c r="AF43" s="131">
        <f t="shared" si="51"/>
        <v>49.199999999999996</v>
      </c>
      <c r="AG43" s="131">
        <f t="shared" si="51"/>
        <v>206.40000000000003</v>
      </c>
      <c r="AH43" s="131">
        <f t="shared" si="51"/>
        <v>231.50000000000003</v>
      </c>
      <c r="AI43" s="131">
        <f t="shared" si="51"/>
        <v>81.2</v>
      </c>
      <c r="AJ43" s="131">
        <f t="shared" si="51"/>
        <v>224.60000000000002</v>
      </c>
      <c r="AK43" s="131">
        <f t="shared" si="51"/>
        <v>49</v>
      </c>
      <c r="AL43" s="131">
        <f t="shared" si="51"/>
        <v>168.5</v>
      </c>
      <c r="AM43" s="131">
        <f t="shared" si="51"/>
        <v>10.199999999999999</v>
      </c>
      <c r="AN43" s="131">
        <f t="shared" si="51"/>
        <v>96.600000000000009</v>
      </c>
      <c r="AO43" s="131">
        <f t="shared" si="51"/>
        <v>187</v>
      </c>
      <c r="AQ43" s="130" t="s">
        <v>30</v>
      </c>
      <c r="AR43" s="131">
        <f>SUM(AR10:AR24)</f>
        <v>25.731220720769453</v>
      </c>
      <c r="AS43" s="131">
        <f t="shared" ref="AS43:BC43" si="52">SUM(AS10:AS24)</f>
        <v>246.09173527788897</v>
      </c>
      <c r="AT43" s="131">
        <f t="shared" si="52"/>
        <v>43.30674355451211</v>
      </c>
      <c r="AU43" s="131">
        <f t="shared" si="52"/>
        <v>210.47994676995316</v>
      </c>
      <c r="AV43" s="131">
        <f t="shared" si="52"/>
        <v>263.71862727066173</v>
      </c>
      <c r="AW43" s="131">
        <f t="shared" si="52"/>
        <v>80.487628341754217</v>
      </c>
      <c r="AX43" s="131">
        <f t="shared" si="52"/>
        <v>215.01536314360212</v>
      </c>
      <c r="AY43" s="131">
        <f t="shared" si="52"/>
        <v>46.085752307176307</v>
      </c>
      <c r="AZ43" s="131">
        <f t="shared" si="52"/>
        <v>168.01429205119604</v>
      </c>
      <c r="BA43" s="131">
        <f t="shared" si="52"/>
        <v>30.85877808912787</v>
      </c>
      <c r="BB43" s="131">
        <f t="shared" si="52"/>
        <v>112.59598178060999</v>
      </c>
      <c r="BC43" s="131">
        <f t="shared" si="52"/>
        <v>181.49530991355527</v>
      </c>
      <c r="BE43" s="130" t="s">
        <v>30</v>
      </c>
      <c r="BF43" s="131">
        <f>SUM(BF10:BF24)</f>
        <v>27.873066408211837</v>
      </c>
      <c r="BG43" s="131">
        <f t="shared" ref="BG43:BQ43" si="53">SUM(BG10:BG24)</f>
        <v>242.93120688544349</v>
      </c>
      <c r="BH43" s="131">
        <f t="shared" si="53"/>
        <v>42.514434783954151</v>
      </c>
      <c r="BI43" s="131">
        <f t="shared" si="53"/>
        <v>211.02846822649326</v>
      </c>
      <c r="BJ43" s="131">
        <f t="shared" si="53"/>
        <v>268.0502054393715</v>
      </c>
      <c r="BK43" s="131">
        <f t="shared" si="53"/>
        <v>80.391854754104344</v>
      </c>
      <c r="BL43" s="131">
        <f t="shared" si="53"/>
        <v>213.72677305522217</v>
      </c>
      <c r="BM43" s="131">
        <f t="shared" si="53"/>
        <v>45.693951266790513</v>
      </c>
      <c r="BN43" s="131">
        <f t="shared" si="53"/>
        <v>167.94899187779845</v>
      </c>
      <c r="BO43" s="131">
        <f t="shared" si="53"/>
        <v>33.636212130973895</v>
      </c>
      <c r="BP43" s="131">
        <f t="shared" si="53"/>
        <v>114.74653415783872</v>
      </c>
      <c r="BQ43" s="131">
        <f t="shared" si="53"/>
        <v>180.75524128171543</v>
      </c>
    </row>
    <row r="44" spans="1:70">
      <c r="A44" s="140" t="s">
        <v>31</v>
      </c>
      <c r="B44" s="141">
        <f>SUM(B25:B40)</f>
        <v>99.480693464552814</v>
      </c>
      <c r="C44" s="141">
        <f t="shared" ref="C44:M44" si="54">SUM(C25:C40)</f>
        <v>77.714516155312594</v>
      </c>
      <c r="D44" s="141">
        <f t="shared" si="54"/>
        <v>84.448144949733603</v>
      </c>
      <c r="E44" s="141">
        <f t="shared" si="54"/>
        <v>221.49858080915058</v>
      </c>
      <c r="F44" s="141">
        <f t="shared" si="54"/>
        <v>60.022645137112406</v>
      </c>
      <c r="G44" s="141">
        <f t="shared" si="54"/>
        <v>21.817225815912533</v>
      </c>
      <c r="H44" s="141">
        <f t="shared" si="54"/>
        <v>59.461580825444415</v>
      </c>
      <c r="I44" s="141">
        <f t="shared" si="54"/>
        <v>101.89314519414074</v>
      </c>
      <c r="J44" s="141">
        <f t="shared" si="54"/>
        <v>75.277193554168747</v>
      </c>
      <c r="K44" s="141">
        <f t="shared" si="54"/>
        <v>224.85261271243053</v>
      </c>
      <c r="L44" s="141">
        <f t="shared" si="54"/>
        <v>183.97351604125592</v>
      </c>
      <c r="M44" s="141">
        <f t="shared" si="54"/>
        <v>216.89537092858421</v>
      </c>
      <c r="O44" s="140" t="s">
        <v>31</v>
      </c>
      <c r="P44" s="141">
        <f>SUM(P25:P40)</f>
        <v>89</v>
      </c>
      <c r="Q44" s="141">
        <f t="shared" ref="Q44:AA44" si="55">SUM(Q25:Q40)</f>
        <v>81</v>
      </c>
      <c r="R44" s="141">
        <f t="shared" si="55"/>
        <v>58</v>
      </c>
      <c r="S44" s="141">
        <f t="shared" si="55"/>
        <v>242</v>
      </c>
      <c r="T44" s="141">
        <f t="shared" si="55"/>
        <v>57</v>
      </c>
      <c r="U44" s="141">
        <f t="shared" si="55"/>
        <v>23</v>
      </c>
      <c r="V44" s="141">
        <f t="shared" si="55"/>
        <v>82</v>
      </c>
      <c r="W44" s="141">
        <f t="shared" si="55"/>
        <v>106</v>
      </c>
      <c r="X44" s="141">
        <f t="shared" si="55"/>
        <v>76</v>
      </c>
      <c r="Y44" s="141">
        <f t="shared" si="55"/>
        <v>201</v>
      </c>
      <c r="Z44" s="141">
        <f t="shared" si="55"/>
        <v>173</v>
      </c>
      <c r="AA44" s="141">
        <f t="shared" si="55"/>
        <v>212</v>
      </c>
      <c r="AC44" s="140" t="s">
        <v>31</v>
      </c>
      <c r="AD44" s="141">
        <f>SUM(AD25:AD40)</f>
        <v>120.9</v>
      </c>
      <c r="AE44" s="141">
        <f t="shared" ref="AE44:AO44" si="56">SUM(AE25:AE40)</f>
        <v>71</v>
      </c>
      <c r="AF44" s="141">
        <f t="shared" si="56"/>
        <v>138.5</v>
      </c>
      <c r="AG44" s="141">
        <f t="shared" si="56"/>
        <v>179.59999999999997</v>
      </c>
      <c r="AH44" s="141">
        <f t="shared" si="56"/>
        <v>66.2</v>
      </c>
      <c r="AI44" s="141">
        <f t="shared" si="56"/>
        <v>19.399999999999999</v>
      </c>
      <c r="AJ44" s="141">
        <f t="shared" si="56"/>
        <v>13.4</v>
      </c>
      <c r="AK44" s="141">
        <f t="shared" si="56"/>
        <v>93.5</v>
      </c>
      <c r="AL44" s="141">
        <f t="shared" si="56"/>
        <v>73.800000000000011</v>
      </c>
      <c r="AM44" s="141">
        <f t="shared" si="56"/>
        <v>273.60000000000002</v>
      </c>
      <c r="AN44" s="141">
        <f t="shared" si="56"/>
        <v>206.4</v>
      </c>
      <c r="AO44" s="141">
        <f t="shared" si="56"/>
        <v>226.9</v>
      </c>
      <c r="AQ44" s="140" t="s">
        <v>31</v>
      </c>
      <c r="AR44" s="141">
        <f>SUM(AR25:AR40)</f>
        <v>110.57061095543605</v>
      </c>
      <c r="AS44" s="141">
        <f t="shared" ref="AS44:BC44" si="57">SUM(AS25:AS40)</f>
        <v>74.238052992026311</v>
      </c>
      <c r="AT44" s="141">
        <f t="shared" si="57"/>
        <v>112.43367341418816</v>
      </c>
      <c r="AU44" s="141">
        <f t="shared" si="57"/>
        <v>199.80545067024417</v>
      </c>
      <c r="AV44" s="141">
        <f t="shared" si="57"/>
        <v>63.220991247335796</v>
      </c>
      <c r="AW44" s="141">
        <f t="shared" si="57"/>
        <v>20.565699077129469</v>
      </c>
      <c r="AX44" s="141">
        <f t="shared" si="57"/>
        <v>35.613043525300505</v>
      </c>
      <c r="AY44" s="141">
        <f t="shared" si="57"/>
        <v>97.547566240032893</v>
      </c>
      <c r="AZ44" s="141">
        <f t="shared" si="57"/>
        <v>74.512371658245783</v>
      </c>
      <c r="BA44" s="141">
        <f t="shared" si="57"/>
        <v>250.09173527788897</v>
      </c>
      <c r="BB44" s="141">
        <f t="shared" si="57"/>
        <v>195.58490300663209</v>
      </c>
      <c r="BC44" s="141">
        <f t="shared" si="57"/>
        <v>222.07530104188078</v>
      </c>
      <c r="BE44" s="140" t="s">
        <v>31</v>
      </c>
      <c r="BF44" s="141">
        <f>SUM(BF25:BF40)</f>
        <v>109.18189393451306</v>
      </c>
      <c r="BG44" s="141">
        <f t="shared" ref="BG44:BQ44" si="58">SUM(BG25:BG40)</f>
        <v>74.673387481343866</v>
      </c>
      <c r="BH44" s="141">
        <f t="shared" si="58"/>
        <v>108.92923077518185</v>
      </c>
      <c r="BI44" s="141">
        <f t="shared" si="58"/>
        <v>202.52193788358574</v>
      </c>
      <c r="BJ44" s="141">
        <f t="shared" si="58"/>
        <v>62.82048351716363</v>
      </c>
      <c r="BK44" s="141">
        <f t="shared" si="58"/>
        <v>20.722419493283795</v>
      </c>
      <c r="BL44" s="141">
        <f t="shared" si="58"/>
        <v>38.599438122018952</v>
      </c>
      <c r="BM44" s="141">
        <f t="shared" si="58"/>
        <v>98.091734351679861</v>
      </c>
      <c r="BN44" s="141">
        <f t="shared" si="58"/>
        <v>74.608145245895642</v>
      </c>
      <c r="BO44" s="141">
        <f t="shared" si="58"/>
        <v>246.93120688544352</v>
      </c>
      <c r="BP44" s="141">
        <f t="shared" si="58"/>
        <v>194.13088581231148</v>
      </c>
      <c r="BQ44" s="141">
        <f t="shared" si="58"/>
        <v>221.42665265279763</v>
      </c>
    </row>
    <row r="45" spans="1:70" ht="15.75" thickBot="1">
      <c r="A45" s="133" t="s">
        <v>32</v>
      </c>
      <c r="B45" s="134">
        <f>COUNTIF(B12:B42,"&gt;0")</f>
        <v>14</v>
      </c>
      <c r="C45" s="134">
        <f t="shared" ref="C45:M45" si="59">COUNTIF(C12:C42,"&gt;0")</f>
        <v>24</v>
      </c>
      <c r="D45" s="134">
        <f t="shared" si="59"/>
        <v>18</v>
      </c>
      <c r="E45" s="134">
        <f t="shared" si="59"/>
        <v>25</v>
      </c>
      <c r="F45" s="134">
        <f t="shared" si="59"/>
        <v>29</v>
      </c>
      <c r="G45" s="134">
        <f t="shared" si="59"/>
        <v>12</v>
      </c>
      <c r="H45" s="134">
        <f t="shared" si="59"/>
        <v>20</v>
      </c>
      <c r="I45" s="134">
        <f t="shared" si="59"/>
        <v>16</v>
      </c>
      <c r="J45" s="134">
        <f t="shared" si="59"/>
        <v>21</v>
      </c>
      <c r="K45" s="134">
        <f t="shared" si="59"/>
        <v>21</v>
      </c>
      <c r="L45" s="134">
        <f t="shared" si="59"/>
        <v>23</v>
      </c>
      <c r="M45" s="134">
        <f t="shared" si="59"/>
        <v>29</v>
      </c>
      <c r="O45" s="133" t="s">
        <v>32</v>
      </c>
      <c r="P45" s="134">
        <f>COUNTIF(P10:P40,"&gt;0")</f>
        <v>9</v>
      </c>
      <c r="Q45" s="134">
        <f t="shared" ref="Q45:AA45" si="60">COUNTIF(Q10:Q40,"&gt;0")</f>
        <v>13</v>
      </c>
      <c r="R45" s="134">
        <f t="shared" si="60"/>
        <v>8</v>
      </c>
      <c r="S45" s="134">
        <f t="shared" si="60"/>
        <v>15</v>
      </c>
      <c r="T45" s="134">
        <f t="shared" si="60"/>
        <v>22</v>
      </c>
      <c r="U45" s="134">
        <f t="shared" si="60"/>
        <v>6</v>
      </c>
      <c r="V45" s="134">
        <f t="shared" si="60"/>
        <v>15</v>
      </c>
      <c r="W45" s="134">
        <f t="shared" si="60"/>
        <v>9</v>
      </c>
      <c r="X45" s="134">
        <f t="shared" si="60"/>
        <v>13</v>
      </c>
      <c r="Y45" s="134">
        <f t="shared" si="60"/>
        <v>15</v>
      </c>
      <c r="Z45" s="134">
        <f t="shared" si="60"/>
        <v>11</v>
      </c>
      <c r="AA45" s="134">
        <f t="shared" si="60"/>
        <v>19</v>
      </c>
      <c r="AC45" s="133" t="s">
        <v>32</v>
      </c>
      <c r="AD45" s="134">
        <f>COUNTIF(AD10:AD40,"&gt;0")</f>
        <v>10</v>
      </c>
      <c r="AE45" s="134">
        <f t="shared" ref="AE45:AO45" si="61">COUNTIF(AE10:AE40,"&gt;0")</f>
        <v>17</v>
      </c>
      <c r="AF45" s="134">
        <f t="shared" si="61"/>
        <v>13</v>
      </c>
      <c r="AG45" s="134">
        <f t="shared" si="61"/>
        <v>17</v>
      </c>
      <c r="AH45" s="134">
        <f t="shared" si="61"/>
        <v>25</v>
      </c>
      <c r="AI45" s="134">
        <f t="shared" si="61"/>
        <v>9</v>
      </c>
      <c r="AJ45" s="134">
        <f t="shared" si="61"/>
        <v>12</v>
      </c>
      <c r="AK45" s="134">
        <f t="shared" si="61"/>
        <v>8</v>
      </c>
      <c r="AL45" s="134">
        <f t="shared" si="61"/>
        <v>18</v>
      </c>
      <c r="AM45" s="134">
        <f t="shared" si="61"/>
        <v>13</v>
      </c>
      <c r="AN45" s="134">
        <f t="shared" si="61"/>
        <v>18</v>
      </c>
      <c r="AO45" s="134">
        <f t="shared" si="61"/>
        <v>24</v>
      </c>
      <c r="AQ45" s="133" t="s">
        <v>32</v>
      </c>
      <c r="AR45" s="134">
        <f>COUNTIF(AR10:AR40,"&gt;0")</f>
        <v>14</v>
      </c>
      <c r="AS45" s="134">
        <f t="shared" ref="AS45:BC45" si="62">COUNTIF(AS10:AS40,"&gt;0")</f>
        <v>24</v>
      </c>
      <c r="AT45" s="134">
        <f t="shared" si="62"/>
        <v>16</v>
      </c>
      <c r="AU45" s="134">
        <f t="shared" si="62"/>
        <v>24</v>
      </c>
      <c r="AV45" s="134">
        <f t="shared" si="62"/>
        <v>29</v>
      </c>
      <c r="AW45" s="134">
        <f t="shared" si="62"/>
        <v>11</v>
      </c>
      <c r="AX45" s="134">
        <f t="shared" si="62"/>
        <v>20</v>
      </c>
      <c r="AY45" s="134">
        <f t="shared" si="62"/>
        <v>15</v>
      </c>
      <c r="AZ45" s="134">
        <f t="shared" si="62"/>
        <v>21</v>
      </c>
      <c r="BA45" s="134">
        <f t="shared" si="62"/>
        <v>19</v>
      </c>
      <c r="BB45" s="134">
        <f t="shared" si="62"/>
        <v>22</v>
      </c>
      <c r="BC45" s="134">
        <f t="shared" si="62"/>
        <v>29</v>
      </c>
      <c r="BE45" s="133" t="s">
        <v>32</v>
      </c>
      <c r="BF45" s="134">
        <f>COUNTIF(BF10:BF40,"&gt;0")</f>
        <v>14</v>
      </c>
      <c r="BG45" s="134">
        <f t="shared" ref="BG45:BQ45" si="63">COUNTIF(BG10:BG40,"&gt;0")</f>
        <v>24</v>
      </c>
      <c r="BH45" s="134">
        <f t="shared" si="63"/>
        <v>16</v>
      </c>
      <c r="BI45" s="134">
        <f t="shared" si="63"/>
        <v>24</v>
      </c>
      <c r="BJ45" s="134">
        <f t="shared" si="63"/>
        <v>29</v>
      </c>
      <c r="BK45" s="134">
        <f t="shared" si="63"/>
        <v>11</v>
      </c>
      <c r="BL45" s="134">
        <f t="shared" si="63"/>
        <v>20</v>
      </c>
      <c r="BM45" s="134">
        <f t="shared" si="63"/>
        <v>15</v>
      </c>
      <c r="BN45" s="134">
        <f t="shared" si="63"/>
        <v>21</v>
      </c>
      <c r="BO45" s="134">
        <f t="shared" si="63"/>
        <v>19</v>
      </c>
      <c r="BP45" s="134">
        <f t="shared" si="63"/>
        <v>22</v>
      </c>
      <c r="BQ45" s="134">
        <f t="shared" si="63"/>
        <v>29</v>
      </c>
    </row>
    <row r="46" spans="1:70" ht="15.75" thickBot="1"/>
    <row r="47" spans="1:70">
      <c r="A47" s="147" t="s">
        <v>33</v>
      </c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9"/>
      <c r="O47" s="147" t="s">
        <v>33</v>
      </c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9"/>
      <c r="AC47" s="147" t="s">
        <v>33</v>
      </c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9"/>
      <c r="AQ47" s="147" t="s">
        <v>33</v>
      </c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9"/>
      <c r="BE47" s="147" t="s">
        <v>33</v>
      </c>
      <c r="BF47" s="148"/>
      <c r="BG47" s="148"/>
      <c r="BH47" s="148"/>
      <c r="BI47" s="148"/>
      <c r="BJ47" s="148"/>
      <c r="BK47" s="148"/>
      <c r="BL47" s="148"/>
      <c r="BM47" s="148"/>
      <c r="BN47" s="148"/>
      <c r="BO47" s="148"/>
      <c r="BP47" s="148"/>
      <c r="BQ47" s="149"/>
    </row>
    <row r="48" spans="1:70">
      <c r="A48" s="144"/>
      <c r="B48" s="145" t="s">
        <v>15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6"/>
      <c r="O48" s="144"/>
      <c r="P48" s="145" t="s">
        <v>15</v>
      </c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6"/>
      <c r="AC48" s="144"/>
      <c r="AD48" s="145" t="s">
        <v>15</v>
      </c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6"/>
      <c r="AQ48" s="144"/>
      <c r="AR48" s="145" t="s">
        <v>15</v>
      </c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6"/>
      <c r="BE48" s="144"/>
      <c r="BF48" s="145" t="s">
        <v>15</v>
      </c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6"/>
    </row>
    <row r="49" spans="1:69">
      <c r="A49" s="144"/>
      <c r="B49" s="131" t="s">
        <v>16</v>
      </c>
      <c r="C49" s="131" t="s">
        <v>17</v>
      </c>
      <c r="D49" s="131" t="s">
        <v>18</v>
      </c>
      <c r="E49" s="131" t="s">
        <v>19</v>
      </c>
      <c r="F49" s="131" t="s">
        <v>20</v>
      </c>
      <c r="G49" s="131" t="s">
        <v>21</v>
      </c>
      <c r="H49" s="131" t="s">
        <v>22</v>
      </c>
      <c r="I49" s="131" t="s">
        <v>23</v>
      </c>
      <c r="J49" s="131" t="s">
        <v>24</v>
      </c>
      <c r="K49" s="131" t="s">
        <v>25</v>
      </c>
      <c r="L49" s="131" t="s">
        <v>26</v>
      </c>
      <c r="M49" s="132" t="s">
        <v>27</v>
      </c>
      <c r="O49" s="144"/>
      <c r="P49" s="131" t="s">
        <v>16</v>
      </c>
      <c r="Q49" s="131" t="s">
        <v>17</v>
      </c>
      <c r="R49" s="131" t="s">
        <v>18</v>
      </c>
      <c r="S49" s="131" t="s">
        <v>19</v>
      </c>
      <c r="T49" s="131" t="s">
        <v>20</v>
      </c>
      <c r="U49" s="131" t="s">
        <v>21</v>
      </c>
      <c r="V49" s="131" t="s">
        <v>22</v>
      </c>
      <c r="W49" s="131" t="s">
        <v>23</v>
      </c>
      <c r="X49" s="131" t="s">
        <v>24</v>
      </c>
      <c r="Y49" s="131" t="s">
        <v>25</v>
      </c>
      <c r="Z49" s="131" t="s">
        <v>26</v>
      </c>
      <c r="AA49" s="132" t="s">
        <v>27</v>
      </c>
      <c r="AC49" s="144"/>
      <c r="AD49" s="131" t="s">
        <v>16</v>
      </c>
      <c r="AE49" s="131" t="s">
        <v>17</v>
      </c>
      <c r="AF49" s="131" t="s">
        <v>18</v>
      </c>
      <c r="AG49" s="131" t="s">
        <v>19</v>
      </c>
      <c r="AH49" s="131" t="s">
        <v>20</v>
      </c>
      <c r="AI49" s="131" t="s">
        <v>21</v>
      </c>
      <c r="AJ49" s="131" t="s">
        <v>22</v>
      </c>
      <c r="AK49" s="131" t="s">
        <v>23</v>
      </c>
      <c r="AL49" s="131" t="s">
        <v>24</v>
      </c>
      <c r="AM49" s="131" t="s">
        <v>25</v>
      </c>
      <c r="AN49" s="131" t="s">
        <v>26</v>
      </c>
      <c r="AO49" s="132" t="s">
        <v>27</v>
      </c>
      <c r="AQ49" s="144"/>
      <c r="AR49" s="131" t="s">
        <v>16</v>
      </c>
      <c r="AS49" s="131" t="s">
        <v>17</v>
      </c>
      <c r="AT49" s="131" t="s">
        <v>18</v>
      </c>
      <c r="AU49" s="131" t="s">
        <v>19</v>
      </c>
      <c r="AV49" s="131" t="s">
        <v>20</v>
      </c>
      <c r="AW49" s="131" t="s">
        <v>21</v>
      </c>
      <c r="AX49" s="131" t="s">
        <v>22</v>
      </c>
      <c r="AY49" s="131" t="s">
        <v>23</v>
      </c>
      <c r="AZ49" s="131" t="s">
        <v>24</v>
      </c>
      <c r="BA49" s="131" t="s">
        <v>25</v>
      </c>
      <c r="BB49" s="131" t="s">
        <v>26</v>
      </c>
      <c r="BC49" s="132" t="s">
        <v>27</v>
      </c>
      <c r="BE49" s="144"/>
      <c r="BF49" s="131" t="s">
        <v>16</v>
      </c>
      <c r="BG49" s="131" t="s">
        <v>17</v>
      </c>
      <c r="BH49" s="131" t="s">
        <v>18</v>
      </c>
      <c r="BI49" s="131" t="s">
        <v>19</v>
      </c>
      <c r="BJ49" s="131" t="s">
        <v>20</v>
      </c>
      <c r="BK49" s="131" t="s">
        <v>21</v>
      </c>
      <c r="BL49" s="131" t="s">
        <v>22</v>
      </c>
      <c r="BM49" s="131" t="s">
        <v>23</v>
      </c>
      <c r="BN49" s="131" t="s">
        <v>24</v>
      </c>
      <c r="BO49" s="131" t="s">
        <v>25</v>
      </c>
      <c r="BP49" s="131" t="s">
        <v>26</v>
      </c>
      <c r="BQ49" s="132" t="s">
        <v>27</v>
      </c>
    </row>
    <row r="50" spans="1:69">
      <c r="A50" s="130">
        <v>1</v>
      </c>
      <c r="B50" s="131">
        <f>((P50/($F$1^2))+(AD50/($F$2^2)))/((1/($F$1^2))+(1/($F$2^2)))</f>
        <v>10.1192902416372</v>
      </c>
      <c r="C50" s="131">
        <f t="shared" ref="C50:C80" si="64">((Q50/($F$1^2))+(AE50/($F$2^2)))/((1/($F$1^2))+(1/($F$2^2)))</f>
        <v>0</v>
      </c>
      <c r="D50" s="131">
        <f t="shared" ref="D50:D80" si="65">((R50/($F$1^2))+(AF50/($F$2^2)))/((1/($F$1^2))+(1/($F$2^2)))</f>
        <v>11.414677464031413</v>
      </c>
      <c r="E50" s="131">
        <f t="shared" ref="E50:E80" si="66">((S50/($F$1^2))+(AG50/($F$2^2)))/((1/($F$1^2))+(1/($F$2^2)))</f>
        <v>38.944193700813059</v>
      </c>
      <c r="F50" s="131">
        <f t="shared" ref="F50:F80" si="67">((T50/($F$1^2))+(AH50/($F$2^2)))/((1/($F$1^2))+(1/($F$2^2)))</f>
        <v>0</v>
      </c>
      <c r="G50" s="131">
        <f t="shared" ref="G50:G80" si="68">((U50/($F$1^2))+(AI50/($F$2^2)))/((1/($F$1^2))+(1/($F$2^2)))</f>
        <v>8.9693708959966099</v>
      </c>
      <c r="H50" s="131">
        <f t="shared" ref="H50:H80" si="69">((V50/($F$1^2))+(AJ50/($F$2^2)))/((1/($F$1^2))+(1/($F$2^2)))</f>
        <v>0</v>
      </c>
      <c r="I50" s="131">
        <f t="shared" ref="I50:I80" si="70">((W50/($F$1^2))+(AK50/($F$2^2)))/((1/($F$1^2))+(1/($F$2^2)))</f>
        <v>2.0143548465937791</v>
      </c>
      <c r="J50" s="131">
        <f t="shared" ref="J50:J80" si="71">((X50/($F$1^2))+(AL50/($F$2^2)))/((1/($F$1^2))+(1/($F$2^2)))</f>
        <v>0</v>
      </c>
      <c r="K50" s="131">
        <f t="shared" ref="K50:K80" si="72">((Y50/($F$1^2))+(AM50/($F$2^2)))/((1/($F$1^2))+(1/($F$2^2)))</f>
        <v>31.222500122203577</v>
      </c>
      <c r="L50" s="131">
        <f t="shared" ref="L50:L80" si="73">((Z50/($F$1^2))+(AN50/($F$2^2)))/((1/($F$1^2))+(1/($F$2^2)))</f>
        <v>1.6114838772750231</v>
      </c>
      <c r="M50" s="131">
        <f t="shared" ref="M50:M80" si="74">((AA50/($F$1^2))+(AO50/($F$2^2)))/((1/($F$1^2))+(1/($F$2^2)))</f>
        <v>25.867467778990761</v>
      </c>
      <c r="O50" s="130">
        <v>1</v>
      </c>
      <c r="P50" s="131">
        <f>'Stasiun Pontianak Kota'!Q96</f>
        <v>0</v>
      </c>
      <c r="Q50" s="131">
        <f>'Stasiun Pontianak Kota'!R96</f>
        <v>0</v>
      </c>
      <c r="R50" s="131">
        <f>'Stasiun Pontianak Kota'!S96</f>
        <v>17</v>
      </c>
      <c r="S50" s="131">
        <f>'Stasiun Pontianak Kota'!T96</f>
        <v>58</v>
      </c>
      <c r="T50" s="131">
        <f>'Stasiun Pontianak Kota'!U96</f>
        <v>0</v>
      </c>
      <c r="U50" s="131">
        <f>'Stasiun Pontianak Kota'!V96</f>
        <v>0</v>
      </c>
      <c r="V50" s="131">
        <f>'Stasiun Pontianak Kota'!W96</f>
        <v>0</v>
      </c>
      <c r="W50" s="131">
        <f>'Stasiun Pontianak Kota'!X96</f>
        <v>3</v>
      </c>
      <c r="X50" s="131">
        <f>'Stasiun Pontianak Kota'!Y96</f>
        <v>0</v>
      </c>
      <c r="Y50" s="131">
        <f>'Stasiun Pontianak Kota'!Z96</f>
        <v>46.5</v>
      </c>
      <c r="Z50" s="131">
        <f>'Stasiun Pontianak Kota'!AA96</f>
        <v>2.4</v>
      </c>
      <c r="AA50" s="131">
        <f>'Stasiun Pontianak Kota'!AB96</f>
        <v>30.5</v>
      </c>
      <c r="AC50" s="130">
        <v>1</v>
      </c>
      <c r="AD50" s="131">
        <f>'Sta. Meteorologi pnk'!B53</f>
        <v>30.8</v>
      </c>
      <c r="AE50" s="131">
        <f>'Sta. Meteorologi pnk'!C53</f>
        <v>0</v>
      </c>
      <c r="AF50" s="131">
        <f>'Sta. Meteorologi pnk'!D53</f>
        <v>0</v>
      </c>
      <c r="AG50" s="131">
        <f>'Sta. Meteorologi pnk'!E53</f>
        <v>0</v>
      </c>
      <c r="AH50" s="131">
        <f>'Sta. Meteorologi pnk'!F53</f>
        <v>0</v>
      </c>
      <c r="AI50" s="131">
        <f>'Sta. Meteorologi pnk'!G53</f>
        <v>27.3</v>
      </c>
      <c r="AJ50" s="131">
        <f>'Sta. Meteorologi pnk'!H53</f>
        <v>0</v>
      </c>
      <c r="AK50" s="131">
        <f>'Sta. Meteorologi pnk'!I53</f>
        <v>0</v>
      </c>
      <c r="AL50" s="131">
        <f>'Sta. Meteorologi pnk'!J53</f>
        <v>0</v>
      </c>
      <c r="AM50" s="131">
        <f>'Sta. Meteorologi pnk'!K53</f>
        <v>0</v>
      </c>
      <c r="AN50" s="131">
        <f>'Sta. Meteorologi pnk'!L53</f>
        <v>0</v>
      </c>
      <c r="AO50" s="131">
        <f>'Sta. Meteorologi pnk'!M53</f>
        <v>16.399999999999999</v>
      </c>
      <c r="AQ50" s="130">
        <v>1</v>
      </c>
      <c r="AR50" s="131">
        <f>((P50/($AV$1^2))+(AD50/($AV$2^2)))/((1/($AV$1^2))+(1/($AV$2^2)))</f>
        <v>20.826796784558958</v>
      </c>
      <c r="AS50" s="131">
        <f t="shared" ref="AS50:AS80" si="75">((Q50/($AV$1^2))+(AE50/($AV$2^2)))/((1/($AV$1^2))+(1/($AV$2^2)))</f>
        <v>0</v>
      </c>
      <c r="AT50" s="131">
        <f t="shared" ref="AT50:AT80" si="76">((R50/($AV$1^2))+(AF50/($AV$2^2)))/((1/($AV$1^2))+(1/($AV$2^2)))</f>
        <v>5.5046900864447297</v>
      </c>
      <c r="AU50" s="131">
        <f t="shared" ref="AU50:AU80" si="77">((S50/($AV$1^2))+(AG50/($AV$2^2)))/((1/($AV$1^2))+(1/($AV$2^2)))</f>
        <v>18.780707353752607</v>
      </c>
      <c r="AV50" s="131">
        <f t="shared" ref="AV50:AV80" si="78">((T50/($AV$1^2))+(AH50/($AV$2^2)))/((1/($AV$1^2))+(1/($AV$2^2)))</f>
        <v>0</v>
      </c>
      <c r="AW50" s="131">
        <f t="shared" ref="AW50:AW80" si="79">((U50/($AV$1^2))+(AI50/($AV$2^2)))/((1/($AV$1^2))+(1/($AV$2^2)))</f>
        <v>18.460115331768169</v>
      </c>
      <c r="AX50" s="131">
        <f t="shared" ref="AX50:AX80" si="80">((V50/($AV$1^2))+(AJ50/($AV$2^2)))/((1/($AV$1^2))+(1/($AV$2^2)))</f>
        <v>0</v>
      </c>
      <c r="AY50" s="131">
        <f t="shared" ref="AY50:AY80" si="81">((W50/($AV$1^2))+(AK50/($AV$2^2)))/((1/($AV$1^2))+(1/($AV$2^2)))</f>
        <v>0.97141589760789349</v>
      </c>
      <c r="AZ50" s="131">
        <f t="shared" ref="AZ50:AZ80" si="82">((X50/($AV$1^2))+(AL50/($AV$2^2)))/((1/($AV$1^2))+(1/($AV$2^2)))</f>
        <v>0</v>
      </c>
      <c r="BA50" s="131">
        <f t="shared" ref="BA50:BA80" si="83">((Y50/($AV$1^2))+(AM50/($AV$2^2)))/((1/($AV$1^2))+(1/($AV$2^2)))</f>
        <v>15.05694641292235</v>
      </c>
      <c r="BB50" s="131">
        <f t="shared" ref="BB50:BB80" si="84">((Z50/($AV$1^2))+(AN50/($AV$2^2)))/((1/($AV$1^2))+(1/($AV$2^2)))</f>
        <v>0.77713271808631479</v>
      </c>
      <c r="BC50" s="131">
        <f t="shared" ref="BC50:BC80" si="85">((AA50/($AV$1^2))+(AO50/($AV$2^2)))/((1/($AV$1^2))+(1/($AV$2^2)))</f>
        <v>20.965654718757101</v>
      </c>
      <c r="BE50" s="130">
        <v>1</v>
      </c>
      <c r="BF50" s="131">
        <f>((B50/($BI$1^2))+(P50/($AV$1^2))+(AD50/($AV$2^2)))/((1/($BI$1^2))+(1/($AV$1^2))+(1/($AV$2^2)))</f>
        <v>19.48596655746088</v>
      </c>
      <c r="BG50" s="131">
        <f t="shared" ref="BG50:BG80" si="86">((C50/($BI$1^2))+(Q50/($AV$1^2))+(AE50/($AV$2^2)))/((1/($BI$1^2))+(1/($AV$1^2))+(1/($AV$2^2)))</f>
        <v>0</v>
      </c>
      <c r="BH50" s="131">
        <f t="shared" ref="BH50:BH80" si="87">((D50/($BI$1^2))+(R50/($AV$1^2))+(AF50/($AV$2^2)))/((1/($BI$1^2))+(1/($AV$1^2))+(1/($AV$2^2)))</f>
        <v>6.2447587182845785</v>
      </c>
      <c r="BI50" s="131">
        <f t="shared" ref="BI50:BI80" si="88">((E50/($BI$1^2))+(S50/($AV$1^2))+(AG50/($AV$2^2)))/((1/($BI$1^2))+(1/($AV$1^2))+(1/($AV$2^2)))</f>
        <v>21.305647391794444</v>
      </c>
      <c r="BJ50" s="131">
        <f t="shared" ref="BJ50:BJ80" si="89">((F50/($BI$1^2))+(T50/($AV$1^2))+(AH50/($AV$2^2)))/((1/($BI$1^2))+(1/($AV$1^2))+(1/($AV$2^2)))</f>
        <v>0</v>
      </c>
      <c r="BK50" s="131">
        <f t="shared" ref="BK50:BK80" si="90">((G50/($BI$1^2))+(U50/($AV$1^2))+(AI50/($AV$2^2)))/((1/($BI$1^2))+(1/($AV$1^2))+(1/($AV$2^2)))</f>
        <v>17.271652175931237</v>
      </c>
      <c r="BL50" s="131">
        <f t="shared" ref="BL50:BL80" si="91">((H50/($BI$1^2))+(V50/($AV$1^2))+(AJ50/($AV$2^2)))/((1/($BI$1^2))+(1/($AV$1^2))+(1/($AV$2^2)))</f>
        <v>0</v>
      </c>
      <c r="BM50" s="131">
        <f t="shared" ref="BM50:BM80" si="92">((I50/($BI$1^2))+(W50/($AV$1^2))+(AK50/($AV$2^2)))/((1/($BI$1^2))+(1/($AV$1^2))+(1/($AV$2^2)))</f>
        <v>1.1020162444031609</v>
      </c>
      <c r="BN50" s="131">
        <f t="shared" ref="BN50:BN80" si="93">((J50/($BI$1^2))+(X50/($AV$1^2))+(AL50/($AV$2^2)))/((1/($BI$1^2))+(1/($AV$1^2))+(1/($AV$2^2)))</f>
        <v>0</v>
      </c>
      <c r="BO50" s="131">
        <f t="shared" ref="BO50:BO80" si="94">((K50/($BI$1^2))+(Y50/($AV$1^2))+(AM50/($AV$2^2)))/((1/($BI$1^2))+(1/($AV$1^2))+(1/($AV$2^2)))</f>
        <v>17.081251788248995</v>
      </c>
      <c r="BP50" s="131">
        <f t="shared" ref="BP50:BP80" si="95">((L50/($BI$1^2))+(Z50/($AV$1^2))+(AN50/($AV$2^2)))/((1/($BI$1^2))+(1/($AV$1^2))+(1/($AV$2^2)))</f>
        <v>0.88161299552252881</v>
      </c>
      <c r="BQ50" s="131">
        <f t="shared" ref="BQ50:BQ80" si="96">((M50/($BI$1^2))+(AA50/($AV$1^2))+(AO50/($AV$2^2)))/((1/($BI$1^2))+(1/($AV$1^2))+(1/($AV$2^2)))</f>
        <v>21.579476348694858</v>
      </c>
    </row>
    <row r="51" spans="1:69">
      <c r="A51" s="130">
        <v>2</v>
      </c>
      <c r="B51" s="131">
        <f t="shared" ref="B51:B80" si="97">((P51/($F$1^2))+(AD51/($F$2^2)))/((1/($F$1^2))+(1/($F$2^2)))</f>
        <v>27.529516236781646</v>
      </c>
      <c r="C51" s="131">
        <f t="shared" si="64"/>
        <v>0</v>
      </c>
      <c r="D51" s="131">
        <f t="shared" si="65"/>
        <v>0</v>
      </c>
      <c r="E51" s="131">
        <f t="shared" si="66"/>
        <v>2.9569354602186624</v>
      </c>
      <c r="F51" s="131">
        <f t="shared" si="67"/>
        <v>2.1684193374936855</v>
      </c>
      <c r="G51" s="131">
        <f t="shared" si="68"/>
        <v>32.026483958744073</v>
      </c>
      <c r="H51" s="131">
        <f t="shared" si="69"/>
        <v>2.0143548465937791</v>
      </c>
      <c r="I51" s="131">
        <f t="shared" si="70"/>
        <v>0</v>
      </c>
      <c r="J51" s="131">
        <f t="shared" si="71"/>
        <v>4.5996773825623638</v>
      </c>
      <c r="K51" s="131">
        <f t="shared" si="72"/>
        <v>1.182774184087465</v>
      </c>
      <c r="L51" s="131">
        <f t="shared" si="73"/>
        <v>0</v>
      </c>
      <c r="M51" s="131">
        <f t="shared" si="74"/>
        <v>12.891871018200185</v>
      </c>
      <c r="O51" s="130">
        <v>2</v>
      </c>
      <c r="P51" s="131">
        <f>'Stasiun Pontianak Kota'!Q97</f>
        <v>41</v>
      </c>
      <c r="Q51" s="131">
        <f>'Stasiun Pontianak Kota'!R97</f>
        <v>0</v>
      </c>
      <c r="R51" s="131">
        <f>'Stasiun Pontianak Kota'!S97</f>
        <v>0</v>
      </c>
      <c r="S51" s="131">
        <f>'Stasiun Pontianak Kota'!T97</f>
        <v>0</v>
      </c>
      <c r="T51" s="131">
        <f>'Stasiun Pontianak Kota'!U97</f>
        <v>0</v>
      </c>
      <c r="U51" s="131">
        <f>'Stasiun Pontianak Kota'!V97</f>
        <v>43</v>
      </c>
      <c r="V51" s="131">
        <f>'Stasiun Pontianak Kota'!W97</f>
        <v>3</v>
      </c>
      <c r="W51" s="131">
        <f>'Stasiun Pontianak Kota'!X97</f>
        <v>0</v>
      </c>
      <c r="X51" s="131">
        <f>'Stasiun Pontianak Kota'!Y97</f>
        <v>0</v>
      </c>
      <c r="Y51" s="131">
        <f>'Stasiun Pontianak Kota'!Z97</f>
        <v>0</v>
      </c>
      <c r="Z51" s="131">
        <f>'Stasiun Pontianak Kota'!AA97</f>
        <v>0</v>
      </c>
      <c r="AA51" s="131">
        <f>'Stasiun Pontianak Kota'!AB97</f>
        <v>19.2</v>
      </c>
      <c r="AC51" s="130">
        <v>2</v>
      </c>
      <c r="AD51" s="131">
        <f>'Sta. Meteorologi pnk'!B54</f>
        <v>0</v>
      </c>
      <c r="AE51" s="131">
        <f>'Sta. Meteorologi pnk'!C54</f>
        <v>0</v>
      </c>
      <c r="AF51" s="131">
        <f>'Sta. Meteorologi pnk'!D54</f>
        <v>0</v>
      </c>
      <c r="AG51" s="131">
        <f>'Sta. Meteorologi pnk'!E54</f>
        <v>9</v>
      </c>
      <c r="AH51" s="131">
        <f>'Sta. Meteorologi pnk'!F54</f>
        <v>6.6</v>
      </c>
      <c r="AI51" s="131">
        <f>'Sta. Meteorologi pnk'!G54</f>
        <v>9.6</v>
      </c>
      <c r="AJ51" s="131">
        <f>'Sta. Meteorologi pnk'!H54</f>
        <v>0</v>
      </c>
      <c r="AK51" s="131">
        <f>'Sta. Meteorologi pnk'!I54</f>
        <v>0</v>
      </c>
      <c r="AL51" s="131">
        <f>'Sta. Meteorologi pnk'!J54</f>
        <v>14</v>
      </c>
      <c r="AM51" s="131">
        <f>'Sta. Meteorologi pnk'!K54</f>
        <v>3.6</v>
      </c>
      <c r="AN51" s="131">
        <f>'Sta. Meteorologi pnk'!L54</f>
        <v>0</v>
      </c>
      <c r="AO51" s="131">
        <f>'Sta. Meteorologi pnk'!M54</f>
        <v>0</v>
      </c>
      <c r="AQ51" s="130">
        <v>2</v>
      </c>
      <c r="AR51" s="131">
        <f t="shared" ref="AR51:AR80" si="98">((P51/($AV$1^2))+(AD51/($AV$2^2)))/((1/($AV$1^2))+(1/($AV$2^2)))</f>
        <v>13.27601726730788</v>
      </c>
      <c r="AS51" s="131">
        <f t="shared" si="75"/>
        <v>0</v>
      </c>
      <c r="AT51" s="131">
        <f t="shared" si="76"/>
        <v>0</v>
      </c>
      <c r="AU51" s="131">
        <f t="shared" si="77"/>
        <v>6.0857523071763184</v>
      </c>
      <c r="AV51" s="131">
        <f t="shared" si="78"/>
        <v>4.4628850252626338</v>
      </c>
      <c r="AW51" s="131">
        <f t="shared" si="79"/>
        <v>20.415096993367879</v>
      </c>
      <c r="AX51" s="131">
        <f t="shared" si="80"/>
        <v>0.97141589760789349</v>
      </c>
      <c r="AY51" s="131">
        <f t="shared" si="81"/>
        <v>0</v>
      </c>
      <c r="AZ51" s="131">
        <f t="shared" si="82"/>
        <v>9.4667258111631618</v>
      </c>
      <c r="BA51" s="131">
        <f t="shared" si="83"/>
        <v>2.4343009228705275</v>
      </c>
      <c r="BB51" s="131">
        <f t="shared" si="84"/>
        <v>0</v>
      </c>
      <c r="BC51" s="131">
        <f t="shared" si="85"/>
        <v>6.2170617446905183</v>
      </c>
      <c r="BE51" s="130">
        <v>2</v>
      </c>
      <c r="BF51" s="131">
        <f t="shared" ref="BF51:BF80" si="99">((B51/($BI$1^2))+(P51/($AV$1^2))+(AD51/($AV$2^2)))/((1/($BI$1^2))+(1/($AV$1^2))+(1/($AV$2^2)))</f>
        <v>15.060888673509867</v>
      </c>
      <c r="BG51" s="131">
        <f t="shared" si="86"/>
        <v>0</v>
      </c>
      <c r="BH51" s="131">
        <f t="shared" si="87"/>
        <v>0</v>
      </c>
      <c r="BI51" s="131">
        <f t="shared" si="88"/>
        <v>5.693951266790517</v>
      </c>
      <c r="BJ51" s="131">
        <f t="shared" si="89"/>
        <v>4.1755642623130456</v>
      </c>
      <c r="BK51" s="131">
        <f t="shared" si="90"/>
        <v>21.869114187688524</v>
      </c>
      <c r="BL51" s="131">
        <f t="shared" si="91"/>
        <v>1.1020162444031609</v>
      </c>
      <c r="BM51" s="131">
        <f t="shared" si="92"/>
        <v>0</v>
      </c>
      <c r="BN51" s="131">
        <f t="shared" si="93"/>
        <v>8.8572575261185822</v>
      </c>
      <c r="BO51" s="131">
        <f t="shared" si="94"/>
        <v>2.2775805067162072</v>
      </c>
      <c r="BP51" s="131">
        <f t="shared" si="95"/>
        <v>0</v>
      </c>
      <c r="BQ51" s="131">
        <f t="shared" si="96"/>
        <v>7.0529039641802305</v>
      </c>
    </row>
    <row r="52" spans="1:69">
      <c r="A52" s="130">
        <v>3</v>
      </c>
      <c r="B52" s="131">
        <f t="shared" si="97"/>
        <v>0</v>
      </c>
      <c r="C52" s="131">
        <f t="shared" si="64"/>
        <v>0</v>
      </c>
      <c r="D52" s="131">
        <f t="shared" si="65"/>
        <v>0</v>
      </c>
      <c r="E52" s="131">
        <f t="shared" si="66"/>
        <v>6.5728871001906377</v>
      </c>
      <c r="F52" s="131">
        <f t="shared" si="67"/>
        <v>14.100483926156452</v>
      </c>
      <c r="G52" s="131">
        <f t="shared" si="68"/>
        <v>5.3716129242500772</v>
      </c>
      <c r="H52" s="131">
        <f t="shared" si="69"/>
        <v>0</v>
      </c>
      <c r="I52" s="131">
        <f t="shared" si="70"/>
        <v>0.32854838446874024</v>
      </c>
      <c r="J52" s="131">
        <f t="shared" si="71"/>
        <v>1.3429032310625193</v>
      </c>
      <c r="K52" s="131">
        <f t="shared" si="72"/>
        <v>4.1630000162938101</v>
      </c>
      <c r="L52" s="131">
        <f t="shared" si="73"/>
        <v>22.292193635637823</v>
      </c>
      <c r="M52" s="131">
        <f t="shared" si="74"/>
        <v>0</v>
      </c>
      <c r="O52" s="130">
        <v>3</v>
      </c>
      <c r="P52" s="131">
        <f>'Stasiun Pontianak Kota'!Q98</f>
        <v>0</v>
      </c>
      <c r="Q52" s="131">
        <f>'Stasiun Pontianak Kota'!R98</f>
        <v>0</v>
      </c>
      <c r="R52" s="131">
        <f>'Stasiun Pontianak Kota'!S98</f>
        <v>0</v>
      </c>
      <c r="S52" s="131">
        <f>'Stasiun Pontianak Kota'!T98</f>
        <v>7</v>
      </c>
      <c r="T52" s="131">
        <f>'Stasiun Pontianak Kota'!U98</f>
        <v>21</v>
      </c>
      <c r="U52" s="131">
        <f>'Stasiun Pontianak Kota'!V98</f>
        <v>8</v>
      </c>
      <c r="V52" s="131">
        <f>'Stasiun Pontianak Kota'!W98</f>
        <v>0</v>
      </c>
      <c r="W52" s="131">
        <f>'Stasiun Pontianak Kota'!X98</f>
        <v>0</v>
      </c>
      <c r="X52" s="131">
        <f>'Stasiun Pontianak Kota'!Y98</f>
        <v>2</v>
      </c>
      <c r="Y52" s="131">
        <f>'Stasiun Pontianak Kota'!Z98</f>
        <v>6.2</v>
      </c>
      <c r="Z52" s="131">
        <f>'Stasiun Pontianak Kota'!AA98</f>
        <v>33.200000000000003</v>
      </c>
      <c r="AA52" s="131">
        <f>'Stasiun Pontianak Kota'!AB98</f>
        <v>0</v>
      </c>
      <c r="AC52" s="130">
        <v>3</v>
      </c>
      <c r="AD52" s="131">
        <f>'Sta. Meteorologi pnk'!B55</f>
        <v>0</v>
      </c>
      <c r="AE52" s="131">
        <f>'Sta. Meteorologi pnk'!C55</f>
        <v>0</v>
      </c>
      <c r="AF52" s="131">
        <f>'Sta. Meteorologi pnk'!D55</f>
        <v>0</v>
      </c>
      <c r="AG52" s="131">
        <f>'Sta. Meteorologi pnk'!E55</f>
        <v>5.7</v>
      </c>
      <c r="AH52" s="131">
        <f>'Sta. Meteorologi pnk'!F55</f>
        <v>0</v>
      </c>
      <c r="AI52" s="131">
        <f>'Sta. Meteorologi pnk'!G55</f>
        <v>0</v>
      </c>
      <c r="AJ52" s="131">
        <f>'Sta. Meteorologi pnk'!H55</f>
        <v>0</v>
      </c>
      <c r="AK52" s="131">
        <f>'Sta. Meteorologi pnk'!I55</f>
        <v>1</v>
      </c>
      <c r="AL52" s="131">
        <f>'Sta. Meteorologi pnk'!J55</f>
        <v>0</v>
      </c>
      <c r="AM52" s="131">
        <f>'Sta. Meteorologi pnk'!K55</f>
        <v>0</v>
      </c>
      <c r="AN52" s="131">
        <f>'Sta. Meteorologi pnk'!L55</f>
        <v>0</v>
      </c>
      <c r="AO52" s="131">
        <f>'Sta. Meteorologi pnk'!M55</f>
        <v>0</v>
      </c>
      <c r="AQ52" s="130">
        <v>3</v>
      </c>
      <c r="AR52" s="131">
        <f t="shared" si="98"/>
        <v>0</v>
      </c>
      <c r="AS52" s="131">
        <f t="shared" si="75"/>
        <v>0</v>
      </c>
      <c r="AT52" s="131">
        <f t="shared" si="76"/>
        <v>0</v>
      </c>
      <c r="AU52" s="131">
        <f t="shared" si="77"/>
        <v>6.1209468889634202</v>
      </c>
      <c r="AV52" s="131">
        <f t="shared" si="78"/>
        <v>6.7999112832552546</v>
      </c>
      <c r="AW52" s="131">
        <f t="shared" si="79"/>
        <v>2.5904423936210499</v>
      </c>
      <c r="AX52" s="131">
        <f t="shared" si="80"/>
        <v>0</v>
      </c>
      <c r="AY52" s="131">
        <f t="shared" si="81"/>
        <v>0.67619470079736876</v>
      </c>
      <c r="AZ52" s="131">
        <f t="shared" si="82"/>
        <v>0.64761059840526247</v>
      </c>
      <c r="BA52" s="131">
        <f t="shared" si="83"/>
        <v>2.0075928550563136</v>
      </c>
      <c r="BB52" s="131">
        <f t="shared" si="84"/>
        <v>10.750335933527357</v>
      </c>
      <c r="BC52" s="131">
        <f t="shared" si="85"/>
        <v>0</v>
      </c>
      <c r="BE52" s="130">
        <v>3</v>
      </c>
      <c r="BF52" s="131">
        <f t="shared" si="99"/>
        <v>0</v>
      </c>
      <c r="BG52" s="131">
        <f t="shared" si="86"/>
        <v>0</v>
      </c>
      <c r="BH52" s="131">
        <f t="shared" si="87"/>
        <v>0</v>
      </c>
      <c r="BI52" s="131">
        <f t="shared" si="88"/>
        <v>6.1775403725747022</v>
      </c>
      <c r="BJ52" s="131">
        <f t="shared" si="89"/>
        <v>7.7141137108221267</v>
      </c>
      <c r="BK52" s="131">
        <f t="shared" si="90"/>
        <v>2.938709985075096</v>
      </c>
      <c r="BL52" s="131">
        <f t="shared" si="91"/>
        <v>0</v>
      </c>
      <c r="BM52" s="131">
        <f t="shared" si="92"/>
        <v>0.63266125186561295</v>
      </c>
      <c r="BN52" s="131">
        <f t="shared" si="93"/>
        <v>0.73467749626877399</v>
      </c>
      <c r="BO52" s="131">
        <f t="shared" si="94"/>
        <v>2.2775002384331993</v>
      </c>
      <c r="BP52" s="131">
        <f t="shared" si="95"/>
        <v>12.195646438061649</v>
      </c>
      <c r="BQ52" s="131">
        <f t="shared" si="96"/>
        <v>0</v>
      </c>
    </row>
    <row r="53" spans="1:69">
      <c r="A53" s="130">
        <v>4</v>
      </c>
      <c r="B53" s="131">
        <f t="shared" si="97"/>
        <v>1.314193537874961</v>
      </c>
      <c r="C53" s="131">
        <f t="shared" si="64"/>
        <v>0</v>
      </c>
      <c r="D53" s="131">
        <f t="shared" si="65"/>
        <v>0</v>
      </c>
      <c r="E53" s="131">
        <f t="shared" si="66"/>
        <v>25.632225897381588</v>
      </c>
      <c r="F53" s="131">
        <f t="shared" si="67"/>
        <v>0</v>
      </c>
      <c r="G53" s="131">
        <f t="shared" si="68"/>
        <v>0</v>
      </c>
      <c r="H53" s="131">
        <f t="shared" si="69"/>
        <v>0.32854838446874024</v>
      </c>
      <c r="I53" s="131">
        <f t="shared" si="70"/>
        <v>0</v>
      </c>
      <c r="J53" s="131">
        <f t="shared" si="71"/>
        <v>0</v>
      </c>
      <c r="K53" s="131">
        <f t="shared" si="72"/>
        <v>0</v>
      </c>
      <c r="L53" s="131">
        <f t="shared" si="73"/>
        <v>5.4539031821810893</v>
      </c>
      <c r="M53" s="131">
        <f t="shared" si="74"/>
        <v>0.4271128998093624</v>
      </c>
      <c r="O53" s="130">
        <v>4</v>
      </c>
      <c r="P53" s="131">
        <f>'Stasiun Pontianak Kota'!Q99</f>
        <v>0</v>
      </c>
      <c r="Q53" s="131">
        <f>'Stasiun Pontianak Kota'!R99</f>
        <v>0</v>
      </c>
      <c r="R53" s="131">
        <f>'Stasiun Pontianak Kota'!S99</f>
        <v>0</v>
      </c>
      <c r="S53" s="131">
        <f>'Stasiun Pontianak Kota'!T99</f>
        <v>37</v>
      </c>
      <c r="T53" s="131">
        <f>'Stasiun Pontianak Kota'!U99</f>
        <v>0</v>
      </c>
      <c r="U53" s="131">
        <f>'Stasiun Pontianak Kota'!V99</f>
        <v>0</v>
      </c>
      <c r="V53" s="131">
        <f>'Stasiun Pontianak Kota'!W99</f>
        <v>0</v>
      </c>
      <c r="W53" s="131">
        <f>'Stasiun Pontianak Kota'!X99</f>
        <v>0</v>
      </c>
      <c r="X53" s="131">
        <f>'Stasiun Pontianak Kota'!Y99</f>
        <v>0</v>
      </c>
      <c r="Y53" s="131">
        <f>'Stasiun Pontianak Kota'!Z99</f>
        <v>0</v>
      </c>
      <c r="Z53" s="131">
        <f>'Stasiun Pontianak Kota'!AA99</f>
        <v>0</v>
      </c>
      <c r="AA53" s="131">
        <f>'Stasiun Pontianak Kota'!AB99</f>
        <v>0</v>
      </c>
      <c r="AC53" s="130">
        <v>4</v>
      </c>
      <c r="AD53" s="131">
        <f>'Sta. Meteorologi pnk'!B56</f>
        <v>4</v>
      </c>
      <c r="AE53" s="131">
        <f>'Sta. Meteorologi pnk'!C56</f>
        <v>0</v>
      </c>
      <c r="AF53" s="131">
        <f>'Sta. Meteorologi pnk'!D56</f>
        <v>0</v>
      </c>
      <c r="AG53" s="131">
        <f>'Sta. Meteorologi pnk'!E56</f>
        <v>2.4</v>
      </c>
      <c r="AH53" s="131">
        <f>'Sta. Meteorologi pnk'!F56</f>
        <v>0</v>
      </c>
      <c r="AI53" s="131">
        <f>'Sta. Meteorologi pnk'!G56</f>
        <v>0</v>
      </c>
      <c r="AJ53" s="131">
        <f>'Sta. Meteorologi pnk'!H56</f>
        <v>1</v>
      </c>
      <c r="AK53" s="131">
        <f>'Sta. Meteorologi pnk'!I56</f>
        <v>0</v>
      </c>
      <c r="AL53" s="131">
        <f>'Sta. Meteorologi pnk'!J56</f>
        <v>0</v>
      </c>
      <c r="AM53" s="131">
        <f>'Sta. Meteorologi pnk'!K56</f>
        <v>0</v>
      </c>
      <c r="AN53" s="131">
        <f>'Sta. Meteorologi pnk'!L56</f>
        <v>16.600000000000001</v>
      </c>
      <c r="AO53" s="131">
        <f>'Sta. Meteorologi pnk'!M56</f>
        <v>1.3</v>
      </c>
      <c r="AQ53" s="130">
        <v>4</v>
      </c>
      <c r="AR53" s="131">
        <f t="shared" si="98"/>
        <v>2.7047788031894751</v>
      </c>
      <c r="AS53" s="131">
        <f t="shared" si="75"/>
        <v>0</v>
      </c>
      <c r="AT53" s="131">
        <f t="shared" si="76"/>
        <v>0</v>
      </c>
      <c r="AU53" s="131">
        <f t="shared" si="77"/>
        <v>13.60366335241104</v>
      </c>
      <c r="AV53" s="131">
        <f t="shared" si="78"/>
        <v>0</v>
      </c>
      <c r="AW53" s="131">
        <f t="shared" si="79"/>
        <v>0</v>
      </c>
      <c r="AX53" s="131">
        <f t="shared" si="80"/>
        <v>0.67619470079736876</v>
      </c>
      <c r="AY53" s="131">
        <f t="shared" si="81"/>
        <v>0</v>
      </c>
      <c r="AZ53" s="131">
        <f t="shared" si="82"/>
        <v>0</v>
      </c>
      <c r="BA53" s="131">
        <f t="shared" si="83"/>
        <v>0</v>
      </c>
      <c r="BB53" s="131">
        <f t="shared" si="84"/>
        <v>11.224832033236321</v>
      </c>
      <c r="BC53" s="131">
        <f t="shared" si="85"/>
        <v>0.87905311103657935</v>
      </c>
      <c r="BE53" s="130">
        <v>4</v>
      </c>
      <c r="BF53" s="131">
        <f t="shared" si="99"/>
        <v>2.5306450074624518</v>
      </c>
      <c r="BG53" s="131">
        <f t="shared" si="86"/>
        <v>0</v>
      </c>
      <c r="BH53" s="131">
        <f t="shared" si="87"/>
        <v>0</v>
      </c>
      <c r="BI53" s="131">
        <f t="shared" si="88"/>
        <v>15.109920685449792</v>
      </c>
      <c r="BJ53" s="131">
        <f t="shared" si="89"/>
        <v>0</v>
      </c>
      <c r="BK53" s="131">
        <f t="shared" si="90"/>
        <v>0</v>
      </c>
      <c r="BL53" s="131">
        <f t="shared" si="91"/>
        <v>0.63266125186561295</v>
      </c>
      <c r="BM53" s="131">
        <f t="shared" si="92"/>
        <v>0</v>
      </c>
      <c r="BN53" s="131">
        <f t="shared" si="93"/>
        <v>0</v>
      </c>
      <c r="BO53" s="131">
        <f t="shared" si="94"/>
        <v>0</v>
      </c>
      <c r="BP53" s="131">
        <f t="shared" si="95"/>
        <v>10.502176780969178</v>
      </c>
      <c r="BQ53" s="131">
        <f t="shared" si="96"/>
        <v>0.82245962742529699</v>
      </c>
    </row>
    <row r="54" spans="1:69">
      <c r="A54" s="130">
        <v>5</v>
      </c>
      <c r="B54" s="131">
        <f t="shared" si="97"/>
        <v>4.7843709774656604</v>
      </c>
      <c r="C54" s="131">
        <f t="shared" si="64"/>
        <v>0</v>
      </c>
      <c r="D54" s="131">
        <f t="shared" si="65"/>
        <v>0</v>
      </c>
      <c r="E54" s="131">
        <f t="shared" si="66"/>
        <v>10.554387108337542</v>
      </c>
      <c r="F54" s="131">
        <f t="shared" si="67"/>
        <v>0</v>
      </c>
      <c r="G54" s="131">
        <f t="shared" si="68"/>
        <v>15.573193423818289</v>
      </c>
      <c r="H54" s="131">
        <f t="shared" si="69"/>
        <v>0</v>
      </c>
      <c r="I54" s="131">
        <f t="shared" si="70"/>
        <v>5.7167418897560802</v>
      </c>
      <c r="J54" s="131">
        <f t="shared" si="71"/>
        <v>0</v>
      </c>
      <c r="K54" s="131">
        <f t="shared" si="72"/>
        <v>0</v>
      </c>
      <c r="L54" s="131">
        <f t="shared" si="73"/>
        <v>38.309096834112715</v>
      </c>
      <c r="M54" s="131">
        <f t="shared" si="74"/>
        <v>0</v>
      </c>
      <c r="O54" s="130">
        <v>5</v>
      </c>
      <c r="P54" s="131">
        <f>'Stasiun Pontianak Kota'!Q100</f>
        <v>6</v>
      </c>
      <c r="Q54" s="131">
        <f>'Stasiun Pontianak Kota'!R100</f>
        <v>0</v>
      </c>
      <c r="R54" s="131">
        <f>'Stasiun Pontianak Kota'!S100</f>
        <v>0</v>
      </c>
      <c r="S54" s="131">
        <f>'Stasiun Pontianak Kota'!T100</f>
        <v>12</v>
      </c>
      <c r="T54" s="131">
        <f>'Stasiun Pontianak Kota'!U100</f>
        <v>0</v>
      </c>
      <c r="U54" s="131">
        <f>'Stasiun Pontianak Kota'!V100</f>
        <v>0</v>
      </c>
      <c r="V54" s="131">
        <f>'Stasiun Pontianak Kota'!W100</f>
        <v>0</v>
      </c>
      <c r="W54" s="131">
        <f>'Stasiun Pontianak Kota'!X100</f>
        <v>0</v>
      </c>
      <c r="X54" s="131">
        <f>'Stasiun Pontianak Kota'!Y100</f>
        <v>0</v>
      </c>
      <c r="Y54" s="131">
        <f>'Stasiun Pontianak Kota'!Z100</f>
        <v>0</v>
      </c>
      <c r="Z54" s="131">
        <f>'Stasiun Pontianak Kota'!AA100</f>
        <v>45.8</v>
      </c>
      <c r="AA54" s="131">
        <f>'Stasiun Pontianak Kota'!AB100</f>
        <v>0</v>
      </c>
      <c r="AC54" s="130">
        <v>5</v>
      </c>
      <c r="AD54" s="131">
        <f>'Sta. Meteorologi pnk'!B57</f>
        <v>2.2999999999999998</v>
      </c>
      <c r="AE54" s="131">
        <f>'Sta. Meteorologi pnk'!C57</f>
        <v>0</v>
      </c>
      <c r="AF54" s="131">
        <f>'Sta. Meteorologi pnk'!D57</f>
        <v>0</v>
      </c>
      <c r="AG54" s="131">
        <f>'Sta. Meteorologi pnk'!E57</f>
        <v>7.6</v>
      </c>
      <c r="AH54" s="131">
        <f>'Sta. Meteorologi pnk'!F57</f>
        <v>0</v>
      </c>
      <c r="AI54" s="131">
        <f>'Sta. Meteorologi pnk'!G57</f>
        <v>47.4</v>
      </c>
      <c r="AJ54" s="131">
        <f>'Sta. Meteorologi pnk'!H57</f>
        <v>0</v>
      </c>
      <c r="AK54" s="131">
        <f>'Sta. Meteorologi pnk'!I57</f>
        <v>17.399999999999999</v>
      </c>
      <c r="AL54" s="131">
        <f>'Sta. Meteorologi pnk'!J57</f>
        <v>0</v>
      </c>
      <c r="AM54" s="131">
        <f>'Sta. Meteorologi pnk'!K57</f>
        <v>0</v>
      </c>
      <c r="AN54" s="131">
        <f>'Sta. Meteorologi pnk'!L57</f>
        <v>23</v>
      </c>
      <c r="AO54" s="131">
        <f>'Sta. Meteorologi pnk'!M57</f>
        <v>0</v>
      </c>
      <c r="AQ54" s="130">
        <v>5</v>
      </c>
      <c r="AR54" s="131">
        <f t="shared" si="98"/>
        <v>3.4980796070497351</v>
      </c>
      <c r="AS54" s="131">
        <f t="shared" si="75"/>
        <v>0</v>
      </c>
      <c r="AT54" s="131">
        <f t="shared" si="76"/>
        <v>0</v>
      </c>
      <c r="AU54" s="131">
        <f t="shared" si="77"/>
        <v>9.0247433164915751</v>
      </c>
      <c r="AV54" s="131">
        <f t="shared" si="78"/>
        <v>0</v>
      </c>
      <c r="AW54" s="131">
        <f t="shared" si="79"/>
        <v>32.051628817795276</v>
      </c>
      <c r="AX54" s="131">
        <f t="shared" si="80"/>
        <v>0</v>
      </c>
      <c r="AY54" s="131">
        <f t="shared" si="81"/>
        <v>11.765787793874216</v>
      </c>
      <c r="AZ54" s="131">
        <f t="shared" si="82"/>
        <v>0</v>
      </c>
      <c r="BA54" s="131">
        <f t="shared" si="83"/>
        <v>0</v>
      </c>
      <c r="BB54" s="131">
        <f t="shared" si="84"/>
        <v>30.382760821819993</v>
      </c>
      <c r="BC54" s="131">
        <f t="shared" si="85"/>
        <v>0</v>
      </c>
      <c r="BE54" s="130">
        <v>5</v>
      </c>
      <c r="BF54" s="131">
        <f t="shared" si="99"/>
        <v>3.6591533680972317</v>
      </c>
      <c r="BG54" s="131">
        <f t="shared" si="86"/>
        <v>0</v>
      </c>
      <c r="BH54" s="131">
        <f t="shared" si="87"/>
        <v>0</v>
      </c>
      <c r="BI54" s="131">
        <f t="shared" si="88"/>
        <v>9.2162904917913018</v>
      </c>
      <c r="BJ54" s="131">
        <f t="shared" si="89"/>
        <v>0</v>
      </c>
      <c r="BK54" s="131">
        <f t="shared" si="90"/>
        <v>29.988143338430053</v>
      </c>
      <c r="BL54" s="131">
        <f t="shared" si="91"/>
        <v>0</v>
      </c>
      <c r="BM54" s="131">
        <f t="shared" si="92"/>
        <v>11.008305782461665</v>
      </c>
      <c r="BN54" s="131">
        <f t="shared" si="93"/>
        <v>0</v>
      </c>
      <c r="BO54" s="131">
        <f t="shared" si="94"/>
        <v>0</v>
      </c>
      <c r="BP54" s="131">
        <f t="shared" si="95"/>
        <v>31.37532345746402</v>
      </c>
      <c r="BQ54" s="131">
        <f t="shared" si="96"/>
        <v>0</v>
      </c>
    </row>
    <row r="55" spans="1:69">
      <c r="A55" s="130">
        <v>6</v>
      </c>
      <c r="B55" s="131">
        <f t="shared" si="97"/>
        <v>1.3757580695093934</v>
      </c>
      <c r="C55" s="131">
        <f t="shared" si="64"/>
        <v>0</v>
      </c>
      <c r="D55" s="131">
        <f t="shared" si="65"/>
        <v>0</v>
      </c>
      <c r="E55" s="131">
        <f t="shared" si="66"/>
        <v>4.9630000162938099</v>
      </c>
      <c r="F55" s="131">
        <f t="shared" si="67"/>
        <v>6.5381128509279316</v>
      </c>
      <c r="G55" s="131">
        <f t="shared" si="68"/>
        <v>51.015967933781951</v>
      </c>
      <c r="H55" s="131">
        <f t="shared" si="69"/>
        <v>0</v>
      </c>
      <c r="I55" s="131">
        <f t="shared" si="70"/>
        <v>1.3429032310625193</v>
      </c>
      <c r="J55" s="131">
        <f t="shared" si="71"/>
        <v>0.32854838446874024</v>
      </c>
      <c r="K55" s="131">
        <f t="shared" si="72"/>
        <v>1.1170645071937169</v>
      </c>
      <c r="L55" s="131">
        <f t="shared" si="73"/>
        <v>7.5159516399719752</v>
      </c>
      <c r="M55" s="131">
        <f t="shared" si="74"/>
        <v>0</v>
      </c>
      <c r="O55" s="130">
        <v>6</v>
      </c>
      <c r="P55" s="131">
        <f>'Stasiun Pontianak Kota'!Q101</f>
        <v>2</v>
      </c>
      <c r="Q55" s="131">
        <f>'Stasiun Pontianak Kota'!R101</f>
        <v>0</v>
      </c>
      <c r="R55" s="131">
        <f>'Stasiun Pontianak Kota'!S101</f>
        <v>0</v>
      </c>
      <c r="S55" s="131">
        <f>'Stasiun Pontianak Kota'!T101</f>
        <v>7</v>
      </c>
      <c r="T55" s="131">
        <f>'Stasiun Pontianak Kota'!U101</f>
        <v>0</v>
      </c>
      <c r="U55" s="131">
        <f>'Stasiun Pontianak Kota'!V101</f>
        <v>75</v>
      </c>
      <c r="V55" s="131">
        <f>'Stasiun Pontianak Kota'!W101</f>
        <v>0</v>
      </c>
      <c r="W55" s="131">
        <f>'Stasiun Pontianak Kota'!X101</f>
        <v>2</v>
      </c>
      <c r="X55" s="131">
        <f>'Stasiun Pontianak Kota'!Y101</f>
        <v>0</v>
      </c>
      <c r="Y55" s="131">
        <f>'Stasiun Pontianak Kota'!Z101</f>
        <v>0</v>
      </c>
      <c r="Z55" s="131">
        <f>'Stasiun Pontianak Kota'!AA101</f>
        <v>10.9</v>
      </c>
      <c r="AA55" s="131">
        <f>'Stasiun Pontianak Kota'!AB101</f>
        <v>0</v>
      </c>
      <c r="AC55" s="130">
        <v>6</v>
      </c>
      <c r="AD55" s="131">
        <f>'Sta. Meteorologi pnk'!B58</f>
        <v>0.1</v>
      </c>
      <c r="AE55" s="131">
        <f>'Sta. Meteorologi pnk'!C58</f>
        <v>0</v>
      </c>
      <c r="AF55" s="131">
        <f>'Sta. Meteorologi pnk'!D58</f>
        <v>0</v>
      </c>
      <c r="AG55" s="131">
        <f>'Sta. Meteorologi pnk'!E58</f>
        <v>0.8</v>
      </c>
      <c r="AH55" s="131">
        <f>'Sta. Meteorologi pnk'!F58</f>
        <v>19.899999999999999</v>
      </c>
      <c r="AI55" s="131">
        <f>'Sta. Meteorologi pnk'!G58</f>
        <v>2</v>
      </c>
      <c r="AJ55" s="131">
        <f>'Sta. Meteorologi pnk'!H58</f>
        <v>0</v>
      </c>
      <c r="AK55" s="131">
        <f>'Sta. Meteorologi pnk'!I58</f>
        <v>0</v>
      </c>
      <c r="AL55" s="131">
        <f>'Sta. Meteorologi pnk'!J58</f>
        <v>1</v>
      </c>
      <c r="AM55" s="131">
        <f>'Sta. Meteorologi pnk'!K58</f>
        <v>3.4</v>
      </c>
      <c r="AN55" s="131">
        <f>'Sta. Meteorologi pnk'!L58</f>
        <v>0.6</v>
      </c>
      <c r="AO55" s="131">
        <f>'Sta. Meteorologi pnk'!M58</f>
        <v>0</v>
      </c>
      <c r="AQ55" s="130">
        <v>6</v>
      </c>
      <c r="AR55" s="131">
        <f t="shared" si="98"/>
        <v>0.71523006848499937</v>
      </c>
      <c r="AS55" s="131">
        <f t="shared" si="75"/>
        <v>0</v>
      </c>
      <c r="AT55" s="131">
        <f t="shared" si="76"/>
        <v>0</v>
      </c>
      <c r="AU55" s="131">
        <f t="shared" si="77"/>
        <v>2.8075928550563134</v>
      </c>
      <c r="AV55" s="131">
        <f t="shared" si="78"/>
        <v>13.456274545867636</v>
      </c>
      <c r="AW55" s="131">
        <f t="shared" si="79"/>
        <v>25.637786841792074</v>
      </c>
      <c r="AX55" s="131">
        <f t="shared" si="80"/>
        <v>0</v>
      </c>
      <c r="AY55" s="131">
        <f t="shared" si="81"/>
        <v>0.64761059840526247</v>
      </c>
      <c r="AZ55" s="131">
        <f t="shared" si="82"/>
        <v>0.67619470079736876</v>
      </c>
      <c r="BA55" s="131">
        <f t="shared" si="83"/>
        <v>2.2990619827110534</v>
      </c>
      <c r="BB55" s="131">
        <f t="shared" si="84"/>
        <v>3.9351945817871017</v>
      </c>
      <c r="BC55" s="131">
        <f t="shared" si="85"/>
        <v>0</v>
      </c>
      <c r="BE55" s="130">
        <v>6</v>
      </c>
      <c r="BF55" s="131">
        <f t="shared" si="99"/>
        <v>0.79794362145533526</v>
      </c>
      <c r="BG55" s="131">
        <f t="shared" si="86"/>
        <v>0</v>
      </c>
      <c r="BH55" s="131">
        <f t="shared" si="87"/>
        <v>0</v>
      </c>
      <c r="BI55" s="131">
        <f t="shared" si="88"/>
        <v>3.0775002384331991</v>
      </c>
      <c r="BJ55" s="131">
        <f t="shared" si="89"/>
        <v>12.589958912125697</v>
      </c>
      <c r="BK55" s="131">
        <f t="shared" si="90"/>
        <v>28.815728613810247</v>
      </c>
      <c r="BL55" s="131">
        <f t="shared" si="91"/>
        <v>0</v>
      </c>
      <c r="BM55" s="131">
        <f t="shared" si="92"/>
        <v>0.73467749626877399</v>
      </c>
      <c r="BN55" s="131">
        <f t="shared" si="93"/>
        <v>0.63266125186561295</v>
      </c>
      <c r="BO55" s="131">
        <f t="shared" si="94"/>
        <v>2.1510482563430839</v>
      </c>
      <c r="BP55" s="131">
        <f t="shared" si="95"/>
        <v>4.3835891057841865</v>
      </c>
      <c r="BQ55" s="131">
        <f t="shared" si="96"/>
        <v>0</v>
      </c>
    </row>
    <row r="56" spans="1:69">
      <c r="A56" s="130">
        <v>7</v>
      </c>
      <c r="B56" s="131">
        <f t="shared" si="97"/>
        <v>1.7084515992374496</v>
      </c>
      <c r="C56" s="131">
        <f t="shared" si="64"/>
        <v>0</v>
      </c>
      <c r="D56" s="131">
        <f t="shared" si="65"/>
        <v>0</v>
      </c>
      <c r="E56" s="131">
        <f t="shared" si="66"/>
        <v>9.4003226174376344</v>
      </c>
      <c r="F56" s="131">
        <f t="shared" si="67"/>
        <v>11.663161325012627</v>
      </c>
      <c r="G56" s="131">
        <f t="shared" si="68"/>
        <v>0</v>
      </c>
      <c r="H56" s="131">
        <f t="shared" si="69"/>
        <v>1.248483860981213</v>
      </c>
      <c r="I56" s="131">
        <f t="shared" si="70"/>
        <v>0</v>
      </c>
      <c r="J56" s="131">
        <f t="shared" si="71"/>
        <v>2.0143548465937791</v>
      </c>
      <c r="K56" s="131">
        <f t="shared" si="72"/>
        <v>26.858064621250385</v>
      </c>
      <c r="L56" s="131">
        <f t="shared" si="73"/>
        <v>24.246870773793031</v>
      </c>
      <c r="M56" s="131">
        <f t="shared" si="74"/>
        <v>0</v>
      </c>
      <c r="O56" s="130">
        <v>7</v>
      </c>
      <c r="P56" s="131">
        <f>'Stasiun Pontianak Kota'!Q102</f>
        <v>0</v>
      </c>
      <c r="Q56" s="131">
        <f>'Stasiun Pontianak Kota'!R102</f>
        <v>0</v>
      </c>
      <c r="R56" s="131">
        <f>'Stasiun Pontianak Kota'!S102</f>
        <v>0</v>
      </c>
      <c r="S56" s="131">
        <f>'Stasiun Pontianak Kota'!T102</f>
        <v>14</v>
      </c>
      <c r="T56" s="131">
        <f>'Stasiun Pontianak Kota'!U102</f>
        <v>16</v>
      </c>
      <c r="U56" s="131">
        <f>'Stasiun Pontianak Kota'!V102</f>
        <v>0</v>
      </c>
      <c r="V56" s="131">
        <f>'Stasiun Pontianak Kota'!W102</f>
        <v>0</v>
      </c>
      <c r="W56" s="131">
        <f>'Stasiun Pontianak Kota'!X102</f>
        <v>0</v>
      </c>
      <c r="X56" s="131">
        <f>'Stasiun Pontianak Kota'!Y102</f>
        <v>3</v>
      </c>
      <c r="Y56" s="131">
        <f>'Stasiun Pontianak Kota'!Z102</f>
        <v>40</v>
      </c>
      <c r="Z56" s="131">
        <f>'Stasiun Pontianak Kota'!AA102</f>
        <v>0</v>
      </c>
      <c r="AA56" s="131">
        <f>'Stasiun Pontianak Kota'!AB102</f>
        <v>0</v>
      </c>
      <c r="AC56" s="130">
        <v>7</v>
      </c>
      <c r="AD56" s="131">
        <f>'Sta. Meteorologi pnk'!B59</f>
        <v>5.2</v>
      </c>
      <c r="AE56" s="131">
        <f>'Sta. Meteorologi pnk'!C59</f>
        <v>0</v>
      </c>
      <c r="AF56" s="131">
        <f>'Sta. Meteorologi pnk'!D59</f>
        <v>0</v>
      </c>
      <c r="AG56" s="131">
        <f>'Sta. Meteorologi pnk'!E59</f>
        <v>0</v>
      </c>
      <c r="AH56" s="131">
        <f>'Sta. Meteorologi pnk'!F59</f>
        <v>2.8</v>
      </c>
      <c r="AI56" s="131">
        <f>'Sta. Meteorologi pnk'!G59</f>
        <v>0</v>
      </c>
      <c r="AJ56" s="131">
        <f>'Sta. Meteorologi pnk'!H59</f>
        <v>3.8</v>
      </c>
      <c r="AK56" s="131">
        <f>'Sta. Meteorologi pnk'!I59</f>
        <v>0</v>
      </c>
      <c r="AL56" s="131">
        <f>'Sta. Meteorologi pnk'!J59</f>
        <v>0</v>
      </c>
      <c r="AM56" s="131">
        <f>'Sta. Meteorologi pnk'!K59</f>
        <v>0</v>
      </c>
      <c r="AN56" s="131">
        <f>'Sta. Meteorologi pnk'!L59</f>
        <v>73.8</v>
      </c>
      <c r="AO56" s="131">
        <f>'Sta. Meteorologi pnk'!M59</f>
        <v>0</v>
      </c>
      <c r="AQ56" s="130">
        <v>7</v>
      </c>
      <c r="AR56" s="131">
        <f t="shared" si="98"/>
        <v>3.5162124441463174</v>
      </c>
      <c r="AS56" s="131">
        <f t="shared" si="75"/>
        <v>0</v>
      </c>
      <c r="AT56" s="131">
        <f t="shared" si="76"/>
        <v>0</v>
      </c>
      <c r="AU56" s="131">
        <f t="shared" si="77"/>
        <v>4.5332741888368364</v>
      </c>
      <c r="AV56" s="131">
        <f t="shared" si="78"/>
        <v>7.0742299494747316</v>
      </c>
      <c r="AW56" s="131">
        <f t="shared" si="79"/>
        <v>0</v>
      </c>
      <c r="AX56" s="131">
        <f t="shared" si="80"/>
        <v>2.569539863030001</v>
      </c>
      <c r="AY56" s="131">
        <f t="shared" si="81"/>
        <v>0</v>
      </c>
      <c r="AZ56" s="131">
        <f t="shared" si="82"/>
        <v>0.97141589760789349</v>
      </c>
      <c r="BA56" s="131">
        <f t="shared" si="83"/>
        <v>12.952211968105248</v>
      </c>
      <c r="BB56" s="131">
        <f t="shared" si="84"/>
        <v>49.903168918845807</v>
      </c>
      <c r="BC56" s="131">
        <f t="shared" si="85"/>
        <v>0</v>
      </c>
      <c r="BE56" s="130">
        <v>7</v>
      </c>
      <c r="BF56" s="131">
        <f t="shared" si="99"/>
        <v>3.289838509701188</v>
      </c>
      <c r="BG56" s="131">
        <f t="shared" si="86"/>
        <v>0</v>
      </c>
      <c r="BH56" s="131">
        <f t="shared" si="87"/>
        <v>0</v>
      </c>
      <c r="BI56" s="131">
        <f t="shared" si="88"/>
        <v>5.1427424738814178</v>
      </c>
      <c r="BJ56" s="131">
        <f t="shared" si="89"/>
        <v>7.648871475373908</v>
      </c>
      <c r="BK56" s="131">
        <f t="shared" si="90"/>
        <v>0</v>
      </c>
      <c r="BL56" s="131">
        <f t="shared" si="91"/>
        <v>2.4041127570893295</v>
      </c>
      <c r="BM56" s="131">
        <f t="shared" si="92"/>
        <v>0</v>
      </c>
      <c r="BN56" s="131">
        <f t="shared" si="93"/>
        <v>1.1020162444031609</v>
      </c>
      <c r="BO56" s="131">
        <f t="shared" si="94"/>
        <v>14.693549925375478</v>
      </c>
      <c r="BP56" s="131">
        <f t="shared" si="95"/>
        <v>46.690400387682239</v>
      </c>
      <c r="BQ56" s="131">
        <f t="shared" si="96"/>
        <v>0</v>
      </c>
    </row>
    <row r="57" spans="1:69">
      <c r="A57" s="130">
        <v>8</v>
      </c>
      <c r="B57" s="131">
        <f t="shared" si="97"/>
        <v>2.6858064621250386</v>
      </c>
      <c r="C57" s="131">
        <f t="shared" si="64"/>
        <v>0</v>
      </c>
      <c r="D57" s="131">
        <f t="shared" si="65"/>
        <v>0</v>
      </c>
      <c r="E57" s="131">
        <f t="shared" si="66"/>
        <v>3.1869193293467806</v>
      </c>
      <c r="F57" s="131">
        <f t="shared" si="67"/>
        <v>17.051661153927618</v>
      </c>
      <c r="G57" s="131">
        <f t="shared" si="68"/>
        <v>8.7288710019063753</v>
      </c>
      <c r="H57" s="131">
        <f t="shared" si="69"/>
        <v>9.9260000325876199</v>
      </c>
      <c r="I57" s="131">
        <f t="shared" si="70"/>
        <v>0</v>
      </c>
      <c r="J57" s="131">
        <f t="shared" si="71"/>
        <v>0</v>
      </c>
      <c r="K57" s="131">
        <f t="shared" si="72"/>
        <v>0</v>
      </c>
      <c r="L57" s="131">
        <f t="shared" si="73"/>
        <v>23.98883874016261</v>
      </c>
      <c r="M57" s="131">
        <f t="shared" si="74"/>
        <v>3.5483225522623951</v>
      </c>
      <c r="O57" s="130">
        <v>8</v>
      </c>
      <c r="P57" s="131">
        <f>'Stasiun Pontianak Kota'!Q103</f>
        <v>4</v>
      </c>
      <c r="Q57" s="131">
        <f>'Stasiun Pontianak Kota'!R103</f>
        <v>0</v>
      </c>
      <c r="R57" s="131">
        <f>'Stasiun Pontianak Kota'!S103</f>
        <v>0</v>
      </c>
      <c r="S57" s="131">
        <f>'Stasiun Pontianak Kota'!T103</f>
        <v>0</v>
      </c>
      <c r="T57" s="131">
        <f>'Stasiun Pontianak Kota'!U103</f>
        <v>0</v>
      </c>
      <c r="U57" s="131">
        <f>'Stasiun Pontianak Kota'!V103</f>
        <v>13</v>
      </c>
      <c r="V57" s="131">
        <f>'Stasiun Pontianak Kota'!W103</f>
        <v>14</v>
      </c>
      <c r="W57" s="131">
        <f>'Stasiun Pontianak Kota'!X103</f>
        <v>0</v>
      </c>
      <c r="X57" s="131">
        <f>'Stasiun Pontianak Kota'!Y103</f>
        <v>0</v>
      </c>
      <c r="Y57" s="131">
        <f>'Stasiun Pontianak Kota'!Z103</f>
        <v>0</v>
      </c>
      <c r="Z57" s="131">
        <f>'Stasiun Pontianak Kota'!AA103</f>
        <v>27.8</v>
      </c>
      <c r="AA57" s="131">
        <f>'Stasiun Pontianak Kota'!AB103</f>
        <v>0</v>
      </c>
      <c r="AC57" s="130">
        <v>8</v>
      </c>
      <c r="AD57" s="131">
        <f>'Sta. Meteorologi pnk'!B60</f>
        <v>0</v>
      </c>
      <c r="AE57" s="131">
        <f>'Sta. Meteorologi pnk'!C60</f>
        <v>0</v>
      </c>
      <c r="AF57" s="131">
        <f>'Sta. Meteorologi pnk'!D60</f>
        <v>0</v>
      </c>
      <c r="AG57" s="131">
        <f>'Sta. Meteorologi pnk'!E60</f>
        <v>9.6999999999999993</v>
      </c>
      <c r="AH57" s="131">
        <f>'Sta. Meteorologi pnk'!F60</f>
        <v>51.9</v>
      </c>
      <c r="AI57" s="131">
        <f>'Sta. Meteorologi pnk'!G60</f>
        <v>0</v>
      </c>
      <c r="AJ57" s="131">
        <f>'Sta. Meteorologi pnk'!H60</f>
        <v>1.6</v>
      </c>
      <c r="AK57" s="131">
        <f>'Sta. Meteorologi pnk'!I60</f>
        <v>0</v>
      </c>
      <c r="AL57" s="131">
        <f>'Sta. Meteorologi pnk'!J60</f>
        <v>0</v>
      </c>
      <c r="AM57" s="131">
        <f>'Sta. Meteorologi pnk'!K60</f>
        <v>0</v>
      </c>
      <c r="AN57" s="131">
        <f>'Sta. Meteorologi pnk'!L60</f>
        <v>16.2</v>
      </c>
      <c r="AO57" s="131">
        <f>'Sta. Meteorologi pnk'!M60</f>
        <v>10.8</v>
      </c>
      <c r="AQ57" s="130">
        <v>8</v>
      </c>
      <c r="AR57" s="131">
        <f t="shared" si="98"/>
        <v>1.2952211968105249</v>
      </c>
      <c r="AS57" s="131">
        <f t="shared" si="75"/>
        <v>0</v>
      </c>
      <c r="AT57" s="131">
        <f t="shared" si="76"/>
        <v>0</v>
      </c>
      <c r="AU57" s="131">
        <f t="shared" si="77"/>
        <v>6.5590885977344762</v>
      </c>
      <c r="AV57" s="131">
        <f t="shared" si="78"/>
        <v>35.094504971383436</v>
      </c>
      <c r="AW57" s="131">
        <f t="shared" si="79"/>
        <v>4.2094688896342056</v>
      </c>
      <c r="AX57" s="131">
        <f t="shared" si="80"/>
        <v>5.6151857101126268</v>
      </c>
      <c r="AY57" s="131">
        <f t="shared" si="81"/>
        <v>0</v>
      </c>
      <c r="AZ57" s="131">
        <f t="shared" si="82"/>
        <v>0</v>
      </c>
      <c r="BA57" s="131">
        <f t="shared" si="83"/>
        <v>0</v>
      </c>
      <c r="BB57" s="131">
        <f t="shared" si="84"/>
        <v>19.95614147075052</v>
      </c>
      <c r="BC57" s="131">
        <f t="shared" si="85"/>
        <v>7.3029027686115819</v>
      </c>
      <c r="BE57" s="130">
        <v>8</v>
      </c>
      <c r="BF57" s="131">
        <f t="shared" si="99"/>
        <v>1.469354992537548</v>
      </c>
      <c r="BG57" s="131">
        <f t="shared" si="86"/>
        <v>0</v>
      </c>
      <c r="BH57" s="131">
        <f t="shared" si="87"/>
        <v>0</v>
      </c>
      <c r="BI57" s="131">
        <f t="shared" si="88"/>
        <v>6.1368141430964451</v>
      </c>
      <c r="BJ57" s="131">
        <f t="shared" si="89"/>
        <v>32.835118971825317</v>
      </c>
      <c r="BK57" s="131">
        <f t="shared" si="90"/>
        <v>4.7754037257470312</v>
      </c>
      <c r="BL57" s="131">
        <f t="shared" si="91"/>
        <v>6.1550004768663982</v>
      </c>
      <c r="BM57" s="131">
        <f t="shared" si="92"/>
        <v>0</v>
      </c>
      <c r="BN57" s="131">
        <f t="shared" si="93"/>
        <v>0</v>
      </c>
      <c r="BO57" s="131">
        <f t="shared" si="94"/>
        <v>0</v>
      </c>
      <c r="BP57" s="131">
        <f t="shared" si="95"/>
        <v>20.461129478358888</v>
      </c>
      <c r="BQ57" s="131">
        <f t="shared" si="96"/>
        <v>6.8327415201486197</v>
      </c>
    </row>
    <row r="58" spans="1:69">
      <c r="A58" s="130">
        <v>9</v>
      </c>
      <c r="B58" s="131">
        <f t="shared" si="97"/>
        <v>3.2854838446874028E-2</v>
      </c>
      <c r="C58" s="131">
        <f t="shared" si="64"/>
        <v>0</v>
      </c>
      <c r="D58" s="131">
        <f t="shared" si="65"/>
        <v>0.22998386912811819</v>
      </c>
      <c r="E58" s="131">
        <f t="shared" si="66"/>
        <v>11.414677464031413</v>
      </c>
      <c r="F58" s="131">
        <f t="shared" si="67"/>
        <v>26.632225897381588</v>
      </c>
      <c r="G58" s="131">
        <f t="shared" si="68"/>
        <v>0</v>
      </c>
      <c r="H58" s="131">
        <f t="shared" si="69"/>
        <v>8.2401935704625817</v>
      </c>
      <c r="I58" s="131">
        <f t="shared" si="70"/>
        <v>1.5113225685562051</v>
      </c>
      <c r="J58" s="131">
        <f t="shared" si="71"/>
        <v>0</v>
      </c>
      <c r="K58" s="131">
        <f t="shared" si="72"/>
        <v>0</v>
      </c>
      <c r="L58" s="131">
        <f t="shared" si="73"/>
        <v>12.860290355693872</v>
      </c>
      <c r="M58" s="131">
        <f t="shared" si="74"/>
        <v>11.301758102097015</v>
      </c>
      <c r="O58" s="130">
        <v>9</v>
      </c>
      <c r="P58" s="131">
        <f>'Stasiun Pontianak Kota'!Q104</f>
        <v>0</v>
      </c>
      <c r="Q58" s="131">
        <f>'Stasiun Pontianak Kota'!R104</f>
        <v>0</v>
      </c>
      <c r="R58" s="131">
        <f>'Stasiun Pontianak Kota'!S104</f>
        <v>0</v>
      </c>
      <c r="S58" s="131">
        <f>'Stasiun Pontianak Kota'!T104</f>
        <v>17</v>
      </c>
      <c r="T58" s="131">
        <f>'Stasiun Pontianak Kota'!U104</f>
        <v>38</v>
      </c>
      <c r="U58" s="131">
        <f>'Stasiun Pontianak Kota'!V104</f>
        <v>0</v>
      </c>
      <c r="V58" s="131">
        <f>'Stasiun Pontianak Kota'!W104</f>
        <v>11</v>
      </c>
      <c r="W58" s="131">
        <f>'Stasiun Pontianak Kota'!X104</f>
        <v>0</v>
      </c>
      <c r="X58" s="131">
        <f>'Stasiun Pontianak Kota'!Y104</f>
        <v>0</v>
      </c>
      <c r="Y58" s="131">
        <f>'Stasiun Pontianak Kota'!Z104</f>
        <v>0</v>
      </c>
      <c r="Z58" s="131">
        <f>'Stasiun Pontianak Kota'!AA104</f>
        <v>17</v>
      </c>
      <c r="AA58" s="131">
        <f>'Stasiun Pontianak Kota'!AB104</f>
        <v>16</v>
      </c>
      <c r="AC58" s="130">
        <v>9</v>
      </c>
      <c r="AD58" s="131">
        <f>'Sta. Meteorologi pnk'!B61</f>
        <v>0.1</v>
      </c>
      <c r="AE58" s="131">
        <f>'Sta. Meteorologi pnk'!C61</f>
        <v>0</v>
      </c>
      <c r="AF58" s="131">
        <f>'Sta. Meteorologi pnk'!D61</f>
        <v>0.7</v>
      </c>
      <c r="AG58" s="131">
        <f>'Sta. Meteorologi pnk'!E61</f>
        <v>0</v>
      </c>
      <c r="AH58" s="131">
        <f>'Sta. Meteorologi pnk'!F61</f>
        <v>3.4</v>
      </c>
      <c r="AI58" s="131">
        <f>'Sta. Meteorologi pnk'!G61</f>
        <v>0</v>
      </c>
      <c r="AJ58" s="131">
        <f>'Sta. Meteorologi pnk'!H61</f>
        <v>2.6</v>
      </c>
      <c r="AK58" s="131">
        <f>'Sta. Meteorologi pnk'!I61</f>
        <v>4.5999999999999996</v>
      </c>
      <c r="AL58" s="131">
        <f>'Sta. Meteorologi pnk'!J61</f>
        <v>0</v>
      </c>
      <c r="AM58" s="131">
        <f>'Sta. Meteorologi pnk'!K61</f>
        <v>0</v>
      </c>
      <c r="AN58" s="131">
        <f>'Sta. Meteorologi pnk'!L61</f>
        <v>4.4000000000000004</v>
      </c>
      <c r="AO58" s="131">
        <f>'Sta. Meteorologi pnk'!M61</f>
        <v>1.7</v>
      </c>
      <c r="AQ58" s="130">
        <v>9</v>
      </c>
      <c r="AR58" s="131">
        <f t="shared" si="98"/>
        <v>6.7619470079736871E-2</v>
      </c>
      <c r="AS58" s="131">
        <f t="shared" si="75"/>
        <v>0</v>
      </c>
      <c r="AT58" s="131">
        <f t="shared" si="76"/>
        <v>0.47333629055815807</v>
      </c>
      <c r="AU58" s="131">
        <f t="shared" si="77"/>
        <v>5.5046900864447297</v>
      </c>
      <c r="AV58" s="131">
        <f t="shared" si="78"/>
        <v>14.603663352411038</v>
      </c>
      <c r="AW58" s="131">
        <f t="shared" si="79"/>
        <v>0</v>
      </c>
      <c r="AX58" s="131">
        <f t="shared" si="80"/>
        <v>5.3199645133021018</v>
      </c>
      <c r="AY58" s="131">
        <f t="shared" si="81"/>
        <v>3.1104956236678962</v>
      </c>
      <c r="AZ58" s="131">
        <f t="shared" si="82"/>
        <v>0</v>
      </c>
      <c r="BA58" s="131">
        <f t="shared" si="83"/>
        <v>0</v>
      </c>
      <c r="BB58" s="131">
        <f t="shared" si="84"/>
        <v>8.4799467699531519</v>
      </c>
      <c r="BC58" s="131">
        <f t="shared" si="85"/>
        <v>6.3304157785976258</v>
      </c>
      <c r="BE58" s="130">
        <v>9</v>
      </c>
      <c r="BF58" s="131">
        <f t="shared" si="99"/>
        <v>6.3266125186561301E-2</v>
      </c>
      <c r="BG58" s="131">
        <f t="shared" si="86"/>
        <v>0</v>
      </c>
      <c r="BH58" s="131">
        <f t="shared" si="87"/>
        <v>0.44286287630592908</v>
      </c>
      <c r="BI58" s="131">
        <f t="shared" si="88"/>
        <v>6.2447587182845785</v>
      </c>
      <c r="BJ58" s="131">
        <f t="shared" si="89"/>
        <v>16.10992068544979</v>
      </c>
      <c r="BK58" s="131">
        <f t="shared" si="90"/>
        <v>0</v>
      </c>
      <c r="BL58" s="131">
        <f t="shared" si="91"/>
        <v>5.6856454843288518</v>
      </c>
      <c r="BM58" s="131">
        <f t="shared" si="92"/>
        <v>2.9102417585818201</v>
      </c>
      <c r="BN58" s="131">
        <f t="shared" si="93"/>
        <v>0</v>
      </c>
      <c r="BO58" s="131">
        <f t="shared" si="94"/>
        <v>0</v>
      </c>
      <c r="BP58" s="131">
        <f t="shared" si="95"/>
        <v>9.0284682264932758</v>
      </c>
      <c r="BQ58" s="131">
        <f t="shared" si="96"/>
        <v>6.9529440983217343</v>
      </c>
    </row>
    <row r="59" spans="1:69">
      <c r="A59" s="130">
        <v>10</v>
      </c>
      <c r="B59" s="131">
        <f t="shared" si="97"/>
        <v>2.825516106431166</v>
      </c>
      <c r="C59" s="131">
        <f t="shared" si="64"/>
        <v>0</v>
      </c>
      <c r="D59" s="131">
        <f t="shared" si="65"/>
        <v>16.786290388281493</v>
      </c>
      <c r="E59" s="131">
        <f t="shared" si="66"/>
        <v>0</v>
      </c>
      <c r="F59" s="131">
        <f t="shared" si="67"/>
        <v>1.3429032310625193</v>
      </c>
      <c r="G59" s="131">
        <f t="shared" si="68"/>
        <v>0</v>
      </c>
      <c r="H59" s="131">
        <f t="shared" si="69"/>
        <v>4.2197741677936547</v>
      </c>
      <c r="I59" s="131">
        <f t="shared" si="70"/>
        <v>15.784677301093312</v>
      </c>
      <c r="J59" s="131">
        <f t="shared" si="71"/>
        <v>0</v>
      </c>
      <c r="K59" s="131">
        <f t="shared" si="72"/>
        <v>9.4621934726997203</v>
      </c>
      <c r="L59" s="131">
        <f t="shared" si="73"/>
        <v>2.496967721962426</v>
      </c>
      <c r="M59" s="131">
        <f t="shared" si="74"/>
        <v>0</v>
      </c>
      <c r="O59" s="130">
        <v>10</v>
      </c>
      <c r="P59" s="131">
        <f>'Stasiun Pontianak Kota'!Q105</f>
        <v>0</v>
      </c>
      <c r="Q59" s="131">
        <f>'Stasiun Pontianak Kota'!R105</f>
        <v>0</v>
      </c>
      <c r="R59" s="131">
        <f>'Stasiun Pontianak Kota'!S105</f>
        <v>25</v>
      </c>
      <c r="S59" s="131">
        <f>'Stasiun Pontianak Kota'!T105</f>
        <v>0</v>
      </c>
      <c r="T59" s="131">
        <f>'Stasiun Pontianak Kota'!U105</f>
        <v>2</v>
      </c>
      <c r="U59" s="131">
        <f>'Stasiun Pontianak Kota'!V105</f>
        <v>0</v>
      </c>
      <c r="V59" s="131">
        <f>'Stasiun Pontianak Kota'!W105</f>
        <v>1</v>
      </c>
      <c r="W59" s="131">
        <f>'Stasiun Pontianak Kota'!X105</f>
        <v>1</v>
      </c>
      <c r="X59" s="131">
        <f>'Stasiun Pontianak Kota'!Y105</f>
        <v>0</v>
      </c>
      <c r="Y59" s="131">
        <f>'Stasiun Pontianak Kota'!Z105</f>
        <v>0</v>
      </c>
      <c r="Z59" s="131">
        <f>'Stasiun Pontianak Kota'!AA105</f>
        <v>0</v>
      </c>
      <c r="AA59" s="131">
        <f>'Stasiun Pontianak Kota'!AB105</f>
        <v>0</v>
      </c>
      <c r="AC59" s="130">
        <v>10</v>
      </c>
      <c r="AD59" s="131">
        <f>'Sta. Meteorologi pnk'!B62</f>
        <v>8.6</v>
      </c>
      <c r="AE59" s="131">
        <f>'Sta. Meteorologi pnk'!C62</f>
        <v>0</v>
      </c>
      <c r="AF59" s="131">
        <f>'Sta. Meteorologi pnk'!D62</f>
        <v>0</v>
      </c>
      <c r="AG59" s="131">
        <f>'Sta. Meteorologi pnk'!E62</f>
        <v>0</v>
      </c>
      <c r="AH59" s="131">
        <f>'Sta. Meteorologi pnk'!F62</f>
        <v>0</v>
      </c>
      <c r="AI59" s="131">
        <f>'Sta. Meteorologi pnk'!G62</f>
        <v>0</v>
      </c>
      <c r="AJ59" s="131">
        <f>'Sta. Meteorologi pnk'!H62</f>
        <v>10.8</v>
      </c>
      <c r="AK59" s="131">
        <f>'Sta. Meteorologi pnk'!I62</f>
        <v>46</v>
      </c>
      <c r="AL59" s="131">
        <f>'Sta. Meteorologi pnk'!J62</f>
        <v>0</v>
      </c>
      <c r="AM59" s="131">
        <f>'Sta. Meteorologi pnk'!K62</f>
        <v>28.8</v>
      </c>
      <c r="AN59" s="131">
        <f>'Sta. Meteorologi pnk'!L62</f>
        <v>7.6</v>
      </c>
      <c r="AO59" s="131">
        <f>'Sta. Meteorologi pnk'!M62</f>
        <v>0</v>
      </c>
      <c r="AQ59" s="130">
        <v>10</v>
      </c>
      <c r="AR59" s="131">
        <f t="shared" si="98"/>
        <v>5.8152744268573704</v>
      </c>
      <c r="AS59" s="131">
        <f t="shared" si="75"/>
        <v>0</v>
      </c>
      <c r="AT59" s="131">
        <f t="shared" si="76"/>
        <v>8.0951324800657805</v>
      </c>
      <c r="AU59" s="131">
        <f t="shared" si="77"/>
        <v>0</v>
      </c>
      <c r="AV59" s="131">
        <f t="shared" si="78"/>
        <v>0.64761059840526247</v>
      </c>
      <c r="AW59" s="131">
        <f t="shared" si="79"/>
        <v>0</v>
      </c>
      <c r="AX59" s="131">
        <f t="shared" si="80"/>
        <v>7.6267080678142127</v>
      </c>
      <c r="AY59" s="131">
        <f t="shared" si="81"/>
        <v>31.428761535881588</v>
      </c>
      <c r="AZ59" s="131">
        <f t="shared" si="82"/>
        <v>0</v>
      </c>
      <c r="BA59" s="131">
        <f t="shared" si="83"/>
        <v>19.47440738296422</v>
      </c>
      <c r="BB59" s="131">
        <f t="shared" si="84"/>
        <v>5.1390797260600021</v>
      </c>
      <c r="BC59" s="131">
        <f t="shared" si="85"/>
        <v>0</v>
      </c>
      <c r="BE59" s="130">
        <v>10</v>
      </c>
      <c r="BF59" s="131">
        <f t="shared" si="99"/>
        <v>5.4408867660442715</v>
      </c>
      <c r="BG59" s="131">
        <f t="shared" si="86"/>
        <v>0</v>
      </c>
      <c r="BH59" s="131">
        <f t="shared" si="87"/>
        <v>9.1834687033596758</v>
      </c>
      <c r="BI59" s="131">
        <f t="shared" si="88"/>
        <v>0</v>
      </c>
      <c r="BJ59" s="131">
        <f t="shared" si="89"/>
        <v>0.73467749626877399</v>
      </c>
      <c r="BK59" s="131">
        <f t="shared" si="90"/>
        <v>0</v>
      </c>
      <c r="BL59" s="131">
        <f t="shared" si="91"/>
        <v>7.2000802682830072</v>
      </c>
      <c r="BM59" s="131">
        <f t="shared" si="92"/>
        <v>29.469756333952585</v>
      </c>
      <c r="BN59" s="131">
        <f t="shared" si="93"/>
        <v>0</v>
      </c>
      <c r="BO59" s="131">
        <f t="shared" si="94"/>
        <v>18.220644053729657</v>
      </c>
      <c r="BP59" s="131">
        <f t="shared" si="95"/>
        <v>4.808225514178659</v>
      </c>
      <c r="BQ59" s="131">
        <f t="shared" si="96"/>
        <v>0</v>
      </c>
    </row>
    <row r="60" spans="1:69">
      <c r="A60" s="130">
        <v>11</v>
      </c>
      <c r="B60" s="131">
        <f t="shared" si="97"/>
        <v>6.7145161553125963</v>
      </c>
      <c r="C60" s="131">
        <f t="shared" si="64"/>
        <v>0</v>
      </c>
      <c r="D60" s="131">
        <f t="shared" si="65"/>
        <v>0</v>
      </c>
      <c r="E60" s="131">
        <f t="shared" si="66"/>
        <v>0</v>
      </c>
      <c r="F60" s="131">
        <f t="shared" si="67"/>
        <v>4.4025483518811193</v>
      </c>
      <c r="G60" s="131">
        <f t="shared" si="68"/>
        <v>0</v>
      </c>
      <c r="H60" s="131">
        <f t="shared" si="69"/>
        <v>3.1170645071937173</v>
      </c>
      <c r="I60" s="131">
        <f t="shared" si="70"/>
        <v>48.418822609290729</v>
      </c>
      <c r="J60" s="131">
        <f t="shared" si="71"/>
        <v>0</v>
      </c>
      <c r="K60" s="131">
        <f t="shared" si="72"/>
        <v>23.165080735828461</v>
      </c>
      <c r="L60" s="131">
        <f t="shared" si="73"/>
        <v>16.733322470793343</v>
      </c>
      <c r="M60" s="131">
        <f t="shared" si="74"/>
        <v>0</v>
      </c>
      <c r="O60" s="130">
        <v>11</v>
      </c>
      <c r="P60" s="131">
        <f>'Stasiun Pontianak Kota'!Q106</f>
        <v>10</v>
      </c>
      <c r="Q60" s="131">
        <f>'Stasiun Pontianak Kota'!R106</f>
        <v>0</v>
      </c>
      <c r="R60" s="131">
        <f>'Stasiun Pontianak Kota'!S106</f>
        <v>0</v>
      </c>
      <c r="S60" s="131">
        <f>'Stasiun Pontianak Kota'!T106</f>
        <v>0</v>
      </c>
      <c r="T60" s="131">
        <f>'Stasiun Pontianak Kota'!U106</f>
        <v>0</v>
      </c>
      <c r="U60" s="131">
        <f>'Stasiun Pontianak Kota'!V106</f>
        <v>0</v>
      </c>
      <c r="V60" s="131">
        <f>'Stasiun Pontianak Kota'!W106</f>
        <v>2</v>
      </c>
      <c r="W60" s="131">
        <f>'Stasiun Pontianak Kota'!X106</f>
        <v>52</v>
      </c>
      <c r="X60" s="131">
        <f>'Stasiun Pontianak Kota'!Y106</f>
        <v>0</v>
      </c>
      <c r="Y60" s="131">
        <f>'Stasiun Pontianak Kota'!Z106</f>
        <v>34.5</v>
      </c>
      <c r="Z60" s="131">
        <f>'Stasiun Pontianak Kota'!AA106</f>
        <v>3</v>
      </c>
      <c r="AA60" s="131">
        <f>'Stasiun Pontianak Kota'!AB106</f>
        <v>0</v>
      </c>
      <c r="AC60" s="130">
        <v>11</v>
      </c>
      <c r="AD60" s="131">
        <f>'Sta. Meteorologi pnk'!B63</f>
        <v>0</v>
      </c>
      <c r="AE60" s="131">
        <f>'Sta. Meteorologi pnk'!C63</f>
        <v>0</v>
      </c>
      <c r="AF60" s="131">
        <f>'Sta. Meteorologi pnk'!D63</f>
        <v>0</v>
      </c>
      <c r="AG60" s="131">
        <f>'Sta. Meteorologi pnk'!E63</f>
        <v>0</v>
      </c>
      <c r="AH60" s="131">
        <f>'Sta. Meteorologi pnk'!F63</f>
        <v>13.4</v>
      </c>
      <c r="AI60" s="131">
        <f>'Sta. Meteorologi pnk'!G63</f>
        <v>0</v>
      </c>
      <c r="AJ60" s="131">
        <f>'Sta. Meteorologi pnk'!H63</f>
        <v>5.4</v>
      </c>
      <c r="AK60" s="131">
        <f>'Sta. Meteorologi pnk'!I63</f>
        <v>41.1</v>
      </c>
      <c r="AL60" s="131">
        <f>'Sta. Meteorologi pnk'!J63</f>
        <v>0</v>
      </c>
      <c r="AM60" s="131">
        <f>'Sta. Meteorologi pnk'!K63</f>
        <v>0</v>
      </c>
      <c r="AN60" s="131">
        <f>'Sta. Meteorologi pnk'!L63</f>
        <v>44.8</v>
      </c>
      <c r="AO60" s="131">
        <f>'Sta. Meteorologi pnk'!M63</f>
        <v>0</v>
      </c>
      <c r="AQ60" s="130">
        <v>11</v>
      </c>
      <c r="AR60" s="131">
        <f t="shared" si="98"/>
        <v>3.2380529920263119</v>
      </c>
      <c r="AS60" s="131">
        <f t="shared" si="75"/>
        <v>0</v>
      </c>
      <c r="AT60" s="131">
        <f t="shared" si="76"/>
        <v>0</v>
      </c>
      <c r="AU60" s="131">
        <f t="shared" si="77"/>
        <v>0</v>
      </c>
      <c r="AV60" s="131">
        <f t="shared" si="78"/>
        <v>9.0610089906847424</v>
      </c>
      <c r="AW60" s="131">
        <f t="shared" si="79"/>
        <v>0</v>
      </c>
      <c r="AX60" s="131">
        <f t="shared" si="80"/>
        <v>4.2990619827110539</v>
      </c>
      <c r="AY60" s="131">
        <f t="shared" si="81"/>
        <v>44.629477761308678</v>
      </c>
      <c r="AZ60" s="131">
        <f t="shared" si="82"/>
        <v>0</v>
      </c>
      <c r="BA60" s="131">
        <f t="shared" si="83"/>
        <v>11.171282822490776</v>
      </c>
      <c r="BB60" s="131">
        <f t="shared" si="84"/>
        <v>31.264938493330011</v>
      </c>
      <c r="BC60" s="131">
        <f t="shared" si="85"/>
        <v>0</v>
      </c>
      <c r="BE60" s="130">
        <v>11</v>
      </c>
      <c r="BF60" s="131">
        <f t="shared" si="99"/>
        <v>3.6733874813438696</v>
      </c>
      <c r="BG60" s="131">
        <f t="shared" si="86"/>
        <v>0</v>
      </c>
      <c r="BH60" s="131">
        <f t="shared" si="87"/>
        <v>0</v>
      </c>
      <c r="BI60" s="131">
        <f t="shared" si="88"/>
        <v>0</v>
      </c>
      <c r="BJ60" s="131">
        <f t="shared" si="89"/>
        <v>8.4776607749992152</v>
      </c>
      <c r="BK60" s="131">
        <f t="shared" si="90"/>
        <v>0</v>
      </c>
      <c r="BL60" s="131">
        <f t="shared" si="91"/>
        <v>4.1510482563430839</v>
      </c>
      <c r="BM60" s="131">
        <f t="shared" si="92"/>
        <v>45.103992354664818</v>
      </c>
      <c r="BN60" s="131">
        <f t="shared" si="93"/>
        <v>0</v>
      </c>
      <c r="BO60" s="131">
        <f t="shared" si="94"/>
        <v>12.67318681063635</v>
      </c>
      <c r="BP60" s="131">
        <f t="shared" si="95"/>
        <v>29.445240327982621</v>
      </c>
      <c r="BQ60" s="131">
        <f t="shared" si="96"/>
        <v>0</v>
      </c>
    </row>
    <row r="61" spans="1:69">
      <c r="A61" s="130">
        <v>12</v>
      </c>
      <c r="B61" s="131">
        <f t="shared" si="97"/>
        <v>6.0124354357779479</v>
      </c>
      <c r="C61" s="131">
        <f t="shared" si="64"/>
        <v>0</v>
      </c>
      <c r="D61" s="131">
        <f t="shared" si="65"/>
        <v>3.5483225522623951</v>
      </c>
      <c r="E61" s="131">
        <f t="shared" si="66"/>
        <v>0</v>
      </c>
      <c r="F61" s="131">
        <f t="shared" si="67"/>
        <v>0.45996773825623638</v>
      </c>
      <c r="G61" s="131">
        <f t="shared" si="68"/>
        <v>0</v>
      </c>
      <c r="H61" s="131">
        <f t="shared" si="69"/>
        <v>40.18722565297444</v>
      </c>
      <c r="I61" s="131">
        <f t="shared" si="70"/>
        <v>20.93237091229042</v>
      </c>
      <c r="J61" s="131">
        <f t="shared" si="71"/>
        <v>0</v>
      </c>
      <c r="K61" s="131">
        <f t="shared" si="72"/>
        <v>0</v>
      </c>
      <c r="L61" s="131">
        <f t="shared" si="73"/>
        <v>16.450564580515863</v>
      </c>
      <c r="M61" s="131">
        <f t="shared" si="74"/>
        <v>0</v>
      </c>
      <c r="O61" s="130">
        <v>12</v>
      </c>
      <c r="P61" s="131">
        <f>'Stasiun Pontianak Kota'!Q107</f>
        <v>0</v>
      </c>
      <c r="Q61" s="131">
        <f>'Stasiun Pontianak Kota'!R107</f>
        <v>0</v>
      </c>
      <c r="R61" s="131">
        <f>'Stasiun Pontianak Kota'!S107</f>
        <v>0</v>
      </c>
      <c r="S61" s="131">
        <f>'Stasiun Pontianak Kota'!T107</f>
        <v>0</v>
      </c>
      <c r="T61" s="131">
        <f>'Stasiun Pontianak Kota'!U107</f>
        <v>0</v>
      </c>
      <c r="U61" s="131">
        <f>'Stasiun Pontianak Kota'!V107</f>
        <v>0</v>
      </c>
      <c r="V61" s="131">
        <f>'Stasiun Pontianak Kota'!W107</f>
        <v>21</v>
      </c>
      <c r="W61" s="131">
        <f>'Stasiun Pontianak Kota'!X107</f>
        <v>14</v>
      </c>
      <c r="X61" s="131">
        <f>'Stasiun Pontianak Kota'!Y107</f>
        <v>0</v>
      </c>
      <c r="Y61" s="131">
        <f>'Stasiun Pontianak Kota'!Z107</f>
        <v>0</v>
      </c>
      <c r="Z61" s="131">
        <f>'Stasiun Pontianak Kota'!AA107</f>
        <v>24.5</v>
      </c>
      <c r="AA61" s="131">
        <f>'Stasiun Pontianak Kota'!AB107</f>
        <v>0</v>
      </c>
      <c r="AC61" s="130">
        <v>12</v>
      </c>
      <c r="AD61" s="131">
        <f>'Sta. Meteorologi pnk'!B64</f>
        <v>18.3</v>
      </c>
      <c r="AE61" s="131">
        <f>'Sta. Meteorologi pnk'!C64</f>
        <v>0</v>
      </c>
      <c r="AF61" s="131">
        <f>'Sta. Meteorologi pnk'!D64</f>
        <v>10.8</v>
      </c>
      <c r="AG61" s="131">
        <f>'Sta. Meteorologi pnk'!E64</f>
        <v>0</v>
      </c>
      <c r="AH61" s="131">
        <f>'Sta. Meteorologi pnk'!F64</f>
        <v>1.4</v>
      </c>
      <c r="AI61" s="131">
        <f>'Sta. Meteorologi pnk'!G64</f>
        <v>0</v>
      </c>
      <c r="AJ61" s="131">
        <f>'Sta. Meteorologi pnk'!H64</f>
        <v>79.400000000000006</v>
      </c>
      <c r="AK61" s="131">
        <f>'Sta. Meteorologi pnk'!I64</f>
        <v>35.1</v>
      </c>
      <c r="AL61" s="131">
        <f>'Sta. Meteorologi pnk'!J64</f>
        <v>0</v>
      </c>
      <c r="AM61" s="131">
        <f>'Sta. Meteorologi pnk'!K64</f>
        <v>0</v>
      </c>
      <c r="AN61" s="131">
        <f>'Sta. Meteorologi pnk'!L64</f>
        <v>0</v>
      </c>
      <c r="AO61" s="131">
        <f>'Sta. Meteorologi pnk'!M64</f>
        <v>0</v>
      </c>
      <c r="AQ61" s="130">
        <v>12</v>
      </c>
      <c r="AR61" s="131">
        <f t="shared" si="98"/>
        <v>12.374363024591847</v>
      </c>
      <c r="AS61" s="131">
        <f t="shared" si="75"/>
        <v>0</v>
      </c>
      <c r="AT61" s="131">
        <f t="shared" si="76"/>
        <v>7.3029027686115819</v>
      </c>
      <c r="AU61" s="131">
        <f t="shared" si="77"/>
        <v>0</v>
      </c>
      <c r="AV61" s="131">
        <f t="shared" si="78"/>
        <v>0.94667258111631614</v>
      </c>
      <c r="AW61" s="131">
        <f t="shared" si="79"/>
        <v>0</v>
      </c>
      <c r="AX61" s="131">
        <f t="shared" si="80"/>
        <v>60.489770526566339</v>
      </c>
      <c r="AY61" s="131">
        <f t="shared" si="81"/>
        <v>28.267708186824478</v>
      </c>
      <c r="AZ61" s="131">
        <f t="shared" si="82"/>
        <v>0</v>
      </c>
      <c r="BA61" s="131">
        <f t="shared" si="83"/>
        <v>0</v>
      </c>
      <c r="BB61" s="131">
        <f t="shared" si="84"/>
        <v>7.9332298304644642</v>
      </c>
      <c r="BC61" s="131">
        <f t="shared" si="85"/>
        <v>0</v>
      </c>
      <c r="BE61" s="130">
        <v>12</v>
      </c>
      <c r="BF61" s="131">
        <f t="shared" si="99"/>
        <v>11.577700909140717</v>
      </c>
      <c r="BG61" s="131">
        <f t="shared" si="86"/>
        <v>0</v>
      </c>
      <c r="BH61" s="131">
        <f t="shared" si="87"/>
        <v>6.8327415201486197</v>
      </c>
      <c r="BI61" s="131">
        <f t="shared" si="88"/>
        <v>0</v>
      </c>
      <c r="BJ61" s="131">
        <f t="shared" si="89"/>
        <v>0.88572575261185815</v>
      </c>
      <c r="BK61" s="131">
        <f t="shared" si="90"/>
        <v>0</v>
      </c>
      <c r="BL61" s="131">
        <f t="shared" si="91"/>
        <v>57.947417108951804</v>
      </c>
      <c r="BM61" s="131">
        <f t="shared" si="92"/>
        <v>27.349152414364433</v>
      </c>
      <c r="BN61" s="131">
        <f t="shared" si="93"/>
        <v>0</v>
      </c>
      <c r="BO61" s="131">
        <f t="shared" si="94"/>
        <v>0</v>
      </c>
      <c r="BP61" s="131">
        <f t="shared" si="95"/>
        <v>8.9997993292924807</v>
      </c>
      <c r="BQ61" s="131">
        <f t="shared" si="96"/>
        <v>0</v>
      </c>
    </row>
    <row r="62" spans="1:69">
      <c r="A62" s="130">
        <v>13</v>
      </c>
      <c r="B62" s="131">
        <f t="shared" si="97"/>
        <v>8.8315806625063136</v>
      </c>
      <c r="C62" s="131">
        <f t="shared" si="64"/>
        <v>0</v>
      </c>
      <c r="D62" s="131">
        <f t="shared" si="65"/>
        <v>21.377677480325222</v>
      </c>
      <c r="E62" s="131">
        <f t="shared" si="66"/>
        <v>0</v>
      </c>
      <c r="F62" s="131">
        <f t="shared" si="67"/>
        <v>1.3429032310625193</v>
      </c>
      <c r="G62" s="131">
        <f t="shared" si="68"/>
        <v>2.0369999837061896</v>
      </c>
      <c r="H62" s="131">
        <f t="shared" si="69"/>
        <v>30.215322698906686</v>
      </c>
      <c r="I62" s="131">
        <f t="shared" si="70"/>
        <v>22.143548465937791</v>
      </c>
      <c r="J62" s="131">
        <f t="shared" si="71"/>
        <v>16.55883857722451</v>
      </c>
      <c r="K62" s="131">
        <f t="shared" si="72"/>
        <v>0</v>
      </c>
      <c r="L62" s="131">
        <f t="shared" si="73"/>
        <v>46.78528994834862</v>
      </c>
      <c r="M62" s="131">
        <f t="shared" si="74"/>
        <v>0</v>
      </c>
      <c r="O62" s="130">
        <v>13</v>
      </c>
      <c r="P62" s="131">
        <f>'Stasiun Pontianak Kota'!Q108</f>
        <v>11</v>
      </c>
      <c r="Q62" s="131">
        <f>'Stasiun Pontianak Kota'!R108</f>
        <v>0</v>
      </c>
      <c r="R62" s="131">
        <f>'Stasiun Pontianak Kota'!S108</f>
        <v>29</v>
      </c>
      <c r="S62" s="131">
        <f>'Stasiun Pontianak Kota'!T108</f>
        <v>0</v>
      </c>
      <c r="T62" s="131">
        <f>'Stasiun Pontianak Kota'!U108</f>
        <v>2</v>
      </c>
      <c r="U62" s="131">
        <f>'Stasiun Pontianak Kota'!V108</f>
        <v>0</v>
      </c>
      <c r="V62" s="131">
        <f>'Stasiun Pontianak Kota'!W108</f>
        <v>45</v>
      </c>
      <c r="W62" s="131">
        <f>'Stasiun Pontianak Kota'!X108</f>
        <v>32</v>
      </c>
      <c r="X62" s="131">
        <f>'Stasiun Pontianak Kota'!Y108</f>
        <v>0</v>
      </c>
      <c r="Y62" s="131">
        <f>'Stasiun Pontianak Kota'!Z108</f>
        <v>0</v>
      </c>
      <c r="Z62" s="131">
        <f>'Stasiun Pontianak Kota'!AA108</f>
        <v>0</v>
      </c>
      <c r="AA62" s="131">
        <f>'Stasiun Pontianak Kota'!AB108</f>
        <v>0</v>
      </c>
      <c r="AC62" s="130">
        <v>13</v>
      </c>
      <c r="AD62" s="131">
        <f>'Sta. Meteorologi pnk'!B65</f>
        <v>4.4000000000000004</v>
      </c>
      <c r="AE62" s="131">
        <f>'Sta. Meteorologi pnk'!C65</f>
        <v>0</v>
      </c>
      <c r="AF62" s="131">
        <f>'Sta. Meteorologi pnk'!D65</f>
        <v>5.8</v>
      </c>
      <c r="AG62" s="131">
        <f>'Sta. Meteorologi pnk'!E65</f>
        <v>0</v>
      </c>
      <c r="AH62" s="131">
        <f>'Sta. Meteorologi pnk'!F65</f>
        <v>0</v>
      </c>
      <c r="AI62" s="131">
        <f>'Sta. Meteorologi pnk'!G65</f>
        <v>6.2</v>
      </c>
      <c r="AJ62" s="131">
        <f>'Sta. Meteorologi pnk'!H65</f>
        <v>0</v>
      </c>
      <c r="AK62" s="131">
        <f>'Sta. Meteorologi pnk'!I65</f>
        <v>2</v>
      </c>
      <c r="AL62" s="131">
        <f>'Sta. Meteorologi pnk'!J65</f>
        <v>50.4</v>
      </c>
      <c r="AM62" s="131">
        <f>'Sta. Meteorologi pnk'!K65</f>
        <v>0</v>
      </c>
      <c r="AN62" s="131">
        <f>'Sta. Meteorologi pnk'!L65</f>
        <v>142.4</v>
      </c>
      <c r="AO62" s="131">
        <f>'Sta. Meteorologi pnk'!M65</f>
        <v>0</v>
      </c>
      <c r="AQ62" s="130">
        <v>13</v>
      </c>
      <c r="AR62" s="131">
        <f t="shared" si="98"/>
        <v>6.5371149747373662</v>
      </c>
      <c r="AS62" s="131">
        <f t="shared" si="75"/>
        <v>0</v>
      </c>
      <c r="AT62" s="131">
        <f t="shared" si="76"/>
        <v>13.312282941501044</v>
      </c>
      <c r="AU62" s="131">
        <f t="shared" si="77"/>
        <v>0</v>
      </c>
      <c r="AV62" s="131">
        <f t="shared" si="78"/>
        <v>0.64761059840526247</v>
      </c>
      <c r="AW62" s="131">
        <f t="shared" si="79"/>
        <v>4.1924071449436866</v>
      </c>
      <c r="AX62" s="131">
        <f t="shared" si="80"/>
        <v>14.571238464118403</v>
      </c>
      <c r="AY62" s="131">
        <f t="shared" si="81"/>
        <v>11.714158976078936</v>
      </c>
      <c r="AZ62" s="131">
        <f t="shared" si="82"/>
        <v>34.080212920187385</v>
      </c>
      <c r="BA62" s="131">
        <f t="shared" si="83"/>
        <v>0</v>
      </c>
      <c r="BB62" s="131">
        <f t="shared" si="84"/>
        <v>96.29012539354531</v>
      </c>
      <c r="BC62" s="131">
        <f t="shared" si="85"/>
        <v>0</v>
      </c>
      <c r="BE62" s="130">
        <v>13</v>
      </c>
      <c r="BF62" s="131">
        <f t="shared" si="99"/>
        <v>6.8244357376869536</v>
      </c>
      <c r="BG62" s="131">
        <f t="shared" si="86"/>
        <v>0</v>
      </c>
      <c r="BH62" s="131">
        <f t="shared" si="87"/>
        <v>14.322258956717777</v>
      </c>
      <c r="BI62" s="131">
        <f t="shared" si="88"/>
        <v>0</v>
      </c>
      <c r="BJ62" s="131">
        <f t="shared" si="89"/>
        <v>0.73467749626877399</v>
      </c>
      <c r="BK62" s="131">
        <f t="shared" si="90"/>
        <v>3.9224997615668005</v>
      </c>
      <c r="BL62" s="131">
        <f t="shared" si="91"/>
        <v>16.530243666047411</v>
      </c>
      <c r="BM62" s="131">
        <f t="shared" si="92"/>
        <v>13.020162444031611</v>
      </c>
      <c r="BN62" s="131">
        <f t="shared" si="93"/>
        <v>31.886127094026897</v>
      </c>
      <c r="BO62" s="131">
        <f t="shared" si="94"/>
        <v>0</v>
      </c>
      <c r="BP62" s="131">
        <f t="shared" si="95"/>
        <v>90.090962265663308</v>
      </c>
      <c r="BQ62" s="131">
        <f t="shared" si="96"/>
        <v>0</v>
      </c>
    </row>
    <row r="63" spans="1:69">
      <c r="A63" s="130">
        <v>14</v>
      </c>
      <c r="B63" s="131">
        <f t="shared" si="97"/>
        <v>0</v>
      </c>
      <c r="C63" s="131">
        <f t="shared" si="64"/>
        <v>0</v>
      </c>
      <c r="D63" s="131">
        <f t="shared" si="65"/>
        <v>6.4373226011438245</v>
      </c>
      <c r="E63" s="131">
        <f t="shared" si="66"/>
        <v>0</v>
      </c>
      <c r="F63" s="131">
        <f t="shared" si="67"/>
        <v>0.16427419223437012</v>
      </c>
      <c r="G63" s="131">
        <f t="shared" si="68"/>
        <v>41.791354504423765</v>
      </c>
      <c r="H63" s="131">
        <f t="shared" si="69"/>
        <v>0</v>
      </c>
      <c r="I63" s="131">
        <f t="shared" si="70"/>
        <v>52.784064653838008</v>
      </c>
      <c r="J63" s="131">
        <f t="shared" si="71"/>
        <v>19.47209685040653</v>
      </c>
      <c r="K63" s="131">
        <f t="shared" si="72"/>
        <v>8.8708063806559885</v>
      </c>
      <c r="L63" s="131">
        <f t="shared" si="73"/>
        <v>64.050742183044662</v>
      </c>
      <c r="M63" s="131">
        <f t="shared" si="74"/>
        <v>0.52567741514998445</v>
      </c>
      <c r="O63" s="130">
        <v>14</v>
      </c>
      <c r="P63" s="131">
        <f>'Stasiun Pontianak Kota'!Q109</f>
        <v>0</v>
      </c>
      <c r="Q63" s="131">
        <f>'Stasiun Pontianak Kota'!R109</f>
        <v>0</v>
      </c>
      <c r="R63" s="131">
        <f>'Stasiun Pontianak Kota'!S109</f>
        <v>9</v>
      </c>
      <c r="S63" s="131">
        <f>'Stasiun Pontianak Kota'!T109</f>
        <v>0</v>
      </c>
      <c r="T63" s="131">
        <f>'Stasiun Pontianak Kota'!U109</f>
        <v>0</v>
      </c>
      <c r="U63" s="131">
        <f>'Stasiun Pontianak Kota'!V109</f>
        <v>0</v>
      </c>
      <c r="V63" s="131">
        <f>'Stasiun Pontianak Kota'!W109</f>
        <v>0</v>
      </c>
      <c r="W63" s="131">
        <f>'Stasiun Pontianak Kota'!X109</f>
        <v>70</v>
      </c>
      <c r="X63" s="131">
        <f>'Stasiun Pontianak Kota'!Y109</f>
        <v>29</v>
      </c>
      <c r="Y63" s="131">
        <f>'Stasiun Pontianak Kota'!Z109</f>
        <v>0</v>
      </c>
      <c r="Z63" s="131">
        <f>'Stasiun Pontianak Kota'!AA109</f>
        <v>95</v>
      </c>
      <c r="AA63" s="131">
        <f>'Stasiun Pontianak Kota'!AB109</f>
        <v>0</v>
      </c>
      <c r="AC63" s="130">
        <v>14</v>
      </c>
      <c r="AD63" s="131">
        <f>'Sta. Meteorologi pnk'!B66</f>
        <v>0</v>
      </c>
      <c r="AE63" s="131">
        <f>'Sta. Meteorologi pnk'!C66</f>
        <v>0</v>
      </c>
      <c r="AF63" s="131">
        <f>'Sta. Meteorologi pnk'!D66</f>
        <v>1.2</v>
      </c>
      <c r="AG63" s="131">
        <f>'Sta. Meteorologi pnk'!E66</f>
        <v>0</v>
      </c>
      <c r="AH63" s="131">
        <f>'Sta. Meteorologi pnk'!F66</f>
        <v>0.5</v>
      </c>
      <c r="AI63" s="131">
        <f>'Sta. Meteorologi pnk'!G66</f>
        <v>127.2</v>
      </c>
      <c r="AJ63" s="131">
        <f>'Sta. Meteorologi pnk'!H66</f>
        <v>0</v>
      </c>
      <c r="AK63" s="131">
        <f>'Sta. Meteorologi pnk'!I66</f>
        <v>17.600000000000001</v>
      </c>
      <c r="AL63" s="131">
        <f>'Sta. Meteorologi pnk'!J66</f>
        <v>0</v>
      </c>
      <c r="AM63" s="131">
        <f>'Sta. Meteorologi pnk'!K66</f>
        <v>27</v>
      </c>
      <c r="AN63" s="131">
        <f>'Sta. Meteorologi pnk'!L66</f>
        <v>0.8</v>
      </c>
      <c r="AO63" s="131">
        <f>'Sta. Meteorologi pnk'!M66</f>
        <v>1.6</v>
      </c>
      <c r="AQ63" s="130">
        <v>14</v>
      </c>
      <c r="AR63" s="131">
        <f t="shared" si="98"/>
        <v>0</v>
      </c>
      <c r="AS63" s="131">
        <f t="shared" si="75"/>
        <v>0</v>
      </c>
      <c r="AT63" s="131">
        <f t="shared" si="76"/>
        <v>3.725681333780523</v>
      </c>
      <c r="AU63" s="131">
        <f t="shared" si="77"/>
        <v>0</v>
      </c>
      <c r="AV63" s="131">
        <f t="shared" si="78"/>
        <v>0.33809735039868438</v>
      </c>
      <c r="AW63" s="131">
        <f t="shared" si="79"/>
        <v>86.011965941425302</v>
      </c>
      <c r="AX63" s="131">
        <f t="shared" si="80"/>
        <v>0</v>
      </c>
      <c r="AY63" s="131">
        <f t="shared" si="81"/>
        <v>34.567397678217873</v>
      </c>
      <c r="AZ63" s="131">
        <f t="shared" si="82"/>
        <v>9.3903536768763036</v>
      </c>
      <c r="BA63" s="131">
        <f t="shared" si="83"/>
        <v>18.257256921528953</v>
      </c>
      <c r="BB63" s="131">
        <f t="shared" si="84"/>
        <v>31.302459184887859</v>
      </c>
      <c r="BC63" s="131">
        <f t="shared" si="85"/>
        <v>1.0819115212757899</v>
      </c>
      <c r="BE63" s="130">
        <v>14</v>
      </c>
      <c r="BF63" s="131">
        <f t="shared" si="99"/>
        <v>0</v>
      </c>
      <c r="BG63" s="131">
        <f t="shared" si="86"/>
        <v>0</v>
      </c>
      <c r="BH63" s="131">
        <f t="shared" si="87"/>
        <v>4.0652422354482178</v>
      </c>
      <c r="BI63" s="131">
        <f t="shared" si="88"/>
        <v>0</v>
      </c>
      <c r="BJ63" s="131">
        <f t="shared" si="89"/>
        <v>0.31633062593280648</v>
      </c>
      <c r="BK63" s="131">
        <f t="shared" si="90"/>
        <v>80.474511237305975</v>
      </c>
      <c r="BL63" s="131">
        <f t="shared" si="91"/>
        <v>0</v>
      </c>
      <c r="BM63" s="131">
        <f t="shared" si="92"/>
        <v>36.848550402241884</v>
      </c>
      <c r="BN63" s="131">
        <f t="shared" si="93"/>
        <v>10.652823695897222</v>
      </c>
      <c r="BO63" s="131">
        <f t="shared" si="94"/>
        <v>17.081853800371547</v>
      </c>
      <c r="BP63" s="131">
        <f t="shared" si="95"/>
        <v>35.403310074259252</v>
      </c>
      <c r="BQ63" s="131">
        <f t="shared" si="96"/>
        <v>1.0122580029849808</v>
      </c>
    </row>
    <row r="64" spans="1:69">
      <c r="A64" s="130">
        <v>15</v>
      </c>
      <c r="B64" s="131">
        <f t="shared" si="97"/>
        <v>0</v>
      </c>
      <c r="C64" s="131">
        <f t="shared" si="64"/>
        <v>2.1684193374936855</v>
      </c>
      <c r="D64" s="131">
        <f t="shared" si="65"/>
        <v>0</v>
      </c>
      <c r="E64" s="131">
        <f t="shared" si="66"/>
        <v>0</v>
      </c>
      <c r="F64" s="131">
        <f t="shared" si="67"/>
        <v>0</v>
      </c>
      <c r="G64" s="131">
        <f t="shared" si="68"/>
        <v>40.287096931875581</v>
      </c>
      <c r="H64" s="131">
        <f t="shared" si="69"/>
        <v>0</v>
      </c>
      <c r="I64" s="131">
        <f t="shared" si="70"/>
        <v>12.129499942971664</v>
      </c>
      <c r="J64" s="131">
        <f t="shared" si="71"/>
        <v>0</v>
      </c>
      <c r="K64" s="131">
        <f t="shared" si="72"/>
        <v>24.427758134684634</v>
      </c>
      <c r="L64" s="131">
        <f t="shared" si="73"/>
        <v>2.7328548384468738</v>
      </c>
      <c r="M64" s="131">
        <f t="shared" si="74"/>
        <v>5.105580629918693</v>
      </c>
      <c r="O64" s="130">
        <v>15</v>
      </c>
      <c r="P64" s="131">
        <f>'Stasiun Pontianak Kota'!Q110</f>
        <v>0</v>
      </c>
      <c r="Q64" s="131">
        <f>'Stasiun Pontianak Kota'!R110</f>
        <v>0</v>
      </c>
      <c r="R64" s="131">
        <f>'Stasiun Pontianak Kota'!S110</f>
        <v>0</v>
      </c>
      <c r="S64" s="131">
        <f>'Stasiun Pontianak Kota'!T110</f>
        <v>0</v>
      </c>
      <c r="T64" s="131">
        <f>'Stasiun Pontianak Kota'!U110</f>
        <v>0</v>
      </c>
      <c r="U64" s="131">
        <f>'Stasiun Pontianak Kota'!V110</f>
        <v>60</v>
      </c>
      <c r="V64" s="131">
        <f>'Stasiun Pontianak Kota'!W110</f>
        <v>0</v>
      </c>
      <c r="W64" s="131">
        <f>'Stasiun Pontianak Kota'!X110</f>
        <v>5</v>
      </c>
      <c r="X64" s="131">
        <f>'Stasiun Pontianak Kota'!Y110</f>
        <v>0</v>
      </c>
      <c r="Y64" s="131">
        <f>'Stasiun Pontianak Kota'!Z110</f>
        <v>33.200000000000003</v>
      </c>
      <c r="Z64" s="131">
        <f>'Stasiun Pontianak Kota'!AA110</f>
        <v>2.7</v>
      </c>
      <c r="AA64" s="131">
        <f>'Stasiun Pontianak Kota'!AB110</f>
        <v>3.2</v>
      </c>
      <c r="AC64" s="130">
        <v>15</v>
      </c>
      <c r="AD64" s="131">
        <f>'Sta. Meteorologi pnk'!B67</f>
        <v>0</v>
      </c>
      <c r="AE64" s="131">
        <f>'Sta. Meteorologi pnk'!C67</f>
        <v>6.6</v>
      </c>
      <c r="AF64" s="131">
        <f>'Sta. Meteorologi pnk'!D67</f>
        <v>0</v>
      </c>
      <c r="AG64" s="131">
        <f>'Sta. Meteorologi pnk'!E67</f>
        <v>0</v>
      </c>
      <c r="AH64" s="131">
        <f>'Sta. Meteorologi pnk'!F67</f>
        <v>0</v>
      </c>
      <c r="AI64" s="131">
        <f>'Sta. Meteorologi pnk'!G67</f>
        <v>0</v>
      </c>
      <c r="AJ64" s="131">
        <f>'Sta. Meteorologi pnk'!H67</f>
        <v>0</v>
      </c>
      <c r="AK64" s="131">
        <f>'Sta. Meteorologi pnk'!I67</f>
        <v>26.7</v>
      </c>
      <c r="AL64" s="131">
        <f>'Sta. Meteorologi pnk'!J67</f>
        <v>0</v>
      </c>
      <c r="AM64" s="131">
        <f>'Sta. Meteorologi pnk'!K67</f>
        <v>6.5</v>
      </c>
      <c r="AN64" s="131">
        <f>'Sta. Meteorologi pnk'!L67</f>
        <v>2.8</v>
      </c>
      <c r="AO64" s="131">
        <f>'Sta. Meteorologi pnk'!M67</f>
        <v>9</v>
      </c>
      <c r="AQ64" s="130">
        <v>15</v>
      </c>
      <c r="AR64" s="131">
        <f t="shared" si="98"/>
        <v>0</v>
      </c>
      <c r="AS64" s="131">
        <f t="shared" si="75"/>
        <v>4.4628850252626338</v>
      </c>
      <c r="AT64" s="131">
        <f t="shared" si="76"/>
        <v>0</v>
      </c>
      <c r="AU64" s="131">
        <f t="shared" si="77"/>
        <v>0</v>
      </c>
      <c r="AV64" s="131">
        <f t="shared" si="78"/>
        <v>0</v>
      </c>
      <c r="AW64" s="131">
        <f t="shared" si="79"/>
        <v>19.428317952157872</v>
      </c>
      <c r="AX64" s="131">
        <f t="shared" si="80"/>
        <v>0</v>
      </c>
      <c r="AY64" s="131">
        <f t="shared" si="81"/>
        <v>19.673425007302903</v>
      </c>
      <c r="AZ64" s="131">
        <f t="shared" si="82"/>
        <v>0</v>
      </c>
      <c r="BA64" s="131">
        <f t="shared" si="83"/>
        <v>15.145601488710254</v>
      </c>
      <c r="BB64" s="131">
        <f t="shared" si="84"/>
        <v>2.7676194700797367</v>
      </c>
      <c r="BC64" s="131">
        <f t="shared" si="85"/>
        <v>7.1219292646247387</v>
      </c>
      <c r="BE64" s="130">
        <v>15</v>
      </c>
      <c r="BF64" s="131">
        <f t="shared" si="99"/>
        <v>0</v>
      </c>
      <c r="BG64" s="131">
        <f t="shared" si="86"/>
        <v>4.1755642623130456</v>
      </c>
      <c r="BH64" s="131">
        <f t="shared" si="87"/>
        <v>0</v>
      </c>
      <c r="BI64" s="131">
        <f t="shared" si="88"/>
        <v>0</v>
      </c>
      <c r="BJ64" s="131">
        <f t="shared" si="89"/>
        <v>0</v>
      </c>
      <c r="BK64" s="131">
        <f t="shared" si="90"/>
        <v>22.040324888063221</v>
      </c>
      <c r="BL64" s="131">
        <f t="shared" si="91"/>
        <v>0</v>
      </c>
      <c r="BM64" s="131">
        <f t="shared" si="92"/>
        <v>18.728749165483801</v>
      </c>
      <c r="BN64" s="131">
        <f t="shared" si="93"/>
        <v>0</v>
      </c>
      <c r="BO64" s="131">
        <f t="shared" si="94"/>
        <v>16.307944575188134</v>
      </c>
      <c r="BP64" s="131">
        <f t="shared" si="95"/>
        <v>2.7632661251865609</v>
      </c>
      <c r="BQ64" s="131">
        <f t="shared" si="96"/>
        <v>6.8694352608205556</v>
      </c>
    </row>
    <row r="65" spans="1:69">
      <c r="A65" s="130">
        <v>16</v>
      </c>
      <c r="B65" s="131">
        <f t="shared" si="97"/>
        <v>0</v>
      </c>
      <c r="C65" s="131">
        <f t="shared" si="64"/>
        <v>0</v>
      </c>
      <c r="D65" s="131">
        <f t="shared" si="65"/>
        <v>20.778612745018165</v>
      </c>
      <c r="E65" s="131">
        <f t="shared" si="66"/>
        <v>0</v>
      </c>
      <c r="F65" s="131">
        <f t="shared" si="67"/>
        <v>4.9282257670311038</v>
      </c>
      <c r="G65" s="131">
        <f t="shared" si="68"/>
        <v>0</v>
      </c>
      <c r="H65" s="131">
        <f t="shared" si="69"/>
        <v>0</v>
      </c>
      <c r="I65" s="131">
        <f t="shared" si="70"/>
        <v>4.8315806625063136</v>
      </c>
      <c r="J65" s="131">
        <f t="shared" si="71"/>
        <v>0</v>
      </c>
      <c r="K65" s="131">
        <f t="shared" si="72"/>
        <v>29.660612973131506</v>
      </c>
      <c r="L65" s="131">
        <f t="shared" si="73"/>
        <v>6.5709676893748056E-2</v>
      </c>
      <c r="M65" s="131">
        <f t="shared" si="74"/>
        <v>16.111967803431476</v>
      </c>
      <c r="O65" s="130">
        <v>16</v>
      </c>
      <c r="P65" s="131">
        <f>'Stasiun Pontianak Kota'!Q111</f>
        <v>0</v>
      </c>
      <c r="Q65" s="131">
        <f>'Stasiun Pontianak Kota'!R111</f>
        <v>0</v>
      </c>
      <c r="R65" s="131">
        <f>'Stasiun Pontianak Kota'!S111</f>
        <v>1</v>
      </c>
      <c r="S65" s="131">
        <f>'Stasiun Pontianak Kota'!T111</f>
        <v>0</v>
      </c>
      <c r="T65" s="131">
        <f>'Stasiun Pontianak Kota'!U111</f>
        <v>0</v>
      </c>
      <c r="U65" s="131">
        <f>'Stasiun Pontianak Kota'!V111</f>
        <v>0</v>
      </c>
      <c r="V65" s="131">
        <f>'Stasiun Pontianak Kota'!W111</f>
        <v>0</v>
      </c>
      <c r="W65" s="131">
        <f>'Stasiun Pontianak Kota'!X111</f>
        <v>7</v>
      </c>
      <c r="X65" s="131">
        <f>'Stasiun Pontianak Kota'!Y111</f>
        <v>0</v>
      </c>
      <c r="Y65" s="131">
        <f>'Stasiun Pontianak Kota'!Z111</f>
        <v>38.4</v>
      </c>
      <c r="Z65" s="131">
        <f>'Stasiun Pontianak Kota'!AA111</f>
        <v>0</v>
      </c>
      <c r="AA65" s="131">
        <f>'Stasiun Pontianak Kota'!AB111</f>
        <v>23.8</v>
      </c>
      <c r="AC65" s="130">
        <v>16</v>
      </c>
      <c r="AD65" s="131">
        <f>'Sta. Meteorologi pnk'!B68</f>
        <v>0</v>
      </c>
      <c r="AE65" s="131">
        <f>'Sta. Meteorologi pnk'!C68</f>
        <v>0</v>
      </c>
      <c r="AF65" s="131">
        <f>'Sta. Meteorologi pnk'!D68</f>
        <v>61.2</v>
      </c>
      <c r="AG65" s="131">
        <f>'Sta. Meteorologi pnk'!E68</f>
        <v>0</v>
      </c>
      <c r="AH65" s="131">
        <f>'Sta. Meteorologi pnk'!F68</f>
        <v>15</v>
      </c>
      <c r="AI65" s="131">
        <f>'Sta. Meteorologi pnk'!G68</f>
        <v>0</v>
      </c>
      <c r="AJ65" s="131">
        <f>'Sta. Meteorologi pnk'!H68</f>
        <v>0</v>
      </c>
      <c r="AK65" s="131">
        <f>'Sta. Meteorologi pnk'!I68</f>
        <v>0.4</v>
      </c>
      <c r="AL65" s="131">
        <f>'Sta. Meteorologi pnk'!J68</f>
        <v>0</v>
      </c>
      <c r="AM65" s="131">
        <f>'Sta. Meteorologi pnk'!K68</f>
        <v>11.8</v>
      </c>
      <c r="AN65" s="131">
        <f>'Sta. Meteorologi pnk'!L68</f>
        <v>0.2</v>
      </c>
      <c r="AO65" s="131">
        <f>'Sta. Meteorologi pnk'!M68</f>
        <v>0.4</v>
      </c>
      <c r="AQ65" s="130">
        <v>16</v>
      </c>
      <c r="AR65" s="131">
        <f t="shared" si="98"/>
        <v>0</v>
      </c>
      <c r="AS65" s="131">
        <f t="shared" si="75"/>
        <v>0</v>
      </c>
      <c r="AT65" s="131">
        <f t="shared" si="76"/>
        <v>41.706920988001599</v>
      </c>
      <c r="AU65" s="131">
        <f t="shared" si="77"/>
        <v>0</v>
      </c>
      <c r="AV65" s="131">
        <f t="shared" si="78"/>
        <v>10.142920511960531</v>
      </c>
      <c r="AW65" s="131">
        <f t="shared" si="79"/>
        <v>0</v>
      </c>
      <c r="AX65" s="131">
        <f t="shared" si="80"/>
        <v>0</v>
      </c>
      <c r="AY65" s="131">
        <f t="shared" si="81"/>
        <v>2.5371149747373658</v>
      </c>
      <c r="AZ65" s="131">
        <f t="shared" si="82"/>
        <v>0</v>
      </c>
      <c r="BA65" s="131">
        <f t="shared" si="83"/>
        <v>20.413220958789989</v>
      </c>
      <c r="BB65" s="131">
        <f t="shared" si="84"/>
        <v>0.13523894015947374</v>
      </c>
      <c r="BC65" s="131">
        <f t="shared" si="85"/>
        <v>7.9770440013415707</v>
      </c>
      <c r="BE65" s="130">
        <v>16</v>
      </c>
      <c r="BF65" s="131">
        <f t="shared" si="99"/>
        <v>0</v>
      </c>
      <c r="BG65" s="131">
        <f t="shared" si="86"/>
        <v>0</v>
      </c>
      <c r="BH65" s="131">
        <f t="shared" si="87"/>
        <v>39.086207362309906</v>
      </c>
      <c r="BI65" s="131">
        <f t="shared" si="88"/>
        <v>0</v>
      </c>
      <c r="BJ65" s="131">
        <f t="shared" si="89"/>
        <v>9.4899187779841956</v>
      </c>
      <c r="BK65" s="131">
        <f t="shared" si="90"/>
        <v>0</v>
      </c>
      <c r="BL65" s="131">
        <f t="shared" si="91"/>
        <v>0</v>
      </c>
      <c r="BM65" s="131">
        <f t="shared" si="92"/>
        <v>2.824435737686954</v>
      </c>
      <c r="BN65" s="131">
        <f t="shared" si="93"/>
        <v>0</v>
      </c>
      <c r="BO65" s="131">
        <f t="shared" si="94"/>
        <v>21.571210700374692</v>
      </c>
      <c r="BP65" s="131">
        <f t="shared" si="95"/>
        <v>0.1265322503731226</v>
      </c>
      <c r="BQ65" s="131">
        <f t="shared" si="96"/>
        <v>8.9957267063446551</v>
      </c>
    </row>
    <row r="66" spans="1:69">
      <c r="A66" s="130">
        <v>17</v>
      </c>
      <c r="B66" s="131">
        <f t="shared" si="97"/>
        <v>0</v>
      </c>
      <c r="C66" s="131">
        <f t="shared" si="64"/>
        <v>0</v>
      </c>
      <c r="D66" s="131">
        <f t="shared" si="65"/>
        <v>25.472096850406526</v>
      </c>
      <c r="E66" s="131">
        <f t="shared" si="66"/>
        <v>1.9712903068124417</v>
      </c>
      <c r="F66" s="131">
        <f t="shared" si="67"/>
        <v>25.429644957880498</v>
      </c>
      <c r="G66" s="131">
        <f t="shared" si="68"/>
        <v>0</v>
      </c>
      <c r="H66" s="131">
        <f t="shared" si="69"/>
        <v>0</v>
      </c>
      <c r="I66" s="131">
        <f t="shared" si="70"/>
        <v>8.1457742003812754</v>
      </c>
      <c r="J66" s="131">
        <f t="shared" si="71"/>
        <v>0</v>
      </c>
      <c r="K66" s="131">
        <f t="shared" si="72"/>
        <v>0</v>
      </c>
      <c r="L66" s="131">
        <f t="shared" si="73"/>
        <v>1.4456128916624573</v>
      </c>
      <c r="M66" s="131">
        <f t="shared" si="74"/>
        <v>0</v>
      </c>
      <c r="O66" s="130">
        <v>17</v>
      </c>
      <c r="P66" s="131">
        <f>'Stasiun Pontianak Kota'!Q112</f>
        <v>0</v>
      </c>
      <c r="Q66" s="131">
        <f>'Stasiun Pontianak Kota'!R112</f>
        <v>0</v>
      </c>
      <c r="R66" s="131">
        <f>'Stasiun Pontianak Kota'!S112</f>
        <v>35</v>
      </c>
      <c r="S66" s="131">
        <f>'Stasiun Pontianak Kota'!T112</f>
        <v>0</v>
      </c>
      <c r="T66" s="131">
        <f>'Stasiun Pontianak Kota'!U112</f>
        <v>0</v>
      </c>
      <c r="U66" s="131">
        <f>'Stasiun Pontianak Kota'!V112</f>
        <v>0</v>
      </c>
      <c r="V66" s="131">
        <f>'Stasiun Pontianak Kota'!W112</f>
        <v>0</v>
      </c>
      <c r="W66" s="131">
        <f>'Stasiun Pontianak Kota'!X112</f>
        <v>9</v>
      </c>
      <c r="X66" s="131">
        <f>'Stasiun Pontianak Kota'!Y112</f>
        <v>0</v>
      </c>
      <c r="Y66" s="131">
        <f>'Stasiun Pontianak Kota'!Z112</f>
        <v>0</v>
      </c>
      <c r="Z66" s="131">
        <f>'Stasiun Pontianak Kota'!AA112</f>
        <v>0</v>
      </c>
      <c r="AA66" s="131">
        <f>'Stasiun Pontianak Kota'!AB112</f>
        <v>0</v>
      </c>
      <c r="AC66" s="130">
        <v>17</v>
      </c>
      <c r="AD66" s="131">
        <f>'Sta. Meteorologi pnk'!B69</f>
        <v>0</v>
      </c>
      <c r="AE66" s="131">
        <f>'Sta. Meteorologi pnk'!C69</f>
        <v>0</v>
      </c>
      <c r="AF66" s="131">
        <f>'Sta. Meteorologi pnk'!D69</f>
        <v>6</v>
      </c>
      <c r="AG66" s="131">
        <f>'Sta. Meteorologi pnk'!E69</f>
        <v>6</v>
      </c>
      <c r="AH66" s="131">
        <f>'Sta. Meteorologi pnk'!F69</f>
        <v>77.400000000000006</v>
      </c>
      <c r="AI66" s="131">
        <f>'Sta. Meteorologi pnk'!G69</f>
        <v>0</v>
      </c>
      <c r="AJ66" s="131">
        <f>'Sta. Meteorologi pnk'!H69</f>
        <v>0</v>
      </c>
      <c r="AK66" s="131">
        <f>'Sta. Meteorologi pnk'!I69</f>
        <v>6.4</v>
      </c>
      <c r="AL66" s="131">
        <f>'Sta. Meteorologi pnk'!J69</f>
        <v>0</v>
      </c>
      <c r="AM66" s="131">
        <f>'Sta. Meteorologi pnk'!K69</f>
        <v>0</v>
      </c>
      <c r="AN66" s="131">
        <f>'Sta. Meteorologi pnk'!L69</f>
        <v>4.4000000000000004</v>
      </c>
      <c r="AO66" s="131">
        <f>'Sta. Meteorologi pnk'!M69</f>
        <v>0</v>
      </c>
      <c r="AQ66" s="130">
        <v>17</v>
      </c>
      <c r="AR66" s="131">
        <f t="shared" si="98"/>
        <v>0</v>
      </c>
      <c r="AS66" s="131">
        <f t="shared" si="75"/>
        <v>0</v>
      </c>
      <c r="AT66" s="131">
        <f t="shared" si="76"/>
        <v>15.390353676876304</v>
      </c>
      <c r="AU66" s="131">
        <f t="shared" si="77"/>
        <v>4.0571682047842126</v>
      </c>
      <c r="AV66" s="131">
        <f t="shared" si="78"/>
        <v>52.337469841716342</v>
      </c>
      <c r="AW66" s="131">
        <f t="shared" si="79"/>
        <v>0</v>
      </c>
      <c r="AX66" s="131">
        <f t="shared" si="80"/>
        <v>0</v>
      </c>
      <c r="AY66" s="131">
        <f t="shared" si="81"/>
        <v>7.2418937779268404</v>
      </c>
      <c r="AZ66" s="131">
        <f t="shared" si="82"/>
        <v>0</v>
      </c>
      <c r="BA66" s="131">
        <f t="shared" si="83"/>
        <v>0</v>
      </c>
      <c r="BB66" s="131">
        <f t="shared" si="84"/>
        <v>2.9752566835084227</v>
      </c>
      <c r="BC66" s="131">
        <f t="shared" si="85"/>
        <v>0</v>
      </c>
      <c r="BE66" s="130">
        <v>17</v>
      </c>
      <c r="BF66" s="131">
        <f t="shared" si="99"/>
        <v>0</v>
      </c>
      <c r="BG66" s="131">
        <f t="shared" si="86"/>
        <v>0</v>
      </c>
      <c r="BH66" s="131">
        <f t="shared" si="87"/>
        <v>16.652823695897222</v>
      </c>
      <c r="BI66" s="131">
        <f t="shared" si="88"/>
        <v>3.7959675111936781</v>
      </c>
      <c r="BJ66" s="131">
        <f t="shared" si="89"/>
        <v>48.967980894398451</v>
      </c>
      <c r="BK66" s="131">
        <f t="shared" si="90"/>
        <v>0</v>
      </c>
      <c r="BL66" s="131">
        <f t="shared" si="91"/>
        <v>0</v>
      </c>
      <c r="BM66" s="131">
        <f t="shared" si="92"/>
        <v>7.3550807451494062</v>
      </c>
      <c r="BN66" s="131">
        <f t="shared" si="93"/>
        <v>0</v>
      </c>
      <c r="BO66" s="131">
        <f t="shared" si="94"/>
        <v>0</v>
      </c>
      <c r="BP66" s="131">
        <f t="shared" si="95"/>
        <v>2.7837095082086973</v>
      </c>
      <c r="BQ66" s="131">
        <f t="shared" si="96"/>
        <v>0</v>
      </c>
    </row>
    <row r="67" spans="1:69">
      <c r="A67" s="130">
        <v>18</v>
      </c>
      <c r="B67" s="131">
        <f t="shared" si="97"/>
        <v>0</v>
      </c>
      <c r="C67" s="131">
        <f t="shared" si="64"/>
        <v>0</v>
      </c>
      <c r="D67" s="131">
        <f t="shared" si="65"/>
        <v>5.1929838854219277</v>
      </c>
      <c r="E67" s="131">
        <f t="shared" si="66"/>
        <v>8.5751128346341225</v>
      </c>
      <c r="F67" s="131">
        <f t="shared" si="67"/>
        <v>69.830968015251003</v>
      </c>
      <c r="G67" s="131">
        <f t="shared" si="68"/>
        <v>0</v>
      </c>
      <c r="H67" s="131">
        <f t="shared" si="69"/>
        <v>0</v>
      </c>
      <c r="I67" s="131">
        <f t="shared" si="70"/>
        <v>2.6858064621250386</v>
      </c>
      <c r="J67" s="131">
        <f t="shared" si="71"/>
        <v>1.6427419223437014</v>
      </c>
      <c r="K67" s="131">
        <f t="shared" si="72"/>
        <v>2.0369999837061896</v>
      </c>
      <c r="L67" s="131">
        <f t="shared" si="73"/>
        <v>0.98564515340622083</v>
      </c>
      <c r="M67" s="131">
        <f t="shared" si="74"/>
        <v>0</v>
      </c>
      <c r="O67" s="130">
        <v>18</v>
      </c>
      <c r="P67" s="131">
        <f>'Stasiun Pontianak Kota'!Q113</f>
        <v>0</v>
      </c>
      <c r="Q67" s="131">
        <f>'Stasiun Pontianak Kota'!R113</f>
        <v>0</v>
      </c>
      <c r="R67" s="131">
        <f>'Stasiun Pontianak Kota'!S113</f>
        <v>7</v>
      </c>
      <c r="S67" s="131">
        <f>'Stasiun Pontianak Kota'!T113</f>
        <v>0</v>
      </c>
      <c r="T67" s="131">
        <f>'Stasiun Pontianak Kota'!U113</f>
        <v>104</v>
      </c>
      <c r="U67" s="131">
        <f>'Stasiun Pontianak Kota'!V113</f>
        <v>0</v>
      </c>
      <c r="V67" s="131">
        <f>'Stasiun Pontianak Kota'!W113</f>
        <v>0</v>
      </c>
      <c r="W67" s="131">
        <f>'Stasiun Pontianak Kota'!X113</f>
        <v>4</v>
      </c>
      <c r="X67" s="131">
        <f>'Stasiun Pontianak Kota'!Y113</f>
        <v>0</v>
      </c>
      <c r="Y67" s="131">
        <f>'Stasiun Pontianak Kota'!Z113</f>
        <v>0</v>
      </c>
      <c r="Z67" s="131">
        <f>'Stasiun Pontianak Kota'!AA113</f>
        <v>0</v>
      </c>
      <c r="AA67" s="131">
        <f>'Stasiun Pontianak Kota'!AB113</f>
        <v>0</v>
      </c>
      <c r="AC67" s="130">
        <v>18</v>
      </c>
      <c r="AD67" s="131">
        <f>'Sta. Meteorologi pnk'!B70</f>
        <v>0</v>
      </c>
      <c r="AE67" s="131">
        <f>'Sta. Meteorologi pnk'!C70</f>
        <v>0</v>
      </c>
      <c r="AF67" s="131">
        <f>'Sta. Meteorologi pnk'!D70</f>
        <v>1.5</v>
      </c>
      <c r="AG67" s="131">
        <f>'Sta. Meteorologi pnk'!E70</f>
        <v>26.1</v>
      </c>
      <c r="AH67" s="131">
        <f>'Sta. Meteorologi pnk'!F70</f>
        <v>0</v>
      </c>
      <c r="AI67" s="131">
        <f>'Sta. Meteorologi pnk'!G70</f>
        <v>0</v>
      </c>
      <c r="AJ67" s="131">
        <f>'Sta. Meteorologi pnk'!H70</f>
        <v>0</v>
      </c>
      <c r="AK67" s="131">
        <f>'Sta. Meteorologi pnk'!I70</f>
        <v>0</v>
      </c>
      <c r="AL67" s="131">
        <f>'Sta. Meteorologi pnk'!J70</f>
        <v>5</v>
      </c>
      <c r="AM67" s="131">
        <f>'Sta. Meteorologi pnk'!K70</f>
        <v>6.2</v>
      </c>
      <c r="AN67" s="131">
        <f>'Sta. Meteorologi pnk'!L70</f>
        <v>3</v>
      </c>
      <c r="AO67" s="131">
        <f>'Sta. Meteorologi pnk'!M70</f>
        <v>0</v>
      </c>
      <c r="AQ67" s="130">
        <v>18</v>
      </c>
      <c r="AR67" s="131">
        <f t="shared" si="98"/>
        <v>0</v>
      </c>
      <c r="AS67" s="131">
        <f t="shared" si="75"/>
        <v>0</v>
      </c>
      <c r="AT67" s="131">
        <f t="shared" si="76"/>
        <v>3.2809291456144716</v>
      </c>
      <c r="AU67" s="131">
        <f t="shared" si="77"/>
        <v>17.648681690811326</v>
      </c>
      <c r="AV67" s="131">
        <f t="shared" si="78"/>
        <v>33.675751117073645</v>
      </c>
      <c r="AW67" s="131">
        <f t="shared" si="79"/>
        <v>0</v>
      </c>
      <c r="AX67" s="131">
        <f t="shared" si="80"/>
        <v>0</v>
      </c>
      <c r="AY67" s="131">
        <f t="shared" si="81"/>
        <v>1.2952211968105249</v>
      </c>
      <c r="AZ67" s="131">
        <f t="shared" si="82"/>
        <v>3.3809735039868438</v>
      </c>
      <c r="BA67" s="131">
        <f t="shared" si="83"/>
        <v>4.1924071449436866</v>
      </c>
      <c r="BB67" s="131">
        <f t="shared" si="84"/>
        <v>2.0285841023921063</v>
      </c>
      <c r="BC67" s="131">
        <f t="shared" si="85"/>
        <v>0</v>
      </c>
      <c r="BE67" s="130">
        <v>18</v>
      </c>
      <c r="BF67" s="131">
        <f t="shared" si="99"/>
        <v>0</v>
      </c>
      <c r="BG67" s="131">
        <f t="shared" si="86"/>
        <v>0</v>
      </c>
      <c r="BH67" s="131">
        <f t="shared" si="87"/>
        <v>3.5203631147391281</v>
      </c>
      <c r="BI67" s="131">
        <f t="shared" si="88"/>
        <v>16.512458673692503</v>
      </c>
      <c r="BJ67" s="131">
        <f t="shared" si="89"/>
        <v>38.20322980597625</v>
      </c>
      <c r="BK67" s="131">
        <f t="shared" si="90"/>
        <v>0</v>
      </c>
      <c r="BL67" s="131">
        <f t="shared" si="91"/>
        <v>0</v>
      </c>
      <c r="BM67" s="131">
        <f t="shared" si="92"/>
        <v>1.469354992537548</v>
      </c>
      <c r="BN67" s="131">
        <f t="shared" si="93"/>
        <v>3.1633062593280652</v>
      </c>
      <c r="BO67" s="131">
        <f t="shared" si="94"/>
        <v>3.9224997615668005</v>
      </c>
      <c r="BP67" s="131">
        <f t="shared" si="95"/>
        <v>1.8979837555968391</v>
      </c>
      <c r="BQ67" s="131">
        <f t="shared" si="96"/>
        <v>0</v>
      </c>
    </row>
    <row r="68" spans="1:69">
      <c r="A68" s="130">
        <v>19</v>
      </c>
      <c r="B68" s="131">
        <f t="shared" si="97"/>
        <v>0</v>
      </c>
      <c r="C68" s="131">
        <f t="shared" si="64"/>
        <v>0</v>
      </c>
      <c r="D68" s="131">
        <f t="shared" si="65"/>
        <v>0.91993547651247276</v>
      </c>
      <c r="E68" s="131">
        <f t="shared" si="66"/>
        <v>9.4003226174376344</v>
      </c>
      <c r="F68" s="131">
        <f t="shared" si="67"/>
        <v>7.0309354276310412</v>
      </c>
      <c r="G68" s="131">
        <f t="shared" si="68"/>
        <v>0</v>
      </c>
      <c r="H68" s="131">
        <f t="shared" si="69"/>
        <v>0</v>
      </c>
      <c r="I68" s="131">
        <f t="shared" si="70"/>
        <v>5.5524676975217107</v>
      </c>
      <c r="J68" s="131">
        <f t="shared" si="71"/>
        <v>32.117370830821365</v>
      </c>
      <c r="K68" s="131">
        <f t="shared" si="72"/>
        <v>12.191709709481367</v>
      </c>
      <c r="L68" s="131">
        <f t="shared" si="73"/>
        <v>1.182774184087465</v>
      </c>
      <c r="M68" s="131">
        <f t="shared" si="74"/>
        <v>14.784677301093312</v>
      </c>
      <c r="O68" s="130">
        <v>19</v>
      </c>
      <c r="P68" s="131">
        <f>'Stasiun Pontianak Kota'!Q114</f>
        <v>0</v>
      </c>
      <c r="Q68" s="131">
        <f>'Stasiun Pontianak Kota'!R114</f>
        <v>0</v>
      </c>
      <c r="R68" s="131">
        <f>'Stasiun Pontianak Kota'!S114</f>
        <v>0</v>
      </c>
      <c r="S68" s="131">
        <f>'Stasiun Pontianak Kota'!T114</f>
        <v>14</v>
      </c>
      <c r="T68" s="131">
        <f>'Stasiun Pontianak Kota'!U114</f>
        <v>0</v>
      </c>
      <c r="U68" s="131">
        <f>'Stasiun Pontianak Kota'!V114</f>
        <v>0</v>
      </c>
      <c r="V68" s="131">
        <f>'Stasiun Pontianak Kota'!W114</f>
        <v>0</v>
      </c>
      <c r="W68" s="131">
        <f>'Stasiun Pontianak Kota'!X114</f>
        <v>0</v>
      </c>
      <c r="X68" s="131">
        <f>'Stasiun Pontianak Kota'!Y114</f>
        <v>15</v>
      </c>
      <c r="Y68" s="131">
        <f>'Stasiun Pontianak Kota'!Z114</f>
        <v>16.2</v>
      </c>
      <c r="Z68" s="131">
        <f>'Stasiun Pontianak Kota'!AA114</f>
        <v>0</v>
      </c>
      <c r="AA68" s="131">
        <f>'Stasiun Pontianak Kota'!AB114</f>
        <v>0</v>
      </c>
      <c r="AC68" s="130">
        <v>19</v>
      </c>
      <c r="AD68" s="131">
        <f>'Sta. Meteorologi pnk'!B71</f>
        <v>0</v>
      </c>
      <c r="AE68" s="131">
        <f>'Sta. Meteorologi pnk'!C71</f>
        <v>0</v>
      </c>
      <c r="AF68" s="131">
        <f>'Sta. Meteorologi pnk'!D71</f>
        <v>2.8</v>
      </c>
      <c r="AG68" s="131">
        <f>'Sta. Meteorologi pnk'!E71</f>
        <v>0</v>
      </c>
      <c r="AH68" s="131">
        <f>'Sta. Meteorologi pnk'!F71</f>
        <v>21.4</v>
      </c>
      <c r="AI68" s="131">
        <f>'Sta. Meteorologi pnk'!G71</f>
        <v>0</v>
      </c>
      <c r="AJ68" s="131">
        <f>'Sta. Meteorologi pnk'!H71</f>
        <v>0</v>
      </c>
      <c r="AK68" s="131">
        <f>'Sta. Meteorologi pnk'!I71</f>
        <v>16.899999999999999</v>
      </c>
      <c r="AL68" s="131">
        <f>'Sta. Meteorologi pnk'!J71</f>
        <v>67.099999999999994</v>
      </c>
      <c r="AM68" s="131">
        <f>'Sta. Meteorologi pnk'!K71</f>
        <v>4</v>
      </c>
      <c r="AN68" s="131">
        <f>'Sta. Meteorologi pnk'!L71</f>
        <v>3.6</v>
      </c>
      <c r="AO68" s="131">
        <f>'Sta. Meteorologi pnk'!M71</f>
        <v>45</v>
      </c>
      <c r="AQ68" s="130">
        <v>19</v>
      </c>
      <c r="AR68" s="131">
        <f t="shared" si="98"/>
        <v>0</v>
      </c>
      <c r="AS68" s="131">
        <f t="shared" si="75"/>
        <v>0</v>
      </c>
      <c r="AT68" s="131">
        <f t="shared" si="76"/>
        <v>1.8933451622326323</v>
      </c>
      <c r="AU68" s="131">
        <f t="shared" si="77"/>
        <v>4.5332741888368364</v>
      </c>
      <c r="AV68" s="131">
        <f t="shared" si="78"/>
        <v>14.470566597063691</v>
      </c>
      <c r="AW68" s="131">
        <f t="shared" si="79"/>
        <v>0</v>
      </c>
      <c r="AX68" s="131">
        <f t="shared" si="80"/>
        <v>0</v>
      </c>
      <c r="AY68" s="131">
        <f t="shared" si="81"/>
        <v>11.42769044347553</v>
      </c>
      <c r="AZ68" s="131">
        <f t="shared" si="82"/>
        <v>50.229743911542904</v>
      </c>
      <c r="BA68" s="131">
        <f t="shared" si="83"/>
        <v>7.9504246502721001</v>
      </c>
      <c r="BB68" s="131">
        <f t="shared" si="84"/>
        <v>2.4343009228705275</v>
      </c>
      <c r="BC68" s="131">
        <f t="shared" si="85"/>
        <v>30.428761535881591</v>
      </c>
      <c r="BE68" s="130">
        <v>19</v>
      </c>
      <c r="BF68" s="131">
        <f t="shared" si="99"/>
        <v>0</v>
      </c>
      <c r="BG68" s="131">
        <f t="shared" si="86"/>
        <v>0</v>
      </c>
      <c r="BH68" s="131">
        <f t="shared" si="87"/>
        <v>1.7714515052237163</v>
      </c>
      <c r="BI68" s="131">
        <f t="shared" si="88"/>
        <v>5.1427424738814178</v>
      </c>
      <c r="BJ68" s="131">
        <f t="shared" si="89"/>
        <v>13.538950789924119</v>
      </c>
      <c r="BK68" s="131">
        <f t="shared" si="90"/>
        <v>0</v>
      </c>
      <c r="BL68" s="131">
        <f t="shared" si="91"/>
        <v>0</v>
      </c>
      <c r="BM68" s="131">
        <f t="shared" si="92"/>
        <v>10.69197515652886</v>
      </c>
      <c r="BN68" s="131">
        <f t="shared" si="93"/>
        <v>47.961651222198427</v>
      </c>
      <c r="BO68" s="131">
        <f t="shared" si="94"/>
        <v>8.4815327272395216</v>
      </c>
      <c r="BP68" s="131">
        <f t="shared" si="95"/>
        <v>2.2775805067162072</v>
      </c>
      <c r="BQ68" s="131">
        <f t="shared" si="96"/>
        <v>28.469756333952585</v>
      </c>
    </row>
    <row r="69" spans="1:69">
      <c r="A69" s="130">
        <v>20</v>
      </c>
      <c r="B69" s="131">
        <f t="shared" si="97"/>
        <v>0</v>
      </c>
      <c r="C69" s="131">
        <f t="shared" si="64"/>
        <v>0</v>
      </c>
      <c r="D69" s="131">
        <f t="shared" si="65"/>
        <v>0</v>
      </c>
      <c r="E69" s="131">
        <f t="shared" si="66"/>
        <v>1.5113225685562051</v>
      </c>
      <c r="F69" s="131">
        <f t="shared" si="67"/>
        <v>22.829354928062827</v>
      </c>
      <c r="G69" s="131">
        <f t="shared" si="68"/>
        <v>0.49282257670311042</v>
      </c>
      <c r="H69" s="131">
        <f t="shared" si="69"/>
        <v>0</v>
      </c>
      <c r="I69" s="131">
        <f t="shared" si="70"/>
        <v>6.0759193782282104</v>
      </c>
      <c r="J69" s="131">
        <f t="shared" si="71"/>
        <v>41.858064621250385</v>
      </c>
      <c r="K69" s="131">
        <f t="shared" si="72"/>
        <v>4.2642741922343701</v>
      </c>
      <c r="L69" s="131">
        <f t="shared" si="73"/>
        <v>2.0815000081469051</v>
      </c>
      <c r="M69" s="131">
        <f t="shared" si="74"/>
        <v>34.24403239209424</v>
      </c>
      <c r="O69" s="130">
        <v>20</v>
      </c>
      <c r="P69" s="131">
        <f>'Stasiun Pontianak Kota'!Q115</f>
        <v>0</v>
      </c>
      <c r="Q69" s="131">
        <f>'Stasiun Pontianak Kota'!R115</f>
        <v>0</v>
      </c>
      <c r="R69" s="131">
        <f>'Stasiun Pontianak Kota'!S115</f>
        <v>0</v>
      </c>
      <c r="S69" s="131">
        <f>'Stasiun Pontianak Kota'!T115</f>
        <v>0</v>
      </c>
      <c r="T69" s="131">
        <f>'Stasiun Pontianak Kota'!U115</f>
        <v>34</v>
      </c>
      <c r="U69" s="131">
        <f>'Stasiun Pontianak Kota'!V115</f>
        <v>0</v>
      </c>
      <c r="V69" s="131">
        <f>'Stasiun Pontianak Kota'!W115</f>
        <v>0</v>
      </c>
      <c r="W69" s="131">
        <f>'Stasiun Pontianak Kota'!X115</f>
        <v>9</v>
      </c>
      <c r="X69" s="131">
        <f>'Stasiun Pontianak Kota'!Y115</f>
        <v>55</v>
      </c>
      <c r="Y69" s="131">
        <f>'Stasiun Pontianak Kota'!Z115</f>
        <v>4.0999999999999996</v>
      </c>
      <c r="Z69" s="131">
        <f>'Stasiun Pontianak Kota'!AA115</f>
        <v>3.1</v>
      </c>
      <c r="AA69" s="131">
        <f>'Stasiun Pontianak Kota'!AB115</f>
        <v>51</v>
      </c>
      <c r="AC69" s="130">
        <v>20</v>
      </c>
      <c r="AD69" s="131">
        <f>'Sta. Meteorologi pnk'!B72</f>
        <v>0</v>
      </c>
      <c r="AE69" s="131">
        <f>'Sta. Meteorologi pnk'!C72</f>
        <v>0</v>
      </c>
      <c r="AF69" s="131">
        <f>'Sta. Meteorologi pnk'!D72</f>
        <v>0</v>
      </c>
      <c r="AG69" s="131">
        <f>'Sta. Meteorologi pnk'!E72</f>
        <v>4.5999999999999996</v>
      </c>
      <c r="AH69" s="131">
        <f>'Sta. Meteorologi pnk'!F72</f>
        <v>0</v>
      </c>
      <c r="AI69" s="131">
        <f>'Sta. Meteorologi pnk'!G72</f>
        <v>1.5</v>
      </c>
      <c r="AJ69" s="131">
        <f>'Sta. Meteorologi pnk'!H72</f>
        <v>0</v>
      </c>
      <c r="AK69" s="131">
        <f>'Sta. Meteorologi pnk'!I72</f>
        <v>0.1</v>
      </c>
      <c r="AL69" s="131">
        <f>'Sta. Meteorologi pnk'!J72</f>
        <v>15</v>
      </c>
      <c r="AM69" s="131">
        <f>'Sta. Meteorologi pnk'!K72</f>
        <v>4.5999999999999996</v>
      </c>
      <c r="AN69" s="131">
        <f>'Sta. Meteorologi pnk'!L72</f>
        <v>0</v>
      </c>
      <c r="AO69" s="131">
        <f>'Sta. Meteorologi pnk'!M72</f>
        <v>0</v>
      </c>
      <c r="AQ69" s="130">
        <v>20</v>
      </c>
      <c r="AR69" s="131">
        <f t="shared" si="98"/>
        <v>0</v>
      </c>
      <c r="AS69" s="131">
        <f t="shared" si="75"/>
        <v>0</v>
      </c>
      <c r="AT69" s="131">
        <f t="shared" si="76"/>
        <v>0</v>
      </c>
      <c r="AU69" s="131">
        <f t="shared" si="77"/>
        <v>3.1104956236678962</v>
      </c>
      <c r="AV69" s="131">
        <f t="shared" si="78"/>
        <v>11.009380172889459</v>
      </c>
      <c r="AW69" s="131">
        <f t="shared" si="79"/>
        <v>1.0142920511960531</v>
      </c>
      <c r="AX69" s="131">
        <f t="shared" si="80"/>
        <v>0</v>
      </c>
      <c r="AY69" s="131">
        <f t="shared" si="81"/>
        <v>2.9818671629034177</v>
      </c>
      <c r="AZ69" s="131">
        <f t="shared" si="82"/>
        <v>27.952211968105246</v>
      </c>
      <c r="BA69" s="131">
        <f t="shared" si="83"/>
        <v>4.4380973503986842</v>
      </c>
      <c r="BB69" s="131">
        <f t="shared" si="84"/>
        <v>1.0037964275281568</v>
      </c>
      <c r="BC69" s="131">
        <f t="shared" si="85"/>
        <v>16.514070259334193</v>
      </c>
      <c r="BE69" s="130">
        <v>20</v>
      </c>
      <c r="BF69" s="131">
        <f t="shared" si="99"/>
        <v>0</v>
      </c>
      <c r="BG69" s="131">
        <f t="shared" si="86"/>
        <v>0</v>
      </c>
      <c r="BH69" s="131">
        <f t="shared" si="87"/>
        <v>0</v>
      </c>
      <c r="BI69" s="131">
        <f t="shared" si="88"/>
        <v>2.9102417585818201</v>
      </c>
      <c r="BJ69" s="131">
        <f t="shared" si="89"/>
        <v>12.489517436569157</v>
      </c>
      <c r="BK69" s="131">
        <f t="shared" si="90"/>
        <v>0.94899187779841954</v>
      </c>
      <c r="BL69" s="131">
        <f t="shared" si="91"/>
        <v>0</v>
      </c>
      <c r="BM69" s="131">
        <f t="shared" si="92"/>
        <v>3.3693148583960442</v>
      </c>
      <c r="BN69" s="131">
        <f t="shared" si="93"/>
        <v>29.693549925375475</v>
      </c>
      <c r="BO69" s="131">
        <f t="shared" si="94"/>
        <v>4.4163306259328063</v>
      </c>
      <c r="BP69" s="131">
        <f t="shared" si="95"/>
        <v>1.1387501192165996</v>
      </c>
      <c r="BQ69" s="131">
        <f t="shared" si="96"/>
        <v>18.734276154853738</v>
      </c>
    </row>
    <row r="70" spans="1:69">
      <c r="A70" s="130">
        <v>21</v>
      </c>
      <c r="B70" s="131">
        <f t="shared" si="97"/>
        <v>0</v>
      </c>
      <c r="C70" s="131">
        <f t="shared" si="64"/>
        <v>0</v>
      </c>
      <c r="D70" s="131">
        <f t="shared" si="65"/>
        <v>0</v>
      </c>
      <c r="E70" s="131">
        <f t="shared" si="66"/>
        <v>0.32854838446874024</v>
      </c>
      <c r="F70" s="131">
        <f t="shared" si="67"/>
        <v>0</v>
      </c>
      <c r="G70" s="131">
        <f t="shared" si="68"/>
        <v>26.858064621250385</v>
      </c>
      <c r="H70" s="131">
        <f t="shared" si="69"/>
        <v>0</v>
      </c>
      <c r="I70" s="131">
        <f t="shared" si="70"/>
        <v>1.314193537874961</v>
      </c>
      <c r="J70" s="131">
        <f t="shared" si="71"/>
        <v>0.67145161553125965</v>
      </c>
      <c r="K70" s="131">
        <f t="shared" si="72"/>
        <v>31.410983657308584</v>
      </c>
      <c r="L70" s="131">
        <f t="shared" si="73"/>
        <v>6.4724031740341834</v>
      </c>
      <c r="M70" s="131">
        <f t="shared" si="74"/>
        <v>0.91993547651247276</v>
      </c>
      <c r="O70" s="130">
        <v>21</v>
      </c>
      <c r="P70" s="131">
        <f>'Stasiun Pontianak Kota'!Q116</f>
        <v>0</v>
      </c>
      <c r="Q70" s="131">
        <f>'Stasiun Pontianak Kota'!R116</f>
        <v>0</v>
      </c>
      <c r="R70" s="131">
        <f>'Stasiun Pontianak Kota'!S116</f>
        <v>0</v>
      </c>
      <c r="S70" s="131">
        <f>'Stasiun Pontianak Kota'!T116</f>
        <v>0</v>
      </c>
      <c r="T70" s="131">
        <f>'Stasiun Pontianak Kota'!U116</f>
        <v>0</v>
      </c>
      <c r="U70" s="131">
        <f>'Stasiun Pontianak Kota'!V116</f>
        <v>40</v>
      </c>
      <c r="V70" s="131">
        <f>'Stasiun Pontianak Kota'!W116</f>
        <v>0</v>
      </c>
      <c r="W70" s="131">
        <f>'Stasiun Pontianak Kota'!X116</f>
        <v>0</v>
      </c>
      <c r="X70" s="131">
        <f>'Stasiun Pontianak Kota'!Y116</f>
        <v>1</v>
      </c>
      <c r="Y70" s="131">
        <f>'Stasiun Pontianak Kota'!Z116</f>
        <v>4.7</v>
      </c>
      <c r="Z70" s="131">
        <f>'Stasiun Pontianak Kota'!AA116</f>
        <v>0</v>
      </c>
      <c r="AA70" s="131">
        <f>'Stasiun Pontianak Kota'!AB116</f>
        <v>0</v>
      </c>
      <c r="AC70" s="130">
        <v>21</v>
      </c>
      <c r="AD70" s="131">
        <f>'Sta. Meteorologi pnk'!B73</f>
        <v>0</v>
      </c>
      <c r="AE70" s="131">
        <f>'Sta. Meteorologi pnk'!C73</f>
        <v>0</v>
      </c>
      <c r="AF70" s="131">
        <f>'Sta. Meteorologi pnk'!D73</f>
        <v>0</v>
      </c>
      <c r="AG70" s="131">
        <f>'Sta. Meteorologi pnk'!E73</f>
        <v>1</v>
      </c>
      <c r="AH70" s="131">
        <f>'Sta. Meteorologi pnk'!F73</f>
        <v>0</v>
      </c>
      <c r="AI70" s="131">
        <f>'Sta. Meteorologi pnk'!G73</f>
        <v>0</v>
      </c>
      <c r="AJ70" s="131">
        <f>'Sta. Meteorologi pnk'!H73</f>
        <v>0</v>
      </c>
      <c r="AK70" s="131">
        <f>'Sta. Meteorologi pnk'!I73</f>
        <v>4</v>
      </c>
      <c r="AL70" s="131">
        <f>'Sta. Meteorologi pnk'!J73</f>
        <v>0</v>
      </c>
      <c r="AM70" s="131">
        <f>'Sta. Meteorologi pnk'!K73</f>
        <v>86</v>
      </c>
      <c r="AN70" s="131">
        <f>'Sta. Meteorologi pnk'!L73</f>
        <v>19.7</v>
      </c>
      <c r="AO70" s="131">
        <f>'Sta. Meteorologi pnk'!M73</f>
        <v>2.8</v>
      </c>
      <c r="AQ70" s="130">
        <v>21</v>
      </c>
      <c r="AR70" s="131">
        <f t="shared" si="98"/>
        <v>0</v>
      </c>
      <c r="AS70" s="131">
        <f t="shared" si="75"/>
        <v>0</v>
      </c>
      <c r="AT70" s="131">
        <f t="shared" si="76"/>
        <v>0</v>
      </c>
      <c r="AU70" s="131">
        <f t="shared" si="77"/>
        <v>0.67619470079736876</v>
      </c>
      <c r="AV70" s="131">
        <f t="shared" si="78"/>
        <v>0</v>
      </c>
      <c r="AW70" s="131">
        <f t="shared" si="79"/>
        <v>12.952211968105248</v>
      </c>
      <c r="AX70" s="131">
        <f t="shared" si="80"/>
        <v>0</v>
      </c>
      <c r="AY70" s="131">
        <f t="shared" si="81"/>
        <v>2.7047788031894751</v>
      </c>
      <c r="AZ70" s="131">
        <f t="shared" si="82"/>
        <v>0.32380529920263124</v>
      </c>
      <c r="BA70" s="131">
        <f t="shared" si="83"/>
        <v>59.67462917482608</v>
      </c>
      <c r="BB70" s="131">
        <f t="shared" si="84"/>
        <v>13.321035605708163</v>
      </c>
      <c r="BC70" s="131">
        <f t="shared" si="85"/>
        <v>1.8933451622326323</v>
      </c>
      <c r="BE70" s="130">
        <v>21</v>
      </c>
      <c r="BF70" s="131">
        <f t="shared" si="99"/>
        <v>0</v>
      </c>
      <c r="BG70" s="131">
        <f t="shared" si="86"/>
        <v>0</v>
      </c>
      <c r="BH70" s="131">
        <f t="shared" si="87"/>
        <v>0</v>
      </c>
      <c r="BI70" s="131">
        <f t="shared" si="88"/>
        <v>0.63266125186561295</v>
      </c>
      <c r="BJ70" s="131">
        <f t="shared" si="89"/>
        <v>0</v>
      </c>
      <c r="BK70" s="131">
        <f t="shared" si="90"/>
        <v>14.693549925375478</v>
      </c>
      <c r="BL70" s="131">
        <f t="shared" si="91"/>
        <v>0</v>
      </c>
      <c r="BM70" s="131">
        <f t="shared" si="92"/>
        <v>2.5306450074624518</v>
      </c>
      <c r="BN70" s="131">
        <f t="shared" si="93"/>
        <v>0.36733874813438699</v>
      </c>
      <c r="BO70" s="131">
        <f t="shared" si="94"/>
        <v>56.135359776674342</v>
      </c>
      <c r="BP70" s="131">
        <f t="shared" si="95"/>
        <v>12.463426661752575</v>
      </c>
      <c r="BQ70" s="131">
        <f t="shared" si="96"/>
        <v>1.7714515052237163</v>
      </c>
    </row>
    <row r="71" spans="1:69">
      <c r="A71" s="130">
        <v>22</v>
      </c>
      <c r="B71" s="131">
        <f t="shared" si="97"/>
        <v>0</v>
      </c>
      <c r="C71" s="131">
        <f t="shared" si="64"/>
        <v>0</v>
      </c>
      <c r="D71" s="131">
        <f t="shared" si="65"/>
        <v>0</v>
      </c>
      <c r="E71" s="131">
        <f t="shared" si="66"/>
        <v>1.9055806299186935</v>
      </c>
      <c r="F71" s="131">
        <f t="shared" si="67"/>
        <v>0</v>
      </c>
      <c r="G71" s="131">
        <f t="shared" si="68"/>
        <v>0</v>
      </c>
      <c r="H71" s="131">
        <f t="shared" si="69"/>
        <v>0</v>
      </c>
      <c r="I71" s="131">
        <f t="shared" si="70"/>
        <v>2.0143548465937791</v>
      </c>
      <c r="J71" s="131">
        <f t="shared" si="71"/>
        <v>0.16427419223437012</v>
      </c>
      <c r="K71" s="131">
        <f t="shared" si="72"/>
        <v>41.045290274224818</v>
      </c>
      <c r="L71" s="131">
        <f t="shared" si="73"/>
        <v>28.393451517768398</v>
      </c>
      <c r="M71" s="131">
        <f t="shared" si="74"/>
        <v>10.546403141446563</v>
      </c>
      <c r="O71" s="130">
        <v>22</v>
      </c>
      <c r="P71" s="131">
        <f>'Stasiun Pontianak Kota'!Q117</f>
        <v>0</v>
      </c>
      <c r="Q71" s="131">
        <f>'Stasiun Pontianak Kota'!R117</f>
        <v>0</v>
      </c>
      <c r="R71" s="131">
        <f>'Stasiun Pontianak Kota'!S117</f>
        <v>0</v>
      </c>
      <c r="S71" s="131">
        <f>'Stasiun Pontianak Kota'!T117</f>
        <v>0</v>
      </c>
      <c r="T71" s="131">
        <f>'Stasiun Pontianak Kota'!U117</f>
        <v>0</v>
      </c>
      <c r="U71" s="131">
        <f>'Stasiun Pontianak Kota'!V117</f>
        <v>0</v>
      </c>
      <c r="V71" s="131">
        <f>'Stasiun Pontianak Kota'!W117</f>
        <v>0</v>
      </c>
      <c r="W71" s="131">
        <f>'Stasiun Pontianak Kota'!X117</f>
        <v>3</v>
      </c>
      <c r="X71" s="131">
        <f>'Stasiun Pontianak Kota'!Y117</f>
        <v>0</v>
      </c>
      <c r="Y71" s="131">
        <f>'Stasiun Pontianak Kota'!Z117</f>
        <v>35</v>
      </c>
      <c r="Z71" s="131">
        <f>'Stasiun Pontianak Kota'!AA117</f>
        <v>16.5</v>
      </c>
      <c r="AA71" s="131">
        <f>'Stasiun Pontianak Kota'!AB117</f>
        <v>0</v>
      </c>
      <c r="AC71" s="130">
        <v>22</v>
      </c>
      <c r="AD71" s="131">
        <f>'Sta. Meteorologi pnk'!B74</f>
        <v>0</v>
      </c>
      <c r="AE71" s="131">
        <f>'Sta. Meteorologi pnk'!C74</f>
        <v>0</v>
      </c>
      <c r="AF71" s="131">
        <f>'Sta. Meteorologi pnk'!D74</f>
        <v>0</v>
      </c>
      <c r="AG71" s="131">
        <f>'Sta. Meteorologi pnk'!E74</f>
        <v>5.8</v>
      </c>
      <c r="AH71" s="131">
        <f>'Sta. Meteorologi pnk'!F74</f>
        <v>0</v>
      </c>
      <c r="AI71" s="131">
        <f>'Sta. Meteorologi pnk'!G74</f>
        <v>0</v>
      </c>
      <c r="AJ71" s="131">
        <f>'Sta. Meteorologi pnk'!H74</f>
        <v>0</v>
      </c>
      <c r="AK71" s="131">
        <f>'Sta. Meteorologi pnk'!I74</f>
        <v>0</v>
      </c>
      <c r="AL71" s="131">
        <f>'Sta. Meteorologi pnk'!J74</f>
        <v>0.5</v>
      </c>
      <c r="AM71" s="131">
        <f>'Sta. Meteorologi pnk'!K74</f>
        <v>53.4</v>
      </c>
      <c r="AN71" s="131">
        <f>'Sta. Meteorologi pnk'!L74</f>
        <v>52.7</v>
      </c>
      <c r="AO71" s="131">
        <f>'Sta. Meteorologi pnk'!M74</f>
        <v>32.1</v>
      </c>
      <c r="AQ71" s="130">
        <v>22</v>
      </c>
      <c r="AR71" s="131">
        <f t="shared" si="98"/>
        <v>0</v>
      </c>
      <c r="AS71" s="131">
        <f t="shared" si="75"/>
        <v>0</v>
      </c>
      <c r="AT71" s="131">
        <f t="shared" si="76"/>
        <v>0</v>
      </c>
      <c r="AU71" s="131">
        <f t="shared" si="77"/>
        <v>3.9219292646247381</v>
      </c>
      <c r="AV71" s="131">
        <f t="shared" si="78"/>
        <v>0</v>
      </c>
      <c r="AW71" s="131">
        <f t="shared" si="79"/>
        <v>0</v>
      </c>
      <c r="AX71" s="131">
        <f t="shared" si="80"/>
        <v>0</v>
      </c>
      <c r="AY71" s="131">
        <f t="shared" si="81"/>
        <v>0.97141589760789349</v>
      </c>
      <c r="AZ71" s="131">
        <f t="shared" si="82"/>
        <v>0.33809735039868438</v>
      </c>
      <c r="BA71" s="131">
        <f t="shared" si="83"/>
        <v>47.441982494671578</v>
      </c>
      <c r="BB71" s="131">
        <f t="shared" si="84"/>
        <v>40.978248168864752</v>
      </c>
      <c r="BC71" s="131">
        <f t="shared" si="85"/>
        <v>21.705849895595538</v>
      </c>
      <c r="BE71" s="130">
        <v>22</v>
      </c>
      <c r="BF71" s="131">
        <f t="shared" si="99"/>
        <v>0</v>
      </c>
      <c r="BG71" s="131">
        <f t="shared" si="86"/>
        <v>0</v>
      </c>
      <c r="BH71" s="131">
        <f t="shared" si="87"/>
        <v>0</v>
      </c>
      <c r="BI71" s="131">
        <f t="shared" si="88"/>
        <v>3.6694352608205549</v>
      </c>
      <c r="BJ71" s="131">
        <f t="shared" si="89"/>
        <v>0</v>
      </c>
      <c r="BK71" s="131">
        <f t="shared" si="90"/>
        <v>0</v>
      </c>
      <c r="BL71" s="131">
        <f t="shared" si="91"/>
        <v>0</v>
      </c>
      <c r="BM71" s="131">
        <f t="shared" si="92"/>
        <v>1.1020162444031609</v>
      </c>
      <c r="BN71" s="131">
        <f t="shared" si="93"/>
        <v>0.31633062593280648</v>
      </c>
      <c r="BO71" s="131">
        <f t="shared" si="94"/>
        <v>46.640967034327275</v>
      </c>
      <c r="BP71" s="131">
        <f t="shared" si="95"/>
        <v>39.402337317535192</v>
      </c>
      <c r="BQ71" s="131">
        <f t="shared" si="96"/>
        <v>20.30842618488618</v>
      </c>
    </row>
    <row r="72" spans="1:69">
      <c r="A72" s="130">
        <v>23</v>
      </c>
      <c r="B72" s="131">
        <f t="shared" si="97"/>
        <v>0</v>
      </c>
      <c r="C72" s="131">
        <f t="shared" si="64"/>
        <v>0</v>
      </c>
      <c r="D72" s="131">
        <f t="shared" si="65"/>
        <v>0.91993547651247276</v>
      </c>
      <c r="E72" s="131">
        <f t="shared" si="66"/>
        <v>8.1559839017157376</v>
      </c>
      <c r="F72" s="131">
        <f t="shared" si="67"/>
        <v>11.203499910384043</v>
      </c>
      <c r="G72" s="131">
        <f t="shared" si="68"/>
        <v>0</v>
      </c>
      <c r="H72" s="131">
        <f t="shared" si="69"/>
        <v>0</v>
      </c>
      <c r="I72" s="131">
        <f t="shared" si="70"/>
        <v>49.41367702409854</v>
      </c>
      <c r="J72" s="131">
        <f t="shared" si="71"/>
        <v>29.971290306812438</v>
      </c>
      <c r="K72" s="131">
        <f t="shared" si="72"/>
        <v>57.674822804816451</v>
      </c>
      <c r="L72" s="131">
        <f t="shared" si="73"/>
        <v>22.292193635637823</v>
      </c>
      <c r="M72" s="131">
        <f t="shared" si="74"/>
        <v>30.782145243022175</v>
      </c>
      <c r="O72" s="130">
        <v>23</v>
      </c>
      <c r="P72" s="131">
        <f>'Stasiun Pontianak Kota'!Q118</f>
        <v>0</v>
      </c>
      <c r="Q72" s="131">
        <f>'Stasiun Pontianak Kota'!R118</f>
        <v>0</v>
      </c>
      <c r="R72" s="131">
        <f>'Stasiun Pontianak Kota'!S118</f>
        <v>0</v>
      </c>
      <c r="S72" s="131">
        <f>'Stasiun Pontianak Kota'!T118</f>
        <v>12</v>
      </c>
      <c r="T72" s="131">
        <f>'Stasiun Pontianak Kota'!U118</f>
        <v>0</v>
      </c>
      <c r="U72" s="131">
        <f>'Stasiun Pontianak Kota'!V118</f>
        <v>0</v>
      </c>
      <c r="V72" s="131">
        <f>'Stasiun Pontianak Kota'!W118</f>
        <v>0</v>
      </c>
      <c r="W72" s="131">
        <f>'Stasiun Pontianak Kota'!X118</f>
        <v>0</v>
      </c>
      <c r="X72" s="131">
        <f>'Stasiun Pontianak Kota'!Y118</f>
        <v>28</v>
      </c>
      <c r="Y72" s="131">
        <f>'Stasiun Pontianak Kota'!Z118</f>
        <v>85.7</v>
      </c>
      <c r="Z72" s="131">
        <f>'Stasiun Pontianak Kota'!AA118</f>
        <v>33.200000000000003</v>
      </c>
      <c r="AA72" s="131">
        <f>'Stasiun Pontianak Kota'!AB118</f>
        <v>41</v>
      </c>
      <c r="AC72" s="130">
        <v>23</v>
      </c>
      <c r="AD72" s="131">
        <f>'Sta. Meteorologi pnk'!B75</f>
        <v>0</v>
      </c>
      <c r="AE72" s="131">
        <f>'Sta. Meteorologi pnk'!C75</f>
        <v>0</v>
      </c>
      <c r="AF72" s="131">
        <f>'Sta. Meteorologi pnk'!D75</f>
        <v>2.8</v>
      </c>
      <c r="AG72" s="131">
        <f>'Sta. Meteorologi pnk'!E75</f>
        <v>0.3</v>
      </c>
      <c r="AH72" s="131">
        <f>'Sta. Meteorologi pnk'!F75</f>
        <v>34.1</v>
      </c>
      <c r="AI72" s="131">
        <f>'Sta. Meteorologi pnk'!G75</f>
        <v>0</v>
      </c>
      <c r="AJ72" s="131">
        <f>'Sta. Meteorologi pnk'!H75</f>
        <v>0</v>
      </c>
      <c r="AK72" s="131">
        <f>'Sta. Meteorologi pnk'!I75</f>
        <v>150.4</v>
      </c>
      <c r="AL72" s="131">
        <f>'Sta. Meteorologi pnk'!J75</f>
        <v>34</v>
      </c>
      <c r="AM72" s="131">
        <f>'Sta. Meteorologi pnk'!K75</f>
        <v>0.4</v>
      </c>
      <c r="AN72" s="131">
        <f>'Sta. Meteorologi pnk'!L75</f>
        <v>0</v>
      </c>
      <c r="AO72" s="131">
        <f>'Sta. Meteorologi pnk'!M75</f>
        <v>9.9</v>
      </c>
      <c r="AQ72" s="130">
        <v>23</v>
      </c>
      <c r="AR72" s="131">
        <f t="shared" si="98"/>
        <v>0</v>
      </c>
      <c r="AS72" s="131">
        <f t="shared" si="75"/>
        <v>0</v>
      </c>
      <c r="AT72" s="131">
        <f t="shared" si="76"/>
        <v>1.8933451622326323</v>
      </c>
      <c r="AU72" s="131">
        <f t="shared" si="77"/>
        <v>4.0885220006707845</v>
      </c>
      <c r="AV72" s="131">
        <f t="shared" si="78"/>
        <v>23.058239297190276</v>
      </c>
      <c r="AW72" s="131">
        <f t="shared" si="79"/>
        <v>0</v>
      </c>
      <c r="AX72" s="131">
        <f t="shared" si="80"/>
        <v>0</v>
      </c>
      <c r="AY72" s="131">
        <f t="shared" si="81"/>
        <v>101.69968299992425</v>
      </c>
      <c r="AZ72" s="131">
        <f t="shared" si="82"/>
        <v>32.057168204784205</v>
      </c>
      <c r="BA72" s="131">
        <f t="shared" si="83"/>
        <v>28.020592021984438</v>
      </c>
      <c r="BB72" s="131">
        <f t="shared" si="84"/>
        <v>10.750335933527357</v>
      </c>
      <c r="BC72" s="131">
        <f t="shared" si="85"/>
        <v>19.970344805201833</v>
      </c>
      <c r="BE72" s="130">
        <v>23</v>
      </c>
      <c r="BF72" s="131">
        <f t="shared" si="99"/>
        <v>0</v>
      </c>
      <c r="BG72" s="131">
        <f t="shared" si="86"/>
        <v>0</v>
      </c>
      <c r="BH72" s="131">
        <f t="shared" si="87"/>
        <v>1.7714515052237163</v>
      </c>
      <c r="BI72" s="131">
        <f t="shared" si="88"/>
        <v>4.5978633531723272</v>
      </c>
      <c r="BJ72" s="131">
        <f t="shared" si="89"/>
        <v>21.573748688617403</v>
      </c>
      <c r="BK72" s="131">
        <f t="shared" si="90"/>
        <v>0</v>
      </c>
      <c r="BL72" s="131">
        <f t="shared" si="91"/>
        <v>0</v>
      </c>
      <c r="BM72" s="131">
        <f t="shared" si="92"/>
        <v>95.152252280588186</v>
      </c>
      <c r="BN72" s="131">
        <f t="shared" si="93"/>
        <v>31.795967511193677</v>
      </c>
      <c r="BO72" s="131">
        <f t="shared" si="94"/>
        <v>31.73399521586321</v>
      </c>
      <c r="BP72" s="131">
        <f t="shared" si="95"/>
        <v>12.195646438061649</v>
      </c>
      <c r="BQ72" s="131">
        <f t="shared" si="96"/>
        <v>21.324235066979437</v>
      </c>
    </row>
    <row r="73" spans="1:69">
      <c r="A73" s="130">
        <v>24</v>
      </c>
      <c r="B73" s="131">
        <f t="shared" si="97"/>
        <v>0</v>
      </c>
      <c r="C73" s="131">
        <f t="shared" si="64"/>
        <v>0</v>
      </c>
      <c r="D73" s="131">
        <f t="shared" si="65"/>
        <v>11.498887132778258</v>
      </c>
      <c r="E73" s="131">
        <f t="shared" si="66"/>
        <v>0.59138709204373252</v>
      </c>
      <c r="F73" s="131">
        <f t="shared" si="67"/>
        <v>5.3716129242500772</v>
      </c>
      <c r="G73" s="131">
        <f t="shared" si="68"/>
        <v>0</v>
      </c>
      <c r="H73" s="131">
        <f t="shared" si="69"/>
        <v>0</v>
      </c>
      <c r="I73" s="131">
        <f t="shared" si="70"/>
        <v>108.90466165903574</v>
      </c>
      <c r="J73" s="131">
        <f t="shared" si="71"/>
        <v>0</v>
      </c>
      <c r="K73" s="131">
        <f t="shared" si="72"/>
        <v>0.82137096117185071</v>
      </c>
      <c r="L73" s="131">
        <f t="shared" si="73"/>
        <v>2.5955322373030483</v>
      </c>
      <c r="M73" s="131">
        <f t="shared" si="74"/>
        <v>12.999999999999998</v>
      </c>
      <c r="O73" s="130">
        <v>24</v>
      </c>
      <c r="P73" s="131">
        <f>'Stasiun Pontianak Kota'!Q119</f>
        <v>0</v>
      </c>
      <c r="Q73" s="131">
        <f>'Stasiun Pontianak Kota'!R119</f>
        <v>0</v>
      </c>
      <c r="R73" s="131">
        <f>'Stasiun Pontianak Kota'!S119</f>
        <v>16</v>
      </c>
      <c r="S73" s="131">
        <f>'Stasiun Pontianak Kota'!T119</f>
        <v>0</v>
      </c>
      <c r="T73" s="131">
        <f>'Stasiun Pontianak Kota'!U119</f>
        <v>8</v>
      </c>
      <c r="U73" s="131">
        <f>'Stasiun Pontianak Kota'!V119</f>
        <v>0</v>
      </c>
      <c r="V73" s="131">
        <f>'Stasiun Pontianak Kota'!W119</f>
        <v>0</v>
      </c>
      <c r="W73" s="131">
        <f>'Stasiun Pontianak Kota'!X119</f>
        <v>155</v>
      </c>
      <c r="X73" s="131">
        <f>'Stasiun Pontianak Kota'!Y119</f>
        <v>0</v>
      </c>
      <c r="Y73" s="131">
        <f>'Stasiun Pontianak Kota'!Z119</f>
        <v>0</v>
      </c>
      <c r="Z73" s="131">
        <f>'Stasiun Pontianak Kota'!AA119</f>
        <v>0</v>
      </c>
      <c r="AA73" s="131">
        <f>'Stasiun Pontianak Kota'!AB119</f>
        <v>13</v>
      </c>
      <c r="AC73" s="130">
        <v>24</v>
      </c>
      <c r="AD73" s="131">
        <f>'Sta. Meteorologi pnk'!B76</f>
        <v>0</v>
      </c>
      <c r="AE73" s="131">
        <f>'Sta. Meteorologi pnk'!C76</f>
        <v>0</v>
      </c>
      <c r="AF73" s="131">
        <f>'Sta. Meteorologi pnk'!D76</f>
        <v>2.2999999999999998</v>
      </c>
      <c r="AG73" s="131">
        <f>'Sta. Meteorologi pnk'!E76</f>
        <v>1.8</v>
      </c>
      <c r="AH73" s="131">
        <f>'Sta. Meteorologi pnk'!F76</f>
        <v>0</v>
      </c>
      <c r="AI73" s="131">
        <f>'Sta. Meteorologi pnk'!G76</f>
        <v>0</v>
      </c>
      <c r="AJ73" s="131">
        <f>'Sta. Meteorologi pnk'!H76</f>
        <v>0</v>
      </c>
      <c r="AK73" s="131">
        <f>'Sta. Meteorologi pnk'!I76</f>
        <v>14.7</v>
      </c>
      <c r="AL73" s="131">
        <f>'Sta. Meteorologi pnk'!J76</f>
        <v>0</v>
      </c>
      <c r="AM73" s="131">
        <f>'Sta. Meteorologi pnk'!K76</f>
        <v>2.5</v>
      </c>
      <c r="AN73" s="131">
        <f>'Sta. Meteorologi pnk'!L76</f>
        <v>7.9</v>
      </c>
      <c r="AO73" s="131">
        <f>'Sta. Meteorologi pnk'!M76</f>
        <v>13</v>
      </c>
      <c r="AQ73" s="130">
        <v>24</v>
      </c>
      <c r="AR73" s="131">
        <f t="shared" si="98"/>
        <v>0</v>
      </c>
      <c r="AS73" s="131">
        <f t="shared" si="75"/>
        <v>0</v>
      </c>
      <c r="AT73" s="131">
        <f t="shared" si="76"/>
        <v>6.7361325990760479</v>
      </c>
      <c r="AU73" s="131">
        <f t="shared" si="77"/>
        <v>1.2171504614352637</v>
      </c>
      <c r="AV73" s="131">
        <f t="shared" si="78"/>
        <v>2.5904423936210499</v>
      </c>
      <c r="AW73" s="131">
        <f t="shared" si="79"/>
        <v>0</v>
      </c>
      <c r="AX73" s="131">
        <f t="shared" si="80"/>
        <v>0</v>
      </c>
      <c r="AY73" s="131">
        <f t="shared" si="81"/>
        <v>60.129883478129159</v>
      </c>
      <c r="AZ73" s="131">
        <f t="shared" si="82"/>
        <v>0</v>
      </c>
      <c r="BA73" s="131">
        <f t="shared" si="83"/>
        <v>1.6904867519934219</v>
      </c>
      <c r="BB73" s="131">
        <f t="shared" si="84"/>
        <v>5.3419381362992135</v>
      </c>
      <c r="BC73" s="131">
        <f t="shared" si="85"/>
        <v>12.999999999999996</v>
      </c>
      <c r="BE73" s="130">
        <v>24</v>
      </c>
      <c r="BF73" s="131">
        <f t="shared" si="99"/>
        <v>0</v>
      </c>
      <c r="BG73" s="131">
        <f t="shared" si="86"/>
        <v>0</v>
      </c>
      <c r="BH73" s="131">
        <f t="shared" si="87"/>
        <v>7.3325408494411013</v>
      </c>
      <c r="BI73" s="131">
        <f t="shared" si="88"/>
        <v>1.1387902533581036</v>
      </c>
      <c r="BJ73" s="131">
        <f t="shared" si="89"/>
        <v>2.938709985075096</v>
      </c>
      <c r="BK73" s="131">
        <f t="shared" si="90"/>
        <v>0</v>
      </c>
      <c r="BL73" s="131">
        <f t="shared" si="91"/>
        <v>0</v>
      </c>
      <c r="BM73" s="131">
        <f t="shared" si="92"/>
        <v>66.237626363254506</v>
      </c>
      <c r="BN73" s="131">
        <f t="shared" si="93"/>
        <v>0</v>
      </c>
      <c r="BO73" s="131">
        <f t="shared" si="94"/>
        <v>1.5816531296640326</v>
      </c>
      <c r="BP73" s="131">
        <f t="shared" si="95"/>
        <v>4.9980238897383433</v>
      </c>
      <c r="BQ73" s="131">
        <f t="shared" si="96"/>
        <v>13</v>
      </c>
    </row>
    <row r="74" spans="1:69">
      <c r="A74" s="130">
        <v>25</v>
      </c>
      <c r="B74" s="131">
        <f t="shared" si="97"/>
        <v>0</v>
      </c>
      <c r="C74" s="131">
        <f t="shared" si="64"/>
        <v>0</v>
      </c>
      <c r="D74" s="131">
        <f t="shared" si="65"/>
        <v>19.657403092565133</v>
      </c>
      <c r="E74" s="131">
        <f t="shared" si="66"/>
        <v>8.7288710019063753</v>
      </c>
      <c r="F74" s="131">
        <f t="shared" si="67"/>
        <v>0</v>
      </c>
      <c r="G74" s="131">
        <f t="shared" si="68"/>
        <v>9.035080572890358</v>
      </c>
      <c r="H74" s="131">
        <f t="shared" si="69"/>
        <v>0</v>
      </c>
      <c r="I74" s="131">
        <f t="shared" si="70"/>
        <v>17.825516106431166</v>
      </c>
      <c r="J74" s="131">
        <f t="shared" si="71"/>
        <v>0</v>
      </c>
      <c r="K74" s="131">
        <f t="shared" si="72"/>
        <v>8.3314193537874957</v>
      </c>
      <c r="L74" s="131">
        <f t="shared" si="73"/>
        <v>1.4100483926156455</v>
      </c>
      <c r="M74" s="131">
        <f t="shared" si="74"/>
        <v>7.5502419630782267</v>
      </c>
      <c r="O74" s="130">
        <v>25</v>
      </c>
      <c r="P74" s="131">
        <f>'Stasiun Pontianak Kota'!Q120</f>
        <v>0</v>
      </c>
      <c r="Q74" s="131">
        <f>'Stasiun Pontianak Kota'!R120</f>
        <v>0</v>
      </c>
      <c r="R74" s="131">
        <f>'Stasiun Pontianak Kota'!S120</f>
        <v>3</v>
      </c>
      <c r="S74" s="131">
        <f>'Stasiun Pontianak Kota'!T120</f>
        <v>13</v>
      </c>
      <c r="T74" s="131">
        <f>'Stasiun Pontianak Kota'!U120</f>
        <v>0</v>
      </c>
      <c r="U74" s="131">
        <f>'Stasiun Pontianak Kota'!V120</f>
        <v>0</v>
      </c>
      <c r="V74" s="131">
        <f>'Stasiun Pontianak Kota'!W120</f>
        <v>0</v>
      </c>
      <c r="W74" s="131">
        <f>'Stasiun Pontianak Kota'!X120</f>
        <v>15</v>
      </c>
      <c r="X74" s="131">
        <f>'Stasiun Pontianak Kota'!Y120</f>
        <v>0</v>
      </c>
      <c r="Y74" s="131">
        <f>'Stasiun Pontianak Kota'!Z120</f>
        <v>8.1999999999999993</v>
      </c>
      <c r="Z74" s="131">
        <f>'Stasiun Pontianak Kota'!AA120</f>
        <v>2.1</v>
      </c>
      <c r="AA74" s="131">
        <f>'Stasiun Pontianak Kota'!AB120</f>
        <v>11</v>
      </c>
      <c r="AC74" s="130">
        <v>25</v>
      </c>
      <c r="AD74" s="131">
        <f>'Sta. Meteorologi pnk'!B77</f>
        <v>0</v>
      </c>
      <c r="AE74" s="131">
        <f>'Sta. Meteorologi pnk'!C77</f>
        <v>0</v>
      </c>
      <c r="AF74" s="131">
        <f>'Sta. Meteorologi pnk'!D77</f>
        <v>53.7</v>
      </c>
      <c r="AG74" s="131">
        <f>'Sta. Meteorologi pnk'!E77</f>
        <v>0</v>
      </c>
      <c r="AH74" s="131">
        <f>'Sta. Meteorologi pnk'!F77</f>
        <v>0</v>
      </c>
      <c r="AI74" s="131">
        <f>'Sta. Meteorologi pnk'!G77</f>
        <v>27.5</v>
      </c>
      <c r="AJ74" s="131">
        <f>'Sta. Meteorologi pnk'!H77</f>
        <v>0</v>
      </c>
      <c r="AK74" s="131">
        <f>'Sta. Meteorologi pnk'!I77</f>
        <v>23.6</v>
      </c>
      <c r="AL74" s="131">
        <f>'Sta. Meteorologi pnk'!J77</f>
        <v>0</v>
      </c>
      <c r="AM74" s="131">
        <f>'Sta. Meteorologi pnk'!K77</f>
        <v>8.6</v>
      </c>
      <c r="AN74" s="131">
        <f>'Sta. Meteorologi pnk'!L77</f>
        <v>0</v>
      </c>
      <c r="AO74" s="131">
        <f>'Sta. Meteorologi pnk'!M77</f>
        <v>0.5</v>
      </c>
      <c r="AQ74" s="130">
        <v>25</v>
      </c>
      <c r="AR74" s="131">
        <f t="shared" si="98"/>
        <v>0</v>
      </c>
      <c r="AS74" s="131">
        <f t="shared" si="75"/>
        <v>0</v>
      </c>
      <c r="AT74" s="131">
        <f t="shared" si="76"/>
        <v>37.283071330426594</v>
      </c>
      <c r="AU74" s="131">
        <f t="shared" si="77"/>
        <v>4.2094688896342056</v>
      </c>
      <c r="AV74" s="131">
        <f t="shared" si="78"/>
        <v>0</v>
      </c>
      <c r="AW74" s="131">
        <f t="shared" si="79"/>
        <v>18.59535427192764</v>
      </c>
      <c r="AX74" s="131">
        <f t="shared" si="80"/>
        <v>0</v>
      </c>
      <c r="AY74" s="131">
        <f t="shared" si="81"/>
        <v>20.815274426857371</v>
      </c>
      <c r="AZ74" s="131">
        <f t="shared" si="82"/>
        <v>0</v>
      </c>
      <c r="BA74" s="131">
        <f t="shared" si="83"/>
        <v>8.4704778803189473</v>
      </c>
      <c r="BB74" s="131">
        <f t="shared" si="84"/>
        <v>0.67999112832552555</v>
      </c>
      <c r="BC74" s="131">
        <f t="shared" si="85"/>
        <v>3.8999556416276282</v>
      </c>
      <c r="BE74" s="130">
        <v>25</v>
      </c>
      <c r="BF74" s="131">
        <f t="shared" si="99"/>
        <v>0</v>
      </c>
      <c r="BG74" s="131">
        <f t="shared" si="86"/>
        <v>0</v>
      </c>
      <c r="BH74" s="131">
        <f t="shared" si="87"/>
        <v>35.075925469586579</v>
      </c>
      <c r="BI74" s="131">
        <f t="shared" si="88"/>
        <v>4.7754037257470312</v>
      </c>
      <c r="BJ74" s="131">
        <f t="shared" si="89"/>
        <v>0</v>
      </c>
      <c r="BK74" s="131">
        <f t="shared" si="90"/>
        <v>17.398184426304358</v>
      </c>
      <c r="BL74" s="131">
        <f t="shared" si="91"/>
        <v>0</v>
      </c>
      <c r="BM74" s="131">
        <f t="shared" si="92"/>
        <v>20.440886766044272</v>
      </c>
      <c r="BN74" s="131">
        <f t="shared" si="93"/>
        <v>0</v>
      </c>
      <c r="BO74" s="131">
        <f t="shared" si="94"/>
        <v>8.4530645007462457</v>
      </c>
      <c r="BP74" s="131">
        <f t="shared" si="95"/>
        <v>0.77141137108221269</v>
      </c>
      <c r="BQ74" s="131">
        <f t="shared" si="96"/>
        <v>4.3570568554110638</v>
      </c>
    </row>
    <row r="75" spans="1:69">
      <c r="A75" s="130">
        <v>26</v>
      </c>
      <c r="B75" s="131">
        <f t="shared" si="97"/>
        <v>0</v>
      </c>
      <c r="C75" s="131">
        <f t="shared" si="64"/>
        <v>0</v>
      </c>
      <c r="D75" s="131">
        <f t="shared" si="65"/>
        <v>31.131725677415144</v>
      </c>
      <c r="E75" s="131">
        <f t="shared" si="66"/>
        <v>22.111306274746219</v>
      </c>
      <c r="F75" s="131">
        <f t="shared" si="67"/>
        <v>0.26283870757499223</v>
      </c>
      <c r="G75" s="131">
        <f t="shared" si="68"/>
        <v>0.26283870757499223</v>
      </c>
      <c r="H75" s="131">
        <f t="shared" si="69"/>
        <v>0</v>
      </c>
      <c r="I75" s="131">
        <f t="shared" si="70"/>
        <v>10.765870985612567</v>
      </c>
      <c r="J75" s="131">
        <f t="shared" si="71"/>
        <v>22.874645202287653</v>
      </c>
      <c r="K75" s="131">
        <f t="shared" si="72"/>
        <v>3.6714516155312595</v>
      </c>
      <c r="L75" s="131">
        <f t="shared" si="73"/>
        <v>0.16427419223437012</v>
      </c>
      <c r="M75" s="131">
        <f t="shared" si="74"/>
        <v>4.0411451289655052</v>
      </c>
      <c r="O75" s="130">
        <v>26</v>
      </c>
      <c r="P75" s="131">
        <f>'Stasiun Pontianak Kota'!Q121</f>
        <v>0</v>
      </c>
      <c r="Q75" s="131">
        <f>'Stasiun Pontianak Kota'!R121</f>
        <v>0</v>
      </c>
      <c r="R75" s="131">
        <f>'Stasiun Pontianak Kota'!S121</f>
        <v>15</v>
      </c>
      <c r="S75" s="131">
        <f>'Stasiun Pontianak Kota'!T121</f>
        <v>0</v>
      </c>
      <c r="T75" s="131">
        <f>'Stasiun Pontianak Kota'!U121</f>
        <v>0</v>
      </c>
      <c r="U75" s="131">
        <f>'Stasiun Pontianak Kota'!V121</f>
        <v>0</v>
      </c>
      <c r="V75" s="131">
        <f>'Stasiun Pontianak Kota'!W121</f>
        <v>0</v>
      </c>
      <c r="W75" s="131">
        <f>'Stasiun Pontianak Kota'!X121</f>
        <v>13</v>
      </c>
      <c r="X75" s="131">
        <f>'Stasiun Pontianak Kota'!Y121</f>
        <v>28</v>
      </c>
      <c r="Y75" s="131">
        <f>'Stasiun Pontianak Kota'!Z121</f>
        <v>4</v>
      </c>
      <c r="Z75" s="131">
        <f>'Stasiun Pontianak Kota'!AA121</f>
        <v>0</v>
      </c>
      <c r="AA75" s="131">
        <f>'Stasiun Pontianak Kota'!AB121</f>
        <v>0</v>
      </c>
      <c r="AC75" s="130">
        <v>26</v>
      </c>
      <c r="AD75" s="131">
        <f>'Sta. Meteorologi pnk'!B78</f>
        <v>0</v>
      </c>
      <c r="AE75" s="131">
        <f>'Sta. Meteorologi pnk'!C78</f>
        <v>0</v>
      </c>
      <c r="AF75" s="131">
        <f>'Sta. Meteorologi pnk'!D78</f>
        <v>64.099999999999994</v>
      </c>
      <c r="AG75" s="131">
        <f>'Sta. Meteorologi pnk'!E78</f>
        <v>67.3</v>
      </c>
      <c r="AH75" s="131">
        <f>'Sta. Meteorologi pnk'!F78</f>
        <v>0.8</v>
      </c>
      <c r="AI75" s="131">
        <f>'Sta. Meteorologi pnk'!G78</f>
        <v>0.8</v>
      </c>
      <c r="AJ75" s="131">
        <f>'Sta. Meteorologi pnk'!H78</f>
        <v>0</v>
      </c>
      <c r="AK75" s="131">
        <f>'Sta. Meteorologi pnk'!I78</f>
        <v>6.2</v>
      </c>
      <c r="AL75" s="131">
        <f>'Sta. Meteorologi pnk'!J78</f>
        <v>12.4</v>
      </c>
      <c r="AM75" s="131">
        <f>'Sta. Meteorologi pnk'!K78</f>
        <v>3</v>
      </c>
      <c r="AN75" s="131">
        <f>'Sta. Meteorologi pnk'!L78</f>
        <v>0.5</v>
      </c>
      <c r="AO75" s="131">
        <f>'Sta. Meteorologi pnk'!M78</f>
        <v>12.3</v>
      </c>
      <c r="AQ75" s="130">
        <v>26</v>
      </c>
      <c r="AR75" s="131">
        <f t="shared" si="98"/>
        <v>0</v>
      </c>
      <c r="AS75" s="131">
        <f t="shared" si="75"/>
        <v>0</v>
      </c>
      <c r="AT75" s="131">
        <f t="shared" si="76"/>
        <v>48.201159809150802</v>
      </c>
      <c r="AU75" s="131">
        <f t="shared" si="77"/>
        <v>45.507903363662912</v>
      </c>
      <c r="AV75" s="131">
        <f t="shared" si="78"/>
        <v>0.54095576063789497</v>
      </c>
      <c r="AW75" s="131">
        <f t="shared" si="79"/>
        <v>0.54095576063789497</v>
      </c>
      <c r="AX75" s="131">
        <f t="shared" si="80"/>
        <v>0</v>
      </c>
      <c r="AY75" s="131">
        <f t="shared" si="81"/>
        <v>8.4018760345778922</v>
      </c>
      <c r="AZ75" s="131">
        <f t="shared" si="82"/>
        <v>17.451362667561046</v>
      </c>
      <c r="BA75" s="131">
        <f t="shared" si="83"/>
        <v>3.3238052992026312</v>
      </c>
      <c r="BB75" s="131">
        <f t="shared" si="84"/>
        <v>0.33809735039868438</v>
      </c>
      <c r="BC75" s="131">
        <f t="shared" si="85"/>
        <v>8.3171948198076358</v>
      </c>
      <c r="BE75" s="130">
        <v>26</v>
      </c>
      <c r="BF75" s="131">
        <f t="shared" si="99"/>
        <v>0</v>
      </c>
      <c r="BG75" s="131">
        <f t="shared" si="86"/>
        <v>0</v>
      </c>
      <c r="BH75" s="131">
        <f t="shared" si="87"/>
        <v>46.063667466601594</v>
      </c>
      <c r="BI75" s="131">
        <f t="shared" si="88"/>
        <v>42.578102250555752</v>
      </c>
      <c r="BJ75" s="131">
        <f t="shared" si="89"/>
        <v>0.5061290014924904</v>
      </c>
      <c r="BK75" s="131">
        <f t="shared" si="90"/>
        <v>0.5061290014924904</v>
      </c>
      <c r="BL75" s="131">
        <f t="shared" si="91"/>
        <v>0</v>
      </c>
      <c r="BM75" s="131">
        <f t="shared" si="92"/>
        <v>8.6979034873138321</v>
      </c>
      <c r="BN75" s="131">
        <f t="shared" si="93"/>
        <v>18.130484470896437</v>
      </c>
      <c r="BO75" s="131">
        <f t="shared" si="94"/>
        <v>3.367338748134387</v>
      </c>
      <c r="BP75" s="131">
        <f t="shared" si="95"/>
        <v>0.31633062593280648</v>
      </c>
      <c r="BQ75" s="131">
        <f t="shared" si="96"/>
        <v>7.7817333979470407</v>
      </c>
    </row>
    <row r="76" spans="1:69">
      <c r="A76" s="130">
        <v>27</v>
      </c>
      <c r="B76" s="131">
        <f t="shared" si="97"/>
        <v>0</v>
      </c>
      <c r="C76" s="131">
        <f t="shared" si="64"/>
        <v>0</v>
      </c>
      <c r="D76" s="131">
        <f t="shared" si="65"/>
        <v>59.941967966369575</v>
      </c>
      <c r="E76" s="131">
        <f t="shared" si="66"/>
        <v>3.3572580776562981</v>
      </c>
      <c r="F76" s="131">
        <f t="shared" si="67"/>
        <v>10.839870953024944</v>
      </c>
      <c r="G76" s="131">
        <f t="shared" si="68"/>
        <v>0.67145161553125965</v>
      </c>
      <c r="H76" s="131">
        <f t="shared" si="69"/>
        <v>0</v>
      </c>
      <c r="I76" s="131">
        <f t="shared" si="70"/>
        <v>4.8070161145780714</v>
      </c>
      <c r="J76" s="131">
        <f t="shared" si="71"/>
        <v>2.6858064621250386</v>
      </c>
      <c r="K76" s="131">
        <f t="shared" si="72"/>
        <v>2.4271128998093623</v>
      </c>
      <c r="L76" s="131">
        <f t="shared" si="73"/>
        <v>16.060757988040343</v>
      </c>
      <c r="M76" s="131">
        <f t="shared" si="74"/>
        <v>6.5030322780375727</v>
      </c>
      <c r="O76" s="130">
        <v>27</v>
      </c>
      <c r="P76" s="131">
        <f>'Stasiun Pontianak Kota'!Q122</f>
        <v>0</v>
      </c>
      <c r="Q76" s="131">
        <f>'Stasiun Pontianak Kota'!R122</f>
        <v>0</v>
      </c>
      <c r="R76" s="131">
        <f>'Stasiun Pontianak Kota'!S122</f>
        <v>88</v>
      </c>
      <c r="S76" s="131">
        <f>'Stasiun Pontianak Kota'!T122</f>
        <v>5</v>
      </c>
      <c r="T76" s="131">
        <f>'Stasiun Pontianak Kota'!U122</f>
        <v>9</v>
      </c>
      <c r="U76" s="131">
        <f>'Stasiun Pontianak Kota'!V122</f>
        <v>1</v>
      </c>
      <c r="V76" s="131">
        <f>'Stasiun Pontianak Kota'!W122</f>
        <v>0</v>
      </c>
      <c r="W76" s="131">
        <f>'Stasiun Pontianak Kota'!X122</f>
        <v>3</v>
      </c>
      <c r="X76" s="131">
        <f>'Stasiun Pontianak Kota'!Y122</f>
        <v>4</v>
      </c>
      <c r="Y76" s="131">
        <f>'Stasiun Pontianak Kota'!Z122</f>
        <v>2</v>
      </c>
      <c r="Z76" s="131">
        <f>'Stasiun Pontianak Kota'!AA122</f>
        <v>6.5</v>
      </c>
      <c r="AA76" s="131">
        <f>'Stasiun Pontianak Kota'!AB122</f>
        <v>9</v>
      </c>
      <c r="AC76" s="130">
        <v>27</v>
      </c>
      <c r="AD76" s="131">
        <f>'Sta. Meteorologi pnk'!B79</f>
        <v>0</v>
      </c>
      <c r="AE76" s="131">
        <f>'Sta. Meteorologi pnk'!C79</f>
        <v>0</v>
      </c>
      <c r="AF76" s="131">
        <f>'Sta. Meteorologi pnk'!D79</f>
        <v>2.6</v>
      </c>
      <c r="AG76" s="131">
        <f>'Sta. Meteorologi pnk'!E79</f>
        <v>0</v>
      </c>
      <c r="AH76" s="131">
        <f>'Sta. Meteorologi pnk'!F79</f>
        <v>14.6</v>
      </c>
      <c r="AI76" s="131">
        <f>'Sta. Meteorologi pnk'!G79</f>
        <v>0</v>
      </c>
      <c r="AJ76" s="131">
        <f>'Sta. Meteorologi pnk'!H79</f>
        <v>0</v>
      </c>
      <c r="AK76" s="131">
        <f>'Sta. Meteorologi pnk'!I79</f>
        <v>8.5</v>
      </c>
      <c r="AL76" s="131">
        <f>'Sta. Meteorologi pnk'!J79</f>
        <v>0</v>
      </c>
      <c r="AM76" s="131">
        <f>'Sta. Meteorologi pnk'!K79</f>
        <v>3.3</v>
      </c>
      <c r="AN76" s="131">
        <f>'Sta. Meteorologi pnk'!L79</f>
        <v>35.6</v>
      </c>
      <c r="AO76" s="131">
        <f>'Sta. Meteorologi pnk'!M79</f>
        <v>1.4</v>
      </c>
      <c r="AQ76" s="130">
        <v>27</v>
      </c>
      <c r="AR76" s="131">
        <f t="shared" si="98"/>
        <v>0</v>
      </c>
      <c r="AS76" s="131">
        <f t="shared" si="75"/>
        <v>0</v>
      </c>
      <c r="AT76" s="131">
        <f t="shared" si="76"/>
        <v>30.252972551904705</v>
      </c>
      <c r="AU76" s="131">
        <f t="shared" si="77"/>
        <v>1.619026496013156</v>
      </c>
      <c r="AV76" s="131">
        <f t="shared" si="78"/>
        <v>12.786690324465264</v>
      </c>
      <c r="AW76" s="131">
        <f t="shared" si="79"/>
        <v>0.32380529920263124</v>
      </c>
      <c r="AX76" s="131">
        <f t="shared" si="80"/>
        <v>0</v>
      </c>
      <c r="AY76" s="131">
        <f t="shared" si="81"/>
        <v>6.719070854385528</v>
      </c>
      <c r="AZ76" s="131">
        <f t="shared" si="82"/>
        <v>1.2952211968105249</v>
      </c>
      <c r="BA76" s="131">
        <f t="shared" si="83"/>
        <v>2.8790531110365789</v>
      </c>
      <c r="BB76" s="131">
        <f t="shared" si="84"/>
        <v>26.177265793203429</v>
      </c>
      <c r="BC76" s="131">
        <f t="shared" si="85"/>
        <v>3.8609202739399966</v>
      </c>
      <c r="BE76" s="130">
        <v>27</v>
      </c>
      <c r="BF76" s="131">
        <f t="shared" si="99"/>
        <v>0</v>
      </c>
      <c r="BG76" s="131">
        <f t="shared" si="86"/>
        <v>0</v>
      </c>
      <c r="BH76" s="131">
        <f t="shared" si="87"/>
        <v>33.970729090676649</v>
      </c>
      <c r="BI76" s="131">
        <f t="shared" si="88"/>
        <v>1.8366937406719348</v>
      </c>
      <c r="BJ76" s="131">
        <f t="shared" si="89"/>
        <v>12.542903010447434</v>
      </c>
      <c r="BK76" s="131">
        <f t="shared" si="90"/>
        <v>0.36733874813438699</v>
      </c>
      <c r="BL76" s="131">
        <f t="shared" si="91"/>
        <v>0</v>
      </c>
      <c r="BM76" s="131">
        <f t="shared" si="92"/>
        <v>6.479636885260871</v>
      </c>
      <c r="BN76" s="131">
        <f t="shared" si="93"/>
        <v>1.469354992537548</v>
      </c>
      <c r="BO76" s="131">
        <f t="shared" si="94"/>
        <v>2.8224596274252964</v>
      </c>
      <c r="BP76" s="131">
        <f t="shared" si="95"/>
        <v>24.91044242928934</v>
      </c>
      <c r="BQ76" s="131">
        <f t="shared" si="96"/>
        <v>4.191774485821341</v>
      </c>
    </row>
    <row r="77" spans="1:69">
      <c r="A77" s="130">
        <v>28</v>
      </c>
      <c r="B77" s="131">
        <f t="shared" si="97"/>
        <v>0</v>
      </c>
      <c r="C77" s="131">
        <f t="shared" si="64"/>
        <v>13.207645055643361</v>
      </c>
      <c r="D77" s="131">
        <f t="shared" si="65"/>
        <v>4.6858064621250382</v>
      </c>
      <c r="E77" s="131">
        <f t="shared" si="66"/>
        <v>0</v>
      </c>
      <c r="F77" s="131">
        <f t="shared" si="67"/>
        <v>6.8787903475469667</v>
      </c>
      <c r="G77" s="131">
        <f t="shared" si="68"/>
        <v>0</v>
      </c>
      <c r="H77" s="131">
        <f t="shared" si="69"/>
        <v>0</v>
      </c>
      <c r="I77" s="131">
        <f t="shared" si="70"/>
        <v>11.630612810193407</v>
      </c>
      <c r="J77" s="131">
        <f t="shared" si="71"/>
        <v>0</v>
      </c>
      <c r="K77" s="131">
        <f t="shared" si="72"/>
        <v>1.3429032310625193</v>
      </c>
      <c r="L77" s="131">
        <f t="shared" si="73"/>
        <v>15.557419386375116</v>
      </c>
      <c r="M77" s="131">
        <f t="shared" si="74"/>
        <v>4.0082902905186311</v>
      </c>
      <c r="O77" s="130">
        <v>28</v>
      </c>
      <c r="P77" s="131">
        <f>'Stasiun Pontianak Kota'!Q123</f>
        <v>0</v>
      </c>
      <c r="Q77" s="131">
        <f>'Stasiun Pontianak Kota'!R123</f>
        <v>0</v>
      </c>
      <c r="R77" s="131">
        <f>'Stasiun Pontianak Kota'!S123</f>
        <v>6</v>
      </c>
      <c r="S77" s="131">
        <f>'Stasiun Pontianak Kota'!T123</f>
        <v>0</v>
      </c>
      <c r="T77" s="131">
        <f>'Stasiun Pontianak Kota'!U123</f>
        <v>10</v>
      </c>
      <c r="U77" s="131">
        <f>'Stasiun Pontianak Kota'!V123</f>
        <v>0</v>
      </c>
      <c r="V77" s="131">
        <f>'Stasiun Pontianak Kota'!W123</f>
        <v>0</v>
      </c>
      <c r="W77" s="131">
        <f>'Stasiun Pontianak Kota'!X123</f>
        <v>0</v>
      </c>
      <c r="X77" s="131">
        <f>'Stasiun Pontianak Kota'!Y123</f>
        <v>0</v>
      </c>
      <c r="Y77" s="131">
        <f>'Stasiun Pontianak Kota'!Z123</f>
        <v>2</v>
      </c>
      <c r="Z77" s="131">
        <f>'Stasiun Pontianak Kota'!AA123</f>
        <v>19.5</v>
      </c>
      <c r="AA77" s="131">
        <f>'Stasiun Pontianak Kota'!AB123</f>
        <v>0</v>
      </c>
      <c r="AC77" s="130">
        <v>28</v>
      </c>
      <c r="AD77" s="131">
        <f>'Sta. Meteorologi pnk'!B80</f>
        <v>0</v>
      </c>
      <c r="AE77" s="131">
        <f>'Sta. Meteorologi pnk'!C80</f>
        <v>40.200000000000003</v>
      </c>
      <c r="AF77" s="131">
        <f>'Sta. Meteorologi pnk'!D80</f>
        <v>2</v>
      </c>
      <c r="AG77" s="131">
        <f>'Sta. Meteorologi pnk'!E80</f>
        <v>0</v>
      </c>
      <c r="AH77" s="131">
        <f>'Sta. Meteorologi pnk'!F80</f>
        <v>0.5</v>
      </c>
      <c r="AI77" s="131">
        <f>'Sta. Meteorologi pnk'!G80</f>
        <v>0</v>
      </c>
      <c r="AJ77" s="131">
        <f>'Sta. Meteorologi pnk'!H80</f>
        <v>0</v>
      </c>
      <c r="AK77" s="131">
        <f>'Sta. Meteorologi pnk'!I80</f>
        <v>35.4</v>
      </c>
      <c r="AL77" s="131">
        <f>'Sta. Meteorologi pnk'!J80</f>
        <v>0</v>
      </c>
      <c r="AM77" s="131">
        <f>'Sta. Meteorologi pnk'!K80</f>
        <v>0</v>
      </c>
      <c r="AN77" s="131">
        <f>'Sta. Meteorologi pnk'!L80</f>
        <v>7.5</v>
      </c>
      <c r="AO77" s="131">
        <f>'Sta. Meteorologi pnk'!M80</f>
        <v>12.2</v>
      </c>
      <c r="AQ77" s="130">
        <v>28</v>
      </c>
      <c r="AR77" s="131">
        <f t="shared" si="98"/>
        <v>0</v>
      </c>
      <c r="AS77" s="131">
        <f t="shared" si="75"/>
        <v>27.183026972054225</v>
      </c>
      <c r="AT77" s="131">
        <f t="shared" si="76"/>
        <v>3.2952211968105245</v>
      </c>
      <c r="AU77" s="131">
        <f t="shared" si="77"/>
        <v>0</v>
      </c>
      <c r="AV77" s="131">
        <f t="shared" si="78"/>
        <v>3.576150342424997</v>
      </c>
      <c r="AW77" s="131">
        <f t="shared" si="79"/>
        <v>0</v>
      </c>
      <c r="AX77" s="131">
        <f t="shared" si="80"/>
        <v>0</v>
      </c>
      <c r="AY77" s="131">
        <f t="shared" si="81"/>
        <v>23.937292408226849</v>
      </c>
      <c r="AZ77" s="131">
        <f t="shared" si="82"/>
        <v>0</v>
      </c>
      <c r="BA77" s="131">
        <f t="shared" si="83"/>
        <v>0.64761059840526247</v>
      </c>
      <c r="BB77" s="131">
        <f t="shared" si="84"/>
        <v>11.385663590431573</v>
      </c>
      <c r="BC77" s="131">
        <f t="shared" si="85"/>
        <v>8.2495753497278983</v>
      </c>
      <c r="BE77" s="130">
        <v>28</v>
      </c>
      <c r="BF77" s="131">
        <f t="shared" si="99"/>
        <v>0</v>
      </c>
      <c r="BG77" s="131">
        <f t="shared" si="86"/>
        <v>25.432982324997646</v>
      </c>
      <c r="BH77" s="131">
        <f t="shared" si="87"/>
        <v>3.4693549925375473</v>
      </c>
      <c r="BI77" s="131">
        <f t="shared" si="88"/>
        <v>0</v>
      </c>
      <c r="BJ77" s="131">
        <f t="shared" si="89"/>
        <v>3.9897181072766768</v>
      </c>
      <c r="BK77" s="131">
        <f t="shared" si="90"/>
        <v>0</v>
      </c>
      <c r="BL77" s="131">
        <f t="shared" si="91"/>
        <v>0</v>
      </c>
      <c r="BM77" s="131">
        <f t="shared" si="92"/>
        <v>22.396208316042699</v>
      </c>
      <c r="BN77" s="131">
        <f t="shared" si="93"/>
        <v>0</v>
      </c>
      <c r="BO77" s="131">
        <f t="shared" si="94"/>
        <v>0.73467749626877399</v>
      </c>
      <c r="BP77" s="131">
        <f t="shared" si="95"/>
        <v>11.908064977612643</v>
      </c>
      <c r="BQ77" s="131">
        <f t="shared" si="96"/>
        <v>7.7184672727604768</v>
      </c>
    </row>
    <row r="78" spans="1:69">
      <c r="A78" s="130">
        <v>29</v>
      </c>
      <c r="B78" s="131">
        <f t="shared" si="97"/>
        <v>0</v>
      </c>
      <c r="C78" s="131">
        <f t="shared" si="64"/>
        <v>0</v>
      </c>
      <c r="D78" s="131">
        <f t="shared" si="65"/>
        <v>9.1971290306812428</v>
      </c>
      <c r="E78" s="131">
        <f t="shared" si="66"/>
        <v>15.484838609812131</v>
      </c>
      <c r="F78" s="131">
        <f t="shared" si="67"/>
        <v>2.1355644990468114</v>
      </c>
      <c r="G78" s="131">
        <f t="shared" si="68"/>
        <v>0.13141935378749611</v>
      </c>
      <c r="H78" s="131">
        <f t="shared" si="69"/>
        <v>0</v>
      </c>
      <c r="I78" s="131">
        <f t="shared" si="70"/>
        <v>48.560145340785034</v>
      </c>
      <c r="J78" s="131">
        <f t="shared" si="71"/>
        <v>0</v>
      </c>
      <c r="K78" s="131">
        <f t="shared" si="72"/>
        <v>4.0739999674123792</v>
      </c>
      <c r="L78" s="131">
        <f t="shared" si="73"/>
        <v>4.8298225604092995</v>
      </c>
      <c r="M78" s="131">
        <f t="shared" si="74"/>
        <v>19.651032212862333</v>
      </c>
      <c r="O78" s="130">
        <v>29</v>
      </c>
      <c r="P78" s="131">
        <f>'Stasiun Pontianak Kota'!Q124</f>
        <v>0</v>
      </c>
      <c r="Q78" s="131">
        <f>'Stasiun Pontianak Kota'!R124</f>
        <v>0</v>
      </c>
      <c r="R78" s="131">
        <f>'Stasiun Pontianak Kota'!S124</f>
        <v>9</v>
      </c>
      <c r="S78" s="131">
        <f>'Stasiun Pontianak Kota'!T124</f>
        <v>3</v>
      </c>
      <c r="T78" s="131">
        <f>'Stasiun Pontianak Kota'!U124</f>
        <v>0</v>
      </c>
      <c r="U78" s="131">
        <f>'Stasiun Pontianak Kota'!V124</f>
        <v>0</v>
      </c>
      <c r="V78" s="131">
        <f>'Stasiun Pontianak Kota'!W124</f>
        <v>0</v>
      </c>
      <c r="W78" s="131">
        <f>'Stasiun Pontianak Kota'!X124</f>
        <v>71</v>
      </c>
      <c r="X78" s="131">
        <f>'Stasiun Pontianak Kota'!Y124</f>
        <v>0</v>
      </c>
      <c r="Y78" s="131">
        <f>'Stasiun Pontianak Kota'!Z124</f>
        <v>0</v>
      </c>
      <c r="Z78" s="131">
        <f>'Stasiun Pontianak Kota'!AA124</f>
        <v>2.2999999999999998</v>
      </c>
      <c r="AA78" s="131">
        <f>'Stasiun Pontianak Kota'!AB124</f>
        <v>14</v>
      </c>
      <c r="AC78" s="130">
        <v>29</v>
      </c>
      <c r="AD78" s="131">
        <f>'Sta. Meteorologi pnk'!B81</f>
        <v>0</v>
      </c>
      <c r="AE78" s="131">
        <f>'Sta. Meteorologi pnk'!C81</f>
        <v>0</v>
      </c>
      <c r="AF78" s="131">
        <f>'Sta. Meteorologi pnk'!D81</f>
        <v>9.6</v>
      </c>
      <c r="AG78" s="131">
        <f>'Sta. Meteorologi pnk'!E81</f>
        <v>41</v>
      </c>
      <c r="AH78" s="131">
        <f>'Sta. Meteorologi pnk'!F81</f>
        <v>6.5</v>
      </c>
      <c r="AI78" s="131">
        <f>'Sta. Meteorologi pnk'!G81</f>
        <v>0.4</v>
      </c>
      <c r="AJ78" s="131">
        <f>'Sta. Meteorologi pnk'!H81</f>
        <v>0</v>
      </c>
      <c r="AK78" s="131">
        <f>'Sta. Meteorologi pnk'!I81</f>
        <v>2.7</v>
      </c>
      <c r="AL78" s="131">
        <f>'Sta. Meteorologi pnk'!J81</f>
        <v>0</v>
      </c>
      <c r="AM78" s="131">
        <f>'Sta. Meteorologi pnk'!K81</f>
        <v>12.4</v>
      </c>
      <c r="AN78" s="131">
        <f>'Sta. Meteorologi pnk'!L81</f>
        <v>10</v>
      </c>
      <c r="AO78" s="131">
        <f>'Sta. Meteorologi pnk'!M81</f>
        <v>31.2</v>
      </c>
      <c r="AQ78" s="130">
        <v>29</v>
      </c>
      <c r="AR78" s="131">
        <f t="shared" si="98"/>
        <v>0</v>
      </c>
      <c r="AS78" s="131">
        <f t="shared" si="75"/>
        <v>0</v>
      </c>
      <c r="AT78" s="131">
        <f t="shared" si="76"/>
        <v>9.4057168204784212</v>
      </c>
      <c r="AU78" s="131">
        <f t="shared" si="77"/>
        <v>28.695398630300012</v>
      </c>
      <c r="AV78" s="131">
        <f t="shared" si="78"/>
        <v>4.3952655551828963</v>
      </c>
      <c r="AW78" s="131">
        <f t="shared" si="79"/>
        <v>0.27047788031894748</v>
      </c>
      <c r="AX78" s="131">
        <f t="shared" si="80"/>
        <v>0</v>
      </c>
      <c r="AY78" s="131">
        <f t="shared" si="81"/>
        <v>24.815901935539713</v>
      </c>
      <c r="AZ78" s="131">
        <f t="shared" si="82"/>
        <v>0</v>
      </c>
      <c r="BA78" s="131">
        <f t="shared" si="83"/>
        <v>8.3848142898873732</v>
      </c>
      <c r="BB78" s="131">
        <f t="shared" si="84"/>
        <v>7.5066991961397402</v>
      </c>
      <c r="BC78" s="131">
        <f t="shared" si="85"/>
        <v>25.630548853714739</v>
      </c>
      <c r="BE78" s="130">
        <v>29</v>
      </c>
      <c r="BF78" s="131">
        <f t="shared" si="99"/>
        <v>0</v>
      </c>
      <c r="BG78" s="131">
        <f t="shared" si="86"/>
        <v>0</v>
      </c>
      <c r="BH78" s="131">
        <f t="shared" si="87"/>
        <v>9.379596751119367</v>
      </c>
      <c r="BI78" s="131">
        <f t="shared" si="88"/>
        <v>27.041127570893298</v>
      </c>
      <c r="BJ78" s="131">
        <f t="shared" si="89"/>
        <v>4.1122981371264844</v>
      </c>
      <c r="BK78" s="131">
        <f t="shared" si="90"/>
        <v>0.2530645007462452</v>
      </c>
      <c r="BL78" s="131">
        <f t="shared" si="91"/>
        <v>0</v>
      </c>
      <c r="BM78" s="131">
        <f t="shared" si="92"/>
        <v>27.789236497578635</v>
      </c>
      <c r="BN78" s="131">
        <f t="shared" si="93"/>
        <v>0</v>
      </c>
      <c r="BO78" s="131">
        <f t="shared" si="94"/>
        <v>7.8449995231336009</v>
      </c>
      <c r="BP78" s="131">
        <f t="shared" si="95"/>
        <v>7.1714916393652208</v>
      </c>
      <c r="BQ78" s="131">
        <f t="shared" si="96"/>
        <v>24.881773532088545</v>
      </c>
    </row>
    <row r="79" spans="1:69">
      <c r="A79" s="130">
        <v>30</v>
      </c>
      <c r="B79" s="131">
        <f t="shared" si="97"/>
        <v>0</v>
      </c>
      <c r="C79" s="131">
        <f t="shared" si="64"/>
        <v>0</v>
      </c>
      <c r="D79" s="131">
        <f t="shared" si="65"/>
        <v>0</v>
      </c>
      <c r="E79" s="131">
        <f t="shared" si="66"/>
        <v>3.1212096524530324</v>
      </c>
      <c r="F79" s="131">
        <f t="shared" si="67"/>
        <v>3.3572580776562981</v>
      </c>
      <c r="G79" s="131">
        <f t="shared" si="68"/>
        <v>1.3799032147687091</v>
      </c>
      <c r="H79" s="131">
        <f t="shared" si="69"/>
        <v>0</v>
      </c>
      <c r="I79" s="131">
        <f t="shared" si="70"/>
        <v>2.0143548465937791</v>
      </c>
      <c r="J79" s="131">
        <f t="shared" si="71"/>
        <v>10.517387124631352</v>
      </c>
      <c r="K79" s="131">
        <f t="shared" si="72"/>
        <v>25.515161390187867</v>
      </c>
      <c r="L79" s="131">
        <f t="shared" si="73"/>
        <v>13.174790217196485</v>
      </c>
      <c r="M79" s="131">
        <f t="shared" si="74"/>
        <v>18.429032310625193</v>
      </c>
      <c r="O79" s="130">
        <v>30</v>
      </c>
      <c r="P79" s="131">
        <f>'Stasiun Pontianak Kota'!Q125</f>
        <v>0</v>
      </c>
      <c r="Q79" s="131">
        <f>'Stasiun Pontianak Kota'!R125</f>
        <v>0</v>
      </c>
      <c r="R79" s="131">
        <f>'Stasiun Pontianak Kota'!S125</f>
        <v>0</v>
      </c>
      <c r="S79" s="131">
        <f>'Stasiun Pontianak Kota'!T125</f>
        <v>0</v>
      </c>
      <c r="T79" s="131">
        <f>'Stasiun Pontianak Kota'!U125</f>
        <v>5</v>
      </c>
      <c r="U79" s="131">
        <f>'Stasiun Pontianak Kota'!V125</f>
        <v>0</v>
      </c>
      <c r="V79" s="131">
        <f>'Stasiun Pontianak Kota'!W125</f>
        <v>0</v>
      </c>
      <c r="W79" s="131">
        <f>'Stasiun Pontianak Kota'!X125</f>
        <v>3</v>
      </c>
      <c r="X79" s="131">
        <f>'Stasiun Pontianak Kota'!Y125</f>
        <v>14</v>
      </c>
      <c r="Y79" s="131">
        <f>'Stasiun Pontianak Kota'!Z125</f>
        <v>38</v>
      </c>
      <c r="Z79" s="131">
        <f>'Stasiun Pontianak Kota'!AA125</f>
        <v>0</v>
      </c>
      <c r="AA79" s="131">
        <f>'Stasiun Pontianak Kota'!AB125</f>
        <v>25</v>
      </c>
      <c r="AC79" s="130">
        <v>30</v>
      </c>
      <c r="AD79" s="131">
        <f>'Sta. Meteorologi pnk'!B82</f>
        <v>0</v>
      </c>
      <c r="AE79" s="131">
        <f>'Sta. Meteorologi pnk'!C82</f>
        <v>0</v>
      </c>
      <c r="AF79" s="131">
        <f>'Sta. Meteorologi pnk'!D82</f>
        <v>0</v>
      </c>
      <c r="AG79" s="131">
        <f>'Sta. Meteorologi pnk'!E82</f>
        <v>9.5</v>
      </c>
      <c r="AH79" s="131">
        <f>'Sta. Meteorologi pnk'!F82</f>
        <v>0</v>
      </c>
      <c r="AI79" s="131">
        <f>'Sta. Meteorologi pnk'!G82</f>
        <v>4.2</v>
      </c>
      <c r="AJ79" s="131">
        <f>'Sta. Meteorologi pnk'!H82</f>
        <v>0</v>
      </c>
      <c r="AK79" s="131">
        <f>'Sta. Meteorologi pnk'!I82</f>
        <v>0</v>
      </c>
      <c r="AL79" s="131">
        <f>'Sta. Meteorologi pnk'!J82</f>
        <v>3.4</v>
      </c>
      <c r="AM79" s="131">
        <f>'Sta. Meteorologi pnk'!K82</f>
        <v>0</v>
      </c>
      <c r="AN79" s="131">
        <f>'Sta. Meteorologi pnk'!L82</f>
        <v>40.1</v>
      </c>
      <c r="AO79" s="131">
        <f>'Sta. Meteorologi pnk'!M82</f>
        <v>5</v>
      </c>
      <c r="AQ79" s="130">
        <v>30</v>
      </c>
      <c r="AR79" s="131">
        <f t="shared" si="98"/>
        <v>0</v>
      </c>
      <c r="AS79" s="131">
        <f t="shared" si="75"/>
        <v>0</v>
      </c>
      <c r="AT79" s="131">
        <f t="shared" si="76"/>
        <v>0</v>
      </c>
      <c r="AU79" s="131">
        <f t="shared" si="77"/>
        <v>6.4238496575750021</v>
      </c>
      <c r="AV79" s="131">
        <f t="shared" si="78"/>
        <v>1.619026496013156</v>
      </c>
      <c r="AW79" s="131">
        <f t="shared" si="79"/>
        <v>2.8400177433489491</v>
      </c>
      <c r="AX79" s="131">
        <f t="shared" si="80"/>
        <v>0</v>
      </c>
      <c r="AY79" s="131">
        <f t="shared" si="81"/>
        <v>0.97141589760789349</v>
      </c>
      <c r="AZ79" s="131">
        <f t="shared" si="82"/>
        <v>6.8323361715478903</v>
      </c>
      <c r="BA79" s="131">
        <f t="shared" si="83"/>
        <v>12.304601369699986</v>
      </c>
      <c r="BB79" s="131">
        <f t="shared" si="84"/>
        <v>27.115407501974484</v>
      </c>
      <c r="BC79" s="131">
        <f t="shared" si="85"/>
        <v>11.476105984052625</v>
      </c>
      <c r="BE79" s="130">
        <v>30</v>
      </c>
      <c r="BF79" s="131">
        <f t="shared" si="99"/>
        <v>0</v>
      </c>
      <c r="BG79" s="131">
        <f t="shared" si="86"/>
        <v>0</v>
      </c>
      <c r="BH79" s="131">
        <f t="shared" si="87"/>
        <v>0</v>
      </c>
      <c r="BI79" s="131">
        <f t="shared" si="88"/>
        <v>6.0102818927233237</v>
      </c>
      <c r="BJ79" s="131">
        <f t="shared" si="89"/>
        <v>1.8366937406719348</v>
      </c>
      <c r="BK79" s="131">
        <f t="shared" si="90"/>
        <v>2.6571772578355746</v>
      </c>
      <c r="BL79" s="131">
        <f t="shared" si="91"/>
        <v>0</v>
      </c>
      <c r="BM79" s="131">
        <f t="shared" si="92"/>
        <v>1.1020162444031609</v>
      </c>
      <c r="BN79" s="131">
        <f t="shared" si="93"/>
        <v>7.2937907302245018</v>
      </c>
      <c r="BO79" s="131">
        <f t="shared" si="94"/>
        <v>13.958872429106705</v>
      </c>
      <c r="BP79" s="131">
        <f t="shared" si="95"/>
        <v>25.36971619981108</v>
      </c>
      <c r="BQ79" s="131">
        <f t="shared" si="96"/>
        <v>12.346774962687739</v>
      </c>
    </row>
    <row r="80" spans="1:69" ht="15.75" thickBot="1">
      <c r="A80" s="133">
        <v>31</v>
      </c>
      <c r="B80" s="131">
        <f t="shared" si="97"/>
        <v>0</v>
      </c>
      <c r="C80" s="131">
        <f t="shared" si="64"/>
        <v>0</v>
      </c>
      <c r="D80" s="131">
        <f t="shared" si="65"/>
        <v>22.16427419223437</v>
      </c>
      <c r="E80" s="131">
        <f t="shared" si="66"/>
        <v>0</v>
      </c>
      <c r="F80" s="131">
        <f t="shared" si="67"/>
        <v>0</v>
      </c>
      <c r="G80" s="131">
        <f t="shared" si="68"/>
        <v>0</v>
      </c>
      <c r="H80" s="131">
        <f t="shared" si="69"/>
        <v>0</v>
      </c>
      <c r="I80" s="131">
        <f t="shared" si="70"/>
        <v>0</v>
      </c>
      <c r="J80" s="131">
        <f t="shared" si="71"/>
        <v>0</v>
      </c>
      <c r="K80" s="131">
        <f t="shared" si="72"/>
        <v>1.5113225685562051</v>
      </c>
      <c r="L80" s="131">
        <f t="shared" si="73"/>
        <v>0</v>
      </c>
      <c r="M80" s="131">
        <f t="shared" si="74"/>
        <v>5.5256774151499846</v>
      </c>
      <c r="O80" s="133">
        <v>31</v>
      </c>
      <c r="P80" s="131">
        <f>'Stasiun Pontianak Kota'!Q126</f>
        <v>0</v>
      </c>
      <c r="Q80" s="131">
        <f>'Stasiun Pontianak Kota'!R126</f>
        <v>0</v>
      </c>
      <c r="R80" s="131">
        <f>'Stasiun Pontianak Kota'!S126</f>
        <v>22</v>
      </c>
      <c r="S80" s="131">
        <f>'Stasiun Pontianak Kota'!T126</f>
        <v>0</v>
      </c>
      <c r="T80" s="131">
        <f>'Stasiun Pontianak Kota'!U126</f>
        <v>0</v>
      </c>
      <c r="U80" s="131">
        <f>'Stasiun Pontianak Kota'!V126</f>
        <v>0</v>
      </c>
      <c r="V80" s="131">
        <f>'Stasiun Pontianak Kota'!W126</f>
        <v>0</v>
      </c>
      <c r="W80" s="131">
        <f>'Stasiun Pontianak Kota'!X126</f>
        <v>0</v>
      </c>
      <c r="X80" s="131">
        <f>'Stasiun Pontianak Kota'!Y126</f>
        <v>0</v>
      </c>
      <c r="Y80" s="131">
        <f>'Stasiun Pontianak Kota'!Z126</f>
        <v>0</v>
      </c>
      <c r="Z80" s="131">
        <f>'Stasiun Pontianak Kota'!AA126</f>
        <v>0</v>
      </c>
      <c r="AA80" s="131">
        <f>'Stasiun Pontianak Kota'!AB126</f>
        <v>5</v>
      </c>
      <c r="AC80" s="133">
        <v>31</v>
      </c>
      <c r="AD80" s="131">
        <f>'Sta. Meteorologi pnk'!B83</f>
        <v>0</v>
      </c>
      <c r="AE80" s="131">
        <f>'Sta. Meteorologi pnk'!C83</f>
        <v>0</v>
      </c>
      <c r="AF80" s="131">
        <f>'Sta. Meteorologi pnk'!D83</f>
        <v>22.5</v>
      </c>
      <c r="AG80" s="131">
        <f>'Sta. Meteorologi pnk'!E83</f>
        <v>0</v>
      </c>
      <c r="AH80" s="131">
        <f>'Sta. Meteorologi pnk'!F83</f>
        <v>0</v>
      </c>
      <c r="AI80" s="131">
        <f>'Sta. Meteorologi pnk'!G83</f>
        <v>0</v>
      </c>
      <c r="AJ80" s="131">
        <f>'Sta. Meteorologi pnk'!H83</f>
        <v>0</v>
      </c>
      <c r="AK80" s="131">
        <f>'Sta. Meteorologi pnk'!I83</f>
        <v>0</v>
      </c>
      <c r="AL80" s="131">
        <f>'Sta. Meteorologi pnk'!J83</f>
        <v>0</v>
      </c>
      <c r="AM80" s="131">
        <f>'Sta. Meteorologi pnk'!K83</f>
        <v>4.5999999999999996</v>
      </c>
      <c r="AN80" s="131">
        <f>'Sta. Meteorologi pnk'!L83</f>
        <v>0</v>
      </c>
      <c r="AO80" s="131">
        <f>'Sta. Meteorologi pnk'!M83</f>
        <v>6.6</v>
      </c>
      <c r="AQ80" s="133">
        <v>31</v>
      </c>
      <c r="AR80" s="131">
        <f t="shared" si="98"/>
        <v>0</v>
      </c>
      <c r="AS80" s="131">
        <f t="shared" si="75"/>
        <v>0</v>
      </c>
      <c r="AT80" s="131">
        <f t="shared" si="76"/>
        <v>22.33809735039868</v>
      </c>
      <c r="AU80" s="131">
        <f t="shared" si="77"/>
        <v>0</v>
      </c>
      <c r="AV80" s="131">
        <f t="shared" si="78"/>
        <v>0</v>
      </c>
      <c r="AW80" s="131">
        <f t="shared" si="79"/>
        <v>0</v>
      </c>
      <c r="AX80" s="131">
        <f t="shared" si="80"/>
        <v>0</v>
      </c>
      <c r="AY80" s="131">
        <f t="shared" si="81"/>
        <v>0</v>
      </c>
      <c r="AZ80" s="131">
        <f t="shared" si="82"/>
        <v>0</v>
      </c>
      <c r="BA80" s="131">
        <f t="shared" si="83"/>
        <v>3.1104956236678962</v>
      </c>
      <c r="BB80" s="131">
        <f t="shared" si="84"/>
        <v>0</v>
      </c>
      <c r="BC80" s="131">
        <f t="shared" si="85"/>
        <v>6.0819115212757895</v>
      </c>
      <c r="BE80" s="133">
        <v>31</v>
      </c>
      <c r="BF80" s="131">
        <f t="shared" si="99"/>
        <v>0</v>
      </c>
      <c r="BG80" s="131">
        <f t="shared" si="86"/>
        <v>0</v>
      </c>
      <c r="BH80" s="131">
        <f t="shared" si="87"/>
        <v>22.316330625932803</v>
      </c>
      <c r="BI80" s="131">
        <f t="shared" si="88"/>
        <v>0</v>
      </c>
      <c r="BJ80" s="131">
        <f t="shared" si="89"/>
        <v>0</v>
      </c>
      <c r="BK80" s="131">
        <f t="shared" si="90"/>
        <v>0</v>
      </c>
      <c r="BL80" s="131">
        <f t="shared" si="91"/>
        <v>0</v>
      </c>
      <c r="BM80" s="131">
        <f t="shared" si="92"/>
        <v>0</v>
      </c>
      <c r="BN80" s="131">
        <f t="shared" si="93"/>
        <v>0</v>
      </c>
      <c r="BO80" s="131">
        <f t="shared" si="94"/>
        <v>2.9102417585818201</v>
      </c>
      <c r="BP80" s="131">
        <f t="shared" si="95"/>
        <v>0</v>
      </c>
      <c r="BQ80" s="131">
        <f t="shared" si="96"/>
        <v>6.0122580029849804</v>
      </c>
    </row>
    <row r="81" spans="1:70">
      <c r="A81" s="135" t="s">
        <v>28</v>
      </c>
      <c r="B81" s="136">
        <f>SUM(B50:B80)</f>
        <v>73.934290323106254</v>
      </c>
      <c r="C81" s="136">
        <f t="shared" ref="C81:M81" si="100">SUM(C50:C80)</f>
        <v>15.376064393137046</v>
      </c>
      <c r="D81" s="136">
        <f t="shared" si="100"/>
        <v>271.35503234321283</v>
      </c>
      <c r="E81" s="136">
        <f t="shared" si="100"/>
        <v>198.86858064621248</v>
      </c>
      <c r="F81" s="136">
        <f t="shared" si="100"/>
        <v>255.96522575073732</v>
      </c>
      <c r="G81" s="136">
        <f t="shared" si="100"/>
        <v>244.6325322210092</v>
      </c>
      <c r="H81" s="136">
        <f t="shared" si="100"/>
        <v>99.496967721962434</v>
      </c>
      <c r="I81" s="136">
        <f t="shared" si="100"/>
        <v>467.64880647841886</v>
      </c>
      <c r="J81" s="136">
        <f t="shared" si="100"/>
        <v>186.81945155035598</v>
      </c>
      <c r="K81" s="136">
        <f t="shared" si="100"/>
        <v>356.44867775731996</v>
      </c>
      <c r="L81" s="136">
        <f t="shared" si="100"/>
        <v>402.24030599775142</v>
      </c>
      <c r="M81" s="136">
        <f t="shared" si="100"/>
        <v>245.76540335326609</v>
      </c>
      <c r="N81" s="137">
        <f>COUNTIF(B50:M80,"&lt;0,1")-COUNTIF(B50:M80,"&lt;=0")</f>
        <v>-155</v>
      </c>
      <c r="O81" s="135" t="s">
        <v>28</v>
      </c>
      <c r="P81" s="136">
        <f>SUM(P50:P80)</f>
        <v>74</v>
      </c>
      <c r="Q81" s="136">
        <f t="shared" ref="Q81:AA81" si="101">SUM(Q50:Q80)</f>
        <v>0</v>
      </c>
      <c r="R81" s="136">
        <f t="shared" si="101"/>
        <v>282</v>
      </c>
      <c r="S81" s="136">
        <f t="shared" si="101"/>
        <v>199</v>
      </c>
      <c r="T81" s="136">
        <f t="shared" si="101"/>
        <v>249</v>
      </c>
      <c r="U81" s="136">
        <f t="shared" si="101"/>
        <v>240</v>
      </c>
      <c r="V81" s="136">
        <f t="shared" si="101"/>
        <v>97</v>
      </c>
      <c r="W81" s="136">
        <f t="shared" si="101"/>
        <v>471</v>
      </c>
      <c r="X81" s="136">
        <f t="shared" si="101"/>
        <v>179</v>
      </c>
      <c r="Y81" s="136">
        <f t="shared" si="101"/>
        <v>398.69999999999993</v>
      </c>
      <c r="Z81" s="136">
        <f t="shared" si="101"/>
        <v>345.50000000000006</v>
      </c>
      <c r="AA81" s="136">
        <f t="shared" si="101"/>
        <v>261.7</v>
      </c>
      <c r="AB81" s="137">
        <f>COUNTIF(P50:AA80,"&lt;0,1")-COUNTIF(P50:AA80,"&lt;=0")</f>
        <v>-240</v>
      </c>
      <c r="AC81" s="135" t="s">
        <v>28</v>
      </c>
      <c r="AD81" s="136">
        <f>SUM(AD50:AD80)</f>
        <v>73.800000000000011</v>
      </c>
      <c r="AE81" s="136">
        <f t="shared" ref="AE81:AO81" si="102">SUM(AE50:AE80)</f>
        <v>46.800000000000004</v>
      </c>
      <c r="AF81" s="136">
        <f t="shared" si="102"/>
        <v>249.6</v>
      </c>
      <c r="AG81" s="136">
        <f t="shared" si="102"/>
        <v>198.59999999999997</v>
      </c>
      <c r="AH81" s="136">
        <f t="shared" si="102"/>
        <v>270.20000000000005</v>
      </c>
      <c r="AI81" s="136">
        <f t="shared" si="102"/>
        <v>254.1</v>
      </c>
      <c r="AJ81" s="136">
        <f t="shared" si="102"/>
        <v>104.60000000000001</v>
      </c>
      <c r="AK81" s="136">
        <f t="shared" si="102"/>
        <v>460.79999999999995</v>
      </c>
      <c r="AL81" s="136">
        <f t="shared" si="102"/>
        <v>202.8</v>
      </c>
      <c r="AM81" s="136">
        <f t="shared" si="102"/>
        <v>270.10000000000002</v>
      </c>
      <c r="AN81" s="136">
        <f t="shared" si="102"/>
        <v>518.19999999999993</v>
      </c>
      <c r="AO81" s="136">
        <f t="shared" si="102"/>
        <v>213.2</v>
      </c>
      <c r="AP81" s="137">
        <f>COUNTIF(AD50:AO80,"&lt;0,1")-COUNTIF(AD50:AO80,"&lt;=0")</f>
        <v>-204</v>
      </c>
      <c r="AQ81" s="135" t="s">
        <v>28</v>
      </c>
      <c r="AR81" s="136">
        <f>SUM(AR50:AR80)</f>
        <v>73.864761059840518</v>
      </c>
      <c r="AS81" s="136">
        <f t="shared" ref="AS81:BC81" si="103">SUM(AS50:AS80)</f>
        <v>31.645911997316858</v>
      </c>
      <c r="AT81" s="136">
        <f t="shared" si="103"/>
        <v>260.09129169416519</v>
      </c>
      <c r="AU81" s="136">
        <f t="shared" si="103"/>
        <v>198.72952211968106</v>
      </c>
      <c r="AV81" s="136">
        <f t="shared" si="103"/>
        <v>263.33532765690421</v>
      </c>
      <c r="AW81" s="136">
        <f t="shared" si="103"/>
        <v>249.53434528124288</v>
      </c>
      <c r="AX81" s="136">
        <f t="shared" si="103"/>
        <v>102.13907972606</v>
      </c>
      <c r="AY81" s="136">
        <f t="shared" si="103"/>
        <v>464.1028140518668</v>
      </c>
      <c r="AZ81" s="136">
        <f t="shared" si="103"/>
        <v>195.09343387897738</v>
      </c>
      <c r="BA81" s="136">
        <f t="shared" si="103"/>
        <v>311.74136147745827</v>
      </c>
      <c r="BB81" s="136">
        <f t="shared" si="103"/>
        <v>462.27882482770565</v>
      </c>
      <c r="BC81" s="136">
        <f t="shared" si="103"/>
        <v>228.90455701132765</v>
      </c>
      <c r="BD81" s="137">
        <f>COUNTIF(AR50:BC80,"&lt;0,1")-COUNTIF(AR50:BC80,"&lt;=0")</f>
        <v>-155</v>
      </c>
      <c r="BE81" s="135" t="s">
        <v>28</v>
      </c>
      <c r="BF81" s="136">
        <f>SUM(BF50:BF80)</f>
        <v>73.873467749626883</v>
      </c>
      <c r="BG81" s="136">
        <f t="shared" ref="BG81:BQ81" si="104">SUM(BG50:BG80)</f>
        <v>29.608546587310691</v>
      </c>
      <c r="BH81" s="136">
        <f t="shared" si="104"/>
        <v>261.50177543955414</v>
      </c>
      <c r="BI81" s="136">
        <f t="shared" si="104"/>
        <v>198.74693549925377</v>
      </c>
      <c r="BJ81" s="136">
        <f t="shared" si="104"/>
        <v>262.41241853955097</v>
      </c>
      <c r="BK81" s="136">
        <f t="shared" si="104"/>
        <v>248.9205236513051</v>
      </c>
      <c r="BL81" s="136">
        <f t="shared" si="104"/>
        <v>101.80822551417866</v>
      </c>
      <c r="BM81" s="136">
        <f t="shared" si="104"/>
        <v>464.54685523097072</v>
      </c>
      <c r="BN81" s="136">
        <f t="shared" si="104"/>
        <v>194.0573377944016</v>
      </c>
      <c r="BO81" s="136">
        <f t="shared" si="104"/>
        <v>317.33976301008209</v>
      </c>
      <c r="BP81" s="136">
        <f t="shared" si="104"/>
        <v>454.76059819719131</v>
      </c>
      <c r="BQ81" s="136">
        <f t="shared" si="104"/>
        <v>231.01592928451777</v>
      </c>
      <c r="BR81" s="137">
        <f>COUNTIF(BF50:BQ80,"&lt;0,1")-COUNTIF(BF50:BQ80,"&lt;=0")</f>
        <v>-155</v>
      </c>
    </row>
    <row r="82" spans="1:70">
      <c r="A82" s="138" t="s">
        <v>29</v>
      </c>
      <c r="B82" s="139">
        <f>MAX(B50:B80)</f>
        <v>27.529516236781646</v>
      </c>
      <c r="C82" s="139">
        <f t="shared" ref="C82:M82" si="105">MAX(C50:C80)</f>
        <v>13.207645055643361</v>
      </c>
      <c r="D82" s="139">
        <f t="shared" si="105"/>
        <v>59.941967966369575</v>
      </c>
      <c r="E82" s="139">
        <f t="shared" si="105"/>
        <v>38.944193700813059</v>
      </c>
      <c r="F82" s="139">
        <f t="shared" si="105"/>
        <v>69.830968015251003</v>
      </c>
      <c r="G82" s="139">
        <f t="shared" si="105"/>
        <v>51.015967933781951</v>
      </c>
      <c r="H82" s="139">
        <f t="shared" si="105"/>
        <v>40.18722565297444</v>
      </c>
      <c r="I82" s="139">
        <f t="shared" si="105"/>
        <v>108.90466165903574</v>
      </c>
      <c r="J82" s="139">
        <f t="shared" si="105"/>
        <v>41.858064621250385</v>
      </c>
      <c r="K82" s="139">
        <f t="shared" si="105"/>
        <v>57.674822804816451</v>
      </c>
      <c r="L82" s="139">
        <f t="shared" si="105"/>
        <v>64.050742183044662</v>
      </c>
      <c r="M82" s="139">
        <f t="shared" si="105"/>
        <v>34.24403239209424</v>
      </c>
      <c r="N82" s="129">
        <f>MAX(B82:M82)</f>
        <v>108.90466165903574</v>
      </c>
      <c r="O82" s="138" t="s">
        <v>29</v>
      </c>
      <c r="P82" s="139">
        <f>MAX(P50:P80)</f>
        <v>41</v>
      </c>
      <c r="Q82" s="139">
        <f t="shared" ref="Q82:AA82" si="106">MAX(Q50:Q80)</f>
        <v>0</v>
      </c>
      <c r="R82" s="139">
        <f t="shared" si="106"/>
        <v>88</v>
      </c>
      <c r="S82" s="139">
        <f t="shared" si="106"/>
        <v>58</v>
      </c>
      <c r="T82" s="139">
        <f t="shared" si="106"/>
        <v>104</v>
      </c>
      <c r="U82" s="139">
        <f t="shared" si="106"/>
        <v>75</v>
      </c>
      <c r="V82" s="139">
        <f t="shared" si="106"/>
        <v>45</v>
      </c>
      <c r="W82" s="139">
        <f t="shared" si="106"/>
        <v>155</v>
      </c>
      <c r="X82" s="139">
        <f t="shared" si="106"/>
        <v>55</v>
      </c>
      <c r="Y82" s="139">
        <f t="shared" si="106"/>
        <v>85.7</v>
      </c>
      <c r="Z82" s="139">
        <f t="shared" si="106"/>
        <v>95</v>
      </c>
      <c r="AA82" s="139">
        <f t="shared" si="106"/>
        <v>51</v>
      </c>
      <c r="AB82" s="129">
        <f>MAX(P82:AA82)</f>
        <v>155</v>
      </c>
      <c r="AC82" s="138" t="s">
        <v>29</v>
      </c>
      <c r="AD82" s="139">
        <f>MAX(AD50:AD80)</f>
        <v>30.8</v>
      </c>
      <c r="AE82" s="139">
        <f t="shared" ref="AE82:AO82" si="107">MAX(AE50:AE80)</f>
        <v>40.200000000000003</v>
      </c>
      <c r="AF82" s="139">
        <f t="shared" si="107"/>
        <v>64.099999999999994</v>
      </c>
      <c r="AG82" s="139">
        <f t="shared" si="107"/>
        <v>67.3</v>
      </c>
      <c r="AH82" s="139">
        <f t="shared" si="107"/>
        <v>77.400000000000006</v>
      </c>
      <c r="AI82" s="139">
        <f t="shared" si="107"/>
        <v>127.2</v>
      </c>
      <c r="AJ82" s="139">
        <f t="shared" si="107"/>
        <v>79.400000000000006</v>
      </c>
      <c r="AK82" s="139">
        <f t="shared" si="107"/>
        <v>150.4</v>
      </c>
      <c r="AL82" s="139">
        <f t="shared" si="107"/>
        <v>67.099999999999994</v>
      </c>
      <c r="AM82" s="139">
        <f t="shared" si="107"/>
        <v>86</v>
      </c>
      <c r="AN82" s="139">
        <f t="shared" si="107"/>
        <v>142.4</v>
      </c>
      <c r="AO82" s="139">
        <f t="shared" si="107"/>
        <v>45</v>
      </c>
      <c r="AQ82" s="138" t="s">
        <v>29</v>
      </c>
      <c r="AR82" s="139">
        <f>MAX(AR50:AR80)</f>
        <v>20.826796784558958</v>
      </c>
      <c r="AS82" s="139">
        <f t="shared" ref="AS82:BC82" si="108">MAX(AS50:AS80)</f>
        <v>27.183026972054225</v>
      </c>
      <c r="AT82" s="139">
        <f t="shared" si="108"/>
        <v>48.201159809150802</v>
      </c>
      <c r="AU82" s="139">
        <f t="shared" si="108"/>
        <v>45.507903363662912</v>
      </c>
      <c r="AV82" s="139">
        <f t="shared" si="108"/>
        <v>52.337469841716342</v>
      </c>
      <c r="AW82" s="139">
        <f t="shared" si="108"/>
        <v>86.011965941425302</v>
      </c>
      <c r="AX82" s="139">
        <f t="shared" si="108"/>
        <v>60.489770526566339</v>
      </c>
      <c r="AY82" s="139">
        <f t="shared" si="108"/>
        <v>101.69968299992425</v>
      </c>
      <c r="AZ82" s="139">
        <f t="shared" si="108"/>
        <v>50.229743911542904</v>
      </c>
      <c r="BA82" s="139">
        <f t="shared" si="108"/>
        <v>59.67462917482608</v>
      </c>
      <c r="BB82" s="139">
        <f t="shared" si="108"/>
        <v>96.29012539354531</v>
      </c>
      <c r="BC82" s="139">
        <f t="shared" si="108"/>
        <v>30.428761535881591</v>
      </c>
      <c r="BE82" s="138" t="s">
        <v>29</v>
      </c>
      <c r="BF82" s="139">
        <f>MAX(BF50:BF80)</f>
        <v>19.48596655746088</v>
      </c>
      <c r="BG82" s="139">
        <f t="shared" ref="BG82:BQ82" si="109">MAX(BG50:BG80)</f>
        <v>25.432982324997646</v>
      </c>
      <c r="BH82" s="139">
        <f t="shared" si="109"/>
        <v>46.063667466601594</v>
      </c>
      <c r="BI82" s="139">
        <f t="shared" si="109"/>
        <v>42.578102250555752</v>
      </c>
      <c r="BJ82" s="139">
        <f t="shared" si="109"/>
        <v>48.967980894398451</v>
      </c>
      <c r="BK82" s="139">
        <f t="shared" si="109"/>
        <v>80.474511237305975</v>
      </c>
      <c r="BL82" s="139">
        <f t="shared" si="109"/>
        <v>57.947417108951804</v>
      </c>
      <c r="BM82" s="139">
        <f t="shared" si="109"/>
        <v>95.152252280588186</v>
      </c>
      <c r="BN82" s="139">
        <f t="shared" si="109"/>
        <v>47.961651222198427</v>
      </c>
      <c r="BO82" s="139">
        <f t="shared" si="109"/>
        <v>56.135359776674342</v>
      </c>
      <c r="BP82" s="139">
        <f t="shared" si="109"/>
        <v>90.090962265663308</v>
      </c>
      <c r="BQ82" s="139">
        <f t="shared" si="109"/>
        <v>28.469756333952585</v>
      </c>
      <c r="BR82" s="129">
        <f>MAX(BF82:BQ82)</f>
        <v>95.152252280588186</v>
      </c>
    </row>
    <row r="83" spans="1:70">
      <c r="A83" s="130" t="s">
        <v>30</v>
      </c>
      <c r="B83" s="131">
        <f>SUM(B50:B64)</f>
        <v>73.934290323106254</v>
      </c>
      <c r="C83" s="131">
        <f t="shared" ref="C83:M83" si="110">SUM(C50:C64)</f>
        <v>2.1684193374936855</v>
      </c>
      <c r="D83" s="131">
        <f t="shared" si="110"/>
        <v>59.794274355172469</v>
      </c>
      <c r="E83" s="131">
        <f t="shared" si="110"/>
        <v>113.62554869405112</v>
      </c>
      <c r="F83" s="131">
        <f t="shared" si="110"/>
        <v>85.866661235396691</v>
      </c>
      <c r="G83" s="131">
        <f t="shared" si="110"/>
        <v>205.8009515585029</v>
      </c>
      <c r="H83" s="131">
        <f t="shared" si="110"/>
        <v>99.496967721962434</v>
      </c>
      <c r="I83" s="131">
        <f t="shared" si="110"/>
        <v>183.10685480585926</v>
      </c>
      <c r="J83" s="131">
        <f t="shared" si="110"/>
        <v>44.316419272318441</v>
      </c>
      <c r="K83" s="131">
        <f t="shared" si="110"/>
        <v>130.46924217489774</v>
      </c>
      <c r="L83" s="131">
        <f t="shared" si="110"/>
        <v>285.52837078194</v>
      </c>
      <c r="M83" s="131">
        <f t="shared" si="110"/>
        <v>59.667790396428401</v>
      </c>
      <c r="O83" s="130" t="s">
        <v>30</v>
      </c>
      <c r="P83" s="131">
        <f>SUM(P50:P64)</f>
        <v>74</v>
      </c>
      <c r="Q83" s="131">
        <f t="shared" ref="Q83:AA83" si="111">SUM(Q50:Q64)</f>
        <v>0</v>
      </c>
      <c r="R83" s="131">
        <f t="shared" si="111"/>
        <v>80</v>
      </c>
      <c r="S83" s="131">
        <f t="shared" si="111"/>
        <v>152</v>
      </c>
      <c r="T83" s="131">
        <f t="shared" si="111"/>
        <v>79</v>
      </c>
      <c r="U83" s="131">
        <f t="shared" si="111"/>
        <v>199</v>
      </c>
      <c r="V83" s="131">
        <f t="shared" si="111"/>
        <v>97</v>
      </c>
      <c r="W83" s="131">
        <f t="shared" si="111"/>
        <v>179</v>
      </c>
      <c r="X83" s="131">
        <f t="shared" si="111"/>
        <v>34</v>
      </c>
      <c r="Y83" s="131">
        <f t="shared" si="111"/>
        <v>160.4</v>
      </c>
      <c r="Z83" s="131">
        <f t="shared" si="111"/>
        <v>262.3</v>
      </c>
      <c r="AA83" s="131">
        <f t="shared" si="111"/>
        <v>68.900000000000006</v>
      </c>
      <c r="AC83" s="130" t="s">
        <v>30</v>
      </c>
      <c r="AD83" s="131">
        <f>SUM(AD50:AD64)</f>
        <v>73.800000000000011</v>
      </c>
      <c r="AE83" s="131">
        <f t="shared" ref="AE83:AO83" si="112">SUM(AE50:AE64)</f>
        <v>6.6</v>
      </c>
      <c r="AF83" s="131">
        <f t="shared" si="112"/>
        <v>18.5</v>
      </c>
      <c r="AG83" s="131">
        <f t="shared" si="112"/>
        <v>35.199999999999996</v>
      </c>
      <c r="AH83" s="131">
        <f t="shared" si="112"/>
        <v>99.90000000000002</v>
      </c>
      <c r="AI83" s="131">
        <f t="shared" si="112"/>
        <v>219.7</v>
      </c>
      <c r="AJ83" s="131">
        <f t="shared" si="112"/>
        <v>104.60000000000001</v>
      </c>
      <c r="AK83" s="131">
        <f t="shared" si="112"/>
        <v>191.49999999999997</v>
      </c>
      <c r="AL83" s="131">
        <f t="shared" si="112"/>
        <v>65.400000000000006</v>
      </c>
      <c r="AM83" s="131">
        <f t="shared" si="112"/>
        <v>69.3</v>
      </c>
      <c r="AN83" s="131">
        <f t="shared" si="112"/>
        <v>333</v>
      </c>
      <c r="AO83" s="131">
        <f t="shared" si="112"/>
        <v>40.799999999999997</v>
      </c>
      <c r="AQ83" s="130" t="s">
        <v>30</v>
      </c>
      <c r="AR83" s="131">
        <f>SUM(AR50:AR64)</f>
        <v>73.864761059840518</v>
      </c>
      <c r="AS83" s="131">
        <f t="shared" ref="AS83:BC83" si="113">SUM(AS50:AS64)</f>
        <v>4.4628850252626338</v>
      </c>
      <c r="AT83" s="131">
        <f t="shared" si="113"/>
        <v>38.414025900961818</v>
      </c>
      <c r="AU83" s="131">
        <f t="shared" si="113"/>
        <v>73.020458946867308</v>
      </c>
      <c r="AV83" s="131">
        <f t="shared" si="113"/>
        <v>93.132469246664996</v>
      </c>
      <c r="AW83" s="131">
        <f t="shared" si="113"/>
        <v>212.99723030650551</v>
      </c>
      <c r="AX83" s="131">
        <f t="shared" si="113"/>
        <v>102.13907972606</v>
      </c>
      <c r="AY83" s="131">
        <f t="shared" si="113"/>
        <v>187.45243375996711</v>
      </c>
      <c r="AZ83" s="131">
        <f t="shared" si="113"/>
        <v>55.232513605037376</v>
      </c>
      <c r="BA83" s="131">
        <f t="shared" si="113"/>
        <v>98.798662757359693</v>
      </c>
      <c r="BB83" s="131">
        <f t="shared" si="113"/>
        <v>310.10696534637401</v>
      </c>
      <c r="BC83" s="131">
        <f t="shared" si="113"/>
        <v>49.898928907593941</v>
      </c>
      <c r="BE83" s="130" t="s">
        <v>30</v>
      </c>
      <c r="BF83" s="131">
        <f>SUM(BF50:BF64)</f>
        <v>73.873467749626883</v>
      </c>
      <c r="BG83" s="131">
        <f t="shared" ref="BG83:BQ83" si="114">SUM(BG50:BG64)</f>
        <v>4.1755642623130456</v>
      </c>
      <c r="BH83" s="131">
        <f t="shared" si="114"/>
        <v>41.091333010264798</v>
      </c>
      <c r="BI83" s="131">
        <f t="shared" si="114"/>
        <v>78.105165782096392</v>
      </c>
      <c r="BJ83" s="131">
        <f t="shared" si="114"/>
        <v>92.222620163991323</v>
      </c>
      <c r="BK83" s="131">
        <f t="shared" si="114"/>
        <v>212.09608791361816</v>
      </c>
      <c r="BL83" s="131">
        <f t="shared" si="114"/>
        <v>101.80822551417866</v>
      </c>
      <c r="BM83" s="131">
        <f t="shared" si="114"/>
        <v>186.90826564832014</v>
      </c>
      <c r="BN83" s="131">
        <f t="shared" si="114"/>
        <v>53.865563308580249</v>
      </c>
      <c r="BO83" s="131">
        <f t="shared" si="114"/>
        <v>102.76455995504266</v>
      </c>
      <c r="BP83" s="131">
        <f t="shared" si="114"/>
        <v>307.02915050689882</v>
      </c>
      <c r="BQ83" s="131">
        <f t="shared" si="114"/>
        <v>51.122218822576272</v>
      </c>
    </row>
    <row r="84" spans="1:70">
      <c r="A84" s="140" t="s">
        <v>31</v>
      </c>
      <c r="B84" s="141">
        <f>SUM(B65:B80)</f>
        <v>0</v>
      </c>
      <c r="C84" s="141">
        <f t="shared" ref="C84:M84" si="115">SUM(C65:C80)</f>
        <v>13.207645055643361</v>
      </c>
      <c r="D84" s="141">
        <f t="shared" si="115"/>
        <v>211.56075798804034</v>
      </c>
      <c r="E84" s="141">
        <f t="shared" si="115"/>
        <v>85.24303195216136</v>
      </c>
      <c r="F84" s="141">
        <f t="shared" si="115"/>
        <v>170.0985645153406</v>
      </c>
      <c r="G84" s="141">
        <f t="shared" si="115"/>
        <v>38.831580662506305</v>
      </c>
      <c r="H84" s="141">
        <f t="shared" si="115"/>
        <v>0</v>
      </c>
      <c r="I84" s="141">
        <f t="shared" si="115"/>
        <v>284.54195167255961</v>
      </c>
      <c r="J84" s="141">
        <f t="shared" si="115"/>
        <v>142.50303227803755</v>
      </c>
      <c r="K84" s="141">
        <f t="shared" si="115"/>
        <v>225.97943558242224</v>
      </c>
      <c r="L84" s="141">
        <f t="shared" si="115"/>
        <v>116.71193521581152</v>
      </c>
      <c r="M84" s="141">
        <f t="shared" si="115"/>
        <v>186.09761295683765</v>
      </c>
      <c r="O84" s="140" t="s">
        <v>31</v>
      </c>
      <c r="P84" s="141">
        <f>SUM(P65:P80)</f>
        <v>0</v>
      </c>
      <c r="Q84" s="141">
        <f t="shared" ref="Q84:AA84" si="116">SUM(Q65:Q80)</f>
        <v>0</v>
      </c>
      <c r="R84" s="141">
        <f t="shared" si="116"/>
        <v>202</v>
      </c>
      <c r="S84" s="141">
        <f t="shared" si="116"/>
        <v>47</v>
      </c>
      <c r="T84" s="141">
        <f t="shared" si="116"/>
        <v>170</v>
      </c>
      <c r="U84" s="141">
        <f t="shared" si="116"/>
        <v>41</v>
      </c>
      <c r="V84" s="141">
        <f t="shared" si="116"/>
        <v>0</v>
      </c>
      <c r="W84" s="141">
        <f t="shared" si="116"/>
        <v>292</v>
      </c>
      <c r="X84" s="141">
        <f t="shared" si="116"/>
        <v>145</v>
      </c>
      <c r="Y84" s="141">
        <f t="shared" si="116"/>
        <v>238.3</v>
      </c>
      <c r="Z84" s="141">
        <f t="shared" si="116"/>
        <v>83.2</v>
      </c>
      <c r="AA84" s="141">
        <f t="shared" si="116"/>
        <v>192.8</v>
      </c>
      <c r="AC84" s="140" t="s">
        <v>31</v>
      </c>
      <c r="AD84" s="141">
        <f>SUM(AD65:AD80)</f>
        <v>0</v>
      </c>
      <c r="AE84" s="141">
        <f t="shared" ref="AE84:AO84" si="117">SUM(AE65:AE80)</f>
        <v>40.200000000000003</v>
      </c>
      <c r="AF84" s="141">
        <f t="shared" si="117"/>
        <v>231.1</v>
      </c>
      <c r="AG84" s="141">
        <f t="shared" si="117"/>
        <v>163.39999999999998</v>
      </c>
      <c r="AH84" s="141">
        <f t="shared" si="117"/>
        <v>170.3</v>
      </c>
      <c r="AI84" s="141">
        <f t="shared" si="117"/>
        <v>34.4</v>
      </c>
      <c r="AJ84" s="141">
        <f t="shared" si="117"/>
        <v>0</v>
      </c>
      <c r="AK84" s="141">
        <f t="shared" si="117"/>
        <v>269.29999999999995</v>
      </c>
      <c r="AL84" s="141">
        <f t="shared" si="117"/>
        <v>137.4</v>
      </c>
      <c r="AM84" s="141">
        <f t="shared" si="117"/>
        <v>200.8</v>
      </c>
      <c r="AN84" s="141">
        <f t="shared" si="117"/>
        <v>185.2</v>
      </c>
      <c r="AO84" s="141">
        <f t="shared" si="117"/>
        <v>172.39999999999998</v>
      </c>
      <c r="AQ84" s="140" t="s">
        <v>31</v>
      </c>
      <c r="AR84" s="141">
        <f>SUM(AR65:AR80)</f>
        <v>0</v>
      </c>
      <c r="AS84" s="141">
        <f t="shared" ref="AS84:BC84" si="118">SUM(AS65:AS80)</f>
        <v>27.183026972054225</v>
      </c>
      <c r="AT84" s="141">
        <f t="shared" si="118"/>
        <v>221.67726579320339</v>
      </c>
      <c r="AU84" s="141">
        <f t="shared" si="118"/>
        <v>125.70906317281373</v>
      </c>
      <c r="AV84" s="141">
        <f t="shared" si="118"/>
        <v>170.20285841023926</v>
      </c>
      <c r="AW84" s="141">
        <f t="shared" si="118"/>
        <v>36.537114974737371</v>
      </c>
      <c r="AX84" s="141">
        <f t="shared" si="118"/>
        <v>0</v>
      </c>
      <c r="AY84" s="141">
        <f t="shared" si="118"/>
        <v>276.65038029189969</v>
      </c>
      <c r="AZ84" s="141">
        <f t="shared" si="118"/>
        <v>139.86092027394</v>
      </c>
      <c r="BA84" s="141">
        <f t="shared" si="118"/>
        <v>212.94269872009866</v>
      </c>
      <c r="BB84" s="141">
        <f t="shared" si="118"/>
        <v>152.17185948133161</v>
      </c>
      <c r="BC84" s="141">
        <f t="shared" si="118"/>
        <v>179.00562810373367</v>
      </c>
      <c r="BE84" s="140" t="s">
        <v>31</v>
      </c>
      <c r="BF84" s="141">
        <f>SUM(BF65:BF80)</f>
        <v>0</v>
      </c>
      <c r="BG84" s="141">
        <f t="shared" ref="BG84:BQ84" si="119">SUM(BG65:BG80)</f>
        <v>25.432982324997646</v>
      </c>
      <c r="BH84" s="141">
        <f t="shared" si="119"/>
        <v>220.41044242928936</v>
      </c>
      <c r="BI84" s="141">
        <f t="shared" si="119"/>
        <v>120.64176971715736</v>
      </c>
      <c r="BJ84" s="141">
        <f t="shared" si="119"/>
        <v>170.18979837555972</v>
      </c>
      <c r="BK84" s="141">
        <f t="shared" si="119"/>
        <v>36.824435737686954</v>
      </c>
      <c r="BL84" s="141">
        <f t="shared" si="119"/>
        <v>0</v>
      </c>
      <c r="BM84" s="141">
        <f t="shared" si="119"/>
        <v>277.63858958265064</v>
      </c>
      <c r="BN84" s="141">
        <f t="shared" si="119"/>
        <v>140.19177448582136</v>
      </c>
      <c r="BO84" s="141">
        <f t="shared" si="119"/>
        <v>214.57520305503954</v>
      </c>
      <c r="BP84" s="141">
        <f t="shared" si="119"/>
        <v>147.7314476902925</v>
      </c>
      <c r="BQ84" s="141">
        <f t="shared" si="119"/>
        <v>179.89371046194151</v>
      </c>
    </row>
    <row r="85" spans="1:70" ht="15.75" thickBot="1">
      <c r="A85" s="133" t="s">
        <v>32</v>
      </c>
      <c r="B85" s="134">
        <f>COUNTIF(B52:B82,"&gt;0")</f>
        <v>12</v>
      </c>
      <c r="C85" s="134">
        <f t="shared" ref="C85:M85" si="120">COUNTIF(C52:C82,"&gt;0")</f>
        <v>4</v>
      </c>
      <c r="D85" s="134">
        <f t="shared" si="120"/>
        <v>19</v>
      </c>
      <c r="E85" s="134">
        <f t="shared" si="120"/>
        <v>22</v>
      </c>
      <c r="F85" s="134">
        <f t="shared" si="120"/>
        <v>24</v>
      </c>
      <c r="G85" s="134">
        <f t="shared" si="120"/>
        <v>16</v>
      </c>
      <c r="H85" s="134">
        <f t="shared" si="120"/>
        <v>10</v>
      </c>
      <c r="I85" s="134">
        <f t="shared" si="120"/>
        <v>27</v>
      </c>
      <c r="J85" s="134">
        <f t="shared" si="120"/>
        <v>16</v>
      </c>
      <c r="K85" s="134">
        <f t="shared" si="120"/>
        <v>24</v>
      </c>
      <c r="L85" s="134">
        <f t="shared" si="120"/>
        <v>30</v>
      </c>
      <c r="M85" s="134">
        <f t="shared" si="120"/>
        <v>21</v>
      </c>
      <c r="O85" s="133" t="s">
        <v>32</v>
      </c>
      <c r="P85" s="134">
        <f>COUNTIF(P50:P80,"&gt;0")</f>
        <v>6</v>
      </c>
      <c r="Q85" s="134">
        <f t="shared" ref="Q85:AA85" si="121">COUNTIF(Q50:Q80,"&gt;0")</f>
        <v>0</v>
      </c>
      <c r="R85" s="134">
        <f t="shared" si="121"/>
        <v>14</v>
      </c>
      <c r="S85" s="134">
        <f t="shared" si="121"/>
        <v>12</v>
      </c>
      <c r="T85" s="134">
        <f t="shared" si="121"/>
        <v>11</v>
      </c>
      <c r="U85" s="134">
        <f t="shared" si="121"/>
        <v>7</v>
      </c>
      <c r="V85" s="134">
        <f t="shared" si="121"/>
        <v>7</v>
      </c>
      <c r="W85" s="134">
        <f t="shared" si="121"/>
        <v>19</v>
      </c>
      <c r="X85" s="134">
        <f t="shared" si="121"/>
        <v>10</v>
      </c>
      <c r="Y85" s="134">
        <f t="shared" si="121"/>
        <v>16</v>
      </c>
      <c r="Z85" s="134">
        <f t="shared" si="121"/>
        <v>17</v>
      </c>
      <c r="AA85" s="134">
        <f t="shared" si="121"/>
        <v>13</v>
      </c>
      <c r="AC85" s="133" t="s">
        <v>32</v>
      </c>
      <c r="AD85" s="134">
        <f>COUNTIF(AD50:AD80,"&gt;0")</f>
        <v>9</v>
      </c>
      <c r="AE85" s="134">
        <f t="shared" ref="AE85:AO85" si="122">COUNTIF(AE50:AE80,"&gt;0")</f>
        <v>2</v>
      </c>
      <c r="AF85" s="134">
        <f t="shared" si="122"/>
        <v>16</v>
      </c>
      <c r="AG85" s="134">
        <f t="shared" si="122"/>
        <v>16</v>
      </c>
      <c r="AH85" s="134">
        <f t="shared" si="122"/>
        <v>16</v>
      </c>
      <c r="AI85" s="134">
        <f t="shared" si="122"/>
        <v>11</v>
      </c>
      <c r="AJ85" s="134">
        <f t="shared" si="122"/>
        <v>7</v>
      </c>
      <c r="AK85" s="134">
        <f t="shared" si="122"/>
        <v>21</v>
      </c>
      <c r="AL85" s="134">
        <f t="shared" si="122"/>
        <v>10</v>
      </c>
      <c r="AM85" s="134">
        <f t="shared" si="122"/>
        <v>18</v>
      </c>
      <c r="AN85" s="134">
        <f t="shared" si="122"/>
        <v>23</v>
      </c>
      <c r="AO85" s="134">
        <f t="shared" si="122"/>
        <v>19</v>
      </c>
      <c r="AQ85" s="133" t="s">
        <v>32</v>
      </c>
      <c r="AR85" s="134">
        <f>COUNTIF(AR50:AR80,"&gt;0")</f>
        <v>12</v>
      </c>
      <c r="AS85" s="134">
        <f t="shared" ref="AS85:BC85" si="123">COUNTIF(AS50:AS80,"&gt;0")</f>
        <v>2</v>
      </c>
      <c r="AT85" s="134">
        <f t="shared" si="123"/>
        <v>18</v>
      </c>
      <c r="AU85" s="134">
        <f t="shared" si="123"/>
        <v>22</v>
      </c>
      <c r="AV85" s="134">
        <f t="shared" si="123"/>
        <v>23</v>
      </c>
      <c r="AW85" s="134">
        <f t="shared" si="123"/>
        <v>16</v>
      </c>
      <c r="AX85" s="134">
        <f t="shared" si="123"/>
        <v>9</v>
      </c>
      <c r="AY85" s="134">
        <f t="shared" si="123"/>
        <v>26</v>
      </c>
      <c r="AZ85" s="134">
        <f t="shared" si="123"/>
        <v>15</v>
      </c>
      <c r="BA85" s="134">
        <f t="shared" si="123"/>
        <v>24</v>
      </c>
      <c r="BB85" s="134">
        <f t="shared" si="123"/>
        <v>29</v>
      </c>
      <c r="BC85" s="134">
        <f t="shared" si="123"/>
        <v>21</v>
      </c>
      <c r="BE85" s="133" t="s">
        <v>32</v>
      </c>
      <c r="BF85" s="134">
        <f>COUNTIF(BF50:BF80,"&gt;0")</f>
        <v>12</v>
      </c>
      <c r="BG85" s="134">
        <f t="shared" ref="BG85:BQ85" si="124">COUNTIF(BG50:BG80,"&gt;0")</f>
        <v>2</v>
      </c>
      <c r="BH85" s="134">
        <f t="shared" si="124"/>
        <v>18</v>
      </c>
      <c r="BI85" s="134">
        <f t="shared" si="124"/>
        <v>22</v>
      </c>
      <c r="BJ85" s="134">
        <f t="shared" si="124"/>
        <v>23</v>
      </c>
      <c r="BK85" s="134">
        <f t="shared" si="124"/>
        <v>16</v>
      </c>
      <c r="BL85" s="134">
        <f t="shared" si="124"/>
        <v>9</v>
      </c>
      <c r="BM85" s="134">
        <f t="shared" si="124"/>
        <v>26</v>
      </c>
      <c r="BN85" s="134">
        <f t="shared" si="124"/>
        <v>15</v>
      </c>
      <c r="BO85" s="134">
        <f t="shared" si="124"/>
        <v>24</v>
      </c>
      <c r="BP85" s="134">
        <f t="shared" si="124"/>
        <v>29</v>
      </c>
      <c r="BQ85" s="134">
        <f t="shared" si="124"/>
        <v>21</v>
      </c>
    </row>
    <row r="86" spans="1:70" ht="15.75" thickBot="1"/>
    <row r="87" spans="1:70" s="142" customFormat="1">
      <c r="A87" s="147" t="s">
        <v>34</v>
      </c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9"/>
      <c r="N87" s="129"/>
      <c r="O87" s="147" t="s">
        <v>34</v>
      </c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  <c r="AA87" s="149"/>
      <c r="AB87" s="129"/>
      <c r="AC87" s="147" t="s">
        <v>34</v>
      </c>
      <c r="AD87" s="148"/>
      <c r="AE87" s="148"/>
      <c r="AF87" s="148"/>
      <c r="AG87" s="148"/>
      <c r="AH87" s="148"/>
      <c r="AI87" s="148"/>
      <c r="AJ87" s="148"/>
      <c r="AK87" s="148"/>
      <c r="AL87" s="148"/>
      <c r="AM87" s="148"/>
      <c r="AN87" s="148"/>
      <c r="AO87" s="149"/>
      <c r="AP87" s="129"/>
      <c r="AQ87" s="147" t="s">
        <v>34</v>
      </c>
      <c r="AR87" s="148"/>
      <c r="AS87" s="148"/>
      <c r="AT87" s="148"/>
      <c r="AU87" s="148"/>
      <c r="AV87" s="148"/>
      <c r="AW87" s="148"/>
      <c r="AX87" s="148"/>
      <c r="AY87" s="148"/>
      <c r="AZ87" s="148"/>
      <c r="BA87" s="148"/>
      <c r="BB87" s="148"/>
      <c r="BC87" s="149"/>
      <c r="BD87" s="129"/>
      <c r="BE87" s="147" t="s">
        <v>34</v>
      </c>
      <c r="BF87" s="148"/>
      <c r="BG87" s="148"/>
      <c r="BH87" s="148"/>
      <c r="BI87" s="148"/>
      <c r="BJ87" s="148"/>
      <c r="BK87" s="148"/>
      <c r="BL87" s="148"/>
      <c r="BM87" s="148"/>
      <c r="BN87" s="148"/>
      <c r="BO87" s="148"/>
      <c r="BP87" s="148"/>
      <c r="BQ87" s="149"/>
      <c r="BR87" s="129"/>
    </row>
    <row r="88" spans="1:70">
      <c r="A88" s="144"/>
      <c r="B88" s="145" t="s">
        <v>15</v>
      </c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6"/>
      <c r="O88" s="144"/>
      <c r="P88" s="145" t="s">
        <v>15</v>
      </c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6"/>
      <c r="AC88" s="144"/>
      <c r="AD88" s="145" t="s">
        <v>15</v>
      </c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6"/>
      <c r="AQ88" s="144"/>
      <c r="AR88" s="145" t="s">
        <v>15</v>
      </c>
      <c r="AS88" s="145"/>
      <c r="AT88" s="145"/>
      <c r="AU88" s="145"/>
      <c r="AV88" s="145"/>
      <c r="AW88" s="145"/>
      <c r="AX88" s="145"/>
      <c r="AY88" s="145"/>
      <c r="AZ88" s="145"/>
      <c r="BA88" s="145"/>
      <c r="BB88" s="145"/>
      <c r="BC88" s="146"/>
      <c r="BE88" s="144"/>
      <c r="BF88" s="145" t="s">
        <v>15</v>
      </c>
      <c r="BG88" s="145"/>
      <c r="BH88" s="145"/>
      <c r="BI88" s="145"/>
      <c r="BJ88" s="145"/>
      <c r="BK88" s="145"/>
      <c r="BL88" s="145"/>
      <c r="BM88" s="145"/>
      <c r="BN88" s="145"/>
      <c r="BO88" s="145"/>
      <c r="BP88" s="145"/>
      <c r="BQ88" s="146"/>
    </row>
    <row r="89" spans="1:70">
      <c r="A89" s="144"/>
      <c r="B89" s="131" t="s">
        <v>16</v>
      </c>
      <c r="C89" s="131" t="s">
        <v>17</v>
      </c>
      <c r="D89" s="131" t="s">
        <v>18</v>
      </c>
      <c r="E89" s="131" t="s">
        <v>19</v>
      </c>
      <c r="F89" s="131" t="s">
        <v>20</v>
      </c>
      <c r="G89" s="131" t="s">
        <v>21</v>
      </c>
      <c r="H89" s="131" t="s">
        <v>22</v>
      </c>
      <c r="I89" s="131" t="s">
        <v>23</v>
      </c>
      <c r="J89" s="131" t="s">
        <v>24</v>
      </c>
      <c r="K89" s="131" t="s">
        <v>25</v>
      </c>
      <c r="L89" s="131" t="s">
        <v>26</v>
      </c>
      <c r="M89" s="132" t="s">
        <v>27</v>
      </c>
      <c r="O89" s="144"/>
      <c r="P89" s="131" t="s">
        <v>16</v>
      </c>
      <c r="Q89" s="131" t="s">
        <v>17</v>
      </c>
      <c r="R89" s="131" t="s">
        <v>18</v>
      </c>
      <c r="S89" s="131" t="s">
        <v>19</v>
      </c>
      <c r="T89" s="131" t="s">
        <v>20</v>
      </c>
      <c r="U89" s="131" t="s">
        <v>21</v>
      </c>
      <c r="V89" s="131" t="s">
        <v>22</v>
      </c>
      <c r="W89" s="131" t="s">
        <v>23</v>
      </c>
      <c r="X89" s="131" t="s">
        <v>24</v>
      </c>
      <c r="Y89" s="131" t="s">
        <v>25</v>
      </c>
      <c r="Z89" s="131" t="s">
        <v>26</v>
      </c>
      <c r="AA89" s="132" t="s">
        <v>27</v>
      </c>
      <c r="AC89" s="144"/>
      <c r="AD89" s="131" t="s">
        <v>16</v>
      </c>
      <c r="AE89" s="131" t="s">
        <v>17</v>
      </c>
      <c r="AF89" s="131" t="s">
        <v>18</v>
      </c>
      <c r="AG89" s="131" t="s">
        <v>19</v>
      </c>
      <c r="AH89" s="131" t="s">
        <v>20</v>
      </c>
      <c r="AI89" s="131" t="s">
        <v>21</v>
      </c>
      <c r="AJ89" s="131" t="s">
        <v>22</v>
      </c>
      <c r="AK89" s="131" t="s">
        <v>23</v>
      </c>
      <c r="AL89" s="131" t="s">
        <v>24</v>
      </c>
      <c r="AM89" s="131" t="s">
        <v>25</v>
      </c>
      <c r="AN89" s="131" t="s">
        <v>26</v>
      </c>
      <c r="AO89" s="132" t="s">
        <v>27</v>
      </c>
      <c r="AQ89" s="144"/>
      <c r="AR89" s="131" t="s">
        <v>16</v>
      </c>
      <c r="AS89" s="131" t="s">
        <v>17</v>
      </c>
      <c r="AT89" s="131" t="s">
        <v>18</v>
      </c>
      <c r="AU89" s="131" t="s">
        <v>19</v>
      </c>
      <c r="AV89" s="131" t="s">
        <v>20</v>
      </c>
      <c r="AW89" s="131" t="s">
        <v>21</v>
      </c>
      <c r="AX89" s="131" t="s">
        <v>22</v>
      </c>
      <c r="AY89" s="131" t="s">
        <v>23</v>
      </c>
      <c r="AZ89" s="131" t="s">
        <v>24</v>
      </c>
      <c r="BA89" s="131" t="s">
        <v>25</v>
      </c>
      <c r="BB89" s="131" t="s">
        <v>26</v>
      </c>
      <c r="BC89" s="132" t="s">
        <v>27</v>
      </c>
      <c r="BE89" s="144"/>
      <c r="BF89" s="131" t="s">
        <v>16</v>
      </c>
      <c r="BG89" s="131" t="s">
        <v>17</v>
      </c>
      <c r="BH89" s="131" t="s">
        <v>18</v>
      </c>
      <c r="BI89" s="131" t="s">
        <v>19</v>
      </c>
      <c r="BJ89" s="131" t="s">
        <v>20</v>
      </c>
      <c r="BK89" s="131" t="s">
        <v>21</v>
      </c>
      <c r="BL89" s="131" t="s">
        <v>22</v>
      </c>
      <c r="BM89" s="131" t="s">
        <v>23</v>
      </c>
      <c r="BN89" s="131" t="s">
        <v>24</v>
      </c>
      <c r="BO89" s="131" t="s">
        <v>25</v>
      </c>
      <c r="BP89" s="131" t="s">
        <v>26</v>
      </c>
      <c r="BQ89" s="132" t="s">
        <v>27</v>
      </c>
    </row>
    <row r="90" spans="1:70">
      <c r="A90" s="130">
        <v>1</v>
      </c>
      <c r="B90" s="131">
        <f>((P90/($F$1^2))+(AD90/($F$2^2)))/((1/($F$1^2))+(1/($F$2^2)))</f>
        <v>14.385967770843855</v>
      </c>
      <c r="C90" s="131">
        <f t="shared" ref="C90:C120" si="125">((Q90/($F$1^2))+(AE90/($F$2^2)))/((1/($F$1^2))+(1/($F$2^2)))</f>
        <v>21.416903198474895</v>
      </c>
      <c r="D90" s="131">
        <f t="shared" ref="D90:D120" si="126">((R90/($F$1^2))+(AF90/($F$2^2)))/((1/($F$1^2))+(1/($F$2^2)))</f>
        <v>0.67145161553125965</v>
      </c>
      <c r="E90" s="131">
        <f t="shared" ref="E90:E120" si="127">((S90/($F$1^2))+(AG90/($F$2^2)))/((1/($F$1^2))+(1/($F$2^2)))</f>
        <v>0</v>
      </c>
      <c r="F90" s="131">
        <f t="shared" ref="F90:F120" si="128">((T90/($F$1^2))+(AH90/($F$2^2)))/((1/($F$1^2))+(1/($F$2^2)))</f>
        <v>2.0143548465937791</v>
      </c>
      <c r="G90" s="131">
        <f t="shared" ref="G90:G120" si="129">((U90/($F$1^2))+(AI90/($F$2^2)))/((1/($F$1^2))+(1/($F$2^2)))</f>
        <v>18.800645234875269</v>
      </c>
      <c r="H90" s="131">
        <f t="shared" ref="H90:H120" si="130">((V90/($F$1^2))+(AJ90/($F$2^2)))/((1/($F$1^2))+(1/($F$2^2)))</f>
        <v>0</v>
      </c>
      <c r="I90" s="131">
        <f t="shared" ref="I90:I120" si="131">((W90/($F$1^2))+(AK90/($F$2^2)))/((1/($F$1^2))+(1/($F$2^2)))</f>
        <v>2.0143548465937791</v>
      </c>
      <c r="J90" s="131">
        <f t="shared" ref="J90:J120" si="132">((X90/($F$1^2))+(AL90/($F$2^2)))/((1/($F$1^2))+(1/($F$2^2)))</f>
        <v>0</v>
      </c>
      <c r="K90" s="131">
        <f t="shared" ref="K90:K120" si="133">((Y90/($F$1^2))+(AM90/($F$2^2)))/((1/($F$1^2))+(1/($F$2^2)))</f>
        <v>0</v>
      </c>
      <c r="L90" s="131">
        <f t="shared" ref="L90:L120" si="134">((Z90/($F$1^2))+(AN90/($F$2^2)))/((1/($F$1^2))+(1/($F$2^2)))</f>
        <v>10.529822560409299</v>
      </c>
      <c r="M90" s="131">
        <f t="shared" ref="M90:M120" si="135">((AA90/($F$1^2))+(AO90/($F$2^2)))/((1/($F$1^2))+(1/($F$2^2)))</f>
        <v>18.800951558502923</v>
      </c>
      <c r="O90" s="130">
        <v>1</v>
      </c>
      <c r="P90" s="131">
        <f>'Stasiun Pontianak Kota'!Q140</f>
        <v>18</v>
      </c>
      <c r="Q90" s="131">
        <f>'Stasiun Pontianak Kota'!R140</f>
        <v>18</v>
      </c>
      <c r="R90" s="131">
        <f>'Stasiun Pontianak Kota'!S140</f>
        <v>1</v>
      </c>
      <c r="S90" s="131">
        <f>'Stasiun Pontianak Kota'!T140</f>
        <v>0</v>
      </c>
      <c r="T90" s="131">
        <f>'Stasiun Pontianak Kota'!U140</f>
        <v>3</v>
      </c>
      <c r="U90" s="131">
        <f>'Stasiun Pontianak Kota'!V140</f>
        <v>28</v>
      </c>
      <c r="V90" s="131">
        <f>'Stasiun Pontianak Kota'!W140</f>
        <v>0</v>
      </c>
      <c r="W90" s="131">
        <f>'Stasiun Pontianak Kota'!X140</f>
        <v>3</v>
      </c>
      <c r="X90" s="131">
        <f>'Stasiun Pontianak Kota'!Y140</f>
        <v>0</v>
      </c>
      <c r="Y90" s="131">
        <f>'Stasiun Pontianak Kota'!Z140</f>
        <v>0</v>
      </c>
      <c r="Z90" s="131">
        <f>'Stasiun Pontianak Kota'!AA140</f>
        <v>8</v>
      </c>
      <c r="AA90" s="131">
        <f>'Stasiun Pontianak Kota'!AB140</f>
        <v>12</v>
      </c>
      <c r="AC90" s="130">
        <v>1</v>
      </c>
      <c r="AD90" s="131">
        <f>'Sta. Meteorologi pnk'!B98</f>
        <v>7</v>
      </c>
      <c r="AE90" s="131">
        <f>'Sta. Meteorologi pnk'!C98</f>
        <v>28.4</v>
      </c>
      <c r="AF90" s="131">
        <f>'Sta. Meteorologi pnk'!D98</f>
        <v>0</v>
      </c>
      <c r="AG90" s="131">
        <f>'Sta. Meteorologi pnk'!E98</f>
        <v>0</v>
      </c>
      <c r="AH90" s="131">
        <f>'Sta. Meteorologi pnk'!F98</f>
        <v>0</v>
      </c>
      <c r="AI90" s="131">
        <f>'Sta. Meteorologi pnk'!G98</f>
        <v>0</v>
      </c>
      <c r="AJ90" s="131">
        <f>'Sta. Meteorologi pnk'!H98</f>
        <v>0</v>
      </c>
      <c r="AK90" s="131">
        <f>'Sta. Meteorologi pnk'!I98</f>
        <v>0</v>
      </c>
      <c r="AL90" s="131">
        <f>'Sta. Meteorologi pnk'!J98</f>
        <v>0</v>
      </c>
      <c r="AM90" s="131">
        <f>'Sta. Meteorologi pnk'!K98</f>
        <v>0</v>
      </c>
      <c r="AN90" s="131">
        <f>'Sta. Meteorologi pnk'!L98</f>
        <v>15.7</v>
      </c>
      <c r="AO90" s="131">
        <f>'Sta. Meteorologi pnk'!M98</f>
        <v>32.700000000000003</v>
      </c>
      <c r="AQ90" s="130">
        <v>1</v>
      </c>
      <c r="AR90" s="131">
        <f>((P90/($AV$1^2))+(AD90/($AV$2^2)))/((1/($AV$1^2))+(1/($AV$2^2)))</f>
        <v>10.561858291228942</v>
      </c>
      <c r="AS90" s="131">
        <f t="shared" ref="AS90:AS120" si="136">((Q90/($AV$1^2))+(AE90/($AV$2^2)))/((1/($AV$1^2))+(1/($AV$2^2)))</f>
        <v>25.032424888292631</v>
      </c>
      <c r="AT90" s="131">
        <f t="shared" ref="AT90:AT120" si="137">((R90/($AV$1^2))+(AF90/($AV$2^2)))/((1/($AV$1^2))+(1/($AV$2^2)))</f>
        <v>0.32380529920263124</v>
      </c>
      <c r="AU90" s="131">
        <f t="shared" ref="AU90:AU120" si="138">((S90/($AV$1^2))+(AG90/($AV$2^2)))/((1/($AV$1^2))+(1/($AV$2^2)))</f>
        <v>0</v>
      </c>
      <c r="AV90" s="131">
        <f t="shared" ref="AV90:AV120" si="139">((T90/($AV$1^2))+(AH90/($AV$2^2)))/((1/($AV$1^2))+(1/($AV$2^2)))</f>
        <v>0.97141589760789349</v>
      </c>
      <c r="AW90" s="131">
        <f t="shared" ref="AW90:AW120" si="140">((U90/($AV$1^2))+(AI90/($AV$2^2)))/((1/($AV$1^2))+(1/($AV$2^2)))</f>
        <v>9.0665483776736728</v>
      </c>
      <c r="AX90" s="131">
        <f t="shared" ref="AX90:AX120" si="141">((V90/($AV$1^2))+(AJ90/($AV$2^2)))/((1/($AV$1^2))+(1/($AV$2^2)))</f>
        <v>0</v>
      </c>
      <c r="AY90" s="131">
        <f t="shared" ref="AY90:AY120" si="142">((W90/($AV$1^2))+(AK90/($AV$2^2)))/((1/($AV$1^2))+(1/($AV$2^2)))</f>
        <v>0.97141589760789349</v>
      </c>
      <c r="AZ90" s="131">
        <f t="shared" ref="AZ90:AZ120" si="143">((X90/($AV$1^2))+(AL90/($AV$2^2)))/((1/($AV$1^2))+(1/($AV$2^2)))</f>
        <v>0</v>
      </c>
      <c r="BA90" s="131">
        <f t="shared" ref="BA90:BA120" si="144">((Y90/($AV$1^2))+(AM90/($AV$2^2)))/((1/($AV$1^2))+(1/($AV$2^2)))</f>
        <v>0</v>
      </c>
      <c r="BB90" s="131">
        <f t="shared" ref="BB90:BB120" si="145">((Z90/($AV$1^2))+(AN90/($AV$2^2)))/((1/($AV$1^2))+(1/($AV$2^2)))</f>
        <v>13.20669919613974</v>
      </c>
      <c r="BC90" s="131">
        <f t="shared" ref="BC90:BC120" si="146">((AA90/($AV$1^2))+(AO90/($AV$2^2)))/((1/($AV$1^2))+(1/($AV$2^2)))</f>
        <v>25.997230306505536</v>
      </c>
      <c r="BE90" s="130">
        <v>1</v>
      </c>
      <c r="BF90" s="131">
        <f>((B90/($BI$1^2))+(P90/($AV$1^2))+(AD90/($AV$2^2)))/((1/($BI$1^2))+(1/($AV$1^2))+(1/($AV$2^2)))</f>
        <v>11.040726229478256</v>
      </c>
      <c r="BG90" s="131">
        <f t="shared" ref="BG90:BG120" si="147">((C90/($BI$1^2))+(Q90/($AV$1^2))+(AE90/($AV$2^2)))/((1/($BI$1^2))+(1/($AV$1^2))+(1/($AV$2^2)))</f>
        <v>24.579677019402375</v>
      </c>
      <c r="BH90" s="131">
        <f t="shared" ref="BH90:BH120" si="148">((D90/($BI$1^2))+(R90/($AV$1^2))+(AF90/($AV$2^2)))/((1/($BI$1^2))+(1/($AV$1^2))+(1/($AV$2^2)))</f>
        <v>0.36733874813438699</v>
      </c>
      <c r="BI90" s="131">
        <f t="shared" ref="BI90:BI120" si="149">((E90/($BI$1^2))+(S90/($AV$1^2))+(AG90/($AV$2^2)))/((1/($BI$1^2))+(1/($AV$1^2))+(1/($AV$2^2)))</f>
        <v>0</v>
      </c>
      <c r="BJ90" s="131">
        <f t="shared" ref="BJ90:BJ120" si="150">((F90/($BI$1^2))+(T90/($AV$1^2))+(AH90/($AV$2^2)))/((1/($BI$1^2))+(1/($AV$1^2))+(1/($AV$2^2)))</f>
        <v>1.1020162444031609</v>
      </c>
      <c r="BK90" s="131">
        <f t="shared" ref="BK90:BK120" si="151">((G90/($BI$1^2))+(U90/($AV$1^2))+(AI90/($AV$2^2)))/((1/($BI$1^2))+(1/($AV$1^2))+(1/($AV$2^2)))</f>
        <v>10.285484947762836</v>
      </c>
      <c r="BL90" s="131">
        <f t="shared" ref="BL90:BL120" si="152">((H90/($BI$1^2))+(V90/($AV$1^2))+(AJ90/($AV$2^2)))/((1/($BI$1^2))+(1/($AV$1^2))+(1/($AV$2^2)))</f>
        <v>0</v>
      </c>
      <c r="BM90" s="131">
        <f t="shared" ref="BM90:BM120" si="153">((I90/($BI$1^2))+(W90/($AV$1^2))+(AK90/($AV$2^2)))/((1/($BI$1^2))+(1/($AV$1^2))+(1/($AV$2^2)))</f>
        <v>1.1020162444031609</v>
      </c>
      <c r="BN90" s="131">
        <f t="shared" ref="BN90:BN120" si="154">((J90/($BI$1^2))+(X90/($AV$1^2))+(AL90/($AV$2^2)))/((1/($BI$1^2))+(1/($AV$1^2))+(1/($AV$2^2)))</f>
        <v>0</v>
      </c>
      <c r="BO90" s="131">
        <f t="shared" ref="BO90:BO120" si="155">((K90/($BI$1^2))+(Y90/($AV$1^2))+(AM90/($AV$2^2)))/((1/($BI$1^2))+(1/($AV$1^2))+(1/($AV$2^2)))</f>
        <v>0</v>
      </c>
      <c r="BP90" s="131">
        <f t="shared" ref="BP90:BP120" si="156">((L90/($BI$1^2))+(Z90/($AV$1^2))+(AN90/($AV$2^2)))/((1/($BI$1^2))+(1/($AV$1^2))+(1/($AV$2^2)))</f>
        <v>12.871491639365219</v>
      </c>
      <c r="BQ90" s="131">
        <f t="shared" ref="BQ90:BQ120" si="157">((M90/($BI$1^2))+(AA90/($AV$1^2))+(AO90/($AV$2^2)))/((1/($BI$1^2))+(1/($AV$1^2))+(1/($AV$2^2)))</f>
        <v>25.096087913618188</v>
      </c>
    </row>
    <row r="91" spans="1:70">
      <c r="A91" s="130">
        <v>2</v>
      </c>
      <c r="B91" s="131">
        <f t="shared" ref="B91:B120" si="158">((P91/($F$1^2))+(AD91/($F$2^2)))/((1/($F$1^2))+(1/($F$2^2)))</f>
        <v>1.0513548302999689</v>
      </c>
      <c r="C91" s="131">
        <f t="shared" si="125"/>
        <v>0.13141935378749611</v>
      </c>
      <c r="D91" s="131">
        <f t="shared" si="126"/>
        <v>1.3429032310625193</v>
      </c>
      <c r="E91" s="131">
        <f t="shared" si="127"/>
        <v>19.47209685040653</v>
      </c>
      <c r="F91" s="131">
        <f t="shared" si="128"/>
        <v>12.086129079562673</v>
      </c>
      <c r="G91" s="131">
        <f t="shared" si="129"/>
        <v>0</v>
      </c>
      <c r="H91" s="131">
        <f t="shared" si="130"/>
        <v>0</v>
      </c>
      <c r="I91" s="131">
        <f t="shared" si="131"/>
        <v>0</v>
      </c>
      <c r="J91" s="131">
        <f t="shared" si="132"/>
        <v>0</v>
      </c>
      <c r="K91" s="131">
        <f t="shared" si="133"/>
        <v>0</v>
      </c>
      <c r="L91" s="131">
        <f t="shared" si="134"/>
        <v>17.384048360028022</v>
      </c>
      <c r="M91" s="131">
        <f t="shared" si="135"/>
        <v>0.16427419223437012</v>
      </c>
      <c r="O91" s="130">
        <v>2</v>
      </c>
      <c r="P91" s="131">
        <f>'Stasiun Pontianak Kota'!Q141</f>
        <v>0</v>
      </c>
      <c r="Q91" s="131">
        <f>'Stasiun Pontianak Kota'!R141</f>
        <v>0</v>
      </c>
      <c r="R91" s="131">
        <f>'Stasiun Pontianak Kota'!S141</f>
        <v>2</v>
      </c>
      <c r="S91" s="131">
        <f>'Stasiun Pontianak Kota'!T141</f>
        <v>29</v>
      </c>
      <c r="T91" s="131">
        <f>'Stasiun Pontianak Kota'!U141</f>
        <v>18</v>
      </c>
      <c r="U91" s="131">
        <f>'Stasiun Pontianak Kota'!V141</f>
        <v>0</v>
      </c>
      <c r="V91" s="131">
        <f>'Stasiun Pontianak Kota'!W141</f>
        <v>0</v>
      </c>
      <c r="W91" s="131">
        <f>'Stasiun Pontianak Kota'!X141</f>
        <v>0</v>
      </c>
      <c r="X91" s="131">
        <f>'Stasiun Pontianak Kota'!Y141</f>
        <v>0</v>
      </c>
      <c r="Y91" s="131">
        <f>'Stasiun Pontianak Kota'!Z141</f>
        <v>0</v>
      </c>
      <c r="Z91" s="131">
        <f>'Stasiun Pontianak Kota'!AA141</f>
        <v>14</v>
      </c>
      <c r="AA91" s="131">
        <f>'Stasiun Pontianak Kota'!AB141</f>
        <v>0</v>
      </c>
      <c r="AC91" s="130">
        <v>2</v>
      </c>
      <c r="AD91" s="131">
        <f>'Sta. Meteorologi pnk'!B99</f>
        <v>3.2</v>
      </c>
      <c r="AE91" s="131">
        <f>'Sta. Meteorologi pnk'!C99</f>
        <v>0.4</v>
      </c>
      <c r="AF91" s="131">
        <f>'Sta. Meteorologi pnk'!D99</f>
        <v>0</v>
      </c>
      <c r="AG91" s="131">
        <f>'Sta. Meteorologi pnk'!E99</f>
        <v>0</v>
      </c>
      <c r="AH91" s="131">
        <f>'Sta. Meteorologi pnk'!F99</f>
        <v>0</v>
      </c>
      <c r="AI91" s="131">
        <f>'Sta. Meteorologi pnk'!G99</f>
        <v>0</v>
      </c>
      <c r="AJ91" s="131">
        <f>'Sta. Meteorologi pnk'!H99</f>
        <v>0</v>
      </c>
      <c r="AK91" s="131">
        <f>'Sta. Meteorologi pnk'!I99</f>
        <v>0</v>
      </c>
      <c r="AL91" s="131">
        <f>'Sta. Meteorologi pnk'!J99</f>
        <v>0</v>
      </c>
      <c r="AM91" s="131">
        <f>'Sta. Meteorologi pnk'!K99</f>
        <v>0</v>
      </c>
      <c r="AN91" s="131">
        <f>'Sta. Meteorologi pnk'!L99</f>
        <v>24.3</v>
      </c>
      <c r="AO91" s="131">
        <f>'Sta. Meteorologi pnk'!M99</f>
        <v>0.5</v>
      </c>
      <c r="AQ91" s="130">
        <v>2</v>
      </c>
      <c r="AR91" s="131">
        <f t="shared" ref="AR91:AR120" si="159">((P91/($AV$1^2))+(AD91/($AV$2^2)))/((1/($AV$1^2))+(1/($AV$2^2)))</f>
        <v>2.1638230425515799</v>
      </c>
      <c r="AS91" s="131">
        <f t="shared" si="136"/>
        <v>0.27047788031894748</v>
      </c>
      <c r="AT91" s="131">
        <f t="shared" si="137"/>
        <v>0.64761059840526247</v>
      </c>
      <c r="AU91" s="131">
        <f t="shared" si="138"/>
        <v>9.3903536768763036</v>
      </c>
      <c r="AV91" s="131">
        <f t="shared" si="139"/>
        <v>5.8284953856473614</v>
      </c>
      <c r="AW91" s="131">
        <f t="shared" si="140"/>
        <v>0</v>
      </c>
      <c r="AX91" s="131">
        <f t="shared" si="141"/>
        <v>0</v>
      </c>
      <c r="AY91" s="131">
        <f t="shared" si="142"/>
        <v>0</v>
      </c>
      <c r="AZ91" s="131">
        <f t="shared" si="143"/>
        <v>0</v>
      </c>
      <c r="BA91" s="131">
        <f t="shared" si="144"/>
        <v>0</v>
      </c>
      <c r="BB91" s="131">
        <f t="shared" si="145"/>
        <v>20.964805418212897</v>
      </c>
      <c r="BC91" s="131">
        <f t="shared" si="146"/>
        <v>0.33809735039868438</v>
      </c>
      <c r="BE91" s="130">
        <v>2</v>
      </c>
      <c r="BF91" s="131">
        <f t="shared" ref="BF91:BF120" si="160">((B91/($BI$1^2))+(P91/($AV$1^2))+(AD91/($AV$2^2)))/((1/($BI$1^2))+(1/($AV$1^2))+(1/($AV$2^2)))</f>
        <v>2.0245160059699616</v>
      </c>
      <c r="BG91" s="131">
        <f t="shared" si="147"/>
        <v>0.2530645007462452</v>
      </c>
      <c r="BH91" s="131">
        <f t="shared" si="148"/>
        <v>0.73467749626877399</v>
      </c>
      <c r="BI91" s="131">
        <f t="shared" si="149"/>
        <v>10.652823695897222</v>
      </c>
      <c r="BJ91" s="131">
        <f t="shared" si="150"/>
        <v>6.6120974664189651</v>
      </c>
      <c r="BK91" s="131">
        <f t="shared" si="151"/>
        <v>0</v>
      </c>
      <c r="BL91" s="131">
        <f t="shared" si="152"/>
        <v>0</v>
      </c>
      <c r="BM91" s="131">
        <f t="shared" si="153"/>
        <v>0</v>
      </c>
      <c r="BN91" s="131">
        <f t="shared" si="154"/>
        <v>0</v>
      </c>
      <c r="BO91" s="131">
        <f t="shared" si="155"/>
        <v>0</v>
      </c>
      <c r="BP91" s="131">
        <f t="shared" si="156"/>
        <v>20.516410894215817</v>
      </c>
      <c r="BQ91" s="131">
        <f t="shared" si="157"/>
        <v>0.31633062593280648</v>
      </c>
    </row>
    <row r="92" spans="1:70">
      <c r="A92" s="130">
        <v>3</v>
      </c>
      <c r="B92" s="131">
        <f t="shared" si="158"/>
        <v>7.4539031821810884</v>
      </c>
      <c r="C92" s="131">
        <f t="shared" si="125"/>
        <v>5.4456128916624573</v>
      </c>
      <c r="D92" s="131">
        <f t="shared" si="126"/>
        <v>10.071774232968895</v>
      </c>
      <c r="E92" s="131">
        <f t="shared" si="127"/>
        <v>0.67145161553125965</v>
      </c>
      <c r="F92" s="131">
        <f t="shared" si="128"/>
        <v>0</v>
      </c>
      <c r="G92" s="131">
        <f t="shared" si="129"/>
        <v>9.4003226174376344</v>
      </c>
      <c r="H92" s="131">
        <f t="shared" si="130"/>
        <v>0</v>
      </c>
      <c r="I92" s="131">
        <f t="shared" si="131"/>
        <v>0</v>
      </c>
      <c r="J92" s="131">
        <f t="shared" si="132"/>
        <v>0.13141935378749611</v>
      </c>
      <c r="K92" s="131">
        <f t="shared" si="133"/>
        <v>39.733322470793347</v>
      </c>
      <c r="L92" s="131">
        <f t="shared" si="134"/>
        <v>0</v>
      </c>
      <c r="M92" s="131">
        <f t="shared" si="135"/>
        <v>0</v>
      </c>
      <c r="O92" s="130">
        <v>3</v>
      </c>
      <c r="P92" s="131">
        <f>'Stasiun Pontianak Kota'!Q142</f>
        <v>2</v>
      </c>
      <c r="Q92" s="131">
        <f>'Stasiun Pontianak Kota'!R142</f>
        <v>4</v>
      </c>
      <c r="R92" s="131">
        <f>'Stasiun Pontianak Kota'!S142</f>
        <v>15</v>
      </c>
      <c r="S92" s="131">
        <f>'Stasiun Pontianak Kota'!T142</f>
        <v>1</v>
      </c>
      <c r="T92" s="131">
        <f>'Stasiun Pontianak Kota'!U142</f>
        <v>0</v>
      </c>
      <c r="U92" s="131">
        <f>'Stasiun Pontianak Kota'!V142</f>
        <v>14</v>
      </c>
      <c r="V92" s="131">
        <f>'Stasiun Pontianak Kota'!W142</f>
        <v>0</v>
      </c>
      <c r="W92" s="131">
        <f>'Stasiun Pontianak Kota'!X142</f>
        <v>0</v>
      </c>
      <c r="X92" s="131">
        <f>'Stasiun Pontianak Kota'!Y142</f>
        <v>0</v>
      </c>
      <c r="Y92" s="131">
        <f>'Stasiun Pontianak Kota'!Z142</f>
        <v>26</v>
      </c>
      <c r="Z92" s="131">
        <f>'Stasiun Pontianak Kota'!AA142</f>
        <v>0</v>
      </c>
      <c r="AA92" s="131">
        <f>'Stasiun Pontianak Kota'!AB142</f>
        <v>0</v>
      </c>
      <c r="AC92" s="130">
        <v>3</v>
      </c>
      <c r="AD92" s="131">
        <f>'Sta. Meteorologi pnk'!B100</f>
        <v>18.600000000000001</v>
      </c>
      <c r="AE92" s="131">
        <f>'Sta. Meteorologi pnk'!C100</f>
        <v>8.4</v>
      </c>
      <c r="AF92" s="131">
        <f>'Sta. Meteorologi pnk'!D100</f>
        <v>0</v>
      </c>
      <c r="AG92" s="131">
        <f>'Sta. Meteorologi pnk'!E100</f>
        <v>0</v>
      </c>
      <c r="AH92" s="131">
        <f>'Sta. Meteorologi pnk'!F100</f>
        <v>0</v>
      </c>
      <c r="AI92" s="131">
        <f>'Sta. Meteorologi pnk'!G100</f>
        <v>0</v>
      </c>
      <c r="AJ92" s="131">
        <f>'Sta. Meteorologi pnk'!H100</f>
        <v>0</v>
      </c>
      <c r="AK92" s="131">
        <f>'Sta. Meteorologi pnk'!I100</f>
        <v>0</v>
      </c>
      <c r="AL92" s="131">
        <f>'Sta. Meteorologi pnk'!J100</f>
        <v>0.4</v>
      </c>
      <c r="AM92" s="131">
        <f>'Sta. Meteorologi pnk'!K100</f>
        <v>67.8</v>
      </c>
      <c r="AN92" s="131">
        <f>'Sta. Meteorologi pnk'!L100</f>
        <v>0</v>
      </c>
      <c r="AO92" s="131">
        <f>'Sta. Meteorologi pnk'!M100</f>
        <v>0</v>
      </c>
      <c r="AQ92" s="130">
        <v>3</v>
      </c>
      <c r="AR92" s="131">
        <f t="shared" si="159"/>
        <v>13.224832033236321</v>
      </c>
      <c r="AS92" s="131">
        <f t="shared" si="136"/>
        <v>6.9752566835084231</v>
      </c>
      <c r="AT92" s="131">
        <f t="shared" si="137"/>
        <v>4.8570794880394681</v>
      </c>
      <c r="AU92" s="131">
        <f t="shared" si="138"/>
        <v>0.32380529920263124</v>
      </c>
      <c r="AV92" s="131">
        <f t="shared" si="139"/>
        <v>0</v>
      </c>
      <c r="AW92" s="131">
        <f t="shared" si="140"/>
        <v>4.5332741888368364</v>
      </c>
      <c r="AX92" s="131">
        <f t="shared" si="141"/>
        <v>0</v>
      </c>
      <c r="AY92" s="131">
        <f t="shared" si="142"/>
        <v>0</v>
      </c>
      <c r="AZ92" s="131">
        <f t="shared" si="143"/>
        <v>0.27047788031894748</v>
      </c>
      <c r="BA92" s="131">
        <f t="shared" si="144"/>
        <v>54.26493849333</v>
      </c>
      <c r="BB92" s="131">
        <f t="shared" si="145"/>
        <v>0</v>
      </c>
      <c r="BC92" s="131">
        <f t="shared" si="146"/>
        <v>0</v>
      </c>
      <c r="BE92" s="130">
        <v>3</v>
      </c>
      <c r="BF92" s="131">
        <f t="shared" si="160"/>
        <v>12.502176780969176</v>
      </c>
      <c r="BG92" s="131">
        <f t="shared" si="147"/>
        <v>6.7837095082086982</v>
      </c>
      <c r="BH92" s="131">
        <f t="shared" si="148"/>
        <v>5.5100812220158053</v>
      </c>
      <c r="BI92" s="131">
        <f t="shared" si="149"/>
        <v>0.36733874813438699</v>
      </c>
      <c r="BJ92" s="131">
        <f t="shared" si="150"/>
        <v>0</v>
      </c>
      <c r="BK92" s="131">
        <f t="shared" si="151"/>
        <v>5.1427424738814178</v>
      </c>
      <c r="BL92" s="131">
        <f t="shared" si="152"/>
        <v>0</v>
      </c>
      <c r="BM92" s="131">
        <f t="shared" si="153"/>
        <v>0</v>
      </c>
      <c r="BN92" s="131">
        <f t="shared" si="154"/>
        <v>0.2530645007462452</v>
      </c>
      <c r="BO92" s="131">
        <f t="shared" si="155"/>
        <v>52.445240327982624</v>
      </c>
      <c r="BP92" s="131">
        <f t="shared" si="156"/>
        <v>0</v>
      </c>
      <c r="BQ92" s="131">
        <f t="shared" si="157"/>
        <v>0</v>
      </c>
    </row>
    <row r="93" spans="1:70">
      <c r="A93" s="130">
        <v>4</v>
      </c>
      <c r="B93" s="131">
        <f t="shared" si="158"/>
        <v>6.8972903394000609</v>
      </c>
      <c r="C93" s="131">
        <f t="shared" si="125"/>
        <v>13.158209636159222</v>
      </c>
      <c r="D93" s="131">
        <f t="shared" si="126"/>
        <v>0</v>
      </c>
      <c r="E93" s="131">
        <f t="shared" si="127"/>
        <v>24.172258159125345</v>
      </c>
      <c r="F93" s="131">
        <f t="shared" si="128"/>
        <v>15.443387157218973</v>
      </c>
      <c r="G93" s="131">
        <f t="shared" si="129"/>
        <v>0</v>
      </c>
      <c r="H93" s="131">
        <f t="shared" si="130"/>
        <v>0</v>
      </c>
      <c r="I93" s="131">
        <f t="shared" si="131"/>
        <v>0</v>
      </c>
      <c r="J93" s="131">
        <f t="shared" si="132"/>
        <v>0</v>
      </c>
      <c r="K93" s="131">
        <f t="shared" si="133"/>
        <v>0</v>
      </c>
      <c r="L93" s="131">
        <f t="shared" si="134"/>
        <v>0.22998386912811819</v>
      </c>
      <c r="M93" s="131">
        <f t="shared" si="135"/>
        <v>34.580871067081617</v>
      </c>
      <c r="O93" s="130">
        <v>4</v>
      </c>
      <c r="P93" s="131">
        <f>'Stasiun Pontianak Kota'!Q143</f>
        <v>9</v>
      </c>
      <c r="Q93" s="131">
        <f>'Stasiun Pontianak Kota'!R143</f>
        <v>8</v>
      </c>
      <c r="R93" s="131">
        <f>'Stasiun Pontianak Kota'!S143</f>
        <v>0</v>
      </c>
      <c r="S93" s="131">
        <f>'Stasiun Pontianak Kota'!T143</f>
        <v>36</v>
      </c>
      <c r="T93" s="131">
        <f>'Stasiun Pontianak Kota'!U143</f>
        <v>23</v>
      </c>
      <c r="U93" s="131">
        <f>'Stasiun Pontianak Kota'!V143</f>
        <v>0</v>
      </c>
      <c r="V93" s="131">
        <f>'Stasiun Pontianak Kota'!W143</f>
        <v>0</v>
      </c>
      <c r="W93" s="131">
        <f>'Stasiun Pontianak Kota'!X143</f>
        <v>0</v>
      </c>
      <c r="X93" s="131">
        <f>'Stasiun Pontianak Kota'!Y143</f>
        <v>0</v>
      </c>
      <c r="Y93" s="131">
        <f>'Stasiun Pontianak Kota'!Z143</f>
        <v>0</v>
      </c>
      <c r="Z93" s="131">
        <f>'Stasiun Pontianak Kota'!AA143</f>
        <v>0</v>
      </c>
      <c r="AA93" s="131">
        <f>'Stasiun Pontianak Kota'!AB143</f>
        <v>47</v>
      </c>
      <c r="AC93" s="130">
        <v>4</v>
      </c>
      <c r="AD93" s="131">
        <f>'Sta. Meteorologi pnk'!B101</f>
        <v>2.6</v>
      </c>
      <c r="AE93" s="131">
        <f>'Sta. Meteorologi pnk'!C101</f>
        <v>23.7</v>
      </c>
      <c r="AF93" s="131">
        <f>'Sta. Meteorologi pnk'!D101</f>
        <v>0</v>
      </c>
      <c r="AG93" s="131">
        <f>'Sta. Meteorologi pnk'!E101</f>
        <v>0</v>
      </c>
      <c r="AH93" s="131">
        <f>'Sta. Meteorologi pnk'!F101</f>
        <v>0</v>
      </c>
      <c r="AI93" s="131">
        <f>'Sta. Meteorologi pnk'!G101</f>
        <v>0</v>
      </c>
      <c r="AJ93" s="131">
        <f>'Sta. Meteorologi pnk'!H101</f>
        <v>0</v>
      </c>
      <c r="AK93" s="131">
        <f>'Sta. Meteorologi pnk'!I101</f>
        <v>0</v>
      </c>
      <c r="AL93" s="131">
        <f>'Sta. Meteorologi pnk'!J101</f>
        <v>0</v>
      </c>
      <c r="AM93" s="131">
        <f>'Sta. Meteorologi pnk'!K101</f>
        <v>0</v>
      </c>
      <c r="AN93" s="131">
        <f>'Sta. Meteorologi pnk'!L101</f>
        <v>0.7</v>
      </c>
      <c r="AO93" s="131">
        <f>'Sta. Meteorologi pnk'!M101</f>
        <v>9.1999999999999993</v>
      </c>
      <c r="AQ93" s="130">
        <v>4</v>
      </c>
      <c r="AR93" s="131">
        <f t="shared" si="159"/>
        <v>4.6723539148968394</v>
      </c>
      <c r="AS93" s="131">
        <f t="shared" si="136"/>
        <v>18.616256802518688</v>
      </c>
      <c r="AT93" s="131">
        <f t="shared" si="137"/>
        <v>0</v>
      </c>
      <c r="AU93" s="131">
        <f t="shared" si="138"/>
        <v>11.656990771294723</v>
      </c>
      <c r="AV93" s="131">
        <f t="shared" si="139"/>
        <v>7.4475218816605171</v>
      </c>
      <c r="AW93" s="131">
        <f t="shared" si="140"/>
        <v>0</v>
      </c>
      <c r="AX93" s="131">
        <f t="shared" si="141"/>
        <v>0</v>
      </c>
      <c r="AY93" s="131">
        <f t="shared" si="142"/>
        <v>0</v>
      </c>
      <c r="AZ93" s="131">
        <f t="shared" si="143"/>
        <v>0</v>
      </c>
      <c r="BA93" s="131">
        <f t="shared" si="144"/>
        <v>0</v>
      </c>
      <c r="BB93" s="131">
        <f t="shared" si="145"/>
        <v>0.47333629055815807</v>
      </c>
      <c r="BC93" s="131">
        <f t="shared" si="146"/>
        <v>21.439840309859459</v>
      </c>
      <c r="BE93" s="130">
        <v>4</v>
      </c>
      <c r="BF93" s="131">
        <f t="shared" si="160"/>
        <v>4.9509679880600768</v>
      </c>
      <c r="BG93" s="131">
        <f t="shared" si="147"/>
        <v>17.932781654290125</v>
      </c>
      <c r="BH93" s="131">
        <f t="shared" si="148"/>
        <v>0</v>
      </c>
      <c r="BI93" s="131">
        <f t="shared" si="149"/>
        <v>13.22419493283793</v>
      </c>
      <c r="BJ93" s="131">
        <f t="shared" si="150"/>
        <v>8.4487912070909008</v>
      </c>
      <c r="BK93" s="131">
        <f t="shared" si="151"/>
        <v>0</v>
      </c>
      <c r="BL93" s="131">
        <f t="shared" si="152"/>
        <v>0</v>
      </c>
      <c r="BM93" s="131">
        <f t="shared" si="153"/>
        <v>0</v>
      </c>
      <c r="BN93" s="131">
        <f t="shared" si="154"/>
        <v>0</v>
      </c>
      <c r="BO93" s="131">
        <f t="shared" si="155"/>
        <v>0</v>
      </c>
      <c r="BP93" s="131">
        <f t="shared" si="156"/>
        <v>0.44286287630592908</v>
      </c>
      <c r="BQ93" s="131">
        <f t="shared" si="157"/>
        <v>23.085404679479829</v>
      </c>
    </row>
    <row r="94" spans="1:70">
      <c r="A94" s="130">
        <v>5</v>
      </c>
      <c r="B94" s="131">
        <f t="shared" si="158"/>
        <v>11.967145161553127</v>
      </c>
      <c r="C94" s="131">
        <f t="shared" si="125"/>
        <v>0</v>
      </c>
      <c r="D94" s="131">
        <f t="shared" si="126"/>
        <v>0</v>
      </c>
      <c r="E94" s="131">
        <f t="shared" si="127"/>
        <v>0</v>
      </c>
      <c r="F94" s="131">
        <f t="shared" si="128"/>
        <v>0</v>
      </c>
      <c r="G94" s="131">
        <f t="shared" si="129"/>
        <v>0.67145161553125965</v>
      </c>
      <c r="H94" s="131">
        <f t="shared" si="130"/>
        <v>0</v>
      </c>
      <c r="I94" s="131">
        <f t="shared" si="131"/>
        <v>0</v>
      </c>
      <c r="J94" s="131">
        <f t="shared" si="132"/>
        <v>0</v>
      </c>
      <c r="K94" s="131">
        <f t="shared" si="133"/>
        <v>6.1397096443061265</v>
      </c>
      <c r="L94" s="131">
        <f t="shared" si="134"/>
        <v>38.406387173512783</v>
      </c>
      <c r="M94" s="131">
        <f t="shared" si="135"/>
        <v>50.373838658693565</v>
      </c>
      <c r="O94" s="130">
        <v>5</v>
      </c>
      <c r="P94" s="131">
        <f>'Stasiun Pontianak Kota'!Q144</f>
        <v>12</v>
      </c>
      <c r="Q94" s="131">
        <f>'Stasiun Pontianak Kota'!R144</f>
        <v>0</v>
      </c>
      <c r="R94" s="131">
        <f>'Stasiun Pontianak Kota'!S144</f>
        <v>0</v>
      </c>
      <c r="S94" s="131">
        <f>'Stasiun Pontianak Kota'!T144</f>
        <v>0</v>
      </c>
      <c r="T94" s="131">
        <f>'Stasiun Pontianak Kota'!U144</f>
        <v>0</v>
      </c>
      <c r="U94" s="131">
        <f>'Stasiun Pontianak Kota'!V144</f>
        <v>1</v>
      </c>
      <c r="V94" s="131">
        <f>'Stasiun Pontianak Kota'!W144</f>
        <v>0</v>
      </c>
      <c r="W94" s="131">
        <f>'Stasiun Pontianak Kota'!X144</f>
        <v>0</v>
      </c>
      <c r="X94" s="131">
        <f>'Stasiun Pontianak Kota'!Y144</f>
        <v>0</v>
      </c>
      <c r="Y94" s="131">
        <f>'Stasiun Pontianak Kota'!Z144</f>
        <v>2</v>
      </c>
      <c r="Z94" s="131">
        <f>'Stasiun Pontianak Kota'!AA144</f>
        <v>48</v>
      </c>
      <c r="AA94" s="131">
        <f>'Stasiun Pontianak Kota'!AB144</f>
        <v>44</v>
      </c>
      <c r="AC94" s="130">
        <v>5</v>
      </c>
      <c r="AD94" s="131">
        <f>'Sta. Meteorologi pnk'!B102</f>
        <v>11.9</v>
      </c>
      <c r="AE94" s="131">
        <f>'Sta. Meteorologi pnk'!C102</f>
        <v>0</v>
      </c>
      <c r="AF94" s="131">
        <f>'Sta. Meteorologi pnk'!D102</f>
        <v>0</v>
      </c>
      <c r="AG94" s="131">
        <f>'Sta. Meteorologi pnk'!E102</f>
        <v>0</v>
      </c>
      <c r="AH94" s="131">
        <f>'Sta. Meteorologi pnk'!F102</f>
        <v>0</v>
      </c>
      <c r="AI94" s="131">
        <f>'Sta. Meteorologi pnk'!G102</f>
        <v>0</v>
      </c>
      <c r="AJ94" s="131">
        <f>'Sta. Meteorologi pnk'!H102</f>
        <v>0</v>
      </c>
      <c r="AK94" s="131">
        <f>'Sta. Meteorologi pnk'!I102</f>
        <v>0</v>
      </c>
      <c r="AL94" s="131">
        <f>'Sta. Meteorologi pnk'!J102</f>
        <v>0</v>
      </c>
      <c r="AM94" s="131">
        <f>'Sta. Meteorologi pnk'!K102</f>
        <v>14.6</v>
      </c>
      <c r="AN94" s="131">
        <f>'Sta. Meteorologi pnk'!L102</f>
        <v>18.8</v>
      </c>
      <c r="AO94" s="131">
        <f>'Sta. Meteorologi pnk'!M102</f>
        <v>63.4</v>
      </c>
      <c r="AQ94" s="130">
        <v>5</v>
      </c>
      <c r="AR94" s="131">
        <f t="shared" si="159"/>
        <v>11.932380529920263</v>
      </c>
      <c r="AS94" s="131">
        <f t="shared" si="136"/>
        <v>0</v>
      </c>
      <c r="AT94" s="131">
        <f t="shared" si="137"/>
        <v>0</v>
      </c>
      <c r="AU94" s="131">
        <f t="shared" si="138"/>
        <v>0</v>
      </c>
      <c r="AV94" s="131">
        <f t="shared" si="139"/>
        <v>0</v>
      </c>
      <c r="AW94" s="131">
        <f t="shared" si="140"/>
        <v>0.32380529920263124</v>
      </c>
      <c r="AX94" s="131">
        <f t="shared" si="141"/>
        <v>0</v>
      </c>
      <c r="AY94" s="131">
        <f t="shared" si="142"/>
        <v>0</v>
      </c>
      <c r="AZ94" s="131">
        <f t="shared" si="143"/>
        <v>0</v>
      </c>
      <c r="BA94" s="131">
        <f t="shared" si="144"/>
        <v>10.520053230046846</v>
      </c>
      <c r="BB94" s="131">
        <f t="shared" si="145"/>
        <v>28.255114736716827</v>
      </c>
      <c r="BC94" s="131">
        <f t="shared" si="146"/>
        <v>57.118177195468952</v>
      </c>
      <c r="BE94" s="130">
        <v>5</v>
      </c>
      <c r="BF94" s="131">
        <f t="shared" si="160"/>
        <v>11.936733874813438</v>
      </c>
      <c r="BG94" s="131">
        <f t="shared" si="147"/>
        <v>0</v>
      </c>
      <c r="BH94" s="131">
        <f t="shared" si="148"/>
        <v>0</v>
      </c>
      <c r="BI94" s="131">
        <f t="shared" si="149"/>
        <v>0</v>
      </c>
      <c r="BJ94" s="131">
        <f t="shared" si="150"/>
        <v>0</v>
      </c>
      <c r="BK94" s="131">
        <f t="shared" si="151"/>
        <v>0.36733874813438699</v>
      </c>
      <c r="BL94" s="131">
        <f t="shared" si="152"/>
        <v>0</v>
      </c>
      <c r="BM94" s="131">
        <f t="shared" si="153"/>
        <v>0</v>
      </c>
      <c r="BN94" s="131">
        <f t="shared" si="154"/>
        <v>0</v>
      </c>
      <c r="BO94" s="131">
        <f t="shared" si="155"/>
        <v>9.9715317735067242</v>
      </c>
      <c r="BP94" s="131">
        <f t="shared" si="156"/>
        <v>29.526291445524098</v>
      </c>
      <c r="BQ94" s="131">
        <f t="shared" si="157"/>
        <v>56.273628286192888</v>
      </c>
    </row>
    <row r="95" spans="1:70">
      <c r="A95" s="130">
        <v>6</v>
      </c>
      <c r="B95" s="131">
        <f t="shared" si="158"/>
        <v>1.8357258077656298</v>
      </c>
      <c r="C95" s="131">
        <f t="shared" si="125"/>
        <v>14.390419239730823</v>
      </c>
      <c r="D95" s="131">
        <f t="shared" si="126"/>
        <v>0</v>
      </c>
      <c r="E95" s="131">
        <f t="shared" si="127"/>
        <v>0</v>
      </c>
      <c r="F95" s="131">
        <f t="shared" si="128"/>
        <v>0</v>
      </c>
      <c r="G95" s="131">
        <f t="shared" si="129"/>
        <v>6.7145161553125963</v>
      </c>
      <c r="H95" s="131">
        <f t="shared" si="130"/>
        <v>0</v>
      </c>
      <c r="I95" s="131">
        <f t="shared" si="131"/>
        <v>0</v>
      </c>
      <c r="J95" s="131">
        <f t="shared" si="132"/>
        <v>16.786290388281493</v>
      </c>
      <c r="K95" s="131">
        <f t="shared" si="133"/>
        <v>7.5113225685562055</v>
      </c>
      <c r="L95" s="131">
        <f t="shared" si="134"/>
        <v>5.6385967770843859</v>
      </c>
      <c r="M95" s="131">
        <f t="shared" si="135"/>
        <v>0</v>
      </c>
      <c r="O95" s="130">
        <v>6</v>
      </c>
      <c r="P95" s="131">
        <f>'Stasiun Pontianak Kota'!Q145</f>
        <v>2</v>
      </c>
      <c r="Q95" s="131">
        <f>'Stasiun Pontianak Kota'!R145</f>
        <v>0</v>
      </c>
      <c r="R95" s="131">
        <f>'Stasiun Pontianak Kota'!S145</f>
        <v>0</v>
      </c>
      <c r="S95" s="131">
        <f>'Stasiun Pontianak Kota'!T145</f>
        <v>0</v>
      </c>
      <c r="T95" s="131">
        <f>'Stasiun Pontianak Kota'!U145</f>
        <v>0</v>
      </c>
      <c r="U95" s="131">
        <f>'Stasiun Pontianak Kota'!V145</f>
        <v>10</v>
      </c>
      <c r="V95" s="131">
        <f>'Stasiun Pontianak Kota'!W145</f>
        <v>0</v>
      </c>
      <c r="W95" s="131">
        <f>'Stasiun Pontianak Kota'!X145</f>
        <v>0</v>
      </c>
      <c r="X95" s="131">
        <f>'Stasiun Pontianak Kota'!Y145</f>
        <v>25</v>
      </c>
      <c r="Y95" s="131">
        <f>'Stasiun Pontianak Kota'!Z145</f>
        <v>6</v>
      </c>
      <c r="Z95" s="131">
        <f>'Stasiun Pontianak Kota'!AA145</f>
        <v>6</v>
      </c>
      <c r="AA95" s="131">
        <f>'Stasiun Pontianak Kota'!AB145</f>
        <v>0</v>
      </c>
      <c r="AC95" s="130">
        <v>6</v>
      </c>
      <c r="AD95" s="131">
        <f>'Sta. Meteorologi pnk'!B103</f>
        <v>1.5</v>
      </c>
      <c r="AE95" s="131">
        <f>'Sta. Meteorologi pnk'!C103</f>
        <v>43.8</v>
      </c>
      <c r="AF95" s="131">
        <f>'Sta. Meteorologi pnk'!D103</f>
        <v>0</v>
      </c>
      <c r="AG95" s="131">
        <f>'Sta. Meteorologi pnk'!E103</f>
        <v>0</v>
      </c>
      <c r="AH95" s="131">
        <f>'Sta. Meteorologi pnk'!F103</f>
        <v>0</v>
      </c>
      <c r="AI95" s="131">
        <f>'Sta. Meteorologi pnk'!G103</f>
        <v>0</v>
      </c>
      <c r="AJ95" s="131">
        <f>'Sta. Meteorologi pnk'!H103</f>
        <v>0</v>
      </c>
      <c r="AK95" s="131">
        <f>'Sta. Meteorologi pnk'!I103</f>
        <v>0</v>
      </c>
      <c r="AL95" s="131">
        <f>'Sta. Meteorologi pnk'!J103</f>
        <v>0</v>
      </c>
      <c r="AM95" s="131">
        <f>'Sta. Meteorologi pnk'!K103</f>
        <v>10.6</v>
      </c>
      <c r="AN95" s="131">
        <f>'Sta. Meteorologi pnk'!L103</f>
        <v>4.9000000000000004</v>
      </c>
      <c r="AO95" s="131">
        <f>'Sta. Meteorologi pnk'!M103</f>
        <v>0</v>
      </c>
      <c r="AQ95" s="130">
        <v>6</v>
      </c>
      <c r="AR95" s="131">
        <f t="shared" si="159"/>
        <v>1.6619026496013156</v>
      </c>
      <c r="AS95" s="131">
        <f t="shared" si="136"/>
        <v>29.617327894924749</v>
      </c>
      <c r="AT95" s="131">
        <f t="shared" si="137"/>
        <v>0</v>
      </c>
      <c r="AU95" s="131">
        <f t="shared" si="138"/>
        <v>0</v>
      </c>
      <c r="AV95" s="131">
        <f t="shared" si="139"/>
        <v>0</v>
      </c>
      <c r="AW95" s="131">
        <f t="shared" si="140"/>
        <v>3.2380529920263119</v>
      </c>
      <c r="AX95" s="131">
        <f t="shared" si="141"/>
        <v>0</v>
      </c>
      <c r="AY95" s="131">
        <f t="shared" si="142"/>
        <v>0</v>
      </c>
      <c r="AZ95" s="131">
        <f t="shared" si="143"/>
        <v>8.0951324800657805</v>
      </c>
      <c r="BA95" s="131">
        <f t="shared" si="144"/>
        <v>9.1104956236678962</v>
      </c>
      <c r="BB95" s="131">
        <f t="shared" si="145"/>
        <v>5.2561858291228942</v>
      </c>
      <c r="BC95" s="131">
        <f t="shared" si="146"/>
        <v>0</v>
      </c>
      <c r="BE95" s="130">
        <v>6</v>
      </c>
      <c r="BF95" s="131">
        <f t="shared" si="160"/>
        <v>1.6836693740671935</v>
      </c>
      <c r="BG95" s="131">
        <f t="shared" si="147"/>
        <v>27.710562831713847</v>
      </c>
      <c r="BH95" s="131">
        <f t="shared" si="148"/>
        <v>0</v>
      </c>
      <c r="BI95" s="131">
        <f t="shared" si="149"/>
        <v>0</v>
      </c>
      <c r="BJ95" s="131">
        <f t="shared" si="150"/>
        <v>0</v>
      </c>
      <c r="BK95" s="131">
        <f t="shared" si="151"/>
        <v>3.6733874813438696</v>
      </c>
      <c r="BL95" s="131">
        <f t="shared" si="152"/>
        <v>0</v>
      </c>
      <c r="BM95" s="131">
        <f t="shared" si="153"/>
        <v>0</v>
      </c>
      <c r="BN95" s="131">
        <f t="shared" si="154"/>
        <v>9.1834687033596758</v>
      </c>
      <c r="BO95" s="131">
        <f t="shared" si="155"/>
        <v>8.9102417585818205</v>
      </c>
      <c r="BP95" s="131">
        <f t="shared" si="156"/>
        <v>5.3040726229478263</v>
      </c>
      <c r="BQ95" s="131">
        <f t="shared" si="157"/>
        <v>0</v>
      </c>
    </row>
    <row r="96" spans="1:70">
      <c r="A96" s="130">
        <v>7</v>
      </c>
      <c r="B96" s="131">
        <f t="shared" si="158"/>
        <v>0</v>
      </c>
      <c r="C96" s="131">
        <f t="shared" si="125"/>
        <v>6.0430645397813363</v>
      </c>
      <c r="D96" s="131">
        <f t="shared" si="126"/>
        <v>0</v>
      </c>
      <c r="E96" s="131">
        <f t="shared" si="127"/>
        <v>0</v>
      </c>
      <c r="F96" s="131">
        <f t="shared" si="128"/>
        <v>0</v>
      </c>
      <c r="G96" s="131">
        <f t="shared" si="129"/>
        <v>25.515161390187867</v>
      </c>
      <c r="H96" s="131">
        <f t="shared" si="130"/>
        <v>0</v>
      </c>
      <c r="I96" s="131">
        <f t="shared" si="131"/>
        <v>0</v>
      </c>
      <c r="J96" s="131">
        <f t="shared" si="132"/>
        <v>0</v>
      </c>
      <c r="K96" s="131">
        <f t="shared" si="133"/>
        <v>66.184999918530949</v>
      </c>
      <c r="L96" s="131">
        <f t="shared" si="134"/>
        <v>19.503032278037573</v>
      </c>
      <c r="M96" s="131">
        <f t="shared" si="135"/>
        <v>4.2484838609812128</v>
      </c>
      <c r="O96" s="130">
        <v>7</v>
      </c>
      <c r="P96" s="131">
        <f>'Stasiun Pontianak Kota'!Q146</f>
        <v>0</v>
      </c>
      <c r="Q96" s="131">
        <f>'Stasiun Pontianak Kota'!R146</f>
        <v>9</v>
      </c>
      <c r="R96" s="131">
        <f>'Stasiun Pontianak Kota'!S146</f>
        <v>0</v>
      </c>
      <c r="S96" s="131">
        <f>'Stasiun Pontianak Kota'!T146</f>
        <v>0</v>
      </c>
      <c r="T96" s="131">
        <f>'Stasiun Pontianak Kota'!U146</f>
        <v>0</v>
      </c>
      <c r="U96" s="131">
        <f>'Stasiun Pontianak Kota'!V146</f>
        <v>38</v>
      </c>
      <c r="V96" s="131">
        <f>'Stasiun Pontianak Kota'!W146</f>
        <v>0</v>
      </c>
      <c r="W96" s="131">
        <f>'Stasiun Pontianak Kota'!X146</f>
        <v>0</v>
      </c>
      <c r="X96" s="131">
        <f>'Stasiun Pontianak Kota'!Y146</f>
        <v>0</v>
      </c>
      <c r="Y96" s="131">
        <f>'Stasiun Pontianak Kota'!Z146</f>
        <v>56</v>
      </c>
      <c r="Z96" s="131">
        <f>'Stasiun Pontianak Kota'!AA146</f>
        <v>22</v>
      </c>
      <c r="AA96" s="131">
        <f>'Stasiun Pontianak Kota'!AB146</f>
        <v>3</v>
      </c>
      <c r="AC96" s="130">
        <v>7</v>
      </c>
      <c r="AD96" s="131">
        <f>'Sta. Meteorologi pnk'!B104</f>
        <v>0</v>
      </c>
      <c r="AE96" s="131">
        <f>'Sta. Meteorologi pnk'!C104</f>
        <v>0</v>
      </c>
      <c r="AF96" s="131">
        <f>'Sta. Meteorologi pnk'!D104</f>
        <v>0</v>
      </c>
      <c r="AG96" s="131">
        <f>'Sta. Meteorologi pnk'!E104</f>
        <v>0</v>
      </c>
      <c r="AH96" s="131">
        <f>'Sta. Meteorologi pnk'!F104</f>
        <v>0</v>
      </c>
      <c r="AI96" s="131">
        <f>'Sta. Meteorologi pnk'!G104</f>
        <v>0</v>
      </c>
      <c r="AJ96" s="131">
        <f>'Sta. Meteorologi pnk'!H104</f>
        <v>0</v>
      </c>
      <c r="AK96" s="131">
        <f>'Sta. Meteorologi pnk'!I104</f>
        <v>0</v>
      </c>
      <c r="AL96" s="131">
        <f>'Sta. Meteorologi pnk'!J104</f>
        <v>0</v>
      </c>
      <c r="AM96" s="131">
        <f>'Sta. Meteorologi pnk'!K104</f>
        <v>87</v>
      </c>
      <c r="AN96" s="131">
        <f>'Sta. Meteorologi pnk'!L104</f>
        <v>14.4</v>
      </c>
      <c r="AO96" s="131">
        <f>'Sta. Meteorologi pnk'!M104</f>
        <v>6.8</v>
      </c>
      <c r="AQ96" s="130">
        <v>7</v>
      </c>
      <c r="AR96" s="131">
        <f t="shared" si="159"/>
        <v>0</v>
      </c>
      <c r="AS96" s="131">
        <f t="shared" si="136"/>
        <v>2.9142476928236807</v>
      </c>
      <c r="AT96" s="131">
        <f t="shared" si="137"/>
        <v>0</v>
      </c>
      <c r="AU96" s="131">
        <f t="shared" si="138"/>
        <v>0</v>
      </c>
      <c r="AV96" s="131">
        <f t="shared" si="139"/>
        <v>0</v>
      </c>
      <c r="AW96" s="131">
        <f t="shared" si="140"/>
        <v>12.304601369699986</v>
      </c>
      <c r="AX96" s="131">
        <f t="shared" si="141"/>
        <v>0</v>
      </c>
      <c r="AY96" s="131">
        <f t="shared" si="142"/>
        <v>0</v>
      </c>
      <c r="AZ96" s="131">
        <f t="shared" si="143"/>
        <v>0</v>
      </c>
      <c r="BA96" s="131">
        <f t="shared" si="144"/>
        <v>76.962035724718433</v>
      </c>
      <c r="BB96" s="131">
        <f t="shared" si="145"/>
        <v>16.86092027394</v>
      </c>
      <c r="BC96" s="131">
        <f t="shared" si="146"/>
        <v>5.5695398630300001</v>
      </c>
      <c r="BE96" s="130">
        <v>7</v>
      </c>
      <c r="BF96" s="131">
        <f t="shared" si="160"/>
        <v>0</v>
      </c>
      <c r="BG96" s="131">
        <f t="shared" si="147"/>
        <v>3.3060487332094826</v>
      </c>
      <c r="BH96" s="131">
        <f t="shared" si="148"/>
        <v>0</v>
      </c>
      <c r="BI96" s="131">
        <f t="shared" si="149"/>
        <v>0</v>
      </c>
      <c r="BJ96" s="131">
        <f t="shared" si="150"/>
        <v>0</v>
      </c>
      <c r="BK96" s="131">
        <f t="shared" si="151"/>
        <v>13.958872429106705</v>
      </c>
      <c r="BL96" s="131">
        <f t="shared" si="152"/>
        <v>0</v>
      </c>
      <c r="BM96" s="131">
        <f t="shared" si="153"/>
        <v>0</v>
      </c>
      <c r="BN96" s="131">
        <f t="shared" si="154"/>
        <v>0</v>
      </c>
      <c r="BO96" s="131">
        <f t="shared" si="155"/>
        <v>75.612498807834015</v>
      </c>
      <c r="BP96" s="131">
        <f t="shared" si="156"/>
        <v>17.191774485821341</v>
      </c>
      <c r="BQ96" s="131">
        <f t="shared" si="157"/>
        <v>5.4041127570893286</v>
      </c>
    </row>
    <row r="97" spans="1:69">
      <c r="A97" s="130">
        <v>8</v>
      </c>
      <c r="B97" s="131">
        <f t="shared" si="158"/>
        <v>16.948645169700026</v>
      </c>
      <c r="C97" s="131">
        <f t="shared" si="125"/>
        <v>25.515161390187867</v>
      </c>
      <c r="D97" s="131">
        <f t="shared" si="126"/>
        <v>0</v>
      </c>
      <c r="E97" s="131">
        <f t="shared" si="127"/>
        <v>10.743225848500154</v>
      </c>
      <c r="F97" s="131">
        <f t="shared" si="128"/>
        <v>0</v>
      </c>
      <c r="G97" s="131">
        <f t="shared" si="129"/>
        <v>23.500806543594088</v>
      </c>
      <c r="H97" s="131">
        <f t="shared" si="130"/>
        <v>0</v>
      </c>
      <c r="I97" s="131">
        <f t="shared" si="131"/>
        <v>0</v>
      </c>
      <c r="J97" s="131">
        <f t="shared" si="132"/>
        <v>3.4826128753686469</v>
      </c>
      <c r="K97" s="131">
        <f t="shared" si="133"/>
        <v>3.0883548140061587</v>
      </c>
      <c r="L97" s="131">
        <f t="shared" si="134"/>
        <v>8.8172258159125345</v>
      </c>
      <c r="M97" s="131">
        <f t="shared" si="135"/>
        <v>30.379596891141059</v>
      </c>
      <c r="O97" s="130">
        <v>8</v>
      </c>
      <c r="P97" s="131">
        <f>'Stasiun Pontianak Kota'!Q147</f>
        <v>18</v>
      </c>
      <c r="Q97" s="131">
        <f>'Stasiun Pontianak Kota'!R147</f>
        <v>38</v>
      </c>
      <c r="R97" s="131">
        <f>'Stasiun Pontianak Kota'!S147</f>
        <v>0</v>
      </c>
      <c r="S97" s="131">
        <f>'Stasiun Pontianak Kota'!T147</f>
        <v>16</v>
      </c>
      <c r="T97" s="131">
        <f>'Stasiun Pontianak Kota'!U147</f>
        <v>0</v>
      </c>
      <c r="U97" s="131">
        <f>'Stasiun Pontianak Kota'!V147</f>
        <v>35</v>
      </c>
      <c r="V97" s="131">
        <f>'Stasiun Pontianak Kota'!W147</f>
        <v>0</v>
      </c>
      <c r="W97" s="131">
        <f>'Stasiun Pontianak Kota'!X147</f>
        <v>0</v>
      </c>
      <c r="X97" s="131">
        <f>'Stasiun Pontianak Kota'!Y147</f>
        <v>0</v>
      </c>
      <c r="Y97" s="131">
        <f>'Stasiun Pontianak Kota'!Z147</f>
        <v>0</v>
      </c>
      <c r="Z97" s="131">
        <f>'Stasiun Pontianak Kota'!AA147</f>
        <v>10</v>
      </c>
      <c r="AA97" s="131">
        <f>'Stasiun Pontianak Kota'!AB147</f>
        <v>45</v>
      </c>
      <c r="AC97" s="130">
        <v>8</v>
      </c>
      <c r="AD97" s="131">
        <f>'Sta. Meteorologi pnk'!B105</f>
        <v>14.8</v>
      </c>
      <c r="AE97" s="131">
        <f>'Sta. Meteorologi pnk'!C105</f>
        <v>0</v>
      </c>
      <c r="AF97" s="131">
        <f>'Sta. Meteorologi pnk'!D105</f>
        <v>0</v>
      </c>
      <c r="AG97" s="131">
        <f>'Sta. Meteorologi pnk'!E105</f>
        <v>0</v>
      </c>
      <c r="AH97" s="131">
        <f>'Sta. Meteorologi pnk'!F105</f>
        <v>0</v>
      </c>
      <c r="AI97" s="131">
        <f>'Sta. Meteorologi pnk'!G105</f>
        <v>0</v>
      </c>
      <c r="AJ97" s="131">
        <f>'Sta. Meteorologi pnk'!H105</f>
        <v>0</v>
      </c>
      <c r="AK97" s="131">
        <f>'Sta. Meteorologi pnk'!I105</f>
        <v>0</v>
      </c>
      <c r="AL97" s="131">
        <f>'Sta. Meteorologi pnk'!J105</f>
        <v>10.6</v>
      </c>
      <c r="AM97" s="131">
        <f>'Sta. Meteorologi pnk'!K105</f>
        <v>9.4</v>
      </c>
      <c r="AN97" s="131">
        <f>'Sta. Meteorologi pnk'!L105</f>
        <v>6.4</v>
      </c>
      <c r="AO97" s="131">
        <f>'Sta. Meteorologi pnk'!M105</f>
        <v>0.5</v>
      </c>
      <c r="AQ97" s="130">
        <v>8</v>
      </c>
      <c r="AR97" s="131">
        <f t="shared" si="159"/>
        <v>15.836176957448419</v>
      </c>
      <c r="AS97" s="131">
        <f t="shared" si="136"/>
        <v>12.304601369699986</v>
      </c>
      <c r="AT97" s="131">
        <f t="shared" si="137"/>
        <v>0</v>
      </c>
      <c r="AU97" s="131">
        <f t="shared" si="138"/>
        <v>5.1808847872420998</v>
      </c>
      <c r="AV97" s="131">
        <f t="shared" si="139"/>
        <v>0</v>
      </c>
      <c r="AW97" s="131">
        <f t="shared" si="140"/>
        <v>11.333185472092092</v>
      </c>
      <c r="AX97" s="131">
        <f t="shared" si="141"/>
        <v>0</v>
      </c>
      <c r="AY97" s="131">
        <f t="shared" si="142"/>
        <v>0</v>
      </c>
      <c r="AZ97" s="131">
        <f t="shared" si="143"/>
        <v>7.1676638284521088</v>
      </c>
      <c r="BA97" s="131">
        <f t="shared" si="144"/>
        <v>6.3562301874952656</v>
      </c>
      <c r="BB97" s="131">
        <f t="shared" si="145"/>
        <v>7.565699077129473</v>
      </c>
      <c r="BC97" s="131">
        <f t="shared" si="146"/>
        <v>14.909335814517087</v>
      </c>
      <c r="BE97" s="130">
        <v>8</v>
      </c>
      <c r="BF97" s="131">
        <f t="shared" si="160"/>
        <v>15.975483994030039</v>
      </c>
      <c r="BG97" s="131">
        <f t="shared" si="147"/>
        <v>13.958872429106705</v>
      </c>
      <c r="BH97" s="131">
        <f t="shared" si="148"/>
        <v>0</v>
      </c>
      <c r="BI97" s="131">
        <f t="shared" si="149"/>
        <v>5.8774199701501919</v>
      </c>
      <c r="BJ97" s="131">
        <f t="shared" si="150"/>
        <v>0</v>
      </c>
      <c r="BK97" s="131">
        <f t="shared" si="151"/>
        <v>12.856856184703545</v>
      </c>
      <c r="BL97" s="131">
        <f t="shared" si="152"/>
        <v>0</v>
      </c>
      <c r="BM97" s="131">
        <f t="shared" si="153"/>
        <v>0</v>
      </c>
      <c r="BN97" s="131">
        <f t="shared" si="154"/>
        <v>6.7062092697754982</v>
      </c>
      <c r="BO97" s="131">
        <f t="shared" si="155"/>
        <v>5.9470157675367616</v>
      </c>
      <c r="BP97" s="131">
        <f t="shared" si="156"/>
        <v>7.7224194932837928</v>
      </c>
      <c r="BQ97" s="131">
        <f t="shared" si="157"/>
        <v>16.846574291980218</v>
      </c>
    </row>
    <row r="98" spans="1:69">
      <c r="A98" s="130">
        <v>9</v>
      </c>
      <c r="B98" s="131">
        <f t="shared" si="158"/>
        <v>3.182774184087465</v>
      </c>
      <c r="C98" s="131">
        <f t="shared" si="125"/>
        <v>11.414677464031413</v>
      </c>
      <c r="D98" s="131">
        <f t="shared" si="126"/>
        <v>0</v>
      </c>
      <c r="E98" s="131">
        <f t="shared" si="127"/>
        <v>1.3429032310625193</v>
      </c>
      <c r="F98" s="131">
        <f t="shared" si="128"/>
        <v>20.143548465937791</v>
      </c>
      <c r="G98" s="131">
        <f t="shared" si="129"/>
        <v>0</v>
      </c>
      <c r="H98" s="131">
        <f t="shared" si="130"/>
        <v>0</v>
      </c>
      <c r="I98" s="131">
        <f t="shared" si="131"/>
        <v>0</v>
      </c>
      <c r="J98" s="131">
        <f t="shared" si="132"/>
        <v>0</v>
      </c>
      <c r="K98" s="131">
        <f t="shared" si="133"/>
        <v>0</v>
      </c>
      <c r="L98" s="131">
        <f t="shared" si="134"/>
        <v>0</v>
      </c>
      <c r="M98" s="131">
        <f t="shared" si="135"/>
        <v>35.525677415149985</v>
      </c>
      <c r="O98" s="130">
        <v>9</v>
      </c>
      <c r="P98" s="131">
        <f>'Stasiun Pontianak Kota'!Q148</f>
        <v>2</v>
      </c>
      <c r="Q98" s="131">
        <f>'Stasiun Pontianak Kota'!R148</f>
        <v>17</v>
      </c>
      <c r="R98" s="131">
        <f>'Stasiun Pontianak Kota'!S148</f>
        <v>0</v>
      </c>
      <c r="S98" s="131">
        <f>'Stasiun Pontianak Kota'!T148</f>
        <v>2</v>
      </c>
      <c r="T98" s="131">
        <f>'Stasiun Pontianak Kota'!U148</f>
        <v>30</v>
      </c>
      <c r="U98" s="131">
        <f>'Stasiun Pontianak Kota'!V148</f>
        <v>0</v>
      </c>
      <c r="V98" s="131">
        <f>'Stasiun Pontianak Kota'!W148</f>
        <v>0</v>
      </c>
      <c r="W98" s="131">
        <f>'Stasiun Pontianak Kota'!X148</f>
        <v>0</v>
      </c>
      <c r="X98" s="131">
        <f>'Stasiun Pontianak Kota'!Y148</f>
        <v>0</v>
      </c>
      <c r="Y98" s="131">
        <f>'Stasiun Pontianak Kota'!Z148</f>
        <v>0</v>
      </c>
      <c r="Z98" s="131">
        <f>'Stasiun Pontianak Kota'!AA148</f>
        <v>0</v>
      </c>
      <c r="AA98" s="131">
        <f>'Stasiun Pontianak Kota'!AB148</f>
        <v>35</v>
      </c>
      <c r="AC98" s="130">
        <v>9</v>
      </c>
      <c r="AD98" s="131">
        <f>'Sta. Meteorologi pnk'!B106</f>
        <v>5.6</v>
      </c>
      <c r="AE98" s="131">
        <f>'Sta. Meteorologi pnk'!C106</f>
        <v>0</v>
      </c>
      <c r="AF98" s="131">
        <f>'Sta. Meteorologi pnk'!D106</f>
        <v>0</v>
      </c>
      <c r="AG98" s="131">
        <f>'Sta. Meteorologi pnk'!E106</f>
        <v>0</v>
      </c>
      <c r="AH98" s="131">
        <f>'Sta. Meteorologi pnk'!F106</f>
        <v>0</v>
      </c>
      <c r="AI98" s="131">
        <f>'Sta. Meteorologi pnk'!G106</f>
        <v>0</v>
      </c>
      <c r="AJ98" s="131">
        <f>'Sta. Meteorologi pnk'!H106</f>
        <v>0</v>
      </c>
      <c r="AK98" s="131">
        <f>'Sta. Meteorologi pnk'!I106</f>
        <v>0</v>
      </c>
      <c r="AL98" s="131">
        <f>'Sta. Meteorologi pnk'!J106</f>
        <v>0</v>
      </c>
      <c r="AM98" s="131">
        <f>'Sta. Meteorologi pnk'!K106</f>
        <v>0</v>
      </c>
      <c r="AN98" s="131">
        <f>'Sta. Meteorologi pnk'!L106</f>
        <v>0</v>
      </c>
      <c r="AO98" s="131">
        <f>'Sta. Meteorologi pnk'!M106</f>
        <v>36.6</v>
      </c>
      <c r="AQ98" s="130">
        <v>9</v>
      </c>
      <c r="AR98" s="131">
        <f t="shared" si="159"/>
        <v>4.434300922870527</v>
      </c>
      <c r="AS98" s="131">
        <f t="shared" si="136"/>
        <v>5.5046900864447297</v>
      </c>
      <c r="AT98" s="131">
        <f t="shared" si="137"/>
        <v>0</v>
      </c>
      <c r="AU98" s="131">
        <f t="shared" si="138"/>
        <v>0.64761059840526247</v>
      </c>
      <c r="AV98" s="131">
        <f t="shared" si="139"/>
        <v>9.7141589760789362</v>
      </c>
      <c r="AW98" s="131">
        <f t="shared" si="140"/>
        <v>0</v>
      </c>
      <c r="AX98" s="131">
        <f t="shared" si="141"/>
        <v>0</v>
      </c>
      <c r="AY98" s="131">
        <f t="shared" si="142"/>
        <v>0</v>
      </c>
      <c r="AZ98" s="131">
        <f t="shared" si="143"/>
        <v>0</v>
      </c>
      <c r="BA98" s="131">
        <f t="shared" si="144"/>
        <v>0</v>
      </c>
      <c r="BB98" s="131">
        <f t="shared" si="145"/>
        <v>0</v>
      </c>
      <c r="BC98" s="131">
        <f t="shared" si="146"/>
        <v>36.081911521275785</v>
      </c>
      <c r="BE98" s="130">
        <v>9</v>
      </c>
      <c r="BF98" s="131">
        <f t="shared" si="160"/>
        <v>4.2775805067162063</v>
      </c>
      <c r="BG98" s="131">
        <f t="shared" si="147"/>
        <v>6.2447587182845785</v>
      </c>
      <c r="BH98" s="131">
        <f t="shared" si="148"/>
        <v>0</v>
      </c>
      <c r="BI98" s="131">
        <f t="shared" si="149"/>
        <v>0.73467749626877399</v>
      </c>
      <c r="BJ98" s="131">
        <f t="shared" si="150"/>
        <v>11.020162444031611</v>
      </c>
      <c r="BK98" s="131">
        <f t="shared" si="151"/>
        <v>0</v>
      </c>
      <c r="BL98" s="131">
        <f t="shared" si="152"/>
        <v>0</v>
      </c>
      <c r="BM98" s="131">
        <f t="shared" si="153"/>
        <v>0</v>
      </c>
      <c r="BN98" s="131">
        <f t="shared" si="154"/>
        <v>0</v>
      </c>
      <c r="BO98" s="131">
        <f t="shared" si="155"/>
        <v>0</v>
      </c>
      <c r="BP98" s="131">
        <f t="shared" si="156"/>
        <v>0</v>
      </c>
      <c r="BQ98" s="131">
        <f t="shared" si="157"/>
        <v>36.012258002984979</v>
      </c>
    </row>
    <row r="99" spans="1:69">
      <c r="A99" s="130">
        <v>10</v>
      </c>
      <c r="B99" s="131">
        <f t="shared" si="158"/>
        <v>0.22998386912811819</v>
      </c>
      <c r="C99" s="131">
        <f t="shared" si="125"/>
        <v>6.7145161553125963</v>
      </c>
      <c r="D99" s="131">
        <f t="shared" si="126"/>
        <v>0</v>
      </c>
      <c r="E99" s="131">
        <f t="shared" si="127"/>
        <v>4.7001613087188172</v>
      </c>
      <c r="F99" s="131">
        <f t="shared" si="128"/>
        <v>0</v>
      </c>
      <c r="G99" s="131">
        <f t="shared" si="129"/>
        <v>19.47209685040653</v>
      </c>
      <c r="H99" s="131">
        <f t="shared" si="130"/>
        <v>0</v>
      </c>
      <c r="I99" s="131">
        <f t="shared" si="131"/>
        <v>0</v>
      </c>
      <c r="J99" s="131">
        <f t="shared" si="132"/>
        <v>0</v>
      </c>
      <c r="K99" s="131">
        <f t="shared" si="133"/>
        <v>0</v>
      </c>
      <c r="L99" s="131">
        <f t="shared" si="134"/>
        <v>1.3429032310625193</v>
      </c>
      <c r="M99" s="131">
        <f t="shared" si="135"/>
        <v>0.75566128427810253</v>
      </c>
      <c r="O99" s="130">
        <v>10</v>
      </c>
      <c r="P99" s="131">
        <f>'Stasiun Pontianak Kota'!Q149</f>
        <v>0</v>
      </c>
      <c r="Q99" s="131">
        <f>'Stasiun Pontianak Kota'!R149</f>
        <v>10</v>
      </c>
      <c r="R99" s="131">
        <f>'Stasiun Pontianak Kota'!S149</f>
        <v>0</v>
      </c>
      <c r="S99" s="131">
        <f>'Stasiun Pontianak Kota'!T149</f>
        <v>7</v>
      </c>
      <c r="T99" s="131">
        <f>'Stasiun Pontianak Kota'!U149</f>
        <v>0</v>
      </c>
      <c r="U99" s="131">
        <f>'Stasiun Pontianak Kota'!V149</f>
        <v>29</v>
      </c>
      <c r="V99" s="131">
        <f>'Stasiun Pontianak Kota'!W149</f>
        <v>0</v>
      </c>
      <c r="W99" s="131">
        <f>'Stasiun Pontianak Kota'!X149</f>
        <v>0</v>
      </c>
      <c r="X99" s="131">
        <f>'Stasiun Pontianak Kota'!Y149</f>
        <v>0</v>
      </c>
      <c r="Y99" s="131">
        <f>'Stasiun Pontianak Kota'!Z149</f>
        <v>0</v>
      </c>
      <c r="Z99" s="131">
        <f>'Stasiun Pontianak Kota'!AA149</f>
        <v>2</v>
      </c>
      <c r="AA99" s="131">
        <f>'Stasiun Pontianak Kota'!AB149</f>
        <v>0</v>
      </c>
      <c r="AC99" s="130">
        <v>10</v>
      </c>
      <c r="AD99" s="131">
        <f>'Sta. Meteorologi pnk'!B107</f>
        <v>0.7</v>
      </c>
      <c r="AE99" s="131">
        <f>'Sta. Meteorologi pnk'!C107</f>
        <v>0</v>
      </c>
      <c r="AF99" s="131">
        <f>'Sta. Meteorologi pnk'!D107</f>
        <v>0</v>
      </c>
      <c r="AG99" s="131">
        <f>'Sta. Meteorologi pnk'!E107</f>
        <v>0</v>
      </c>
      <c r="AH99" s="131">
        <f>'Sta. Meteorologi pnk'!F107</f>
        <v>0</v>
      </c>
      <c r="AI99" s="131">
        <f>'Sta. Meteorologi pnk'!G107</f>
        <v>0</v>
      </c>
      <c r="AJ99" s="131">
        <f>'Sta. Meteorologi pnk'!H107</f>
        <v>0</v>
      </c>
      <c r="AK99" s="131">
        <f>'Sta. Meteorologi pnk'!I107</f>
        <v>0</v>
      </c>
      <c r="AL99" s="131">
        <f>'Sta. Meteorologi pnk'!J107</f>
        <v>0</v>
      </c>
      <c r="AM99" s="131">
        <f>'Sta. Meteorologi pnk'!K107</f>
        <v>0</v>
      </c>
      <c r="AN99" s="131">
        <f>'Sta. Meteorologi pnk'!L107</f>
        <v>0</v>
      </c>
      <c r="AO99" s="131">
        <f>'Sta. Meteorologi pnk'!M107</f>
        <v>2.2999999999999998</v>
      </c>
      <c r="AQ99" s="130">
        <v>10</v>
      </c>
      <c r="AR99" s="131">
        <f t="shared" si="159"/>
        <v>0.47333629055815807</v>
      </c>
      <c r="AS99" s="131">
        <f t="shared" si="136"/>
        <v>3.2380529920263119</v>
      </c>
      <c r="AT99" s="131">
        <f t="shared" si="137"/>
        <v>0</v>
      </c>
      <c r="AU99" s="131">
        <f t="shared" si="138"/>
        <v>2.2666370944184182</v>
      </c>
      <c r="AV99" s="131">
        <f t="shared" si="139"/>
        <v>0</v>
      </c>
      <c r="AW99" s="131">
        <f t="shared" si="140"/>
        <v>9.3903536768763036</v>
      </c>
      <c r="AX99" s="131">
        <f t="shared" si="141"/>
        <v>0</v>
      </c>
      <c r="AY99" s="131">
        <f t="shared" si="142"/>
        <v>0</v>
      </c>
      <c r="AZ99" s="131">
        <f t="shared" si="143"/>
        <v>0</v>
      </c>
      <c r="BA99" s="131">
        <f t="shared" si="144"/>
        <v>0</v>
      </c>
      <c r="BB99" s="131">
        <f t="shared" si="145"/>
        <v>0.64761059840526247</v>
      </c>
      <c r="BC99" s="131">
        <f t="shared" si="146"/>
        <v>1.5552478118339481</v>
      </c>
      <c r="BE99" s="130">
        <v>10</v>
      </c>
      <c r="BF99" s="131">
        <f t="shared" si="160"/>
        <v>0.44286287630592908</v>
      </c>
      <c r="BG99" s="131">
        <f t="shared" si="147"/>
        <v>3.6733874813438696</v>
      </c>
      <c r="BH99" s="131">
        <f t="shared" si="148"/>
        <v>0</v>
      </c>
      <c r="BI99" s="131">
        <f t="shared" si="149"/>
        <v>2.5713712369407089</v>
      </c>
      <c r="BJ99" s="131">
        <f t="shared" si="150"/>
        <v>0</v>
      </c>
      <c r="BK99" s="131">
        <f t="shared" si="151"/>
        <v>10.652823695897222</v>
      </c>
      <c r="BL99" s="131">
        <f t="shared" si="152"/>
        <v>0</v>
      </c>
      <c r="BM99" s="131">
        <f t="shared" si="153"/>
        <v>0</v>
      </c>
      <c r="BN99" s="131">
        <f t="shared" si="154"/>
        <v>0</v>
      </c>
      <c r="BO99" s="131">
        <f t="shared" si="155"/>
        <v>0</v>
      </c>
      <c r="BP99" s="131">
        <f t="shared" si="156"/>
        <v>0.73467749626877399</v>
      </c>
      <c r="BQ99" s="131">
        <f t="shared" si="157"/>
        <v>1.4551208792909101</v>
      </c>
    </row>
    <row r="100" spans="1:69">
      <c r="A100" s="130">
        <v>11</v>
      </c>
      <c r="B100" s="131">
        <f t="shared" si="158"/>
        <v>0</v>
      </c>
      <c r="C100" s="131">
        <f t="shared" si="125"/>
        <v>1.3429032310625193</v>
      </c>
      <c r="D100" s="131">
        <f t="shared" si="126"/>
        <v>13.429032310625193</v>
      </c>
      <c r="E100" s="131">
        <f t="shared" si="127"/>
        <v>0</v>
      </c>
      <c r="F100" s="131">
        <f t="shared" si="128"/>
        <v>0</v>
      </c>
      <c r="G100" s="131">
        <f t="shared" si="129"/>
        <v>0</v>
      </c>
      <c r="H100" s="131">
        <f t="shared" si="130"/>
        <v>0</v>
      </c>
      <c r="I100" s="131">
        <f t="shared" si="131"/>
        <v>0</v>
      </c>
      <c r="J100" s="131">
        <f t="shared" si="132"/>
        <v>0</v>
      </c>
      <c r="K100" s="131">
        <f t="shared" si="133"/>
        <v>0</v>
      </c>
      <c r="L100" s="131">
        <f t="shared" si="134"/>
        <v>14.219774167793656</v>
      </c>
      <c r="M100" s="131">
        <f t="shared" si="135"/>
        <v>12.681967640493376</v>
      </c>
      <c r="O100" s="130">
        <v>11</v>
      </c>
      <c r="P100" s="131">
        <f>'Stasiun Pontianak Kota'!Q150</f>
        <v>0</v>
      </c>
      <c r="Q100" s="131">
        <f>'Stasiun Pontianak Kota'!R150</f>
        <v>2</v>
      </c>
      <c r="R100" s="131">
        <f>'Stasiun Pontianak Kota'!S150</f>
        <v>20</v>
      </c>
      <c r="S100" s="131">
        <f>'Stasiun Pontianak Kota'!T150</f>
        <v>0</v>
      </c>
      <c r="T100" s="131">
        <f>'Stasiun Pontianak Kota'!U150</f>
        <v>0</v>
      </c>
      <c r="U100" s="131">
        <f>'Stasiun Pontianak Kota'!V150</f>
        <v>0</v>
      </c>
      <c r="V100" s="131">
        <f>'Stasiun Pontianak Kota'!W150</f>
        <v>0</v>
      </c>
      <c r="W100" s="131">
        <f>'Stasiun Pontianak Kota'!X150</f>
        <v>0</v>
      </c>
      <c r="X100" s="131">
        <f>'Stasiun Pontianak Kota'!Y150</f>
        <v>0</v>
      </c>
      <c r="Y100" s="131">
        <f>'Stasiun Pontianak Kota'!Z150</f>
        <v>0</v>
      </c>
      <c r="Z100" s="131">
        <f>'Stasiun Pontianak Kota'!AA150</f>
        <v>11</v>
      </c>
      <c r="AA100" s="131">
        <f>'Stasiun Pontianak Kota'!AB150</f>
        <v>0</v>
      </c>
      <c r="AC100" s="130">
        <v>11</v>
      </c>
      <c r="AD100" s="131">
        <f>'Sta. Meteorologi pnk'!B108</f>
        <v>0</v>
      </c>
      <c r="AE100" s="131">
        <f>'Sta. Meteorologi pnk'!C108</f>
        <v>0</v>
      </c>
      <c r="AF100" s="131">
        <f>'Sta. Meteorologi pnk'!D108</f>
        <v>0</v>
      </c>
      <c r="AG100" s="131">
        <f>'Sta. Meteorologi pnk'!E108</f>
        <v>0</v>
      </c>
      <c r="AH100" s="131">
        <f>'Sta. Meteorologi pnk'!F108</f>
        <v>0</v>
      </c>
      <c r="AI100" s="131">
        <f>'Sta. Meteorologi pnk'!G108</f>
        <v>0</v>
      </c>
      <c r="AJ100" s="131">
        <f>'Sta. Meteorologi pnk'!H108</f>
        <v>0</v>
      </c>
      <c r="AK100" s="131">
        <f>'Sta. Meteorologi pnk'!I108</f>
        <v>0</v>
      </c>
      <c r="AL100" s="131">
        <f>'Sta. Meteorologi pnk'!J108</f>
        <v>0</v>
      </c>
      <c r="AM100" s="131">
        <f>'Sta. Meteorologi pnk'!K108</f>
        <v>0</v>
      </c>
      <c r="AN100" s="131">
        <f>'Sta. Meteorologi pnk'!L108</f>
        <v>20.8</v>
      </c>
      <c r="AO100" s="131">
        <f>'Sta. Meteorologi pnk'!M108</f>
        <v>38.6</v>
      </c>
      <c r="AQ100" s="130">
        <v>11</v>
      </c>
      <c r="AR100" s="131">
        <f t="shared" si="159"/>
        <v>0</v>
      </c>
      <c r="AS100" s="131">
        <f t="shared" si="136"/>
        <v>0.64761059840526247</v>
      </c>
      <c r="AT100" s="131">
        <f t="shared" si="137"/>
        <v>6.4761059840526238</v>
      </c>
      <c r="AU100" s="131">
        <f t="shared" si="138"/>
        <v>0</v>
      </c>
      <c r="AV100" s="131">
        <f t="shared" si="139"/>
        <v>0</v>
      </c>
      <c r="AW100" s="131">
        <f t="shared" si="140"/>
        <v>0</v>
      </c>
      <c r="AX100" s="131">
        <f t="shared" si="141"/>
        <v>0</v>
      </c>
      <c r="AY100" s="131">
        <f t="shared" si="142"/>
        <v>0</v>
      </c>
      <c r="AZ100" s="131">
        <f t="shared" si="143"/>
        <v>0</v>
      </c>
      <c r="BA100" s="131">
        <f t="shared" si="144"/>
        <v>0</v>
      </c>
      <c r="BB100" s="131">
        <f t="shared" si="145"/>
        <v>17.626708067814214</v>
      </c>
      <c r="BC100" s="131">
        <f t="shared" si="146"/>
        <v>26.101115450778437</v>
      </c>
      <c r="BE100" s="130">
        <v>11</v>
      </c>
      <c r="BF100" s="131">
        <f t="shared" si="160"/>
        <v>0</v>
      </c>
      <c r="BG100" s="131">
        <f t="shared" si="147"/>
        <v>0.73467749626877399</v>
      </c>
      <c r="BH100" s="131">
        <f t="shared" si="148"/>
        <v>7.3467749626877392</v>
      </c>
      <c r="BI100" s="131">
        <f t="shared" si="149"/>
        <v>0</v>
      </c>
      <c r="BJ100" s="131">
        <f t="shared" si="150"/>
        <v>0</v>
      </c>
      <c r="BK100" s="131">
        <f t="shared" si="151"/>
        <v>0</v>
      </c>
      <c r="BL100" s="131">
        <f t="shared" si="152"/>
        <v>0</v>
      </c>
      <c r="BM100" s="131">
        <f t="shared" si="153"/>
        <v>0</v>
      </c>
      <c r="BN100" s="131">
        <f t="shared" si="154"/>
        <v>0</v>
      </c>
      <c r="BO100" s="131">
        <f t="shared" si="155"/>
        <v>0</v>
      </c>
      <c r="BP100" s="131">
        <f t="shared" si="156"/>
        <v>17.200080268283006</v>
      </c>
      <c r="BQ100" s="131">
        <f t="shared" si="157"/>
        <v>24.420724322012664</v>
      </c>
    </row>
    <row r="101" spans="1:69">
      <c r="A101" s="130">
        <v>12</v>
      </c>
      <c r="B101" s="131">
        <f t="shared" si="158"/>
        <v>0</v>
      </c>
      <c r="C101" s="131">
        <f t="shared" si="125"/>
        <v>0.67145161553125965</v>
      </c>
      <c r="D101" s="131">
        <f t="shared" si="126"/>
        <v>0</v>
      </c>
      <c r="E101" s="131">
        <f t="shared" si="127"/>
        <v>7.3859677708438571</v>
      </c>
      <c r="F101" s="131">
        <f t="shared" si="128"/>
        <v>33.572580776562987</v>
      </c>
      <c r="G101" s="131">
        <f t="shared" si="129"/>
        <v>0</v>
      </c>
      <c r="H101" s="131">
        <f t="shared" si="130"/>
        <v>0</v>
      </c>
      <c r="I101" s="131">
        <f t="shared" si="131"/>
        <v>0</v>
      </c>
      <c r="J101" s="131">
        <f t="shared" si="132"/>
        <v>0</v>
      </c>
      <c r="K101" s="131">
        <f t="shared" si="133"/>
        <v>6.2401935704625808</v>
      </c>
      <c r="L101" s="131">
        <f t="shared" si="134"/>
        <v>14.348967787137665</v>
      </c>
      <c r="M101" s="131">
        <f t="shared" si="135"/>
        <v>19.603516204194023</v>
      </c>
      <c r="O101" s="130">
        <v>12</v>
      </c>
      <c r="P101" s="131">
        <f>'Stasiun Pontianak Kota'!Q151</f>
        <v>0</v>
      </c>
      <c r="Q101" s="131">
        <f>'Stasiun Pontianak Kota'!R151</f>
        <v>1</v>
      </c>
      <c r="R101" s="131">
        <f>'Stasiun Pontianak Kota'!S151</f>
        <v>0</v>
      </c>
      <c r="S101" s="131">
        <f>'Stasiun Pontianak Kota'!T151</f>
        <v>11</v>
      </c>
      <c r="T101" s="131">
        <f>'Stasiun Pontianak Kota'!U151</f>
        <v>50</v>
      </c>
      <c r="U101" s="131">
        <f>'Stasiun Pontianak Kota'!V151</f>
        <v>0</v>
      </c>
      <c r="V101" s="131">
        <f>'Stasiun Pontianak Kota'!W151</f>
        <v>0</v>
      </c>
      <c r="W101" s="131">
        <f>'Stasiun Pontianak Kota'!X151</f>
        <v>0</v>
      </c>
      <c r="X101" s="131">
        <f>'Stasiun Pontianak Kota'!Y151</f>
        <v>0</v>
      </c>
      <c r="Y101" s="131">
        <f>'Stasiun Pontianak Kota'!Z151</f>
        <v>9</v>
      </c>
      <c r="Z101" s="131">
        <f>'Stasiun Pontianak Kota'!AA151</f>
        <v>20</v>
      </c>
      <c r="AA101" s="131">
        <f>'Stasiun Pontianak Kota'!AB151</f>
        <v>29</v>
      </c>
      <c r="AC101" s="130">
        <v>12</v>
      </c>
      <c r="AD101" s="131">
        <f>'Sta. Meteorologi pnk'!B109</f>
        <v>0</v>
      </c>
      <c r="AE101" s="131">
        <f>'Sta. Meteorologi pnk'!C109</f>
        <v>0</v>
      </c>
      <c r="AF101" s="131">
        <f>'Sta. Meteorologi pnk'!D109</f>
        <v>0</v>
      </c>
      <c r="AG101" s="131">
        <f>'Sta. Meteorologi pnk'!E109</f>
        <v>0</v>
      </c>
      <c r="AH101" s="131">
        <f>'Sta. Meteorologi pnk'!F109</f>
        <v>0</v>
      </c>
      <c r="AI101" s="131">
        <f>'Sta. Meteorologi pnk'!G109</f>
        <v>0</v>
      </c>
      <c r="AJ101" s="131">
        <f>'Sta. Meteorologi pnk'!H109</f>
        <v>0</v>
      </c>
      <c r="AK101" s="131">
        <f>'Sta. Meteorologi pnk'!I109</f>
        <v>0</v>
      </c>
      <c r="AL101" s="131">
        <f>'Sta. Meteorologi pnk'!J109</f>
        <v>0</v>
      </c>
      <c r="AM101" s="131">
        <f>'Sta. Meteorologi pnk'!K109</f>
        <v>0.6</v>
      </c>
      <c r="AN101" s="131">
        <f>'Sta. Meteorologi pnk'!L109</f>
        <v>2.8</v>
      </c>
      <c r="AO101" s="131">
        <f>'Sta. Meteorologi pnk'!M109</f>
        <v>0.4</v>
      </c>
      <c r="AQ101" s="130">
        <v>12</v>
      </c>
      <c r="AR101" s="131">
        <f t="shared" si="159"/>
        <v>0</v>
      </c>
      <c r="AS101" s="131">
        <f t="shared" si="136"/>
        <v>0.32380529920263124</v>
      </c>
      <c r="AT101" s="131">
        <f t="shared" si="137"/>
        <v>0</v>
      </c>
      <c r="AU101" s="131">
        <f t="shared" si="138"/>
        <v>3.5618582912289436</v>
      </c>
      <c r="AV101" s="131">
        <f t="shared" si="139"/>
        <v>16.190264960131561</v>
      </c>
      <c r="AW101" s="131">
        <f t="shared" si="140"/>
        <v>0</v>
      </c>
      <c r="AX101" s="131">
        <f t="shared" si="141"/>
        <v>0</v>
      </c>
      <c r="AY101" s="131">
        <f t="shared" si="142"/>
        <v>0</v>
      </c>
      <c r="AZ101" s="131">
        <f t="shared" si="143"/>
        <v>0</v>
      </c>
      <c r="BA101" s="131">
        <f t="shared" si="144"/>
        <v>3.3199645133021023</v>
      </c>
      <c r="BB101" s="131">
        <f t="shared" si="145"/>
        <v>8.3694511462852574</v>
      </c>
      <c r="BC101" s="131">
        <f t="shared" si="146"/>
        <v>9.6608315571952517</v>
      </c>
      <c r="BE101" s="130">
        <v>12</v>
      </c>
      <c r="BF101" s="131">
        <f t="shared" si="160"/>
        <v>0</v>
      </c>
      <c r="BG101" s="131">
        <f t="shared" si="147"/>
        <v>0.36733874813438699</v>
      </c>
      <c r="BH101" s="131">
        <f t="shared" si="148"/>
        <v>0</v>
      </c>
      <c r="BI101" s="131">
        <f t="shared" si="149"/>
        <v>4.0407262294782571</v>
      </c>
      <c r="BJ101" s="131">
        <f t="shared" si="150"/>
        <v>18.366937406719352</v>
      </c>
      <c r="BK101" s="131">
        <f t="shared" si="151"/>
        <v>0</v>
      </c>
      <c r="BL101" s="131">
        <f t="shared" si="152"/>
        <v>0</v>
      </c>
      <c r="BM101" s="131">
        <f t="shared" si="153"/>
        <v>0</v>
      </c>
      <c r="BN101" s="131">
        <f t="shared" si="154"/>
        <v>0</v>
      </c>
      <c r="BO101" s="131">
        <f t="shared" si="155"/>
        <v>3.6856454843288509</v>
      </c>
      <c r="BP101" s="131">
        <f t="shared" si="156"/>
        <v>9.1182264679114553</v>
      </c>
      <c r="BQ101" s="131">
        <f t="shared" si="157"/>
        <v>10.905888196643467</v>
      </c>
    </row>
    <row r="102" spans="1:69">
      <c r="A102" s="130">
        <v>13</v>
      </c>
      <c r="B102" s="131">
        <f t="shared" si="158"/>
        <v>0</v>
      </c>
      <c r="C102" s="131">
        <f t="shared" si="125"/>
        <v>0</v>
      </c>
      <c r="D102" s="131">
        <f t="shared" si="126"/>
        <v>44.9872582405944</v>
      </c>
      <c r="E102" s="131">
        <f t="shared" si="127"/>
        <v>0</v>
      </c>
      <c r="F102" s="131">
        <f t="shared" si="128"/>
        <v>21.486451697000309</v>
      </c>
      <c r="G102" s="131">
        <f t="shared" si="129"/>
        <v>4.7001613087188172</v>
      </c>
      <c r="H102" s="131">
        <f t="shared" si="130"/>
        <v>0</v>
      </c>
      <c r="I102" s="131">
        <f t="shared" si="131"/>
        <v>12.086129079562673</v>
      </c>
      <c r="J102" s="131">
        <f t="shared" si="132"/>
        <v>0</v>
      </c>
      <c r="K102" s="131">
        <f t="shared" si="133"/>
        <v>0.32854838446874024</v>
      </c>
      <c r="L102" s="131">
        <f t="shared" si="134"/>
        <v>5.5853225359685847</v>
      </c>
      <c r="M102" s="131">
        <f t="shared" si="135"/>
        <v>0</v>
      </c>
      <c r="O102" s="130">
        <v>13</v>
      </c>
      <c r="P102" s="131">
        <f>'Stasiun Pontianak Kota'!Q152</f>
        <v>0</v>
      </c>
      <c r="Q102" s="131">
        <f>'Stasiun Pontianak Kota'!R152</f>
        <v>0</v>
      </c>
      <c r="R102" s="131">
        <f>'Stasiun Pontianak Kota'!S152</f>
        <v>67</v>
      </c>
      <c r="S102" s="131">
        <f>'Stasiun Pontianak Kota'!T152</f>
        <v>0</v>
      </c>
      <c r="T102" s="131">
        <f>'Stasiun Pontianak Kota'!U152</f>
        <v>32</v>
      </c>
      <c r="U102" s="131">
        <f>'Stasiun Pontianak Kota'!V152</f>
        <v>7</v>
      </c>
      <c r="V102" s="131">
        <f>'Stasiun Pontianak Kota'!W152</f>
        <v>0</v>
      </c>
      <c r="W102" s="131">
        <f>'Stasiun Pontianak Kota'!X152</f>
        <v>18</v>
      </c>
      <c r="X102" s="131">
        <f>'Stasiun Pontianak Kota'!Y152</f>
        <v>0</v>
      </c>
      <c r="Y102" s="131">
        <f>'Stasiun Pontianak Kota'!Z152</f>
        <v>0</v>
      </c>
      <c r="Z102" s="131">
        <f>'Stasiun Pontianak Kota'!AA152</f>
        <v>0</v>
      </c>
      <c r="AA102" s="131">
        <f>'Stasiun Pontianak Kota'!AB152</f>
        <v>0</v>
      </c>
      <c r="AC102" s="130">
        <v>13</v>
      </c>
      <c r="AD102" s="131">
        <f>'Sta. Meteorologi pnk'!B110</f>
        <v>0</v>
      </c>
      <c r="AE102" s="131">
        <f>'Sta. Meteorologi pnk'!C110</f>
        <v>0</v>
      </c>
      <c r="AF102" s="131">
        <f>'Sta. Meteorologi pnk'!D110</f>
        <v>0</v>
      </c>
      <c r="AG102" s="131">
        <f>'Sta. Meteorologi pnk'!E110</f>
        <v>0</v>
      </c>
      <c r="AH102" s="131">
        <f>'Sta. Meteorologi pnk'!F110</f>
        <v>0</v>
      </c>
      <c r="AI102" s="131">
        <f>'Sta. Meteorologi pnk'!G110</f>
        <v>0</v>
      </c>
      <c r="AJ102" s="131">
        <f>'Sta. Meteorologi pnk'!H110</f>
        <v>0</v>
      </c>
      <c r="AK102" s="131">
        <f>'Sta. Meteorologi pnk'!I110</f>
        <v>0</v>
      </c>
      <c r="AL102" s="131">
        <f>'Sta. Meteorologi pnk'!J110</f>
        <v>0</v>
      </c>
      <c r="AM102" s="131">
        <f>'Sta. Meteorologi pnk'!K110</f>
        <v>1</v>
      </c>
      <c r="AN102" s="131">
        <f>'Sta. Meteorologi pnk'!L110</f>
        <v>17</v>
      </c>
      <c r="AO102" s="131">
        <f>'Sta. Meteorologi pnk'!M110</f>
        <v>0</v>
      </c>
      <c r="AQ102" s="130">
        <v>13</v>
      </c>
      <c r="AR102" s="131">
        <f t="shared" si="159"/>
        <v>0</v>
      </c>
      <c r="AS102" s="131">
        <f t="shared" si="136"/>
        <v>0</v>
      </c>
      <c r="AT102" s="131">
        <f t="shared" si="137"/>
        <v>21.69495504657629</v>
      </c>
      <c r="AU102" s="131">
        <f t="shared" si="138"/>
        <v>0</v>
      </c>
      <c r="AV102" s="131">
        <f t="shared" si="139"/>
        <v>10.3617695744842</v>
      </c>
      <c r="AW102" s="131">
        <f t="shared" si="140"/>
        <v>2.2666370944184182</v>
      </c>
      <c r="AX102" s="131">
        <f t="shared" si="141"/>
        <v>0</v>
      </c>
      <c r="AY102" s="131">
        <f t="shared" si="142"/>
        <v>5.8284953856473614</v>
      </c>
      <c r="AZ102" s="131">
        <f t="shared" si="143"/>
        <v>0</v>
      </c>
      <c r="BA102" s="131">
        <f t="shared" si="144"/>
        <v>0.67619470079736876</v>
      </c>
      <c r="BB102" s="131">
        <f t="shared" si="145"/>
        <v>11.495309913555268</v>
      </c>
      <c r="BC102" s="131">
        <f t="shared" si="146"/>
        <v>0</v>
      </c>
      <c r="BE102" s="130">
        <v>13</v>
      </c>
      <c r="BF102" s="131">
        <f t="shared" si="160"/>
        <v>0</v>
      </c>
      <c r="BG102" s="131">
        <f t="shared" si="147"/>
        <v>0</v>
      </c>
      <c r="BH102" s="131">
        <f t="shared" si="148"/>
        <v>24.611696125003931</v>
      </c>
      <c r="BI102" s="131">
        <f t="shared" si="149"/>
        <v>0</v>
      </c>
      <c r="BJ102" s="131">
        <f t="shared" si="150"/>
        <v>11.754839940300384</v>
      </c>
      <c r="BK102" s="131">
        <f t="shared" si="151"/>
        <v>2.5713712369407089</v>
      </c>
      <c r="BL102" s="131">
        <f t="shared" si="152"/>
        <v>0</v>
      </c>
      <c r="BM102" s="131">
        <f t="shared" si="153"/>
        <v>6.6120974664189651</v>
      </c>
      <c r="BN102" s="131">
        <f t="shared" si="154"/>
        <v>0</v>
      </c>
      <c r="BO102" s="131">
        <f t="shared" si="155"/>
        <v>0.63266125186561295</v>
      </c>
      <c r="BP102" s="131">
        <f t="shared" si="156"/>
        <v>10.755241281715421</v>
      </c>
      <c r="BQ102" s="131">
        <f t="shared" si="157"/>
        <v>0</v>
      </c>
    </row>
    <row r="103" spans="1:69">
      <c r="A103" s="130">
        <v>14</v>
      </c>
      <c r="B103" s="131">
        <f t="shared" si="158"/>
        <v>0</v>
      </c>
      <c r="C103" s="131">
        <f t="shared" si="125"/>
        <v>0</v>
      </c>
      <c r="D103" s="131">
        <f t="shared" si="126"/>
        <v>0</v>
      </c>
      <c r="E103" s="131">
        <f t="shared" si="127"/>
        <v>0</v>
      </c>
      <c r="F103" s="131">
        <f t="shared" si="128"/>
        <v>10.071774232968895</v>
      </c>
      <c r="G103" s="131">
        <f t="shared" si="129"/>
        <v>0</v>
      </c>
      <c r="H103" s="131">
        <f t="shared" si="130"/>
        <v>0</v>
      </c>
      <c r="I103" s="131">
        <f t="shared" si="131"/>
        <v>0</v>
      </c>
      <c r="J103" s="131">
        <f t="shared" si="132"/>
        <v>0.98564515340622083</v>
      </c>
      <c r="K103" s="131">
        <f t="shared" si="133"/>
        <v>0</v>
      </c>
      <c r="L103" s="131">
        <f t="shared" si="134"/>
        <v>10.203193586756392</v>
      </c>
      <c r="M103" s="131">
        <f t="shared" si="135"/>
        <v>3.6570967689374805</v>
      </c>
      <c r="O103" s="130">
        <v>14</v>
      </c>
      <c r="P103" s="131">
        <f>'Stasiun Pontianak Kota'!Q153</f>
        <v>0</v>
      </c>
      <c r="Q103" s="131">
        <f>'Stasiun Pontianak Kota'!R153</f>
        <v>0</v>
      </c>
      <c r="R103" s="131">
        <f>'Stasiun Pontianak Kota'!S153</f>
        <v>0</v>
      </c>
      <c r="S103" s="131">
        <f>'Stasiun Pontianak Kota'!T153</f>
        <v>0</v>
      </c>
      <c r="T103" s="131">
        <f>'Stasiun Pontianak Kota'!U153</f>
        <v>15</v>
      </c>
      <c r="U103" s="131">
        <f>'Stasiun Pontianak Kota'!V153</f>
        <v>0</v>
      </c>
      <c r="V103" s="131">
        <f>'Stasiun Pontianak Kota'!W153</f>
        <v>0</v>
      </c>
      <c r="W103" s="131">
        <f>'Stasiun Pontianak Kota'!X153</f>
        <v>0</v>
      </c>
      <c r="X103" s="131">
        <f>'Stasiun Pontianak Kota'!Y153</f>
        <v>0</v>
      </c>
      <c r="Y103" s="131">
        <f>'Stasiun Pontianak Kota'!Z153</f>
        <v>0</v>
      </c>
      <c r="Z103" s="131">
        <f>'Stasiun Pontianak Kota'!AA153</f>
        <v>15</v>
      </c>
      <c r="AA103" s="131">
        <f>'Stasiun Pontianak Kota'!AB153</f>
        <v>3</v>
      </c>
      <c r="AC103" s="130">
        <v>14</v>
      </c>
      <c r="AD103" s="131">
        <f>'Sta. Meteorologi pnk'!B111</f>
        <v>0</v>
      </c>
      <c r="AE103" s="131">
        <f>'Sta. Meteorologi pnk'!C111</f>
        <v>0</v>
      </c>
      <c r="AF103" s="131">
        <f>'Sta. Meteorologi pnk'!D111</f>
        <v>0</v>
      </c>
      <c r="AG103" s="131">
        <f>'Sta. Meteorologi pnk'!E111</f>
        <v>0</v>
      </c>
      <c r="AH103" s="131">
        <f>'Sta. Meteorologi pnk'!F111</f>
        <v>0</v>
      </c>
      <c r="AI103" s="131">
        <f>'Sta. Meteorologi pnk'!G111</f>
        <v>0</v>
      </c>
      <c r="AJ103" s="131">
        <f>'Sta. Meteorologi pnk'!H111</f>
        <v>0</v>
      </c>
      <c r="AK103" s="131">
        <f>'Sta. Meteorologi pnk'!I111</f>
        <v>0</v>
      </c>
      <c r="AL103" s="131">
        <f>'Sta. Meteorologi pnk'!J111</f>
        <v>3</v>
      </c>
      <c r="AM103" s="131">
        <f>'Sta. Meteorologi pnk'!K111</f>
        <v>0</v>
      </c>
      <c r="AN103" s="131">
        <f>'Sta. Meteorologi pnk'!L111</f>
        <v>0.4</v>
      </c>
      <c r="AO103" s="131">
        <f>'Sta. Meteorologi pnk'!M111</f>
        <v>5</v>
      </c>
      <c r="AQ103" s="130">
        <v>14</v>
      </c>
      <c r="AR103" s="131">
        <f t="shared" si="159"/>
        <v>0</v>
      </c>
      <c r="AS103" s="131">
        <f t="shared" si="136"/>
        <v>0</v>
      </c>
      <c r="AT103" s="131">
        <f t="shared" si="137"/>
        <v>0</v>
      </c>
      <c r="AU103" s="131">
        <f t="shared" si="138"/>
        <v>0</v>
      </c>
      <c r="AV103" s="131">
        <f t="shared" si="139"/>
        <v>4.8570794880394681</v>
      </c>
      <c r="AW103" s="131">
        <f t="shared" si="140"/>
        <v>0</v>
      </c>
      <c r="AX103" s="131">
        <f t="shared" si="141"/>
        <v>0</v>
      </c>
      <c r="AY103" s="131">
        <f t="shared" si="142"/>
        <v>0</v>
      </c>
      <c r="AZ103" s="131">
        <f t="shared" si="143"/>
        <v>2.0285841023921063</v>
      </c>
      <c r="BA103" s="131">
        <f t="shared" si="144"/>
        <v>0</v>
      </c>
      <c r="BB103" s="131">
        <f t="shared" si="145"/>
        <v>5.1275573683584152</v>
      </c>
      <c r="BC103" s="131">
        <f t="shared" si="146"/>
        <v>4.3523894015947375</v>
      </c>
      <c r="BE103" s="130">
        <v>14</v>
      </c>
      <c r="BF103" s="131">
        <f t="shared" si="160"/>
        <v>0</v>
      </c>
      <c r="BG103" s="131">
        <f t="shared" si="147"/>
        <v>0</v>
      </c>
      <c r="BH103" s="131">
        <f t="shared" si="148"/>
        <v>0</v>
      </c>
      <c r="BI103" s="131">
        <f t="shared" si="149"/>
        <v>0</v>
      </c>
      <c r="BJ103" s="131">
        <f t="shared" si="150"/>
        <v>5.5100812220158053</v>
      </c>
      <c r="BK103" s="131">
        <f t="shared" si="151"/>
        <v>0</v>
      </c>
      <c r="BL103" s="131">
        <f t="shared" si="152"/>
        <v>0</v>
      </c>
      <c r="BM103" s="131">
        <f t="shared" si="153"/>
        <v>0</v>
      </c>
      <c r="BN103" s="131">
        <f t="shared" si="154"/>
        <v>1.8979837555968391</v>
      </c>
      <c r="BO103" s="131">
        <f t="shared" si="155"/>
        <v>0</v>
      </c>
      <c r="BP103" s="131">
        <f t="shared" si="156"/>
        <v>5.7631457227620508</v>
      </c>
      <c r="BQ103" s="131">
        <f t="shared" si="157"/>
        <v>4.2653225037312259</v>
      </c>
    </row>
    <row r="104" spans="1:69">
      <c r="A104" s="130">
        <v>15</v>
      </c>
      <c r="B104" s="131">
        <f t="shared" si="158"/>
        <v>2.4312580450686778</v>
      </c>
      <c r="C104" s="131">
        <f t="shared" si="125"/>
        <v>0</v>
      </c>
      <c r="D104" s="131">
        <f t="shared" si="126"/>
        <v>1.3429032310625193</v>
      </c>
      <c r="E104" s="131">
        <f t="shared" si="127"/>
        <v>0</v>
      </c>
      <c r="F104" s="131">
        <f t="shared" si="128"/>
        <v>11.414677464031413</v>
      </c>
      <c r="G104" s="131">
        <f t="shared" si="129"/>
        <v>53.044677626969509</v>
      </c>
      <c r="H104" s="131">
        <f t="shared" si="130"/>
        <v>0</v>
      </c>
      <c r="I104" s="131">
        <f t="shared" si="131"/>
        <v>0</v>
      </c>
      <c r="J104" s="131">
        <f t="shared" si="132"/>
        <v>0</v>
      </c>
      <c r="K104" s="131">
        <f t="shared" si="133"/>
        <v>29.669225881087772</v>
      </c>
      <c r="L104" s="131">
        <f t="shared" si="134"/>
        <v>0.65709676893748048</v>
      </c>
      <c r="M104" s="131">
        <f t="shared" si="135"/>
        <v>3.32854838446874</v>
      </c>
      <c r="O104" s="130">
        <v>15</v>
      </c>
      <c r="P104" s="131">
        <f>'Stasiun Pontianak Kota'!Q154</f>
        <v>0</v>
      </c>
      <c r="Q104" s="131">
        <f>'Stasiun Pontianak Kota'!R154</f>
        <v>0</v>
      </c>
      <c r="R104" s="131">
        <f>'Stasiun Pontianak Kota'!S154</f>
        <v>2</v>
      </c>
      <c r="S104" s="131">
        <f>'Stasiun Pontianak Kota'!T154</f>
        <v>0</v>
      </c>
      <c r="T104" s="131">
        <f>'Stasiun Pontianak Kota'!U154</f>
        <v>17</v>
      </c>
      <c r="U104" s="131">
        <f>'Stasiun Pontianak Kota'!V154</f>
        <v>79</v>
      </c>
      <c r="V104" s="131">
        <f>'Stasiun Pontianak Kota'!W154</f>
        <v>0</v>
      </c>
      <c r="W104" s="131">
        <f>'Stasiun Pontianak Kota'!X154</f>
        <v>0</v>
      </c>
      <c r="X104" s="131">
        <f>'Stasiun Pontianak Kota'!Y154</f>
        <v>0</v>
      </c>
      <c r="Y104" s="131">
        <f>'Stasiun Pontianak Kota'!Z154</f>
        <v>39</v>
      </c>
      <c r="Z104" s="131">
        <f>'Stasiun Pontianak Kota'!AA154</f>
        <v>0</v>
      </c>
      <c r="AA104" s="131">
        <f>'Stasiun Pontianak Kota'!AB154</f>
        <v>3</v>
      </c>
      <c r="AC104" s="130">
        <v>15</v>
      </c>
      <c r="AD104" s="131">
        <f>'Sta. Meteorologi pnk'!B112</f>
        <v>7.4</v>
      </c>
      <c r="AE104" s="131">
        <f>'Sta. Meteorologi pnk'!C112</f>
        <v>0</v>
      </c>
      <c r="AF104" s="131">
        <f>'Sta. Meteorologi pnk'!D112</f>
        <v>0</v>
      </c>
      <c r="AG104" s="131">
        <f>'Sta. Meteorologi pnk'!E112</f>
        <v>0</v>
      </c>
      <c r="AH104" s="131">
        <f>'Sta. Meteorologi pnk'!F112</f>
        <v>0</v>
      </c>
      <c r="AI104" s="131">
        <f>'Sta. Meteorologi pnk'!G112</f>
        <v>0</v>
      </c>
      <c r="AJ104" s="131">
        <f>'Sta. Meteorologi pnk'!H112</f>
        <v>0</v>
      </c>
      <c r="AK104" s="131">
        <f>'Sta. Meteorologi pnk'!I112</f>
        <v>0</v>
      </c>
      <c r="AL104" s="131">
        <f>'Sta. Meteorologi pnk'!J112</f>
        <v>0</v>
      </c>
      <c r="AM104" s="131">
        <f>'Sta. Meteorologi pnk'!K112</f>
        <v>10.6</v>
      </c>
      <c r="AN104" s="131">
        <f>'Sta. Meteorologi pnk'!L112</f>
        <v>2</v>
      </c>
      <c r="AO104" s="131">
        <f>'Sta. Meteorologi pnk'!M112</f>
        <v>4</v>
      </c>
      <c r="AQ104" s="130">
        <v>15</v>
      </c>
      <c r="AR104" s="131">
        <f t="shared" si="159"/>
        <v>5.0038407859005289</v>
      </c>
      <c r="AS104" s="131">
        <f t="shared" si="136"/>
        <v>0</v>
      </c>
      <c r="AT104" s="131">
        <f t="shared" si="137"/>
        <v>0.64761059840526247</v>
      </c>
      <c r="AU104" s="131">
        <f t="shared" si="138"/>
        <v>0</v>
      </c>
      <c r="AV104" s="131">
        <f t="shared" si="139"/>
        <v>5.5046900864447297</v>
      </c>
      <c r="AW104" s="131">
        <f t="shared" si="140"/>
        <v>25.580618637007866</v>
      </c>
      <c r="AX104" s="131">
        <f t="shared" si="141"/>
        <v>0</v>
      </c>
      <c r="AY104" s="131">
        <f t="shared" si="142"/>
        <v>0</v>
      </c>
      <c r="AZ104" s="131">
        <f t="shared" si="143"/>
        <v>0</v>
      </c>
      <c r="BA104" s="131">
        <f t="shared" si="144"/>
        <v>19.796070497354727</v>
      </c>
      <c r="BB104" s="131">
        <f t="shared" si="145"/>
        <v>1.3523894015947375</v>
      </c>
      <c r="BC104" s="131">
        <f t="shared" si="146"/>
        <v>3.6761947007973688</v>
      </c>
      <c r="BE104" s="130">
        <v>15</v>
      </c>
      <c r="BF104" s="131">
        <f t="shared" si="160"/>
        <v>4.6816932638055366</v>
      </c>
      <c r="BG104" s="131">
        <f t="shared" si="147"/>
        <v>0</v>
      </c>
      <c r="BH104" s="131">
        <f t="shared" si="148"/>
        <v>0.73467749626877399</v>
      </c>
      <c r="BI104" s="131">
        <f t="shared" si="149"/>
        <v>0</v>
      </c>
      <c r="BJ104" s="131">
        <f t="shared" si="150"/>
        <v>6.2447587182845785</v>
      </c>
      <c r="BK104" s="131">
        <f t="shared" si="151"/>
        <v>29.019761102616574</v>
      </c>
      <c r="BL104" s="131">
        <f t="shared" si="152"/>
        <v>0</v>
      </c>
      <c r="BM104" s="131">
        <f t="shared" si="153"/>
        <v>0</v>
      </c>
      <c r="BN104" s="131">
        <f t="shared" si="154"/>
        <v>0</v>
      </c>
      <c r="BO104" s="131">
        <f t="shared" si="155"/>
        <v>21.032420447016591</v>
      </c>
      <c r="BP104" s="131">
        <f t="shared" si="156"/>
        <v>1.2653225037312259</v>
      </c>
      <c r="BQ104" s="131">
        <f t="shared" si="157"/>
        <v>3.632661251865613</v>
      </c>
    </row>
    <row r="105" spans="1:69">
      <c r="A105" s="130">
        <v>16</v>
      </c>
      <c r="B105" s="131">
        <f t="shared" si="158"/>
        <v>9.7371612924250073</v>
      </c>
      <c r="C105" s="131">
        <f t="shared" si="125"/>
        <v>0</v>
      </c>
      <c r="D105" s="131">
        <f t="shared" si="126"/>
        <v>10.071774232968895</v>
      </c>
      <c r="E105" s="131">
        <f t="shared" si="127"/>
        <v>6.0430645397813363</v>
      </c>
      <c r="F105" s="131">
        <f t="shared" si="128"/>
        <v>43.644355009531878</v>
      </c>
      <c r="G105" s="131">
        <f t="shared" si="129"/>
        <v>0</v>
      </c>
      <c r="H105" s="131">
        <f t="shared" si="130"/>
        <v>0</v>
      </c>
      <c r="I105" s="131">
        <f t="shared" si="131"/>
        <v>12.757580695093933</v>
      </c>
      <c r="J105" s="131">
        <f t="shared" si="132"/>
        <v>0</v>
      </c>
      <c r="K105" s="131">
        <f t="shared" si="133"/>
        <v>0</v>
      </c>
      <c r="L105" s="131">
        <f t="shared" si="134"/>
        <v>14.644661333159533</v>
      </c>
      <c r="M105" s="131">
        <f t="shared" si="135"/>
        <v>0.32854838446874024</v>
      </c>
      <c r="O105" s="130">
        <v>16</v>
      </c>
      <c r="P105" s="131">
        <f>'Stasiun Pontianak Kota'!Q155</f>
        <v>10</v>
      </c>
      <c r="Q105" s="131">
        <f>'Stasiun Pontianak Kota'!R155</f>
        <v>0</v>
      </c>
      <c r="R105" s="131">
        <f>'Stasiun Pontianak Kota'!S155</f>
        <v>15</v>
      </c>
      <c r="S105" s="131">
        <f>'Stasiun Pontianak Kota'!T155</f>
        <v>9</v>
      </c>
      <c r="T105" s="131">
        <f>'Stasiun Pontianak Kota'!U155</f>
        <v>65</v>
      </c>
      <c r="U105" s="131">
        <f>'Stasiun Pontianak Kota'!V155</f>
        <v>0</v>
      </c>
      <c r="V105" s="131">
        <f>'Stasiun Pontianak Kota'!W155</f>
        <v>0</v>
      </c>
      <c r="W105" s="131">
        <f>'Stasiun Pontianak Kota'!X155</f>
        <v>19</v>
      </c>
      <c r="X105" s="131">
        <f>'Stasiun Pontianak Kota'!Y155</f>
        <v>0</v>
      </c>
      <c r="Y105" s="131">
        <f>'Stasiun Pontianak Kota'!Z155</f>
        <v>0</v>
      </c>
      <c r="Z105" s="131">
        <f>'Stasiun Pontianak Kota'!AA155</f>
        <v>20</v>
      </c>
      <c r="AA105" s="131">
        <f>'Stasiun Pontianak Kota'!AB155</f>
        <v>0</v>
      </c>
      <c r="AC105" s="130">
        <v>16</v>
      </c>
      <c r="AD105" s="131">
        <f>'Sta. Meteorologi pnk'!B113</f>
        <v>9.1999999999999993</v>
      </c>
      <c r="AE105" s="131">
        <f>'Sta. Meteorologi pnk'!C113</f>
        <v>0</v>
      </c>
      <c r="AF105" s="131">
        <f>'Sta. Meteorologi pnk'!D113</f>
        <v>0</v>
      </c>
      <c r="AG105" s="131">
        <f>'Sta. Meteorologi pnk'!E113</f>
        <v>0</v>
      </c>
      <c r="AH105" s="131">
        <f>'Sta. Meteorologi pnk'!F113</f>
        <v>0</v>
      </c>
      <c r="AI105" s="131">
        <f>'Sta. Meteorologi pnk'!G113</f>
        <v>0</v>
      </c>
      <c r="AJ105" s="131">
        <f>'Sta. Meteorologi pnk'!H113</f>
        <v>0</v>
      </c>
      <c r="AK105" s="131">
        <f>'Sta. Meteorologi pnk'!I113</f>
        <v>0</v>
      </c>
      <c r="AL105" s="131">
        <f>'Sta. Meteorologi pnk'!J113</f>
        <v>0</v>
      </c>
      <c r="AM105" s="131">
        <f>'Sta. Meteorologi pnk'!K113</f>
        <v>0</v>
      </c>
      <c r="AN105" s="131">
        <f>'Sta. Meteorologi pnk'!L113</f>
        <v>3.7</v>
      </c>
      <c r="AO105" s="131">
        <f>'Sta. Meteorologi pnk'!M113</f>
        <v>1</v>
      </c>
      <c r="AQ105" s="130">
        <v>16</v>
      </c>
      <c r="AR105" s="131">
        <f t="shared" si="159"/>
        <v>9.4590442393621039</v>
      </c>
      <c r="AS105" s="131">
        <f t="shared" si="136"/>
        <v>0</v>
      </c>
      <c r="AT105" s="131">
        <f t="shared" si="137"/>
        <v>4.8570794880394681</v>
      </c>
      <c r="AU105" s="131">
        <f t="shared" si="138"/>
        <v>2.9142476928236807</v>
      </c>
      <c r="AV105" s="131">
        <f t="shared" si="139"/>
        <v>21.047344448171028</v>
      </c>
      <c r="AW105" s="131">
        <f t="shared" si="140"/>
        <v>0</v>
      </c>
      <c r="AX105" s="131">
        <f t="shared" si="141"/>
        <v>0</v>
      </c>
      <c r="AY105" s="131">
        <f t="shared" si="142"/>
        <v>6.152300684849993</v>
      </c>
      <c r="AZ105" s="131">
        <f t="shared" si="143"/>
        <v>0</v>
      </c>
      <c r="BA105" s="131">
        <f t="shared" si="144"/>
        <v>0</v>
      </c>
      <c r="BB105" s="131">
        <f t="shared" si="145"/>
        <v>8.9780263770028892</v>
      </c>
      <c r="BC105" s="131">
        <f t="shared" si="146"/>
        <v>0.67619470079736876</v>
      </c>
      <c r="BE105" s="130">
        <v>16</v>
      </c>
      <c r="BF105" s="131">
        <f t="shared" si="160"/>
        <v>9.4938709985075089</v>
      </c>
      <c r="BG105" s="131">
        <f t="shared" si="147"/>
        <v>0</v>
      </c>
      <c r="BH105" s="131">
        <f t="shared" si="148"/>
        <v>5.5100812220158053</v>
      </c>
      <c r="BI105" s="131">
        <f t="shared" si="149"/>
        <v>3.3060487332094826</v>
      </c>
      <c r="BJ105" s="131">
        <f t="shared" si="150"/>
        <v>23.877018628735154</v>
      </c>
      <c r="BK105" s="131">
        <f t="shared" si="151"/>
        <v>0</v>
      </c>
      <c r="BL105" s="131">
        <f t="shared" si="152"/>
        <v>0</v>
      </c>
      <c r="BM105" s="131">
        <f t="shared" si="153"/>
        <v>6.9794362145533526</v>
      </c>
      <c r="BN105" s="131">
        <f t="shared" si="154"/>
        <v>0</v>
      </c>
      <c r="BO105" s="131">
        <f t="shared" si="155"/>
        <v>0</v>
      </c>
      <c r="BP105" s="131">
        <f t="shared" si="156"/>
        <v>9.6876215945905084</v>
      </c>
      <c r="BQ105" s="131">
        <f t="shared" si="157"/>
        <v>0.63266125186561295</v>
      </c>
    </row>
    <row r="106" spans="1:69">
      <c r="A106" s="130">
        <v>17</v>
      </c>
      <c r="B106" s="131">
        <f t="shared" si="158"/>
        <v>19.788516122724975</v>
      </c>
      <c r="C106" s="131">
        <f t="shared" si="125"/>
        <v>0</v>
      </c>
      <c r="D106" s="131">
        <f t="shared" si="126"/>
        <v>0</v>
      </c>
      <c r="E106" s="131">
        <f t="shared" si="127"/>
        <v>0</v>
      </c>
      <c r="F106" s="131">
        <f t="shared" si="128"/>
        <v>0</v>
      </c>
      <c r="G106" s="131">
        <f t="shared" si="129"/>
        <v>0</v>
      </c>
      <c r="H106" s="131">
        <f t="shared" si="130"/>
        <v>0</v>
      </c>
      <c r="I106" s="131">
        <f t="shared" si="131"/>
        <v>0</v>
      </c>
      <c r="J106" s="131">
        <f t="shared" si="132"/>
        <v>0</v>
      </c>
      <c r="K106" s="131">
        <f t="shared" si="133"/>
        <v>0</v>
      </c>
      <c r="L106" s="131">
        <f t="shared" si="134"/>
        <v>47.75980642953742</v>
      </c>
      <c r="M106" s="131">
        <f t="shared" si="135"/>
        <v>0.13141935378749611</v>
      </c>
      <c r="O106" s="130">
        <v>17</v>
      </c>
      <c r="P106" s="131">
        <f>'Stasiun Pontianak Kota'!Q156</f>
        <v>19</v>
      </c>
      <c r="Q106" s="131">
        <f>'Stasiun Pontianak Kota'!R156</f>
        <v>0</v>
      </c>
      <c r="R106" s="131">
        <f>'Stasiun Pontianak Kota'!S156</f>
        <v>0</v>
      </c>
      <c r="S106" s="131">
        <f>'Stasiun Pontianak Kota'!T156</f>
        <v>0</v>
      </c>
      <c r="T106" s="131">
        <f>'Stasiun Pontianak Kota'!U156</f>
        <v>0</v>
      </c>
      <c r="U106" s="131">
        <f>'Stasiun Pontianak Kota'!V156</f>
        <v>0</v>
      </c>
      <c r="V106" s="131">
        <f>'Stasiun Pontianak Kota'!W156</f>
        <v>0</v>
      </c>
      <c r="W106" s="131">
        <f>'Stasiun Pontianak Kota'!X156</f>
        <v>0</v>
      </c>
      <c r="X106" s="131">
        <f>'Stasiun Pontianak Kota'!Y156</f>
        <v>0</v>
      </c>
      <c r="Y106" s="131">
        <f>'Stasiun Pontianak Kota'!Z156</f>
        <v>0</v>
      </c>
      <c r="Z106" s="131">
        <f>'Stasiun Pontianak Kota'!AA156</f>
        <v>45</v>
      </c>
      <c r="AA106" s="131">
        <f>'Stasiun Pontianak Kota'!AB156</f>
        <v>0</v>
      </c>
      <c r="AC106" s="130">
        <v>17</v>
      </c>
      <c r="AD106" s="131">
        <f>'Sta. Meteorologi pnk'!B114</f>
        <v>21.4</v>
      </c>
      <c r="AE106" s="131">
        <f>'Sta. Meteorologi pnk'!C114</f>
        <v>0</v>
      </c>
      <c r="AF106" s="131">
        <f>'Sta. Meteorologi pnk'!D114</f>
        <v>0</v>
      </c>
      <c r="AG106" s="131">
        <f>'Sta. Meteorologi pnk'!E114</f>
        <v>0</v>
      </c>
      <c r="AH106" s="131">
        <f>'Sta. Meteorologi pnk'!F114</f>
        <v>0</v>
      </c>
      <c r="AI106" s="131">
        <f>'Sta. Meteorologi pnk'!G114</f>
        <v>0</v>
      </c>
      <c r="AJ106" s="131">
        <f>'Sta. Meteorologi pnk'!H114</f>
        <v>0</v>
      </c>
      <c r="AK106" s="131">
        <f>'Sta. Meteorologi pnk'!I114</f>
        <v>0</v>
      </c>
      <c r="AL106" s="131">
        <f>'Sta. Meteorologi pnk'!J114</f>
        <v>0</v>
      </c>
      <c r="AM106" s="131">
        <f>'Sta. Meteorologi pnk'!K114</f>
        <v>0</v>
      </c>
      <c r="AN106" s="131">
        <f>'Sta. Meteorologi pnk'!L114</f>
        <v>53.4</v>
      </c>
      <c r="AO106" s="131">
        <f>'Sta. Meteorologi pnk'!M114</f>
        <v>0.4</v>
      </c>
      <c r="AQ106" s="130">
        <v>17</v>
      </c>
      <c r="AR106" s="131">
        <f t="shared" si="159"/>
        <v>20.622867281913685</v>
      </c>
      <c r="AS106" s="131">
        <f t="shared" si="136"/>
        <v>0</v>
      </c>
      <c r="AT106" s="131">
        <f t="shared" si="137"/>
        <v>0</v>
      </c>
      <c r="AU106" s="131">
        <f t="shared" si="138"/>
        <v>0</v>
      </c>
      <c r="AV106" s="131">
        <f t="shared" si="139"/>
        <v>0</v>
      </c>
      <c r="AW106" s="131">
        <f t="shared" si="140"/>
        <v>0</v>
      </c>
      <c r="AX106" s="131">
        <f t="shared" si="141"/>
        <v>0</v>
      </c>
      <c r="AY106" s="131">
        <f t="shared" si="142"/>
        <v>0</v>
      </c>
      <c r="AZ106" s="131">
        <f t="shared" si="143"/>
        <v>0</v>
      </c>
      <c r="BA106" s="131">
        <f t="shared" si="144"/>
        <v>0</v>
      </c>
      <c r="BB106" s="131">
        <f t="shared" si="145"/>
        <v>50.680035486697896</v>
      </c>
      <c r="BC106" s="131">
        <f t="shared" si="146"/>
        <v>0.27047788031894748</v>
      </c>
      <c r="BE106" s="130">
        <v>17</v>
      </c>
      <c r="BF106" s="131">
        <f t="shared" si="160"/>
        <v>20.518387004477471</v>
      </c>
      <c r="BG106" s="131">
        <f t="shared" si="147"/>
        <v>0</v>
      </c>
      <c r="BH106" s="131">
        <f t="shared" si="148"/>
        <v>0</v>
      </c>
      <c r="BI106" s="131">
        <f t="shared" si="149"/>
        <v>0</v>
      </c>
      <c r="BJ106" s="131">
        <f t="shared" si="150"/>
        <v>0</v>
      </c>
      <c r="BK106" s="131">
        <f t="shared" si="151"/>
        <v>0</v>
      </c>
      <c r="BL106" s="131">
        <f t="shared" si="152"/>
        <v>0</v>
      </c>
      <c r="BM106" s="131">
        <f t="shared" si="153"/>
        <v>0</v>
      </c>
      <c r="BN106" s="131">
        <f t="shared" si="154"/>
        <v>0</v>
      </c>
      <c r="BO106" s="131">
        <f t="shared" si="155"/>
        <v>0</v>
      </c>
      <c r="BP106" s="131">
        <f t="shared" si="156"/>
        <v>50.314354515671148</v>
      </c>
      <c r="BQ106" s="131">
        <f t="shared" si="157"/>
        <v>0.2530645007462452</v>
      </c>
    </row>
    <row r="107" spans="1:69">
      <c r="A107" s="130">
        <v>18</v>
      </c>
      <c r="B107" s="131">
        <f t="shared" si="158"/>
        <v>5.1253547977123484</v>
      </c>
      <c r="C107" s="131">
        <f t="shared" si="125"/>
        <v>7.3859677708438571</v>
      </c>
      <c r="D107" s="131">
        <f t="shared" si="126"/>
        <v>0</v>
      </c>
      <c r="E107" s="131">
        <f t="shared" si="127"/>
        <v>0</v>
      </c>
      <c r="F107" s="131">
        <f t="shared" si="128"/>
        <v>5.3716129242500772</v>
      </c>
      <c r="G107" s="131">
        <f t="shared" si="129"/>
        <v>0</v>
      </c>
      <c r="H107" s="131">
        <f t="shared" si="130"/>
        <v>0</v>
      </c>
      <c r="I107" s="131">
        <f t="shared" si="131"/>
        <v>2.6858064621250386</v>
      </c>
      <c r="J107" s="131">
        <f t="shared" si="132"/>
        <v>0</v>
      </c>
      <c r="K107" s="131">
        <f t="shared" si="133"/>
        <v>0</v>
      </c>
      <c r="L107" s="131">
        <f t="shared" si="134"/>
        <v>0.4271128998093624</v>
      </c>
      <c r="M107" s="131">
        <f t="shared" si="135"/>
        <v>4.5996773825623638</v>
      </c>
      <c r="O107" s="130">
        <v>18</v>
      </c>
      <c r="P107" s="131">
        <f>'Stasiun Pontianak Kota'!Q157</f>
        <v>0</v>
      </c>
      <c r="Q107" s="131">
        <f>'Stasiun Pontianak Kota'!R157</f>
        <v>11</v>
      </c>
      <c r="R107" s="131">
        <f>'Stasiun Pontianak Kota'!S157</f>
        <v>0</v>
      </c>
      <c r="S107" s="131">
        <f>'Stasiun Pontianak Kota'!T157</f>
        <v>0</v>
      </c>
      <c r="T107" s="131">
        <f>'Stasiun Pontianak Kota'!U157</f>
        <v>8</v>
      </c>
      <c r="U107" s="131">
        <f>'Stasiun Pontianak Kota'!V157</f>
        <v>0</v>
      </c>
      <c r="V107" s="131">
        <f>'Stasiun Pontianak Kota'!W157</f>
        <v>0</v>
      </c>
      <c r="W107" s="131">
        <f>'Stasiun Pontianak Kota'!X157</f>
        <v>4</v>
      </c>
      <c r="X107" s="131">
        <f>'Stasiun Pontianak Kota'!Y157</f>
        <v>0</v>
      </c>
      <c r="Y107" s="131">
        <f>'Stasiun Pontianak Kota'!Z157</f>
        <v>0</v>
      </c>
      <c r="Z107" s="131">
        <f>'Stasiun Pontianak Kota'!AA157</f>
        <v>0</v>
      </c>
      <c r="AA107" s="131">
        <f>'Stasiun Pontianak Kota'!AB157</f>
        <v>0</v>
      </c>
      <c r="AC107" s="130">
        <v>18</v>
      </c>
      <c r="AD107" s="131">
        <f>'Sta. Meteorologi pnk'!B115</f>
        <v>15.6</v>
      </c>
      <c r="AE107" s="131">
        <f>'Sta. Meteorologi pnk'!C115</f>
        <v>0</v>
      </c>
      <c r="AF107" s="131">
        <f>'Sta. Meteorologi pnk'!D115</f>
        <v>0</v>
      </c>
      <c r="AG107" s="131">
        <f>'Sta. Meteorologi pnk'!E115</f>
        <v>0</v>
      </c>
      <c r="AH107" s="131">
        <f>'Sta. Meteorologi pnk'!F115</f>
        <v>0</v>
      </c>
      <c r="AI107" s="131">
        <f>'Sta. Meteorologi pnk'!G115</f>
        <v>0</v>
      </c>
      <c r="AJ107" s="131">
        <f>'Sta. Meteorologi pnk'!H115</f>
        <v>0</v>
      </c>
      <c r="AK107" s="131">
        <f>'Sta. Meteorologi pnk'!I115</f>
        <v>0</v>
      </c>
      <c r="AL107" s="131">
        <f>'Sta. Meteorologi pnk'!J115</f>
        <v>0</v>
      </c>
      <c r="AM107" s="131">
        <f>'Sta. Meteorologi pnk'!K115</f>
        <v>0</v>
      </c>
      <c r="AN107" s="131">
        <f>'Sta. Meteorologi pnk'!L115</f>
        <v>1.3</v>
      </c>
      <c r="AO107" s="131">
        <f>'Sta. Meteorologi pnk'!M115</f>
        <v>14</v>
      </c>
      <c r="AQ107" s="130">
        <v>18</v>
      </c>
      <c r="AR107" s="131">
        <f t="shared" si="159"/>
        <v>10.54863733243895</v>
      </c>
      <c r="AS107" s="131">
        <f t="shared" si="136"/>
        <v>3.5618582912289436</v>
      </c>
      <c r="AT107" s="131">
        <f t="shared" si="137"/>
        <v>0</v>
      </c>
      <c r="AU107" s="131">
        <f t="shared" si="138"/>
        <v>0</v>
      </c>
      <c r="AV107" s="131">
        <f t="shared" si="139"/>
        <v>2.5904423936210499</v>
      </c>
      <c r="AW107" s="131">
        <f t="shared" si="140"/>
        <v>0</v>
      </c>
      <c r="AX107" s="131">
        <f t="shared" si="141"/>
        <v>0</v>
      </c>
      <c r="AY107" s="131">
        <f t="shared" si="142"/>
        <v>1.2952211968105249</v>
      </c>
      <c r="AZ107" s="131">
        <f t="shared" si="143"/>
        <v>0</v>
      </c>
      <c r="BA107" s="131">
        <f t="shared" si="144"/>
        <v>0</v>
      </c>
      <c r="BB107" s="131">
        <f t="shared" si="145"/>
        <v>0.87905311103657935</v>
      </c>
      <c r="BC107" s="131">
        <f t="shared" si="146"/>
        <v>9.4667258111631618</v>
      </c>
      <c r="BE107" s="130">
        <v>18</v>
      </c>
      <c r="BF107" s="131">
        <f t="shared" si="160"/>
        <v>9.8695155291035626</v>
      </c>
      <c r="BG107" s="131">
        <f t="shared" si="147"/>
        <v>4.0407262294782571</v>
      </c>
      <c r="BH107" s="131">
        <f t="shared" si="148"/>
        <v>0</v>
      </c>
      <c r="BI107" s="131">
        <f t="shared" si="149"/>
        <v>0</v>
      </c>
      <c r="BJ107" s="131">
        <f t="shared" si="150"/>
        <v>2.938709985075096</v>
      </c>
      <c r="BK107" s="131">
        <f t="shared" si="151"/>
        <v>0</v>
      </c>
      <c r="BL107" s="131">
        <f t="shared" si="152"/>
        <v>0</v>
      </c>
      <c r="BM107" s="131">
        <f t="shared" si="153"/>
        <v>1.469354992537548</v>
      </c>
      <c r="BN107" s="131">
        <f t="shared" si="154"/>
        <v>0</v>
      </c>
      <c r="BO107" s="131">
        <f t="shared" si="155"/>
        <v>0</v>
      </c>
      <c r="BP107" s="131">
        <f t="shared" si="156"/>
        <v>0.82245962742529699</v>
      </c>
      <c r="BQ107" s="131">
        <f t="shared" si="157"/>
        <v>8.8572575261185822</v>
      </c>
    </row>
    <row r="108" spans="1:69">
      <c r="A108" s="130">
        <v>19</v>
      </c>
      <c r="B108" s="131">
        <f t="shared" si="158"/>
        <v>52.958854871034497</v>
      </c>
      <c r="C108" s="131">
        <f t="shared" si="125"/>
        <v>26.858064621250385</v>
      </c>
      <c r="D108" s="131">
        <f t="shared" si="126"/>
        <v>0</v>
      </c>
      <c r="E108" s="131">
        <f t="shared" si="127"/>
        <v>0</v>
      </c>
      <c r="F108" s="131">
        <f t="shared" si="128"/>
        <v>0</v>
      </c>
      <c r="G108" s="131">
        <f t="shared" si="129"/>
        <v>0</v>
      </c>
      <c r="H108" s="131">
        <f t="shared" si="130"/>
        <v>0</v>
      </c>
      <c r="I108" s="131">
        <f t="shared" si="131"/>
        <v>0</v>
      </c>
      <c r="J108" s="131">
        <f t="shared" si="132"/>
        <v>0</v>
      </c>
      <c r="K108" s="131">
        <f t="shared" si="133"/>
        <v>0.45996773825623638</v>
      </c>
      <c r="L108" s="131">
        <f t="shared" si="134"/>
        <v>2.0800645234875268</v>
      </c>
      <c r="M108" s="131">
        <f t="shared" si="135"/>
        <v>3.0883548140061587</v>
      </c>
      <c r="O108" s="130">
        <v>19</v>
      </c>
      <c r="P108" s="131">
        <f>'Stasiun Pontianak Kota'!Q158</f>
        <v>57</v>
      </c>
      <c r="Q108" s="131">
        <f>'Stasiun Pontianak Kota'!R158</f>
        <v>40</v>
      </c>
      <c r="R108" s="131">
        <f>'Stasiun Pontianak Kota'!S158</f>
        <v>0</v>
      </c>
      <c r="S108" s="131">
        <f>'Stasiun Pontianak Kota'!T158</f>
        <v>0</v>
      </c>
      <c r="T108" s="131">
        <f>'Stasiun Pontianak Kota'!U158</f>
        <v>0</v>
      </c>
      <c r="U108" s="131">
        <f>'Stasiun Pontianak Kota'!V158</f>
        <v>0</v>
      </c>
      <c r="V108" s="131">
        <f>'Stasiun Pontianak Kota'!W158</f>
        <v>0</v>
      </c>
      <c r="W108" s="131">
        <f>'Stasiun Pontianak Kota'!X158</f>
        <v>0</v>
      </c>
      <c r="X108" s="131">
        <f>'Stasiun Pontianak Kota'!Y158</f>
        <v>0</v>
      </c>
      <c r="Y108" s="131">
        <f>'Stasiun Pontianak Kota'!Z158</f>
        <v>0</v>
      </c>
      <c r="Z108" s="131">
        <f>'Stasiun Pontianak Kota'!AA158</f>
        <v>3</v>
      </c>
      <c r="AA108" s="131">
        <f>'Stasiun Pontianak Kota'!AB158</f>
        <v>0</v>
      </c>
      <c r="AC108" s="130">
        <v>19</v>
      </c>
      <c r="AD108" s="131">
        <f>'Sta. Meteorologi pnk'!B116</f>
        <v>44.7</v>
      </c>
      <c r="AE108" s="131">
        <f>'Sta. Meteorologi pnk'!C116</f>
        <v>0</v>
      </c>
      <c r="AF108" s="131">
        <f>'Sta. Meteorologi pnk'!D116</f>
        <v>0</v>
      </c>
      <c r="AG108" s="131">
        <f>'Sta. Meteorologi pnk'!E116</f>
        <v>0</v>
      </c>
      <c r="AH108" s="131">
        <f>'Sta. Meteorologi pnk'!F116</f>
        <v>0</v>
      </c>
      <c r="AI108" s="131">
        <f>'Sta. Meteorologi pnk'!G116</f>
        <v>0</v>
      </c>
      <c r="AJ108" s="131">
        <f>'Sta. Meteorologi pnk'!H116</f>
        <v>0</v>
      </c>
      <c r="AK108" s="131">
        <f>'Sta. Meteorologi pnk'!I116</f>
        <v>0</v>
      </c>
      <c r="AL108" s="131">
        <f>'Sta. Meteorologi pnk'!J116</f>
        <v>0</v>
      </c>
      <c r="AM108" s="131">
        <f>'Sta. Meteorologi pnk'!K116</f>
        <v>1.4</v>
      </c>
      <c r="AN108" s="131">
        <f>'Sta. Meteorologi pnk'!L116</f>
        <v>0.2</v>
      </c>
      <c r="AO108" s="131">
        <f>'Sta. Meteorologi pnk'!M116</f>
        <v>9.4</v>
      </c>
      <c r="AQ108" s="130">
        <v>19</v>
      </c>
      <c r="AR108" s="131">
        <f t="shared" si="159"/>
        <v>48.682805180192361</v>
      </c>
      <c r="AS108" s="131">
        <f t="shared" si="136"/>
        <v>12.952211968105248</v>
      </c>
      <c r="AT108" s="131">
        <f t="shared" si="137"/>
        <v>0</v>
      </c>
      <c r="AU108" s="131">
        <f t="shared" si="138"/>
        <v>0</v>
      </c>
      <c r="AV108" s="131">
        <f t="shared" si="139"/>
        <v>0</v>
      </c>
      <c r="AW108" s="131">
        <f t="shared" si="140"/>
        <v>0</v>
      </c>
      <c r="AX108" s="131">
        <f t="shared" si="141"/>
        <v>0</v>
      </c>
      <c r="AY108" s="131">
        <f t="shared" si="142"/>
        <v>0</v>
      </c>
      <c r="AZ108" s="131">
        <f t="shared" si="143"/>
        <v>0</v>
      </c>
      <c r="BA108" s="131">
        <f t="shared" si="144"/>
        <v>0.94667258111631614</v>
      </c>
      <c r="BB108" s="131">
        <f t="shared" si="145"/>
        <v>1.1066548377673673</v>
      </c>
      <c r="BC108" s="131">
        <f t="shared" si="146"/>
        <v>6.3562301874952656</v>
      </c>
      <c r="BE108" s="130">
        <v>19</v>
      </c>
      <c r="BF108" s="131">
        <f t="shared" si="160"/>
        <v>49.218266602052957</v>
      </c>
      <c r="BG108" s="131">
        <f t="shared" si="147"/>
        <v>14.693549925375478</v>
      </c>
      <c r="BH108" s="131">
        <f t="shared" si="148"/>
        <v>0</v>
      </c>
      <c r="BI108" s="131">
        <f t="shared" si="149"/>
        <v>0</v>
      </c>
      <c r="BJ108" s="131">
        <f t="shared" si="150"/>
        <v>0</v>
      </c>
      <c r="BK108" s="131">
        <f t="shared" si="151"/>
        <v>0</v>
      </c>
      <c r="BL108" s="131">
        <f t="shared" si="152"/>
        <v>0</v>
      </c>
      <c r="BM108" s="131">
        <f t="shared" si="153"/>
        <v>0</v>
      </c>
      <c r="BN108" s="131">
        <f t="shared" si="154"/>
        <v>0</v>
      </c>
      <c r="BO108" s="131">
        <f t="shared" si="155"/>
        <v>0.88572575261185815</v>
      </c>
      <c r="BP108" s="131">
        <f t="shared" si="156"/>
        <v>1.2285484947762835</v>
      </c>
      <c r="BQ108" s="131">
        <f t="shared" si="157"/>
        <v>5.9470157675367616</v>
      </c>
    </row>
    <row r="109" spans="1:69">
      <c r="A109" s="130">
        <v>20</v>
      </c>
      <c r="B109" s="131">
        <f t="shared" si="158"/>
        <v>0.67145161553125965</v>
      </c>
      <c r="C109" s="131">
        <f t="shared" si="125"/>
        <v>4.7001613087188172</v>
      </c>
      <c r="D109" s="131">
        <f t="shared" si="126"/>
        <v>0</v>
      </c>
      <c r="E109" s="131">
        <f t="shared" si="127"/>
        <v>4.0287096931875581</v>
      </c>
      <c r="F109" s="131">
        <f t="shared" si="128"/>
        <v>0</v>
      </c>
      <c r="G109" s="131">
        <f t="shared" si="129"/>
        <v>0</v>
      </c>
      <c r="H109" s="131">
        <f t="shared" si="130"/>
        <v>0</v>
      </c>
      <c r="I109" s="131">
        <f t="shared" si="131"/>
        <v>3.3572580776562981</v>
      </c>
      <c r="J109" s="131">
        <f t="shared" si="132"/>
        <v>4.6714516155312591</v>
      </c>
      <c r="K109" s="131">
        <f t="shared" si="133"/>
        <v>0</v>
      </c>
      <c r="L109" s="131">
        <f t="shared" si="134"/>
        <v>7.975435452071757</v>
      </c>
      <c r="M109" s="131">
        <f t="shared" si="135"/>
        <v>11.414677464031413</v>
      </c>
      <c r="O109" s="130">
        <v>20</v>
      </c>
      <c r="P109" s="131">
        <f>'Stasiun Pontianak Kota'!Q159</f>
        <v>1</v>
      </c>
      <c r="Q109" s="131">
        <f>'Stasiun Pontianak Kota'!R159</f>
        <v>7</v>
      </c>
      <c r="R109" s="131">
        <f>'Stasiun Pontianak Kota'!S159</f>
        <v>0</v>
      </c>
      <c r="S109" s="131">
        <f>'Stasiun Pontianak Kota'!T159</f>
        <v>6</v>
      </c>
      <c r="T109" s="131">
        <f>'Stasiun Pontianak Kota'!U159</f>
        <v>0</v>
      </c>
      <c r="U109" s="131">
        <f>'Stasiun Pontianak Kota'!V159</f>
        <v>0</v>
      </c>
      <c r="V109" s="131">
        <f>'Stasiun Pontianak Kota'!W159</f>
        <v>0</v>
      </c>
      <c r="W109" s="131">
        <f>'Stasiun Pontianak Kota'!X159</f>
        <v>5</v>
      </c>
      <c r="X109" s="131">
        <f>'Stasiun Pontianak Kota'!Y159</f>
        <v>5</v>
      </c>
      <c r="Y109" s="131">
        <f>'Stasiun Pontianak Kota'!Z159</f>
        <v>0</v>
      </c>
      <c r="Z109" s="131">
        <f>'Stasiun Pontianak Kota'!AA159</f>
        <v>4</v>
      </c>
      <c r="AA109" s="131">
        <f>'Stasiun Pontianak Kota'!AB159</f>
        <v>17</v>
      </c>
      <c r="AC109" s="130">
        <v>20</v>
      </c>
      <c r="AD109" s="131">
        <f>'Sta. Meteorologi pnk'!B117</f>
        <v>0</v>
      </c>
      <c r="AE109" s="131">
        <f>'Sta. Meteorologi pnk'!C117</f>
        <v>0</v>
      </c>
      <c r="AF109" s="131">
        <f>'Sta. Meteorologi pnk'!D117</f>
        <v>0</v>
      </c>
      <c r="AG109" s="131">
        <f>'Sta. Meteorologi pnk'!E117</f>
        <v>0</v>
      </c>
      <c r="AH109" s="131">
        <f>'Sta. Meteorologi pnk'!F117</f>
        <v>0</v>
      </c>
      <c r="AI109" s="131">
        <f>'Sta. Meteorologi pnk'!G117</f>
        <v>0</v>
      </c>
      <c r="AJ109" s="131">
        <f>'Sta. Meteorologi pnk'!H117</f>
        <v>0</v>
      </c>
      <c r="AK109" s="131">
        <f>'Sta. Meteorologi pnk'!I117</f>
        <v>0</v>
      </c>
      <c r="AL109" s="131">
        <f>'Sta. Meteorologi pnk'!J117</f>
        <v>4</v>
      </c>
      <c r="AM109" s="131">
        <f>'Sta. Meteorologi pnk'!K117</f>
        <v>0</v>
      </c>
      <c r="AN109" s="131">
        <f>'Sta. Meteorologi pnk'!L117</f>
        <v>16.100000000000001</v>
      </c>
      <c r="AO109" s="131">
        <f>'Sta. Meteorologi pnk'!M117</f>
        <v>0</v>
      </c>
      <c r="AQ109" s="130">
        <v>20</v>
      </c>
      <c r="AR109" s="131">
        <f t="shared" si="159"/>
        <v>0.32380529920263124</v>
      </c>
      <c r="AS109" s="131">
        <f t="shared" si="136"/>
        <v>2.2666370944184182</v>
      </c>
      <c r="AT109" s="131">
        <f t="shared" si="137"/>
        <v>0</v>
      </c>
      <c r="AU109" s="131">
        <f t="shared" si="138"/>
        <v>1.942831795215787</v>
      </c>
      <c r="AV109" s="131">
        <f t="shared" si="139"/>
        <v>0</v>
      </c>
      <c r="AW109" s="131">
        <f t="shared" si="140"/>
        <v>0</v>
      </c>
      <c r="AX109" s="131">
        <f t="shared" si="141"/>
        <v>0</v>
      </c>
      <c r="AY109" s="131">
        <f t="shared" si="142"/>
        <v>1.619026496013156</v>
      </c>
      <c r="AZ109" s="131">
        <f t="shared" si="143"/>
        <v>4.3238052992026308</v>
      </c>
      <c r="BA109" s="131">
        <f t="shared" si="144"/>
        <v>0</v>
      </c>
      <c r="BB109" s="131">
        <f t="shared" si="145"/>
        <v>12.181955879648163</v>
      </c>
      <c r="BC109" s="131">
        <f t="shared" si="146"/>
        <v>5.5046900864447297</v>
      </c>
      <c r="BE109" s="130">
        <v>20</v>
      </c>
      <c r="BF109" s="131">
        <f t="shared" si="160"/>
        <v>0.36733874813438699</v>
      </c>
      <c r="BG109" s="131">
        <f t="shared" si="147"/>
        <v>2.5713712369407089</v>
      </c>
      <c r="BH109" s="131">
        <f t="shared" si="148"/>
        <v>0</v>
      </c>
      <c r="BI109" s="131">
        <f t="shared" si="149"/>
        <v>2.2040324888063219</v>
      </c>
      <c r="BJ109" s="131">
        <f t="shared" si="150"/>
        <v>0</v>
      </c>
      <c r="BK109" s="131">
        <f t="shared" si="151"/>
        <v>0</v>
      </c>
      <c r="BL109" s="131">
        <f t="shared" si="152"/>
        <v>0</v>
      </c>
      <c r="BM109" s="131">
        <f t="shared" si="153"/>
        <v>1.8366937406719348</v>
      </c>
      <c r="BN109" s="131">
        <f t="shared" si="154"/>
        <v>4.3673387481343875</v>
      </c>
      <c r="BO109" s="131">
        <f t="shared" si="155"/>
        <v>0</v>
      </c>
      <c r="BP109" s="131">
        <f t="shared" si="156"/>
        <v>11.655201147573917</v>
      </c>
      <c r="BQ109" s="131">
        <f t="shared" si="157"/>
        <v>6.2447587182845785</v>
      </c>
    </row>
    <row r="110" spans="1:69">
      <c r="A110" s="130">
        <v>21</v>
      </c>
      <c r="B110" s="131">
        <f t="shared" si="158"/>
        <v>8.1767096280123184</v>
      </c>
      <c r="C110" s="131">
        <f t="shared" si="125"/>
        <v>0</v>
      </c>
      <c r="D110" s="131">
        <f t="shared" si="126"/>
        <v>0</v>
      </c>
      <c r="E110" s="131">
        <f t="shared" si="127"/>
        <v>0</v>
      </c>
      <c r="F110" s="131">
        <f t="shared" si="128"/>
        <v>0</v>
      </c>
      <c r="G110" s="131">
        <f t="shared" si="129"/>
        <v>0</v>
      </c>
      <c r="H110" s="131">
        <f t="shared" si="130"/>
        <v>20.815000081469051</v>
      </c>
      <c r="I110" s="131">
        <f t="shared" si="131"/>
        <v>0</v>
      </c>
      <c r="J110" s="131">
        <f t="shared" si="132"/>
        <v>2.7843709774656609</v>
      </c>
      <c r="K110" s="131">
        <f t="shared" si="133"/>
        <v>0</v>
      </c>
      <c r="L110" s="131">
        <f t="shared" si="134"/>
        <v>7.8851612272497666</v>
      </c>
      <c r="M110" s="131">
        <f t="shared" si="135"/>
        <v>0</v>
      </c>
      <c r="O110" s="130">
        <v>21</v>
      </c>
      <c r="P110" s="131">
        <f>'Stasiun Pontianak Kota'!Q160</f>
        <v>2</v>
      </c>
      <c r="Q110" s="131">
        <f>'Stasiun Pontianak Kota'!R160</f>
        <v>0</v>
      </c>
      <c r="R110" s="131">
        <f>'Stasiun Pontianak Kota'!S160</f>
        <v>0</v>
      </c>
      <c r="S110" s="131">
        <f>'Stasiun Pontianak Kota'!T160</f>
        <v>0</v>
      </c>
      <c r="T110" s="131">
        <f>'Stasiun Pontianak Kota'!U160</f>
        <v>0</v>
      </c>
      <c r="U110" s="131">
        <f>'Stasiun Pontianak Kota'!V160</f>
        <v>0</v>
      </c>
      <c r="V110" s="131">
        <f>'Stasiun Pontianak Kota'!W160</f>
        <v>31</v>
      </c>
      <c r="W110" s="131">
        <f>'Stasiun Pontianak Kota'!X160</f>
        <v>0</v>
      </c>
      <c r="X110" s="131">
        <f>'Stasiun Pontianak Kota'!Y160</f>
        <v>4</v>
      </c>
      <c r="Y110" s="131">
        <f>'Stasiun Pontianak Kota'!Z160</f>
        <v>0</v>
      </c>
      <c r="Z110" s="131">
        <f>'Stasiun Pontianak Kota'!AA160</f>
        <v>0</v>
      </c>
      <c r="AA110" s="131">
        <f>'Stasiun Pontianak Kota'!AB160</f>
        <v>0</v>
      </c>
      <c r="AC110" s="130">
        <v>21</v>
      </c>
      <c r="AD110" s="131">
        <f>'Sta. Meteorologi pnk'!B118</f>
        <v>20.8</v>
      </c>
      <c r="AE110" s="131">
        <f>'Sta. Meteorologi pnk'!C118</f>
        <v>0</v>
      </c>
      <c r="AF110" s="131">
        <f>'Sta. Meteorologi pnk'!D118</f>
        <v>0</v>
      </c>
      <c r="AG110" s="131">
        <f>'Sta. Meteorologi pnk'!E118</f>
        <v>0</v>
      </c>
      <c r="AH110" s="131">
        <f>'Sta. Meteorologi pnk'!F118</f>
        <v>0</v>
      </c>
      <c r="AI110" s="131">
        <f>'Sta. Meteorologi pnk'!G118</f>
        <v>0</v>
      </c>
      <c r="AJ110" s="131">
        <f>'Sta. Meteorologi pnk'!H118</f>
        <v>0</v>
      </c>
      <c r="AK110" s="131">
        <f>'Sta. Meteorologi pnk'!I118</f>
        <v>0</v>
      </c>
      <c r="AL110" s="131">
        <f>'Sta. Meteorologi pnk'!J118</f>
        <v>0.3</v>
      </c>
      <c r="AM110" s="131">
        <f>'Sta. Meteorologi pnk'!K118</f>
        <v>0</v>
      </c>
      <c r="AN110" s="131">
        <f>'Sta. Meteorologi pnk'!L118</f>
        <v>24</v>
      </c>
      <c r="AO110" s="131">
        <f>'Sta. Meteorologi pnk'!M118</f>
        <v>0</v>
      </c>
      <c r="AQ110" s="130">
        <v>21</v>
      </c>
      <c r="AR110" s="131">
        <f t="shared" si="159"/>
        <v>14.712460374990531</v>
      </c>
      <c r="AS110" s="131">
        <f t="shared" si="136"/>
        <v>0</v>
      </c>
      <c r="AT110" s="131">
        <f t="shared" si="137"/>
        <v>0</v>
      </c>
      <c r="AU110" s="131">
        <f t="shared" si="138"/>
        <v>0</v>
      </c>
      <c r="AV110" s="131">
        <f t="shared" si="139"/>
        <v>0</v>
      </c>
      <c r="AW110" s="131">
        <f t="shared" si="140"/>
        <v>0</v>
      </c>
      <c r="AX110" s="131">
        <f t="shared" si="141"/>
        <v>10.037964275281567</v>
      </c>
      <c r="AY110" s="131">
        <f t="shared" si="142"/>
        <v>0</v>
      </c>
      <c r="AZ110" s="131">
        <f t="shared" si="143"/>
        <v>1.4980796070497355</v>
      </c>
      <c r="BA110" s="131">
        <f t="shared" si="144"/>
        <v>0</v>
      </c>
      <c r="BB110" s="131">
        <f t="shared" si="145"/>
        <v>16.22867281913685</v>
      </c>
      <c r="BC110" s="131">
        <f t="shared" si="146"/>
        <v>0</v>
      </c>
      <c r="BE110" s="130">
        <v>21</v>
      </c>
      <c r="BF110" s="131">
        <f t="shared" si="160"/>
        <v>13.894031535073525</v>
      </c>
      <c r="BG110" s="131">
        <f t="shared" si="147"/>
        <v>0</v>
      </c>
      <c r="BH110" s="131">
        <f t="shared" si="148"/>
        <v>0</v>
      </c>
      <c r="BI110" s="131">
        <f t="shared" si="149"/>
        <v>0</v>
      </c>
      <c r="BJ110" s="131">
        <f t="shared" si="150"/>
        <v>0</v>
      </c>
      <c r="BK110" s="131">
        <f t="shared" si="151"/>
        <v>0</v>
      </c>
      <c r="BL110" s="131">
        <f t="shared" si="152"/>
        <v>11.387501192165997</v>
      </c>
      <c r="BM110" s="131">
        <f t="shared" si="153"/>
        <v>0</v>
      </c>
      <c r="BN110" s="131">
        <f t="shared" si="154"/>
        <v>1.6591533680972319</v>
      </c>
      <c r="BO110" s="131">
        <f t="shared" si="155"/>
        <v>0</v>
      </c>
      <c r="BP110" s="131">
        <f t="shared" si="156"/>
        <v>15.183870044774713</v>
      </c>
      <c r="BQ110" s="131">
        <f t="shared" si="157"/>
        <v>0</v>
      </c>
    </row>
    <row r="111" spans="1:69">
      <c r="A111" s="130">
        <v>22</v>
      </c>
      <c r="B111" s="131">
        <f t="shared" si="158"/>
        <v>0.67145161553125965</v>
      </c>
      <c r="C111" s="131">
        <f t="shared" si="125"/>
        <v>0</v>
      </c>
      <c r="D111" s="131">
        <f t="shared" si="126"/>
        <v>0</v>
      </c>
      <c r="E111" s="131">
        <f t="shared" si="127"/>
        <v>0</v>
      </c>
      <c r="F111" s="131">
        <f t="shared" si="128"/>
        <v>1.3429032310625193</v>
      </c>
      <c r="G111" s="131">
        <f t="shared" si="129"/>
        <v>0</v>
      </c>
      <c r="H111" s="131">
        <f t="shared" si="130"/>
        <v>0</v>
      </c>
      <c r="I111" s="131">
        <f t="shared" si="131"/>
        <v>0</v>
      </c>
      <c r="J111" s="131">
        <f t="shared" si="132"/>
        <v>0</v>
      </c>
      <c r="K111" s="131">
        <f t="shared" si="133"/>
        <v>0</v>
      </c>
      <c r="L111" s="131">
        <f t="shared" si="134"/>
        <v>0.13141935378749611</v>
      </c>
      <c r="M111" s="131">
        <f t="shared" si="135"/>
        <v>0</v>
      </c>
      <c r="O111" s="130">
        <v>22</v>
      </c>
      <c r="P111" s="131">
        <f>'Stasiun Pontianak Kota'!Q161</f>
        <v>1</v>
      </c>
      <c r="Q111" s="131">
        <f>'Stasiun Pontianak Kota'!R161</f>
        <v>0</v>
      </c>
      <c r="R111" s="131">
        <f>'Stasiun Pontianak Kota'!S161</f>
        <v>0</v>
      </c>
      <c r="S111" s="131">
        <f>'Stasiun Pontianak Kota'!T161</f>
        <v>0</v>
      </c>
      <c r="T111" s="131">
        <f>'Stasiun Pontianak Kota'!U161</f>
        <v>2</v>
      </c>
      <c r="U111" s="131">
        <f>'Stasiun Pontianak Kota'!V161</f>
        <v>0</v>
      </c>
      <c r="V111" s="131">
        <f>'Stasiun Pontianak Kota'!W161</f>
        <v>0</v>
      </c>
      <c r="W111" s="131">
        <f>'Stasiun Pontianak Kota'!X161</f>
        <v>0</v>
      </c>
      <c r="X111" s="131">
        <f>'Stasiun Pontianak Kota'!Y161</f>
        <v>0</v>
      </c>
      <c r="Y111" s="131">
        <f>'Stasiun Pontianak Kota'!Z161</f>
        <v>0</v>
      </c>
      <c r="Z111" s="131">
        <f>'Stasiun Pontianak Kota'!AA161</f>
        <v>0</v>
      </c>
      <c r="AA111" s="131">
        <f>'Stasiun Pontianak Kota'!AB161</f>
        <v>0</v>
      </c>
      <c r="AC111" s="130">
        <v>22</v>
      </c>
      <c r="AD111" s="131">
        <f>'Sta. Meteorologi pnk'!B119</f>
        <v>0</v>
      </c>
      <c r="AE111" s="131">
        <f>'Sta. Meteorologi pnk'!C119</f>
        <v>0</v>
      </c>
      <c r="AF111" s="131">
        <f>'Sta. Meteorologi pnk'!D119</f>
        <v>0</v>
      </c>
      <c r="AG111" s="131">
        <f>'Sta. Meteorologi pnk'!E119</f>
        <v>0</v>
      </c>
      <c r="AH111" s="131">
        <f>'Sta. Meteorologi pnk'!F119</f>
        <v>0</v>
      </c>
      <c r="AI111" s="131">
        <f>'Sta. Meteorologi pnk'!G119</f>
        <v>0</v>
      </c>
      <c r="AJ111" s="131">
        <f>'Sta. Meteorologi pnk'!H119</f>
        <v>0</v>
      </c>
      <c r="AK111" s="131">
        <f>'Sta. Meteorologi pnk'!I119</f>
        <v>0</v>
      </c>
      <c r="AL111" s="131">
        <f>'Sta. Meteorologi pnk'!J119</f>
        <v>0</v>
      </c>
      <c r="AM111" s="131">
        <f>'Sta. Meteorologi pnk'!K119</f>
        <v>0</v>
      </c>
      <c r="AN111" s="131">
        <f>'Sta. Meteorologi pnk'!L119</f>
        <v>0.4</v>
      </c>
      <c r="AO111" s="131">
        <f>'Sta. Meteorologi pnk'!M119</f>
        <v>0</v>
      </c>
      <c r="AQ111" s="130">
        <v>22</v>
      </c>
      <c r="AR111" s="131">
        <f t="shared" si="159"/>
        <v>0.32380529920263124</v>
      </c>
      <c r="AS111" s="131">
        <f t="shared" si="136"/>
        <v>0</v>
      </c>
      <c r="AT111" s="131">
        <f t="shared" si="137"/>
        <v>0</v>
      </c>
      <c r="AU111" s="131">
        <f t="shared" si="138"/>
        <v>0</v>
      </c>
      <c r="AV111" s="131">
        <f t="shared" si="139"/>
        <v>0.64761059840526247</v>
      </c>
      <c r="AW111" s="131">
        <f t="shared" si="140"/>
        <v>0</v>
      </c>
      <c r="AX111" s="131">
        <f t="shared" si="141"/>
        <v>0</v>
      </c>
      <c r="AY111" s="131">
        <f t="shared" si="142"/>
        <v>0</v>
      </c>
      <c r="AZ111" s="131">
        <f t="shared" si="143"/>
        <v>0</v>
      </c>
      <c r="BA111" s="131">
        <f t="shared" si="144"/>
        <v>0</v>
      </c>
      <c r="BB111" s="131">
        <f t="shared" si="145"/>
        <v>0.27047788031894748</v>
      </c>
      <c r="BC111" s="131">
        <f t="shared" si="146"/>
        <v>0</v>
      </c>
      <c r="BE111" s="130">
        <v>22</v>
      </c>
      <c r="BF111" s="131">
        <f t="shared" si="160"/>
        <v>0.36733874813438699</v>
      </c>
      <c r="BG111" s="131">
        <f t="shared" si="147"/>
        <v>0</v>
      </c>
      <c r="BH111" s="131">
        <f t="shared" si="148"/>
        <v>0</v>
      </c>
      <c r="BI111" s="131">
        <f t="shared" si="149"/>
        <v>0</v>
      </c>
      <c r="BJ111" s="131">
        <f t="shared" si="150"/>
        <v>0.73467749626877399</v>
      </c>
      <c r="BK111" s="131">
        <f t="shared" si="151"/>
        <v>0</v>
      </c>
      <c r="BL111" s="131">
        <f t="shared" si="152"/>
        <v>0</v>
      </c>
      <c r="BM111" s="131">
        <f t="shared" si="153"/>
        <v>0</v>
      </c>
      <c r="BN111" s="131">
        <f t="shared" si="154"/>
        <v>0</v>
      </c>
      <c r="BO111" s="131">
        <f t="shared" si="155"/>
        <v>0</v>
      </c>
      <c r="BP111" s="131">
        <f t="shared" si="156"/>
        <v>0.2530645007462452</v>
      </c>
      <c r="BQ111" s="131">
        <f t="shared" si="157"/>
        <v>0</v>
      </c>
    </row>
    <row r="112" spans="1:69">
      <c r="A112" s="130">
        <v>23</v>
      </c>
      <c r="B112" s="131">
        <f t="shared" si="158"/>
        <v>33.572580776562987</v>
      </c>
      <c r="C112" s="131">
        <f t="shared" si="125"/>
        <v>0</v>
      </c>
      <c r="D112" s="131">
        <f t="shared" si="126"/>
        <v>0</v>
      </c>
      <c r="E112" s="131">
        <f t="shared" si="127"/>
        <v>0</v>
      </c>
      <c r="F112" s="131">
        <f t="shared" si="128"/>
        <v>16.786290388281493</v>
      </c>
      <c r="G112" s="131">
        <f t="shared" si="129"/>
        <v>0</v>
      </c>
      <c r="H112" s="131">
        <f t="shared" si="130"/>
        <v>0</v>
      </c>
      <c r="I112" s="131">
        <f t="shared" si="131"/>
        <v>0</v>
      </c>
      <c r="J112" s="131">
        <f t="shared" si="132"/>
        <v>0</v>
      </c>
      <c r="K112" s="131">
        <f t="shared" si="133"/>
        <v>18.860290355693873</v>
      </c>
      <c r="L112" s="131">
        <f t="shared" si="134"/>
        <v>0.8542257996187248</v>
      </c>
      <c r="M112" s="131">
        <f t="shared" si="135"/>
        <v>0</v>
      </c>
      <c r="O112" s="130">
        <v>23</v>
      </c>
      <c r="P112" s="131">
        <f>'Stasiun Pontianak Kota'!Q162</f>
        <v>50</v>
      </c>
      <c r="Q112" s="131">
        <f>'Stasiun Pontianak Kota'!R162</f>
        <v>0</v>
      </c>
      <c r="R112" s="131">
        <f>'Stasiun Pontianak Kota'!S162</f>
        <v>0</v>
      </c>
      <c r="S112" s="131">
        <f>'Stasiun Pontianak Kota'!T162</f>
        <v>0</v>
      </c>
      <c r="T112" s="131">
        <f>'Stasiun Pontianak Kota'!U162</f>
        <v>25</v>
      </c>
      <c r="U112" s="131">
        <f>'Stasiun Pontianak Kota'!V162</f>
        <v>0</v>
      </c>
      <c r="V112" s="131">
        <f>'Stasiun Pontianak Kota'!W162</f>
        <v>0</v>
      </c>
      <c r="W112" s="131">
        <f>'Stasiun Pontianak Kota'!X162</f>
        <v>0</v>
      </c>
      <c r="X112" s="131">
        <f>'Stasiun Pontianak Kota'!Y162</f>
        <v>0</v>
      </c>
      <c r="Y112" s="131">
        <f>'Stasiun Pontianak Kota'!Z162</f>
        <v>23</v>
      </c>
      <c r="Z112" s="131">
        <f>'Stasiun Pontianak Kota'!AA162</f>
        <v>0</v>
      </c>
      <c r="AA112" s="131">
        <f>'Stasiun Pontianak Kota'!AB162</f>
        <v>0</v>
      </c>
      <c r="AC112" s="130">
        <v>23</v>
      </c>
      <c r="AD112" s="131">
        <f>'Sta. Meteorologi pnk'!B120</f>
        <v>0</v>
      </c>
      <c r="AE112" s="131">
        <f>'Sta. Meteorologi pnk'!C120</f>
        <v>0</v>
      </c>
      <c r="AF112" s="131">
        <f>'Sta. Meteorologi pnk'!D120</f>
        <v>0</v>
      </c>
      <c r="AG112" s="131">
        <f>'Sta. Meteorologi pnk'!E120</f>
        <v>0</v>
      </c>
      <c r="AH112" s="131">
        <f>'Sta. Meteorologi pnk'!F120</f>
        <v>0</v>
      </c>
      <c r="AI112" s="131">
        <f>'Sta. Meteorologi pnk'!G120</f>
        <v>0</v>
      </c>
      <c r="AJ112" s="131">
        <f>'Sta. Meteorologi pnk'!H120</f>
        <v>0</v>
      </c>
      <c r="AK112" s="131">
        <f>'Sta. Meteorologi pnk'!I120</f>
        <v>0</v>
      </c>
      <c r="AL112" s="131">
        <f>'Sta. Meteorologi pnk'!J120</f>
        <v>0</v>
      </c>
      <c r="AM112" s="131">
        <f>'Sta. Meteorologi pnk'!K120</f>
        <v>10.4</v>
      </c>
      <c r="AN112" s="131">
        <f>'Sta. Meteorologi pnk'!L120</f>
        <v>2.6</v>
      </c>
      <c r="AO112" s="131">
        <f>'Sta. Meteorologi pnk'!M120</f>
        <v>0</v>
      </c>
      <c r="AQ112" s="130">
        <v>23</v>
      </c>
      <c r="AR112" s="131">
        <f t="shared" si="159"/>
        <v>16.190264960131561</v>
      </c>
      <c r="AS112" s="131">
        <f t="shared" si="136"/>
        <v>0</v>
      </c>
      <c r="AT112" s="131">
        <f t="shared" si="137"/>
        <v>0</v>
      </c>
      <c r="AU112" s="131">
        <f t="shared" si="138"/>
        <v>0</v>
      </c>
      <c r="AV112" s="131">
        <f t="shared" si="139"/>
        <v>8.0951324800657805</v>
      </c>
      <c r="AW112" s="131">
        <f t="shared" si="140"/>
        <v>0</v>
      </c>
      <c r="AX112" s="131">
        <f t="shared" si="141"/>
        <v>0</v>
      </c>
      <c r="AY112" s="131">
        <f t="shared" si="142"/>
        <v>0</v>
      </c>
      <c r="AZ112" s="131">
        <f t="shared" si="143"/>
        <v>0</v>
      </c>
      <c r="BA112" s="131">
        <f t="shared" si="144"/>
        <v>14.479946769953152</v>
      </c>
      <c r="BB112" s="131">
        <f t="shared" si="145"/>
        <v>1.7581062220731587</v>
      </c>
      <c r="BC112" s="131">
        <f t="shared" si="146"/>
        <v>0</v>
      </c>
      <c r="BE112" s="130">
        <v>23</v>
      </c>
      <c r="BF112" s="131">
        <f t="shared" si="160"/>
        <v>18.366937406719352</v>
      </c>
      <c r="BG112" s="131">
        <f t="shared" si="147"/>
        <v>0</v>
      </c>
      <c r="BH112" s="131">
        <f t="shared" si="148"/>
        <v>0</v>
      </c>
      <c r="BI112" s="131">
        <f t="shared" si="149"/>
        <v>0</v>
      </c>
      <c r="BJ112" s="131">
        <f t="shared" si="150"/>
        <v>9.1834687033596758</v>
      </c>
      <c r="BK112" s="131">
        <f t="shared" si="151"/>
        <v>0</v>
      </c>
      <c r="BL112" s="131">
        <f t="shared" si="152"/>
        <v>0</v>
      </c>
      <c r="BM112" s="131">
        <f t="shared" si="153"/>
        <v>0</v>
      </c>
      <c r="BN112" s="131">
        <f t="shared" si="154"/>
        <v>0</v>
      </c>
      <c r="BO112" s="131">
        <f t="shared" si="155"/>
        <v>15.028468226493278</v>
      </c>
      <c r="BP112" s="131">
        <f t="shared" si="156"/>
        <v>1.644919254850594</v>
      </c>
      <c r="BQ112" s="131">
        <f t="shared" si="157"/>
        <v>0</v>
      </c>
    </row>
    <row r="113" spans="1:70">
      <c r="A113" s="130">
        <v>24</v>
      </c>
      <c r="B113" s="131">
        <f t="shared" si="158"/>
        <v>0</v>
      </c>
      <c r="C113" s="131">
        <f t="shared" si="125"/>
        <v>0</v>
      </c>
      <c r="D113" s="131">
        <f t="shared" si="126"/>
        <v>0</v>
      </c>
      <c r="E113" s="131">
        <f t="shared" si="127"/>
        <v>0</v>
      </c>
      <c r="F113" s="131">
        <f t="shared" si="128"/>
        <v>12.086129079562673</v>
      </c>
      <c r="G113" s="131">
        <f t="shared" si="129"/>
        <v>0</v>
      </c>
      <c r="H113" s="131">
        <f t="shared" si="130"/>
        <v>0</v>
      </c>
      <c r="I113" s="131">
        <f t="shared" si="131"/>
        <v>0</v>
      </c>
      <c r="J113" s="131">
        <f t="shared" si="132"/>
        <v>0</v>
      </c>
      <c r="K113" s="131">
        <f t="shared" si="133"/>
        <v>45.757580695093935</v>
      </c>
      <c r="L113" s="131">
        <f t="shared" si="134"/>
        <v>1.248483860981213</v>
      </c>
      <c r="M113" s="131">
        <f t="shared" si="135"/>
        <v>0.19712903068124416</v>
      </c>
      <c r="O113" s="130">
        <v>24</v>
      </c>
      <c r="P113" s="131">
        <f>'Stasiun Pontianak Kota'!Q163</f>
        <v>0</v>
      </c>
      <c r="Q113" s="131">
        <f>'Stasiun Pontianak Kota'!R163</f>
        <v>0</v>
      </c>
      <c r="R113" s="131">
        <f>'Stasiun Pontianak Kota'!S163</f>
        <v>0</v>
      </c>
      <c r="S113" s="131">
        <f>'Stasiun Pontianak Kota'!T163</f>
        <v>0</v>
      </c>
      <c r="T113" s="131">
        <f>'Stasiun Pontianak Kota'!U163</f>
        <v>18</v>
      </c>
      <c r="U113" s="131">
        <f>'Stasiun Pontianak Kota'!V163</f>
        <v>0</v>
      </c>
      <c r="V113" s="131">
        <f>'Stasiun Pontianak Kota'!W163</f>
        <v>0</v>
      </c>
      <c r="W113" s="131">
        <f>'Stasiun Pontianak Kota'!X163</f>
        <v>0</v>
      </c>
      <c r="X113" s="131">
        <f>'Stasiun Pontianak Kota'!Y163</f>
        <v>0</v>
      </c>
      <c r="Y113" s="131">
        <f>'Stasiun Pontianak Kota'!Z163</f>
        <v>52</v>
      </c>
      <c r="Z113" s="131">
        <f>'Stasiun Pontianak Kota'!AA163</f>
        <v>0</v>
      </c>
      <c r="AA113" s="131">
        <f>'Stasiun Pontianak Kota'!AB163</f>
        <v>0</v>
      </c>
      <c r="AC113" s="130">
        <v>24</v>
      </c>
      <c r="AD113" s="131">
        <f>'Sta. Meteorologi pnk'!B121</f>
        <v>0</v>
      </c>
      <c r="AE113" s="131">
        <f>'Sta. Meteorologi pnk'!C121</f>
        <v>0</v>
      </c>
      <c r="AF113" s="131">
        <f>'Sta. Meteorologi pnk'!D121</f>
        <v>0</v>
      </c>
      <c r="AG113" s="131">
        <f>'Sta. Meteorologi pnk'!E121</f>
        <v>0</v>
      </c>
      <c r="AH113" s="131">
        <f>'Sta. Meteorologi pnk'!F121</f>
        <v>0</v>
      </c>
      <c r="AI113" s="131">
        <f>'Sta. Meteorologi pnk'!G121</f>
        <v>0</v>
      </c>
      <c r="AJ113" s="131">
        <f>'Sta. Meteorologi pnk'!H121</f>
        <v>0</v>
      </c>
      <c r="AK113" s="131">
        <f>'Sta. Meteorologi pnk'!I121</f>
        <v>0</v>
      </c>
      <c r="AL113" s="131">
        <f>'Sta. Meteorologi pnk'!J121</f>
        <v>0</v>
      </c>
      <c r="AM113" s="131">
        <f>'Sta. Meteorologi pnk'!K121</f>
        <v>33</v>
      </c>
      <c r="AN113" s="131">
        <f>'Sta. Meteorologi pnk'!L121</f>
        <v>3.8</v>
      </c>
      <c r="AO113" s="131">
        <f>'Sta. Meteorologi pnk'!M121</f>
        <v>0.6</v>
      </c>
      <c r="AQ113" s="130">
        <v>24</v>
      </c>
      <c r="AR113" s="131">
        <f t="shared" si="159"/>
        <v>0</v>
      </c>
      <c r="AS113" s="131">
        <f t="shared" si="136"/>
        <v>0</v>
      </c>
      <c r="AT113" s="131">
        <f t="shared" si="137"/>
        <v>0</v>
      </c>
      <c r="AU113" s="131">
        <f t="shared" si="138"/>
        <v>0</v>
      </c>
      <c r="AV113" s="131">
        <f t="shared" si="139"/>
        <v>5.8284953856473614</v>
      </c>
      <c r="AW113" s="131">
        <f t="shared" si="140"/>
        <v>0</v>
      </c>
      <c r="AX113" s="131">
        <f t="shared" si="141"/>
        <v>0</v>
      </c>
      <c r="AY113" s="131">
        <f t="shared" si="142"/>
        <v>0</v>
      </c>
      <c r="AZ113" s="131">
        <f t="shared" si="143"/>
        <v>0</v>
      </c>
      <c r="BA113" s="131">
        <f t="shared" si="144"/>
        <v>39.15230068484999</v>
      </c>
      <c r="BB113" s="131">
        <f t="shared" si="145"/>
        <v>2.569539863030001</v>
      </c>
      <c r="BC113" s="131">
        <f t="shared" si="146"/>
        <v>0.40571682047842123</v>
      </c>
      <c r="BE113" s="130">
        <v>24</v>
      </c>
      <c r="BF113" s="131">
        <f t="shared" si="160"/>
        <v>0</v>
      </c>
      <c r="BG113" s="131">
        <f t="shared" si="147"/>
        <v>0</v>
      </c>
      <c r="BH113" s="131">
        <f t="shared" si="148"/>
        <v>0</v>
      </c>
      <c r="BI113" s="131">
        <f t="shared" si="149"/>
        <v>0</v>
      </c>
      <c r="BJ113" s="131">
        <f t="shared" si="150"/>
        <v>6.6120974664189651</v>
      </c>
      <c r="BK113" s="131">
        <f t="shared" si="151"/>
        <v>0</v>
      </c>
      <c r="BL113" s="131">
        <f t="shared" si="152"/>
        <v>0</v>
      </c>
      <c r="BM113" s="131">
        <f t="shared" si="153"/>
        <v>0</v>
      </c>
      <c r="BN113" s="131">
        <f t="shared" si="154"/>
        <v>0</v>
      </c>
      <c r="BO113" s="131">
        <f t="shared" si="155"/>
        <v>39.979436214553353</v>
      </c>
      <c r="BP113" s="131">
        <f t="shared" si="156"/>
        <v>2.4041127570893295</v>
      </c>
      <c r="BQ113" s="131">
        <f t="shared" si="157"/>
        <v>0.37959675111936775</v>
      </c>
    </row>
    <row r="114" spans="1:70">
      <c r="A114" s="130">
        <v>25</v>
      </c>
      <c r="B114" s="131">
        <f t="shared" si="158"/>
        <v>30.878790347546968</v>
      </c>
      <c r="C114" s="131">
        <f t="shared" si="125"/>
        <v>0</v>
      </c>
      <c r="D114" s="131">
        <f t="shared" si="126"/>
        <v>0</v>
      </c>
      <c r="E114" s="131">
        <f t="shared" si="127"/>
        <v>0</v>
      </c>
      <c r="F114" s="131">
        <f t="shared" si="128"/>
        <v>0</v>
      </c>
      <c r="G114" s="131">
        <f t="shared" si="129"/>
        <v>0</v>
      </c>
      <c r="H114" s="131">
        <f t="shared" si="130"/>
        <v>6.7145161553125963</v>
      </c>
      <c r="I114" s="131">
        <f t="shared" si="131"/>
        <v>0</v>
      </c>
      <c r="J114" s="131">
        <f t="shared" si="132"/>
        <v>0</v>
      </c>
      <c r="K114" s="131">
        <f t="shared" si="133"/>
        <v>0</v>
      </c>
      <c r="L114" s="131">
        <f t="shared" si="134"/>
        <v>0</v>
      </c>
      <c r="M114" s="131">
        <f t="shared" si="135"/>
        <v>0</v>
      </c>
      <c r="O114" s="130">
        <v>25</v>
      </c>
      <c r="P114" s="131">
        <f>'Stasiun Pontianak Kota'!Q164</f>
        <v>34</v>
      </c>
      <c r="Q114" s="131">
        <f>'Stasiun Pontianak Kota'!R164</f>
        <v>0</v>
      </c>
      <c r="R114" s="131">
        <f>'Stasiun Pontianak Kota'!S164</f>
        <v>0</v>
      </c>
      <c r="S114" s="131">
        <f>'Stasiun Pontianak Kota'!T164</f>
        <v>0</v>
      </c>
      <c r="T114" s="131">
        <f>'Stasiun Pontianak Kota'!U164</f>
        <v>0</v>
      </c>
      <c r="U114" s="131">
        <f>'Stasiun Pontianak Kota'!V164</f>
        <v>0</v>
      </c>
      <c r="V114" s="131">
        <f>'Stasiun Pontianak Kota'!W164</f>
        <v>10</v>
      </c>
      <c r="W114" s="131">
        <f>'Stasiun Pontianak Kota'!X164</f>
        <v>0</v>
      </c>
      <c r="X114" s="131">
        <f>'Stasiun Pontianak Kota'!Y164</f>
        <v>0</v>
      </c>
      <c r="Y114" s="131">
        <f>'Stasiun Pontianak Kota'!Z164</f>
        <v>0</v>
      </c>
      <c r="Z114" s="131">
        <f>'Stasiun Pontianak Kota'!AA164</f>
        <v>0</v>
      </c>
      <c r="AA114" s="131">
        <f>'Stasiun Pontianak Kota'!AB164</f>
        <v>0</v>
      </c>
      <c r="AC114" s="130">
        <v>25</v>
      </c>
      <c r="AD114" s="131">
        <f>'Sta. Meteorologi pnk'!B122</f>
        <v>24.5</v>
      </c>
      <c r="AE114" s="131">
        <f>'Sta. Meteorologi pnk'!C122</f>
        <v>0</v>
      </c>
      <c r="AF114" s="131">
        <f>'Sta. Meteorologi pnk'!D122</f>
        <v>0</v>
      </c>
      <c r="AG114" s="131">
        <f>'Sta. Meteorologi pnk'!E122</f>
        <v>0</v>
      </c>
      <c r="AH114" s="131">
        <f>'Sta. Meteorologi pnk'!F122</f>
        <v>0</v>
      </c>
      <c r="AI114" s="131">
        <f>'Sta. Meteorologi pnk'!G122</f>
        <v>0</v>
      </c>
      <c r="AJ114" s="131">
        <f>'Sta. Meteorologi pnk'!H122</f>
        <v>0</v>
      </c>
      <c r="AK114" s="131">
        <f>'Sta. Meteorologi pnk'!I122</f>
        <v>0</v>
      </c>
      <c r="AL114" s="131">
        <f>'Sta. Meteorologi pnk'!J122</f>
        <v>0</v>
      </c>
      <c r="AM114" s="131">
        <f>'Sta. Meteorologi pnk'!K122</f>
        <v>0</v>
      </c>
      <c r="AN114" s="131">
        <f>'Sta. Meteorologi pnk'!L122</f>
        <v>0</v>
      </c>
      <c r="AO114" s="131">
        <f>'Sta. Meteorologi pnk'!M122</f>
        <v>0</v>
      </c>
      <c r="AQ114" s="130">
        <v>25</v>
      </c>
      <c r="AR114" s="131">
        <f t="shared" si="159"/>
        <v>27.576150342424995</v>
      </c>
      <c r="AS114" s="131">
        <f t="shared" si="136"/>
        <v>0</v>
      </c>
      <c r="AT114" s="131">
        <f t="shared" si="137"/>
        <v>0</v>
      </c>
      <c r="AU114" s="131">
        <f t="shared" si="138"/>
        <v>0</v>
      </c>
      <c r="AV114" s="131">
        <f t="shared" si="139"/>
        <v>0</v>
      </c>
      <c r="AW114" s="131">
        <f t="shared" si="140"/>
        <v>0</v>
      </c>
      <c r="AX114" s="131">
        <f t="shared" si="141"/>
        <v>3.2380529920263119</v>
      </c>
      <c r="AY114" s="131">
        <f t="shared" si="142"/>
        <v>0</v>
      </c>
      <c r="AZ114" s="131">
        <f t="shared" si="143"/>
        <v>0</v>
      </c>
      <c r="BA114" s="131">
        <f t="shared" si="144"/>
        <v>0</v>
      </c>
      <c r="BB114" s="131">
        <f t="shared" si="145"/>
        <v>0</v>
      </c>
      <c r="BC114" s="131">
        <f t="shared" si="146"/>
        <v>0</v>
      </c>
      <c r="BE114" s="130">
        <v>25</v>
      </c>
      <c r="BF114" s="131">
        <f t="shared" si="160"/>
        <v>27.98971810727668</v>
      </c>
      <c r="BG114" s="131">
        <f t="shared" si="147"/>
        <v>0</v>
      </c>
      <c r="BH114" s="131">
        <f t="shared" si="148"/>
        <v>0</v>
      </c>
      <c r="BI114" s="131">
        <f t="shared" si="149"/>
        <v>0</v>
      </c>
      <c r="BJ114" s="131">
        <f t="shared" si="150"/>
        <v>0</v>
      </c>
      <c r="BK114" s="131">
        <f t="shared" si="151"/>
        <v>0</v>
      </c>
      <c r="BL114" s="131">
        <f t="shared" si="152"/>
        <v>3.6733874813438696</v>
      </c>
      <c r="BM114" s="131">
        <f t="shared" si="153"/>
        <v>0</v>
      </c>
      <c r="BN114" s="131">
        <f t="shared" si="154"/>
        <v>0</v>
      </c>
      <c r="BO114" s="131">
        <f t="shared" si="155"/>
        <v>0</v>
      </c>
      <c r="BP114" s="131">
        <f t="shared" si="156"/>
        <v>0</v>
      </c>
      <c r="BQ114" s="131">
        <f t="shared" si="157"/>
        <v>0</v>
      </c>
    </row>
    <row r="115" spans="1:70">
      <c r="A115" s="130">
        <v>26</v>
      </c>
      <c r="B115" s="131">
        <f t="shared" si="158"/>
        <v>3.2854838446874028E-2</v>
      </c>
      <c r="C115" s="131">
        <f t="shared" si="125"/>
        <v>0</v>
      </c>
      <c r="D115" s="131">
        <f t="shared" si="126"/>
        <v>20.143548465937791</v>
      </c>
      <c r="E115" s="131">
        <f t="shared" si="127"/>
        <v>4.7001613087188172</v>
      </c>
      <c r="F115" s="131">
        <f t="shared" si="128"/>
        <v>0</v>
      </c>
      <c r="G115" s="131">
        <f t="shared" si="129"/>
        <v>0</v>
      </c>
      <c r="H115" s="131">
        <f t="shared" si="130"/>
        <v>26.858064621250385</v>
      </c>
      <c r="I115" s="131">
        <f t="shared" si="131"/>
        <v>0</v>
      </c>
      <c r="J115" s="131">
        <f t="shared" si="132"/>
        <v>0</v>
      </c>
      <c r="K115" s="131">
        <f t="shared" si="133"/>
        <v>0</v>
      </c>
      <c r="L115" s="131">
        <f t="shared" si="134"/>
        <v>4.0143548465937791</v>
      </c>
      <c r="M115" s="131">
        <f t="shared" si="135"/>
        <v>0</v>
      </c>
      <c r="O115" s="130">
        <v>26</v>
      </c>
      <c r="P115" s="131">
        <f>'Stasiun Pontianak Kota'!Q165</f>
        <v>0</v>
      </c>
      <c r="Q115" s="131">
        <f>'Stasiun Pontianak Kota'!R165</f>
        <v>0</v>
      </c>
      <c r="R115" s="131">
        <f>'Stasiun Pontianak Kota'!S165</f>
        <v>30</v>
      </c>
      <c r="S115" s="131">
        <f>'Stasiun Pontianak Kota'!T165</f>
        <v>7</v>
      </c>
      <c r="T115" s="131">
        <f>'Stasiun Pontianak Kota'!U165</f>
        <v>0</v>
      </c>
      <c r="U115" s="131">
        <f>'Stasiun Pontianak Kota'!V165</f>
        <v>0</v>
      </c>
      <c r="V115" s="131">
        <f>'Stasiun Pontianak Kota'!W165</f>
        <v>40</v>
      </c>
      <c r="W115" s="131">
        <f>'Stasiun Pontianak Kota'!X165</f>
        <v>0</v>
      </c>
      <c r="X115" s="131">
        <f>'Stasiun Pontianak Kota'!Y165</f>
        <v>0</v>
      </c>
      <c r="Y115" s="131">
        <f>'Stasiun Pontianak Kota'!Z165</f>
        <v>0</v>
      </c>
      <c r="Z115" s="131">
        <f>'Stasiun Pontianak Kota'!AA165</f>
        <v>5</v>
      </c>
      <c r="AA115" s="131">
        <f>'Stasiun Pontianak Kota'!AB165</f>
        <v>0</v>
      </c>
      <c r="AC115" s="130">
        <v>26</v>
      </c>
      <c r="AD115" s="131">
        <f>'Sta. Meteorologi pnk'!B123</f>
        <v>0.1</v>
      </c>
      <c r="AE115" s="131">
        <f>'Sta. Meteorologi pnk'!C123</f>
        <v>0</v>
      </c>
      <c r="AF115" s="131">
        <f>'Sta. Meteorologi pnk'!D123</f>
        <v>0</v>
      </c>
      <c r="AG115" s="131">
        <f>'Sta. Meteorologi pnk'!E123</f>
        <v>0</v>
      </c>
      <c r="AH115" s="131">
        <f>'Sta. Meteorologi pnk'!F123</f>
        <v>0</v>
      </c>
      <c r="AI115" s="131">
        <f>'Sta. Meteorologi pnk'!G123</f>
        <v>0</v>
      </c>
      <c r="AJ115" s="131">
        <f>'Sta. Meteorologi pnk'!H123</f>
        <v>0</v>
      </c>
      <c r="AK115" s="131">
        <f>'Sta. Meteorologi pnk'!I123</f>
        <v>0</v>
      </c>
      <c r="AL115" s="131">
        <f>'Sta. Meteorologi pnk'!J123</f>
        <v>0</v>
      </c>
      <c r="AM115" s="131">
        <f>'Sta. Meteorologi pnk'!K123</f>
        <v>0</v>
      </c>
      <c r="AN115" s="131">
        <f>'Sta. Meteorologi pnk'!L123</f>
        <v>2</v>
      </c>
      <c r="AO115" s="131">
        <f>'Sta. Meteorologi pnk'!M123</f>
        <v>0</v>
      </c>
      <c r="AQ115" s="130">
        <v>26</v>
      </c>
      <c r="AR115" s="131">
        <f t="shared" si="159"/>
        <v>6.7619470079736871E-2</v>
      </c>
      <c r="AS115" s="131">
        <f t="shared" si="136"/>
        <v>0</v>
      </c>
      <c r="AT115" s="131">
        <f t="shared" si="137"/>
        <v>9.7141589760789362</v>
      </c>
      <c r="AU115" s="131">
        <f t="shared" si="138"/>
        <v>2.2666370944184182</v>
      </c>
      <c r="AV115" s="131">
        <f t="shared" si="139"/>
        <v>0</v>
      </c>
      <c r="AW115" s="131">
        <f t="shared" si="140"/>
        <v>0</v>
      </c>
      <c r="AX115" s="131">
        <f t="shared" si="141"/>
        <v>12.952211968105248</v>
      </c>
      <c r="AY115" s="131">
        <f t="shared" si="142"/>
        <v>0</v>
      </c>
      <c r="AZ115" s="131">
        <f t="shared" si="143"/>
        <v>0</v>
      </c>
      <c r="BA115" s="131">
        <f t="shared" si="144"/>
        <v>0</v>
      </c>
      <c r="BB115" s="131">
        <f t="shared" si="145"/>
        <v>2.9714158976078933</v>
      </c>
      <c r="BC115" s="131">
        <f t="shared" si="146"/>
        <v>0</v>
      </c>
      <c r="BE115" s="130">
        <v>26</v>
      </c>
      <c r="BF115" s="131">
        <f t="shared" si="160"/>
        <v>6.3266125186561301E-2</v>
      </c>
      <c r="BG115" s="131">
        <f t="shared" si="147"/>
        <v>0</v>
      </c>
      <c r="BH115" s="131">
        <f t="shared" si="148"/>
        <v>11.020162444031611</v>
      </c>
      <c r="BI115" s="131">
        <f t="shared" si="149"/>
        <v>2.5713712369407089</v>
      </c>
      <c r="BJ115" s="131">
        <f t="shared" si="150"/>
        <v>0</v>
      </c>
      <c r="BK115" s="131">
        <f t="shared" si="151"/>
        <v>0</v>
      </c>
      <c r="BL115" s="131">
        <f t="shared" si="152"/>
        <v>14.693549925375478</v>
      </c>
      <c r="BM115" s="131">
        <f t="shared" si="153"/>
        <v>0</v>
      </c>
      <c r="BN115" s="131">
        <f t="shared" si="154"/>
        <v>0</v>
      </c>
      <c r="BO115" s="131">
        <f t="shared" si="155"/>
        <v>0</v>
      </c>
      <c r="BP115" s="131">
        <f t="shared" si="156"/>
        <v>3.1020162444031611</v>
      </c>
      <c r="BQ115" s="131">
        <f t="shared" si="157"/>
        <v>0</v>
      </c>
    </row>
    <row r="116" spans="1:70">
      <c r="A116" s="130">
        <v>27</v>
      </c>
      <c r="B116" s="131">
        <f t="shared" si="158"/>
        <v>0</v>
      </c>
      <c r="C116" s="131">
        <f t="shared" si="125"/>
        <v>0</v>
      </c>
      <c r="D116" s="131">
        <f t="shared" si="126"/>
        <v>9.4003226174376344</v>
      </c>
      <c r="E116" s="131">
        <f t="shared" si="127"/>
        <v>0</v>
      </c>
      <c r="F116" s="131">
        <f t="shared" si="128"/>
        <v>25.515161390187867</v>
      </c>
      <c r="G116" s="131">
        <f t="shared" si="129"/>
        <v>0</v>
      </c>
      <c r="H116" s="131">
        <f t="shared" si="130"/>
        <v>0</v>
      </c>
      <c r="I116" s="131">
        <f t="shared" si="131"/>
        <v>0</v>
      </c>
      <c r="J116" s="131">
        <f t="shared" si="132"/>
        <v>0</v>
      </c>
      <c r="K116" s="131">
        <f t="shared" si="133"/>
        <v>4.7001613087188172</v>
      </c>
      <c r="L116" s="131">
        <f t="shared" si="134"/>
        <v>2.6283870757499219</v>
      </c>
      <c r="M116" s="131">
        <f t="shared" si="135"/>
        <v>0.16427419223437012</v>
      </c>
      <c r="O116" s="130">
        <v>27</v>
      </c>
      <c r="P116" s="131">
        <f>'Stasiun Pontianak Kota'!Q166</f>
        <v>0</v>
      </c>
      <c r="Q116" s="131">
        <f>'Stasiun Pontianak Kota'!R166</f>
        <v>0</v>
      </c>
      <c r="R116" s="131">
        <f>'Stasiun Pontianak Kota'!S166</f>
        <v>14</v>
      </c>
      <c r="S116" s="131">
        <f>'Stasiun Pontianak Kota'!T166</f>
        <v>0</v>
      </c>
      <c r="T116" s="131">
        <f>'Stasiun Pontianak Kota'!U166</f>
        <v>38</v>
      </c>
      <c r="U116" s="131">
        <f>'Stasiun Pontianak Kota'!V166</f>
        <v>0</v>
      </c>
      <c r="V116" s="131">
        <f>'Stasiun Pontianak Kota'!W166</f>
        <v>0</v>
      </c>
      <c r="W116" s="131">
        <f>'Stasiun Pontianak Kota'!X166</f>
        <v>0</v>
      </c>
      <c r="X116" s="131">
        <f>'Stasiun Pontianak Kota'!Y166</f>
        <v>0</v>
      </c>
      <c r="Y116" s="131">
        <f>'Stasiun Pontianak Kota'!Z166</f>
        <v>7</v>
      </c>
      <c r="Z116" s="131">
        <f>'Stasiun Pontianak Kota'!AA166</f>
        <v>0</v>
      </c>
      <c r="AA116" s="131">
        <f>'Stasiun Pontianak Kota'!AB166</f>
        <v>0</v>
      </c>
      <c r="AC116" s="130">
        <v>27</v>
      </c>
      <c r="AD116" s="131">
        <f>'Sta. Meteorologi pnk'!B124</f>
        <v>0</v>
      </c>
      <c r="AE116" s="131">
        <f>'Sta. Meteorologi pnk'!C124</f>
        <v>0</v>
      </c>
      <c r="AF116" s="131">
        <f>'Sta. Meteorologi pnk'!D124</f>
        <v>0</v>
      </c>
      <c r="AG116" s="131">
        <f>'Sta. Meteorologi pnk'!E124</f>
        <v>0</v>
      </c>
      <c r="AH116" s="131">
        <f>'Sta. Meteorologi pnk'!F124</f>
        <v>0</v>
      </c>
      <c r="AI116" s="131">
        <f>'Sta. Meteorologi pnk'!G124</f>
        <v>0</v>
      </c>
      <c r="AJ116" s="131">
        <f>'Sta. Meteorologi pnk'!H124</f>
        <v>0</v>
      </c>
      <c r="AK116" s="131">
        <f>'Sta. Meteorologi pnk'!I124</f>
        <v>0</v>
      </c>
      <c r="AL116" s="131">
        <f>'Sta. Meteorologi pnk'!J124</f>
        <v>0</v>
      </c>
      <c r="AM116" s="131">
        <f>'Sta. Meteorologi pnk'!K124</f>
        <v>0</v>
      </c>
      <c r="AN116" s="131">
        <f>'Sta. Meteorologi pnk'!L124</f>
        <v>8</v>
      </c>
      <c r="AO116" s="131">
        <f>'Sta. Meteorologi pnk'!M124</f>
        <v>0.5</v>
      </c>
      <c r="AQ116" s="130">
        <v>27</v>
      </c>
      <c r="AR116" s="131">
        <f t="shared" si="159"/>
        <v>0</v>
      </c>
      <c r="AS116" s="131">
        <f t="shared" si="136"/>
        <v>0</v>
      </c>
      <c r="AT116" s="131">
        <f t="shared" si="137"/>
        <v>4.5332741888368364</v>
      </c>
      <c r="AU116" s="131">
        <f t="shared" si="138"/>
        <v>0</v>
      </c>
      <c r="AV116" s="131">
        <f t="shared" si="139"/>
        <v>12.304601369699986</v>
      </c>
      <c r="AW116" s="131">
        <f t="shared" si="140"/>
        <v>0</v>
      </c>
      <c r="AX116" s="131">
        <f t="shared" si="141"/>
        <v>0</v>
      </c>
      <c r="AY116" s="131">
        <f t="shared" si="142"/>
        <v>0</v>
      </c>
      <c r="AZ116" s="131">
        <f t="shared" si="143"/>
        <v>0</v>
      </c>
      <c r="BA116" s="131">
        <f t="shared" si="144"/>
        <v>2.2666370944184182</v>
      </c>
      <c r="BB116" s="131">
        <f t="shared" si="145"/>
        <v>5.4095576063789501</v>
      </c>
      <c r="BC116" s="131">
        <f t="shared" si="146"/>
        <v>0.33809735039868438</v>
      </c>
      <c r="BE116" s="130">
        <v>27</v>
      </c>
      <c r="BF116" s="131">
        <f t="shared" si="160"/>
        <v>0</v>
      </c>
      <c r="BG116" s="131">
        <f t="shared" si="147"/>
        <v>0</v>
      </c>
      <c r="BH116" s="131">
        <f t="shared" si="148"/>
        <v>5.1427424738814178</v>
      </c>
      <c r="BI116" s="131">
        <f t="shared" si="149"/>
        <v>0</v>
      </c>
      <c r="BJ116" s="131">
        <f t="shared" si="150"/>
        <v>13.958872429106705</v>
      </c>
      <c r="BK116" s="131">
        <f t="shared" si="151"/>
        <v>0</v>
      </c>
      <c r="BL116" s="131">
        <f t="shared" si="152"/>
        <v>0</v>
      </c>
      <c r="BM116" s="131">
        <f t="shared" si="153"/>
        <v>0</v>
      </c>
      <c r="BN116" s="131">
        <f t="shared" si="154"/>
        <v>0</v>
      </c>
      <c r="BO116" s="131">
        <f t="shared" si="155"/>
        <v>2.5713712369407089</v>
      </c>
      <c r="BP116" s="131">
        <f t="shared" si="156"/>
        <v>5.0612900149249036</v>
      </c>
      <c r="BQ116" s="131">
        <f t="shared" si="157"/>
        <v>0.31633062593280648</v>
      </c>
    </row>
    <row r="117" spans="1:70">
      <c r="A117" s="130">
        <v>28</v>
      </c>
      <c r="B117" s="131">
        <f t="shared" si="158"/>
        <v>0</v>
      </c>
      <c r="C117" s="131">
        <f t="shared" si="125"/>
        <v>0.67145161553125965</v>
      </c>
      <c r="D117" s="131">
        <f t="shared" si="126"/>
        <v>36.258387238688023</v>
      </c>
      <c r="E117" s="131">
        <f t="shared" si="127"/>
        <v>0</v>
      </c>
      <c r="F117" s="131">
        <f t="shared" si="128"/>
        <v>0</v>
      </c>
      <c r="G117" s="131">
        <f t="shared" si="129"/>
        <v>0</v>
      </c>
      <c r="H117" s="131">
        <f t="shared" si="130"/>
        <v>11.414677464031413</v>
      </c>
      <c r="I117" s="131">
        <f t="shared" si="131"/>
        <v>0</v>
      </c>
      <c r="J117" s="131">
        <f t="shared" si="132"/>
        <v>0</v>
      </c>
      <c r="K117" s="131">
        <f t="shared" si="133"/>
        <v>0</v>
      </c>
      <c r="L117" s="131">
        <f t="shared" si="134"/>
        <v>0.59138709204373252</v>
      </c>
      <c r="M117" s="131">
        <f t="shared" si="135"/>
        <v>35.802564645691099</v>
      </c>
      <c r="O117" s="130">
        <v>28</v>
      </c>
      <c r="P117" s="131">
        <f>'Stasiun Pontianak Kota'!Q167</f>
        <v>0</v>
      </c>
      <c r="Q117" s="131">
        <f>'Stasiun Pontianak Kota'!R167</f>
        <v>1</v>
      </c>
      <c r="R117" s="131">
        <f>'Stasiun Pontianak Kota'!S167</f>
        <v>54</v>
      </c>
      <c r="S117" s="131">
        <f>'Stasiun Pontianak Kota'!T167</f>
        <v>0</v>
      </c>
      <c r="T117" s="131">
        <f>'Stasiun Pontianak Kota'!U167</f>
        <v>0</v>
      </c>
      <c r="U117" s="131">
        <f>'Stasiun Pontianak Kota'!V167</f>
        <v>0</v>
      </c>
      <c r="V117" s="131">
        <f>'Stasiun Pontianak Kota'!W167</f>
        <v>17</v>
      </c>
      <c r="W117" s="131">
        <f>'Stasiun Pontianak Kota'!X167</f>
        <v>0</v>
      </c>
      <c r="X117" s="131">
        <f>'Stasiun Pontianak Kota'!Y167</f>
        <v>0</v>
      </c>
      <c r="Y117" s="131">
        <f>'Stasiun Pontianak Kota'!Z167</f>
        <v>0</v>
      </c>
      <c r="Z117" s="131">
        <f>'Stasiun Pontianak Kota'!AA167</f>
        <v>0</v>
      </c>
      <c r="AA117" s="131">
        <f>'Stasiun Pontianak Kota'!AB167</f>
        <v>52</v>
      </c>
      <c r="AC117" s="130">
        <v>28</v>
      </c>
      <c r="AD117" s="131">
        <f>'Sta. Meteorologi pnk'!B125</f>
        <v>0</v>
      </c>
      <c r="AE117" s="131">
        <f>'Sta. Meteorologi pnk'!C125</f>
        <v>0</v>
      </c>
      <c r="AF117" s="131">
        <f>'Sta. Meteorologi pnk'!D125</f>
        <v>0</v>
      </c>
      <c r="AG117" s="131">
        <f>'Sta. Meteorologi pnk'!E125</f>
        <v>0</v>
      </c>
      <c r="AH117" s="131">
        <f>'Sta. Meteorologi pnk'!F125</f>
        <v>0</v>
      </c>
      <c r="AI117" s="131">
        <f>'Sta. Meteorologi pnk'!G125</f>
        <v>0</v>
      </c>
      <c r="AJ117" s="131">
        <f>'Sta. Meteorologi pnk'!H125</f>
        <v>0</v>
      </c>
      <c r="AK117" s="131">
        <f>'Sta. Meteorologi pnk'!I125</f>
        <v>0</v>
      </c>
      <c r="AL117" s="131">
        <f>'Sta. Meteorologi pnk'!J125</f>
        <v>0</v>
      </c>
      <c r="AM117" s="131">
        <f>'Sta. Meteorologi pnk'!K125</f>
        <v>0</v>
      </c>
      <c r="AN117" s="131">
        <f>'Sta. Meteorologi pnk'!L125</f>
        <v>1.8</v>
      </c>
      <c r="AO117" s="131">
        <f>'Sta. Meteorologi pnk'!M125</f>
        <v>2.7</v>
      </c>
      <c r="AQ117" s="130">
        <v>28</v>
      </c>
      <c r="AR117" s="131">
        <f t="shared" si="159"/>
        <v>0</v>
      </c>
      <c r="AS117" s="131">
        <f t="shared" si="136"/>
        <v>0.32380529920263124</v>
      </c>
      <c r="AT117" s="131">
        <f t="shared" si="137"/>
        <v>17.485486156942084</v>
      </c>
      <c r="AU117" s="131">
        <f t="shared" si="138"/>
        <v>0</v>
      </c>
      <c r="AV117" s="131">
        <f t="shared" si="139"/>
        <v>0</v>
      </c>
      <c r="AW117" s="131">
        <f t="shared" si="140"/>
        <v>0</v>
      </c>
      <c r="AX117" s="131">
        <f t="shared" si="141"/>
        <v>5.5046900864447297</v>
      </c>
      <c r="AY117" s="131">
        <f t="shared" si="142"/>
        <v>0</v>
      </c>
      <c r="AZ117" s="131">
        <f t="shared" si="143"/>
        <v>0</v>
      </c>
      <c r="BA117" s="131">
        <f t="shared" si="144"/>
        <v>0</v>
      </c>
      <c r="BB117" s="131">
        <f t="shared" si="145"/>
        <v>1.2171504614352637</v>
      </c>
      <c r="BC117" s="131">
        <f t="shared" si="146"/>
        <v>18.66360125068972</v>
      </c>
      <c r="BE117" s="130">
        <v>28</v>
      </c>
      <c r="BF117" s="131">
        <f t="shared" si="160"/>
        <v>0</v>
      </c>
      <c r="BG117" s="131">
        <f t="shared" si="147"/>
        <v>0.36733874813438699</v>
      </c>
      <c r="BH117" s="131">
        <f t="shared" si="148"/>
        <v>19.836292399256898</v>
      </c>
      <c r="BI117" s="131">
        <f t="shared" si="149"/>
        <v>0</v>
      </c>
      <c r="BJ117" s="131">
        <f t="shared" si="150"/>
        <v>0</v>
      </c>
      <c r="BK117" s="131">
        <f t="shared" si="151"/>
        <v>0</v>
      </c>
      <c r="BL117" s="131">
        <f t="shared" si="152"/>
        <v>6.2447587182845785</v>
      </c>
      <c r="BM117" s="131">
        <f t="shared" si="153"/>
        <v>0</v>
      </c>
      <c r="BN117" s="131">
        <f t="shared" si="154"/>
        <v>0</v>
      </c>
      <c r="BO117" s="131">
        <f t="shared" si="155"/>
        <v>0</v>
      </c>
      <c r="BP117" s="131">
        <f t="shared" si="156"/>
        <v>1.1387902533581036</v>
      </c>
      <c r="BQ117" s="131">
        <f t="shared" si="157"/>
        <v>20.809800283025279</v>
      </c>
    </row>
    <row r="118" spans="1:70">
      <c r="A118" s="130">
        <v>29</v>
      </c>
      <c r="B118" s="131">
        <f t="shared" si="158"/>
        <v>0</v>
      </c>
      <c r="C118" s="131">
        <f t="shared" si="125"/>
        <v>0</v>
      </c>
      <c r="D118" s="131">
        <f t="shared" si="126"/>
        <v>0.67145161553125965</v>
      </c>
      <c r="E118" s="131">
        <f t="shared" si="127"/>
        <v>0</v>
      </c>
      <c r="F118" s="131">
        <f t="shared" si="128"/>
        <v>0</v>
      </c>
      <c r="G118" s="131">
        <f t="shared" si="129"/>
        <v>4.0287096931875581</v>
      </c>
      <c r="H118" s="131">
        <f t="shared" si="130"/>
        <v>2.6858064621250386</v>
      </c>
      <c r="I118" s="131">
        <f t="shared" si="131"/>
        <v>0</v>
      </c>
      <c r="J118" s="131">
        <f t="shared" si="132"/>
        <v>0.39425806136248831</v>
      </c>
      <c r="K118" s="131">
        <f t="shared" si="133"/>
        <v>0.26283870757499223</v>
      </c>
      <c r="L118" s="131">
        <f t="shared" si="134"/>
        <v>0.19712903068124416</v>
      </c>
      <c r="M118" s="131">
        <f t="shared" si="135"/>
        <v>5.4784677301093314</v>
      </c>
      <c r="O118" s="130">
        <v>29</v>
      </c>
      <c r="P118" s="131">
        <f>'Stasiun Pontianak Kota'!Q168</f>
        <v>0</v>
      </c>
      <c r="Q118" s="131">
        <f>'Stasiun Pontianak Kota'!R168</f>
        <v>0</v>
      </c>
      <c r="R118" s="131">
        <f>'Stasiun Pontianak Kota'!S168</f>
        <v>1</v>
      </c>
      <c r="S118" s="131">
        <f>'Stasiun Pontianak Kota'!T168</f>
        <v>0</v>
      </c>
      <c r="T118" s="131">
        <f>'Stasiun Pontianak Kota'!U168</f>
        <v>0</v>
      </c>
      <c r="U118" s="131">
        <f>'Stasiun Pontianak Kota'!V168</f>
        <v>6</v>
      </c>
      <c r="V118" s="131">
        <f>'Stasiun Pontianak Kota'!W168</f>
        <v>4</v>
      </c>
      <c r="W118" s="131">
        <f>'Stasiun Pontianak Kota'!X168</f>
        <v>0</v>
      </c>
      <c r="X118" s="131">
        <f>'Stasiun Pontianak Kota'!Y168</f>
        <v>0</v>
      </c>
      <c r="Y118" s="131">
        <f>'Stasiun Pontianak Kota'!Z168</f>
        <v>0</v>
      </c>
      <c r="Z118" s="131">
        <f>'Stasiun Pontianak Kota'!AA168</f>
        <v>0</v>
      </c>
      <c r="AA118" s="131">
        <f>'Stasiun Pontianak Kota'!AB168</f>
        <v>4</v>
      </c>
      <c r="AC118" s="130">
        <v>29</v>
      </c>
      <c r="AD118" s="131">
        <f>'Sta. Meteorologi pnk'!B126</f>
        <v>0</v>
      </c>
      <c r="AE118" s="131">
        <f>'Sta. Meteorologi pnk'!C126</f>
        <v>0</v>
      </c>
      <c r="AF118" s="131">
        <f>'Sta. Meteorologi pnk'!D126</f>
        <v>0</v>
      </c>
      <c r="AG118" s="131">
        <f>'Sta. Meteorologi pnk'!E126</f>
        <v>0</v>
      </c>
      <c r="AH118" s="131">
        <f>'Sta. Meteorologi pnk'!F126</f>
        <v>0</v>
      </c>
      <c r="AI118" s="131">
        <f>'Sta. Meteorologi pnk'!G126</f>
        <v>0</v>
      </c>
      <c r="AJ118" s="131">
        <f>'Sta. Meteorologi pnk'!H126</f>
        <v>0</v>
      </c>
      <c r="AK118" s="131">
        <f>'Sta. Meteorologi pnk'!I126</f>
        <v>0</v>
      </c>
      <c r="AL118" s="131">
        <f>'Sta. Meteorologi pnk'!J126</f>
        <v>1.2</v>
      </c>
      <c r="AM118" s="131">
        <f>'Sta. Meteorologi pnk'!K126</f>
        <v>0.8</v>
      </c>
      <c r="AN118" s="131">
        <f>'Sta. Meteorologi pnk'!L126</f>
        <v>0.6</v>
      </c>
      <c r="AO118" s="131">
        <f>'Sta. Meteorologi pnk'!M126</f>
        <v>8.5</v>
      </c>
      <c r="AQ118" s="130">
        <v>29</v>
      </c>
      <c r="AR118" s="131">
        <f t="shared" si="159"/>
        <v>0</v>
      </c>
      <c r="AS118" s="131">
        <f t="shared" si="136"/>
        <v>0</v>
      </c>
      <c r="AT118" s="131">
        <f t="shared" si="137"/>
        <v>0.32380529920263124</v>
      </c>
      <c r="AU118" s="131">
        <f t="shared" si="138"/>
        <v>0</v>
      </c>
      <c r="AV118" s="131">
        <f t="shared" si="139"/>
        <v>0</v>
      </c>
      <c r="AW118" s="131">
        <f t="shared" si="140"/>
        <v>1.942831795215787</v>
      </c>
      <c r="AX118" s="131">
        <f t="shared" si="141"/>
        <v>1.2952211968105249</v>
      </c>
      <c r="AY118" s="131">
        <f t="shared" si="142"/>
        <v>0</v>
      </c>
      <c r="AZ118" s="131">
        <f t="shared" si="143"/>
        <v>0.81143364095684245</v>
      </c>
      <c r="BA118" s="131">
        <f t="shared" si="144"/>
        <v>0.54095576063789497</v>
      </c>
      <c r="BB118" s="131">
        <f t="shared" si="145"/>
        <v>0.40571682047842123</v>
      </c>
      <c r="BC118" s="131">
        <f t="shared" si="146"/>
        <v>7.0428761535881588</v>
      </c>
      <c r="BE118" s="130">
        <v>29</v>
      </c>
      <c r="BF118" s="131">
        <f t="shared" si="160"/>
        <v>0</v>
      </c>
      <c r="BG118" s="131">
        <f t="shared" si="147"/>
        <v>0</v>
      </c>
      <c r="BH118" s="131">
        <f t="shared" si="148"/>
        <v>0.36733874813438699</v>
      </c>
      <c r="BI118" s="131">
        <f t="shared" si="149"/>
        <v>0</v>
      </c>
      <c r="BJ118" s="131">
        <f t="shared" si="150"/>
        <v>0</v>
      </c>
      <c r="BK118" s="131">
        <f t="shared" si="151"/>
        <v>2.2040324888063219</v>
      </c>
      <c r="BL118" s="131">
        <f t="shared" si="152"/>
        <v>1.469354992537548</v>
      </c>
      <c r="BM118" s="131">
        <f t="shared" si="153"/>
        <v>0</v>
      </c>
      <c r="BN118" s="131">
        <f t="shared" si="154"/>
        <v>0.7591935022387355</v>
      </c>
      <c r="BO118" s="131">
        <f t="shared" si="155"/>
        <v>0.5061290014924904</v>
      </c>
      <c r="BP118" s="131">
        <f t="shared" si="156"/>
        <v>0.37959675111936775</v>
      </c>
      <c r="BQ118" s="131">
        <f t="shared" si="157"/>
        <v>6.8469756333952576</v>
      </c>
    </row>
    <row r="119" spans="1:70">
      <c r="A119" s="130">
        <v>30</v>
      </c>
      <c r="B119" s="131">
        <f t="shared" si="158"/>
        <v>0</v>
      </c>
      <c r="C119" s="131">
        <f t="shared" si="125"/>
        <v>0</v>
      </c>
      <c r="D119" s="131">
        <f t="shared" si="126"/>
        <v>0</v>
      </c>
      <c r="E119" s="131">
        <f t="shared" si="127"/>
        <v>0</v>
      </c>
      <c r="F119" s="131">
        <f t="shared" si="128"/>
        <v>2.0143548465937791</v>
      </c>
      <c r="G119" s="131">
        <f t="shared" si="129"/>
        <v>0</v>
      </c>
      <c r="H119" s="131">
        <f t="shared" si="130"/>
        <v>0</v>
      </c>
      <c r="I119" s="131">
        <f t="shared" si="131"/>
        <v>0</v>
      </c>
      <c r="J119" s="131">
        <f t="shared" si="132"/>
        <v>0</v>
      </c>
      <c r="K119" s="131">
        <f t="shared" si="133"/>
        <v>15.008290290518632</v>
      </c>
      <c r="L119" s="131">
        <f t="shared" si="134"/>
        <v>33.831580662506312</v>
      </c>
      <c r="M119" s="131">
        <f t="shared" si="135"/>
        <v>2.145774200381275</v>
      </c>
      <c r="O119" s="130">
        <v>30</v>
      </c>
      <c r="P119" s="131">
        <f>'Stasiun Pontianak Kota'!Q169</f>
        <v>0</v>
      </c>
      <c r="Q119" s="131">
        <f>'Stasiun Pontianak Kota'!R169</f>
        <v>0</v>
      </c>
      <c r="R119" s="131">
        <f>'Stasiun Pontianak Kota'!S169</f>
        <v>0</v>
      </c>
      <c r="S119" s="131">
        <f>'Stasiun Pontianak Kota'!T169</f>
        <v>0</v>
      </c>
      <c r="T119" s="131">
        <f>'Stasiun Pontianak Kota'!U169</f>
        <v>3</v>
      </c>
      <c r="U119" s="131">
        <f>'Stasiun Pontianak Kota'!V169</f>
        <v>0</v>
      </c>
      <c r="V119" s="131">
        <f>'Stasiun Pontianak Kota'!W169</f>
        <v>0</v>
      </c>
      <c r="W119" s="131">
        <f>'Stasiun Pontianak Kota'!X169</f>
        <v>0</v>
      </c>
      <c r="X119" s="131">
        <f>'Stasiun Pontianak Kota'!Y169</f>
        <v>0</v>
      </c>
      <c r="Y119" s="131">
        <f>'Stasiun Pontianak Kota'!Z169</f>
        <v>11</v>
      </c>
      <c r="Z119" s="131">
        <f>'Stasiun Pontianak Kota'!AA169</f>
        <v>36</v>
      </c>
      <c r="AA119" s="131">
        <f>'Stasiun Pontianak Kota'!AB169</f>
        <v>3</v>
      </c>
      <c r="AC119" s="130">
        <v>30</v>
      </c>
      <c r="AD119" s="131">
        <f>'Sta. Meteorologi pnk'!B127</f>
        <v>0</v>
      </c>
      <c r="AE119" s="131">
        <f>'Sta. Meteorologi pnk'!C127</f>
        <v>0</v>
      </c>
      <c r="AF119" s="131">
        <f>'Sta. Meteorologi pnk'!D127</f>
        <v>0</v>
      </c>
      <c r="AG119" s="131">
        <f>'Sta. Meteorologi pnk'!E127</f>
        <v>0</v>
      </c>
      <c r="AH119" s="131">
        <f>'Sta. Meteorologi pnk'!F127</f>
        <v>0</v>
      </c>
      <c r="AI119" s="131">
        <f>'Sta. Meteorologi pnk'!G127</f>
        <v>0</v>
      </c>
      <c r="AJ119" s="131">
        <f>'Sta. Meteorologi pnk'!H127</f>
        <v>0</v>
      </c>
      <c r="AK119" s="131">
        <f>'Sta. Meteorologi pnk'!I127</f>
        <v>0</v>
      </c>
      <c r="AL119" s="131">
        <f>'Sta. Meteorologi pnk'!J127</f>
        <v>0</v>
      </c>
      <c r="AM119" s="131">
        <f>'Sta. Meteorologi pnk'!K127</f>
        <v>23.2</v>
      </c>
      <c r="AN119" s="131">
        <f>'Sta. Meteorologi pnk'!L127</f>
        <v>29.4</v>
      </c>
      <c r="AO119" s="131">
        <f>'Sta. Meteorologi pnk'!M127</f>
        <v>0.4</v>
      </c>
      <c r="AQ119" s="130">
        <v>30</v>
      </c>
      <c r="AR119" s="131">
        <f t="shared" si="159"/>
        <v>0</v>
      </c>
      <c r="AS119" s="131">
        <f t="shared" si="136"/>
        <v>0</v>
      </c>
      <c r="AT119" s="131">
        <f t="shared" si="137"/>
        <v>0</v>
      </c>
      <c r="AU119" s="131">
        <f t="shared" si="138"/>
        <v>0</v>
      </c>
      <c r="AV119" s="131">
        <f t="shared" si="139"/>
        <v>0.97141589760789349</v>
      </c>
      <c r="AW119" s="131">
        <f t="shared" si="140"/>
        <v>0</v>
      </c>
      <c r="AX119" s="131">
        <f t="shared" si="141"/>
        <v>0</v>
      </c>
      <c r="AY119" s="131">
        <f t="shared" si="142"/>
        <v>0</v>
      </c>
      <c r="AZ119" s="131">
        <f t="shared" si="143"/>
        <v>0</v>
      </c>
      <c r="BA119" s="131">
        <f t="shared" si="144"/>
        <v>19.249575349727898</v>
      </c>
      <c r="BB119" s="131">
        <f t="shared" si="145"/>
        <v>31.537114974737367</v>
      </c>
      <c r="BC119" s="131">
        <f t="shared" si="146"/>
        <v>1.2418937779268411</v>
      </c>
      <c r="BE119" s="130">
        <v>30</v>
      </c>
      <c r="BF119" s="131">
        <f t="shared" si="160"/>
        <v>0</v>
      </c>
      <c r="BG119" s="131">
        <f t="shared" si="147"/>
        <v>0</v>
      </c>
      <c r="BH119" s="131">
        <f t="shared" si="148"/>
        <v>0</v>
      </c>
      <c r="BI119" s="131">
        <f t="shared" si="149"/>
        <v>0</v>
      </c>
      <c r="BJ119" s="131">
        <f t="shared" si="150"/>
        <v>1.1020162444031609</v>
      </c>
      <c r="BK119" s="131">
        <f t="shared" si="151"/>
        <v>0</v>
      </c>
      <c r="BL119" s="131">
        <f t="shared" si="152"/>
        <v>0</v>
      </c>
      <c r="BM119" s="131">
        <f t="shared" si="153"/>
        <v>0</v>
      </c>
      <c r="BN119" s="131">
        <f t="shared" si="154"/>
        <v>0</v>
      </c>
      <c r="BO119" s="131">
        <f t="shared" si="155"/>
        <v>18.718467272760478</v>
      </c>
      <c r="BP119" s="131">
        <f t="shared" si="156"/>
        <v>31.824435737686954</v>
      </c>
      <c r="BQ119" s="131">
        <f t="shared" si="157"/>
        <v>1.355080745149406</v>
      </c>
    </row>
    <row r="120" spans="1:70" ht="15.75" thickBot="1">
      <c r="A120" s="133">
        <v>31</v>
      </c>
      <c r="B120" s="131">
        <f t="shared" si="158"/>
        <v>0</v>
      </c>
      <c r="C120" s="131">
        <f t="shared" si="125"/>
        <v>0</v>
      </c>
      <c r="D120" s="131">
        <f t="shared" si="126"/>
        <v>36.258387238688023</v>
      </c>
      <c r="E120" s="131">
        <f t="shared" si="127"/>
        <v>0</v>
      </c>
      <c r="F120" s="131">
        <f t="shared" si="128"/>
        <v>0</v>
      </c>
      <c r="G120" s="131">
        <f t="shared" si="129"/>
        <v>0</v>
      </c>
      <c r="H120" s="131">
        <f t="shared" si="130"/>
        <v>26.186613005719128</v>
      </c>
      <c r="I120" s="131">
        <f t="shared" si="131"/>
        <v>7.1910644746060965</v>
      </c>
      <c r="J120" s="131">
        <f t="shared" si="132"/>
        <v>0</v>
      </c>
      <c r="K120" s="131">
        <f t="shared" si="133"/>
        <v>0</v>
      </c>
      <c r="L120" s="131">
        <f t="shared" si="134"/>
        <v>0</v>
      </c>
      <c r="M120" s="131">
        <f t="shared" si="135"/>
        <v>0</v>
      </c>
      <c r="O120" s="133">
        <v>31</v>
      </c>
      <c r="P120" s="131">
        <f>'Stasiun Pontianak Kota'!Q170</f>
        <v>0</v>
      </c>
      <c r="Q120" s="131">
        <f>'Stasiun Pontianak Kota'!R170</f>
        <v>0</v>
      </c>
      <c r="R120" s="131">
        <f>'Stasiun Pontianak Kota'!S170</f>
        <v>54</v>
      </c>
      <c r="S120" s="131">
        <f>'Stasiun Pontianak Kota'!T170</f>
        <v>0</v>
      </c>
      <c r="T120" s="131">
        <f>'Stasiun Pontianak Kota'!U170</f>
        <v>0</v>
      </c>
      <c r="U120" s="131">
        <f>'Stasiun Pontianak Kota'!V170</f>
        <v>0</v>
      </c>
      <c r="V120" s="131">
        <f>'Stasiun Pontianak Kota'!W170</f>
        <v>39</v>
      </c>
      <c r="W120" s="131">
        <f>'Stasiun Pontianak Kota'!X170</f>
        <v>2</v>
      </c>
      <c r="X120" s="131">
        <f>'Stasiun Pontianak Kota'!Y170</f>
        <v>0</v>
      </c>
      <c r="Y120" s="131">
        <f>'Stasiun Pontianak Kota'!Z170</f>
        <v>0</v>
      </c>
      <c r="Z120" s="131">
        <f>'Stasiun Pontianak Kota'!AA170</f>
        <v>0</v>
      </c>
      <c r="AA120" s="131">
        <f>'Stasiun Pontianak Kota'!AB170</f>
        <v>0</v>
      </c>
      <c r="AC120" s="133">
        <v>31</v>
      </c>
      <c r="AD120" s="131">
        <f>'Sta. Meteorologi pnk'!B128</f>
        <v>0</v>
      </c>
      <c r="AE120" s="131">
        <f>'Sta. Meteorologi pnk'!C128</f>
        <v>0</v>
      </c>
      <c r="AF120" s="131">
        <f>'Sta. Meteorologi pnk'!D128</f>
        <v>0</v>
      </c>
      <c r="AG120" s="131">
        <f>'Sta. Meteorologi pnk'!E128</f>
        <v>0</v>
      </c>
      <c r="AH120" s="131">
        <f>'Sta. Meteorologi pnk'!F128</f>
        <v>0</v>
      </c>
      <c r="AI120" s="131">
        <f>'Sta. Meteorologi pnk'!G128</f>
        <v>0</v>
      </c>
      <c r="AJ120" s="131">
        <f>'Sta. Meteorologi pnk'!H128</f>
        <v>0</v>
      </c>
      <c r="AK120" s="131">
        <f>'Sta. Meteorologi pnk'!I128</f>
        <v>17.8</v>
      </c>
      <c r="AL120" s="131">
        <f>'Sta. Meteorologi pnk'!J128</f>
        <v>0</v>
      </c>
      <c r="AM120" s="131">
        <f>'Sta. Meteorologi pnk'!K128</f>
        <v>0</v>
      </c>
      <c r="AN120" s="131">
        <f>'Sta. Meteorologi pnk'!L128</f>
        <v>0</v>
      </c>
      <c r="AO120" s="131">
        <f>'Sta. Meteorologi pnk'!M128</f>
        <v>0</v>
      </c>
      <c r="AQ120" s="133">
        <v>31</v>
      </c>
      <c r="AR120" s="131">
        <f t="shared" si="159"/>
        <v>0</v>
      </c>
      <c r="AS120" s="131">
        <f t="shared" si="136"/>
        <v>0</v>
      </c>
      <c r="AT120" s="131">
        <f t="shared" si="137"/>
        <v>17.485486156942084</v>
      </c>
      <c r="AU120" s="131">
        <f t="shared" si="138"/>
        <v>0</v>
      </c>
      <c r="AV120" s="131">
        <f t="shared" si="139"/>
        <v>0</v>
      </c>
      <c r="AW120" s="131">
        <f t="shared" si="140"/>
        <v>0</v>
      </c>
      <c r="AX120" s="131">
        <f t="shared" si="141"/>
        <v>12.628406668902617</v>
      </c>
      <c r="AY120" s="131">
        <f t="shared" si="142"/>
        <v>12.683876272598425</v>
      </c>
      <c r="AZ120" s="131">
        <f t="shared" si="143"/>
        <v>0</v>
      </c>
      <c r="BA120" s="131">
        <f t="shared" si="144"/>
        <v>0</v>
      </c>
      <c r="BB120" s="131">
        <f t="shared" si="145"/>
        <v>0</v>
      </c>
      <c r="BC120" s="131">
        <f t="shared" si="146"/>
        <v>0</v>
      </c>
      <c r="BE120" s="133">
        <v>31</v>
      </c>
      <c r="BF120" s="131">
        <f t="shared" si="160"/>
        <v>0</v>
      </c>
      <c r="BG120" s="131">
        <f t="shared" si="147"/>
        <v>0</v>
      </c>
      <c r="BH120" s="131">
        <f t="shared" si="148"/>
        <v>19.836292399256898</v>
      </c>
      <c r="BI120" s="131">
        <f t="shared" si="149"/>
        <v>0</v>
      </c>
      <c r="BJ120" s="131">
        <f t="shared" si="150"/>
        <v>0</v>
      </c>
      <c r="BK120" s="131">
        <f t="shared" si="151"/>
        <v>0</v>
      </c>
      <c r="BL120" s="131">
        <f t="shared" si="152"/>
        <v>14.326211177241094</v>
      </c>
      <c r="BM120" s="131">
        <f t="shared" si="153"/>
        <v>11.996047779476685</v>
      </c>
      <c r="BN120" s="131">
        <f t="shared" si="154"/>
        <v>0</v>
      </c>
      <c r="BO120" s="131">
        <f t="shared" si="155"/>
        <v>0</v>
      </c>
      <c r="BP120" s="131">
        <f t="shared" si="156"/>
        <v>0</v>
      </c>
      <c r="BQ120" s="131">
        <f t="shared" si="157"/>
        <v>0</v>
      </c>
    </row>
    <row r="121" spans="1:70">
      <c r="A121" s="135" t="s">
        <v>28</v>
      </c>
      <c r="B121" s="136">
        <f>SUM(B90:B120)</f>
        <v>227.9977742655565</v>
      </c>
      <c r="C121" s="136">
        <f t="shared" ref="C121:M121" si="161">SUM(C90:C120)</f>
        <v>145.85998403206619</v>
      </c>
      <c r="D121" s="136">
        <f t="shared" si="161"/>
        <v>184.64919427109641</v>
      </c>
      <c r="E121" s="136">
        <f t="shared" si="161"/>
        <v>83.260000325876192</v>
      </c>
      <c r="F121" s="136">
        <f t="shared" si="161"/>
        <v>232.99371058934713</v>
      </c>
      <c r="G121" s="136">
        <f t="shared" si="161"/>
        <v>165.84854903622113</v>
      </c>
      <c r="H121" s="136">
        <f t="shared" si="161"/>
        <v>94.674677789907605</v>
      </c>
      <c r="I121" s="136">
        <f t="shared" si="161"/>
        <v>40.09219363563782</v>
      </c>
      <c r="J121" s="136">
        <f t="shared" si="161"/>
        <v>29.236048425203265</v>
      </c>
      <c r="K121" s="136">
        <f t="shared" si="161"/>
        <v>243.94480634806837</v>
      </c>
      <c r="L121" s="136">
        <f t="shared" si="161"/>
        <v>271.13556449904684</v>
      </c>
      <c r="M121" s="136">
        <f t="shared" si="161"/>
        <v>277.45137112410998</v>
      </c>
      <c r="N121" s="137">
        <f>COUNTIF(B90:M120,"&lt;0,1")-COUNTIF(B90:M120,"&lt;=0")</f>
        <v>-208</v>
      </c>
      <c r="O121" s="135" t="s">
        <v>28</v>
      </c>
      <c r="P121" s="136">
        <f>SUM(P90:P120)</f>
        <v>237</v>
      </c>
      <c r="Q121" s="136">
        <f t="shared" ref="Q121:AA121" si="162">SUM(Q90:Q120)</f>
        <v>166</v>
      </c>
      <c r="R121" s="136">
        <f t="shared" si="162"/>
        <v>275</v>
      </c>
      <c r="S121" s="136">
        <f t="shared" si="162"/>
        <v>124</v>
      </c>
      <c r="T121" s="136">
        <f t="shared" si="162"/>
        <v>347</v>
      </c>
      <c r="U121" s="136">
        <f t="shared" si="162"/>
        <v>247</v>
      </c>
      <c r="V121" s="136">
        <f t="shared" si="162"/>
        <v>141</v>
      </c>
      <c r="W121" s="136">
        <f t="shared" si="162"/>
        <v>51</v>
      </c>
      <c r="X121" s="136">
        <f t="shared" si="162"/>
        <v>34</v>
      </c>
      <c r="Y121" s="136">
        <f t="shared" si="162"/>
        <v>231</v>
      </c>
      <c r="Z121" s="136">
        <f t="shared" si="162"/>
        <v>269</v>
      </c>
      <c r="AA121" s="136">
        <f t="shared" si="162"/>
        <v>297</v>
      </c>
      <c r="AB121" s="137">
        <f>COUNTIF(P90:AA120,"&lt;0,1")-COUNTIF(P90:AA120,"&lt;=0")</f>
        <v>-243</v>
      </c>
      <c r="AC121" s="135" t="s">
        <v>28</v>
      </c>
      <c r="AD121" s="136">
        <f>SUM(AD90:AD120)</f>
        <v>209.6</v>
      </c>
      <c r="AE121" s="136">
        <f t="shared" ref="AE121:AO121" si="163">SUM(AE90:AE120)</f>
        <v>104.69999999999999</v>
      </c>
      <c r="AF121" s="136">
        <f t="shared" si="163"/>
        <v>0</v>
      </c>
      <c r="AG121" s="136">
        <f t="shared" si="163"/>
        <v>0</v>
      </c>
      <c r="AH121" s="136">
        <f t="shared" si="163"/>
        <v>0</v>
      </c>
      <c r="AI121" s="136">
        <f t="shared" si="163"/>
        <v>0</v>
      </c>
      <c r="AJ121" s="136">
        <f t="shared" si="163"/>
        <v>0</v>
      </c>
      <c r="AK121" s="136">
        <f t="shared" si="163"/>
        <v>17.8</v>
      </c>
      <c r="AL121" s="136">
        <f t="shared" si="163"/>
        <v>19.5</v>
      </c>
      <c r="AM121" s="136">
        <f t="shared" si="163"/>
        <v>270.40000000000003</v>
      </c>
      <c r="AN121" s="136">
        <f t="shared" si="163"/>
        <v>275.5</v>
      </c>
      <c r="AO121" s="136">
        <f t="shared" si="163"/>
        <v>237.50000000000003</v>
      </c>
      <c r="AP121" s="137">
        <f>COUNTIF(AD90:AO120,"&lt;0,1")-COUNTIF(AD90:AO120,"&lt;=0")</f>
        <v>-283</v>
      </c>
      <c r="AQ121" s="135" t="s">
        <v>28</v>
      </c>
      <c r="AR121" s="136">
        <f>SUM(AR90:AR120)</f>
        <v>218.47226519815209</v>
      </c>
      <c r="AS121" s="136">
        <f t="shared" ref="AS121:BC121" si="164">SUM(AS90:AS120)</f>
        <v>124.54926484112127</v>
      </c>
      <c r="AT121" s="136">
        <f t="shared" si="164"/>
        <v>89.046457280723587</v>
      </c>
      <c r="AU121" s="136">
        <f t="shared" si="164"/>
        <v>40.151857101126268</v>
      </c>
      <c r="AV121" s="136">
        <f t="shared" si="164"/>
        <v>112.36043882331303</v>
      </c>
      <c r="AW121" s="136">
        <f t="shared" si="164"/>
        <v>79.979908903049889</v>
      </c>
      <c r="AX121" s="136">
        <f t="shared" si="164"/>
        <v>45.656547187570993</v>
      </c>
      <c r="AY121" s="136">
        <f t="shared" si="164"/>
        <v>28.550335933527354</v>
      </c>
      <c r="AZ121" s="136">
        <f t="shared" si="164"/>
        <v>24.195176838438154</v>
      </c>
      <c r="BA121" s="136">
        <f t="shared" si="164"/>
        <v>257.64207121141629</v>
      </c>
      <c r="BB121" s="136">
        <f t="shared" si="164"/>
        <v>273.3952655551829</v>
      </c>
      <c r="BC121" s="136">
        <f t="shared" si="164"/>
        <v>256.76641530255654</v>
      </c>
      <c r="BD121" s="137">
        <f>COUNTIF(AR90:BC120,"&lt;0,1")-COUNTIF(AR90:BC120,"&lt;=0")</f>
        <v>-208</v>
      </c>
      <c r="BE121" s="135" t="s">
        <v>28</v>
      </c>
      <c r="BF121" s="136">
        <f>SUM(BF90:BF120)</f>
        <v>219.66508169888223</v>
      </c>
      <c r="BG121" s="136">
        <f t="shared" ref="BG121:BQ121" si="165">SUM(BG90:BG120)</f>
        <v>127.21786526063789</v>
      </c>
      <c r="BH121" s="136">
        <f t="shared" si="165"/>
        <v>101.01815573695643</v>
      </c>
      <c r="BI121" s="136">
        <f t="shared" si="165"/>
        <v>45.550004768663975</v>
      </c>
      <c r="BJ121" s="136">
        <f t="shared" si="165"/>
        <v>127.46654560263228</v>
      </c>
      <c r="BK121" s="136">
        <f t="shared" si="165"/>
        <v>90.732670789193577</v>
      </c>
      <c r="BL121" s="136">
        <f t="shared" si="165"/>
        <v>51.794763486948561</v>
      </c>
      <c r="BM121" s="136">
        <f t="shared" si="165"/>
        <v>29.995646438061641</v>
      </c>
      <c r="BN121" s="136">
        <f t="shared" si="165"/>
        <v>24.826411847948613</v>
      </c>
      <c r="BO121" s="136">
        <f t="shared" si="165"/>
        <v>255.92685332350518</v>
      </c>
      <c r="BP121" s="136">
        <f t="shared" si="165"/>
        <v>273.11229813712652</v>
      </c>
      <c r="BQ121" s="136">
        <f t="shared" si="165"/>
        <v>259.35665551399597</v>
      </c>
      <c r="BR121" s="137">
        <f>COUNTIF(BF90:BQ120,"&lt;0,1")-COUNTIF(BF90:BQ120,"&lt;=0")</f>
        <v>-208</v>
      </c>
    </row>
    <row r="122" spans="1:70">
      <c r="A122" s="138" t="s">
        <v>29</v>
      </c>
      <c r="B122" s="139">
        <f>MAX(B90:B120)</f>
        <v>52.958854871034497</v>
      </c>
      <c r="C122" s="139">
        <f t="shared" ref="C122:M122" si="166">MAX(C90:C120)</f>
        <v>26.858064621250385</v>
      </c>
      <c r="D122" s="139">
        <f t="shared" si="166"/>
        <v>44.9872582405944</v>
      </c>
      <c r="E122" s="139">
        <f t="shared" si="166"/>
        <v>24.172258159125345</v>
      </c>
      <c r="F122" s="139">
        <f t="shared" si="166"/>
        <v>43.644355009531878</v>
      </c>
      <c r="G122" s="139">
        <f t="shared" si="166"/>
        <v>53.044677626969509</v>
      </c>
      <c r="H122" s="139">
        <f t="shared" si="166"/>
        <v>26.858064621250385</v>
      </c>
      <c r="I122" s="139">
        <f t="shared" si="166"/>
        <v>12.757580695093933</v>
      </c>
      <c r="J122" s="139">
        <f t="shared" si="166"/>
        <v>16.786290388281493</v>
      </c>
      <c r="K122" s="139">
        <f t="shared" si="166"/>
        <v>66.184999918530949</v>
      </c>
      <c r="L122" s="139">
        <f t="shared" si="166"/>
        <v>47.75980642953742</v>
      </c>
      <c r="M122" s="139">
        <f t="shared" si="166"/>
        <v>50.373838658693565</v>
      </c>
      <c r="N122" s="129">
        <f>MAX(B122:M122)</f>
        <v>66.184999918530949</v>
      </c>
      <c r="O122" s="138" t="s">
        <v>29</v>
      </c>
      <c r="P122" s="139">
        <f>MAX(P90:P120)</f>
        <v>57</v>
      </c>
      <c r="Q122" s="139">
        <f t="shared" ref="Q122:AA122" si="167">MAX(Q90:Q120)</f>
        <v>40</v>
      </c>
      <c r="R122" s="139">
        <f t="shared" si="167"/>
        <v>67</v>
      </c>
      <c r="S122" s="139">
        <f t="shared" si="167"/>
        <v>36</v>
      </c>
      <c r="T122" s="139">
        <f t="shared" si="167"/>
        <v>65</v>
      </c>
      <c r="U122" s="139">
        <f t="shared" si="167"/>
        <v>79</v>
      </c>
      <c r="V122" s="139">
        <f t="shared" si="167"/>
        <v>40</v>
      </c>
      <c r="W122" s="139">
        <f t="shared" si="167"/>
        <v>19</v>
      </c>
      <c r="X122" s="139">
        <f t="shared" si="167"/>
        <v>25</v>
      </c>
      <c r="Y122" s="139">
        <f t="shared" si="167"/>
        <v>56</v>
      </c>
      <c r="Z122" s="139">
        <f t="shared" si="167"/>
        <v>48</v>
      </c>
      <c r="AA122" s="139">
        <f t="shared" si="167"/>
        <v>52</v>
      </c>
      <c r="AB122" s="129">
        <f>MAX(P122:AA122)</f>
        <v>79</v>
      </c>
      <c r="AC122" s="138" t="s">
        <v>29</v>
      </c>
      <c r="AD122" s="139">
        <f>MAX(AD90:AD120)</f>
        <v>44.7</v>
      </c>
      <c r="AE122" s="139">
        <f t="shared" ref="AE122:AO122" si="168">MAX(AE90:AE120)</f>
        <v>43.8</v>
      </c>
      <c r="AF122" s="139">
        <f t="shared" si="168"/>
        <v>0</v>
      </c>
      <c r="AG122" s="139">
        <f t="shared" si="168"/>
        <v>0</v>
      </c>
      <c r="AH122" s="139">
        <f t="shared" si="168"/>
        <v>0</v>
      </c>
      <c r="AI122" s="139">
        <f t="shared" si="168"/>
        <v>0</v>
      </c>
      <c r="AJ122" s="139">
        <f t="shared" si="168"/>
        <v>0</v>
      </c>
      <c r="AK122" s="139">
        <f t="shared" si="168"/>
        <v>17.8</v>
      </c>
      <c r="AL122" s="139">
        <f t="shared" si="168"/>
        <v>10.6</v>
      </c>
      <c r="AM122" s="139">
        <f t="shared" si="168"/>
        <v>87</v>
      </c>
      <c r="AN122" s="139">
        <f t="shared" si="168"/>
        <v>53.4</v>
      </c>
      <c r="AO122" s="139">
        <f t="shared" si="168"/>
        <v>63.4</v>
      </c>
      <c r="AQ122" s="138" t="s">
        <v>29</v>
      </c>
      <c r="AR122" s="139">
        <f>MAX(AR90:AR120)</f>
        <v>48.682805180192361</v>
      </c>
      <c r="AS122" s="139">
        <f t="shared" ref="AS122:BC122" si="169">MAX(AS90:AS120)</f>
        <v>29.617327894924749</v>
      </c>
      <c r="AT122" s="139">
        <f t="shared" si="169"/>
        <v>21.69495504657629</v>
      </c>
      <c r="AU122" s="139">
        <f t="shared" si="169"/>
        <v>11.656990771294723</v>
      </c>
      <c r="AV122" s="139">
        <f t="shared" si="169"/>
        <v>21.047344448171028</v>
      </c>
      <c r="AW122" s="139">
        <f t="shared" si="169"/>
        <v>25.580618637007866</v>
      </c>
      <c r="AX122" s="139">
        <f t="shared" si="169"/>
        <v>12.952211968105248</v>
      </c>
      <c r="AY122" s="139">
        <f t="shared" si="169"/>
        <v>12.683876272598425</v>
      </c>
      <c r="AZ122" s="139">
        <f t="shared" si="169"/>
        <v>8.0951324800657805</v>
      </c>
      <c r="BA122" s="139">
        <f t="shared" si="169"/>
        <v>76.962035724718433</v>
      </c>
      <c r="BB122" s="139">
        <f t="shared" si="169"/>
        <v>50.680035486697896</v>
      </c>
      <c r="BC122" s="139">
        <f t="shared" si="169"/>
        <v>57.118177195468952</v>
      </c>
      <c r="BE122" s="138" t="s">
        <v>29</v>
      </c>
      <c r="BF122" s="139">
        <f>MAX(BF90:BF120)</f>
        <v>49.218266602052957</v>
      </c>
      <c r="BG122" s="139">
        <f t="shared" ref="BG122:BQ122" si="170">MAX(BG90:BG120)</f>
        <v>27.710562831713847</v>
      </c>
      <c r="BH122" s="139">
        <f t="shared" si="170"/>
        <v>24.611696125003931</v>
      </c>
      <c r="BI122" s="139">
        <f t="shared" si="170"/>
        <v>13.22419493283793</v>
      </c>
      <c r="BJ122" s="139">
        <f t="shared" si="170"/>
        <v>23.877018628735154</v>
      </c>
      <c r="BK122" s="139">
        <f t="shared" si="170"/>
        <v>29.019761102616574</v>
      </c>
      <c r="BL122" s="139">
        <f t="shared" si="170"/>
        <v>14.693549925375478</v>
      </c>
      <c r="BM122" s="139">
        <f t="shared" si="170"/>
        <v>11.996047779476685</v>
      </c>
      <c r="BN122" s="139">
        <f t="shared" si="170"/>
        <v>9.1834687033596758</v>
      </c>
      <c r="BO122" s="139">
        <f t="shared" si="170"/>
        <v>75.612498807834015</v>
      </c>
      <c r="BP122" s="139">
        <f t="shared" si="170"/>
        <v>50.314354515671148</v>
      </c>
      <c r="BQ122" s="139">
        <f t="shared" si="170"/>
        <v>56.273628286192888</v>
      </c>
      <c r="BR122" s="129">
        <f>MAX(BF122:BQ122)</f>
        <v>75.612498807834015</v>
      </c>
    </row>
    <row r="123" spans="1:70">
      <c r="A123" s="130" t="s">
        <v>30</v>
      </c>
      <c r="B123" s="131">
        <f>SUM(B90:B104)</f>
        <v>66.384048360028018</v>
      </c>
      <c r="C123" s="131">
        <f t="shared" ref="C123:M123" si="171">SUM(C90:C104)</f>
        <v>106.24433871572188</v>
      </c>
      <c r="D123" s="131">
        <f t="shared" si="171"/>
        <v>71.845322861844792</v>
      </c>
      <c r="E123" s="131">
        <f t="shared" si="171"/>
        <v>68.488064784188481</v>
      </c>
      <c r="F123" s="131">
        <f t="shared" si="171"/>
        <v>126.23290371987682</v>
      </c>
      <c r="G123" s="131">
        <f t="shared" si="171"/>
        <v>161.81983934303358</v>
      </c>
      <c r="H123" s="131">
        <f t="shared" si="171"/>
        <v>0</v>
      </c>
      <c r="I123" s="131">
        <f t="shared" si="171"/>
        <v>14.100483926156452</v>
      </c>
      <c r="J123" s="131">
        <f t="shared" si="171"/>
        <v>21.385967770843859</v>
      </c>
      <c r="K123" s="131">
        <f t="shared" si="171"/>
        <v>158.8956772522119</v>
      </c>
      <c r="L123" s="131">
        <f t="shared" si="171"/>
        <v>146.86635491176901</v>
      </c>
      <c r="M123" s="131">
        <f t="shared" si="171"/>
        <v>214.10048392615647</v>
      </c>
      <c r="O123" s="130" t="s">
        <v>30</v>
      </c>
      <c r="P123" s="131">
        <f>SUM(P90:P104)</f>
        <v>63</v>
      </c>
      <c r="Q123" s="131">
        <f t="shared" ref="Q123:AA123" si="172">SUM(Q90:Q104)</f>
        <v>107</v>
      </c>
      <c r="R123" s="131">
        <f t="shared" si="172"/>
        <v>107</v>
      </c>
      <c r="S123" s="131">
        <f t="shared" si="172"/>
        <v>102</v>
      </c>
      <c r="T123" s="131">
        <f t="shared" si="172"/>
        <v>188</v>
      </c>
      <c r="U123" s="131">
        <f t="shared" si="172"/>
        <v>241</v>
      </c>
      <c r="V123" s="131">
        <f t="shared" si="172"/>
        <v>0</v>
      </c>
      <c r="W123" s="131">
        <f t="shared" si="172"/>
        <v>21</v>
      </c>
      <c r="X123" s="131">
        <f t="shared" si="172"/>
        <v>25</v>
      </c>
      <c r="Y123" s="131">
        <f t="shared" si="172"/>
        <v>138</v>
      </c>
      <c r="Z123" s="131">
        <f t="shared" si="172"/>
        <v>156</v>
      </c>
      <c r="AA123" s="131">
        <f t="shared" si="172"/>
        <v>221</v>
      </c>
      <c r="AC123" s="130" t="s">
        <v>30</v>
      </c>
      <c r="AD123" s="131">
        <f>SUM(AD90:AD104)</f>
        <v>73.300000000000011</v>
      </c>
      <c r="AE123" s="131">
        <f t="shared" ref="AE123:AO123" si="173">SUM(AE90:AE104)</f>
        <v>104.69999999999999</v>
      </c>
      <c r="AF123" s="131">
        <f t="shared" si="173"/>
        <v>0</v>
      </c>
      <c r="AG123" s="131">
        <f t="shared" si="173"/>
        <v>0</v>
      </c>
      <c r="AH123" s="131">
        <f t="shared" si="173"/>
        <v>0</v>
      </c>
      <c r="AI123" s="131">
        <f t="shared" si="173"/>
        <v>0</v>
      </c>
      <c r="AJ123" s="131">
        <f t="shared" si="173"/>
        <v>0</v>
      </c>
      <c r="AK123" s="131">
        <f t="shared" si="173"/>
        <v>0</v>
      </c>
      <c r="AL123" s="131">
        <f t="shared" si="173"/>
        <v>14</v>
      </c>
      <c r="AM123" s="131">
        <f t="shared" si="173"/>
        <v>201.6</v>
      </c>
      <c r="AN123" s="131">
        <f t="shared" si="173"/>
        <v>128.20000000000002</v>
      </c>
      <c r="AO123" s="131">
        <f t="shared" si="173"/>
        <v>200.00000000000003</v>
      </c>
      <c r="AQ123" s="130" t="s">
        <v>30</v>
      </c>
      <c r="AR123" s="131">
        <f>SUM(AR90:AR104)</f>
        <v>69.964805418212876</v>
      </c>
      <c r="AS123" s="131">
        <f t="shared" ref="AS123:BC123" si="174">SUM(AS90:AS104)</f>
        <v>105.44475218816604</v>
      </c>
      <c r="AT123" s="131">
        <f t="shared" si="174"/>
        <v>34.647167014681543</v>
      </c>
      <c r="AU123" s="131">
        <f t="shared" si="174"/>
        <v>33.02814051866838</v>
      </c>
      <c r="AV123" s="131">
        <f t="shared" si="174"/>
        <v>60.875396250094667</v>
      </c>
      <c r="AW123" s="131">
        <f t="shared" si="174"/>
        <v>78.037077107834108</v>
      </c>
      <c r="AX123" s="131">
        <f t="shared" si="174"/>
        <v>0</v>
      </c>
      <c r="AY123" s="131">
        <f t="shared" si="174"/>
        <v>6.7999112832552546</v>
      </c>
      <c r="AZ123" s="131">
        <f t="shared" si="174"/>
        <v>17.561858291228944</v>
      </c>
      <c r="BA123" s="131">
        <f t="shared" si="174"/>
        <v>181.00598297071264</v>
      </c>
      <c r="BB123" s="131">
        <f t="shared" si="174"/>
        <v>137.20178731783315</v>
      </c>
      <c r="BC123" s="131">
        <f t="shared" si="174"/>
        <v>206.79991128325523</v>
      </c>
      <c r="BE123" s="130" t="s">
        <v>30</v>
      </c>
      <c r="BF123" s="131">
        <f>SUM(BF90:BF104)</f>
        <v>69.516410894215809</v>
      </c>
      <c r="BG123" s="131">
        <f t="shared" ref="BG123:BQ123" si="175">SUM(BG90:BG104)</f>
        <v>105.54487912070907</v>
      </c>
      <c r="BH123" s="131">
        <f t="shared" si="175"/>
        <v>39.305246050379409</v>
      </c>
      <c r="BI123" s="131">
        <f t="shared" si="175"/>
        <v>37.468552309707469</v>
      </c>
      <c r="BJ123" s="131">
        <f t="shared" si="175"/>
        <v>69.059684649264753</v>
      </c>
      <c r="BK123" s="131">
        <f t="shared" si="175"/>
        <v>88.528638300387257</v>
      </c>
      <c r="BL123" s="131">
        <f t="shared" si="175"/>
        <v>0</v>
      </c>
      <c r="BM123" s="131">
        <f t="shared" si="175"/>
        <v>7.7141137108221258</v>
      </c>
      <c r="BN123" s="131">
        <f t="shared" si="175"/>
        <v>18.04072622947826</v>
      </c>
      <c r="BO123" s="131">
        <f t="shared" si="175"/>
        <v>178.23725561865302</v>
      </c>
      <c r="BP123" s="131">
        <f t="shared" si="175"/>
        <v>138.41201719813597</v>
      </c>
      <c r="BQ123" s="131">
        <f t="shared" si="175"/>
        <v>207.71411371082212</v>
      </c>
    </row>
    <row r="124" spans="1:70">
      <c r="A124" s="140" t="s">
        <v>31</v>
      </c>
      <c r="B124" s="141">
        <f>SUM(B105:B120)</f>
        <v>161.61372590552847</v>
      </c>
      <c r="C124" s="141">
        <f t="shared" ref="C124:M124" si="176">SUM(C105:C120)</f>
        <v>39.61564531634432</v>
      </c>
      <c r="D124" s="141">
        <f t="shared" si="176"/>
        <v>112.80387140925163</v>
      </c>
      <c r="E124" s="141">
        <f t="shared" si="176"/>
        <v>14.771935541687713</v>
      </c>
      <c r="F124" s="141">
        <f t="shared" si="176"/>
        <v>106.76080686947029</v>
      </c>
      <c r="G124" s="141">
        <f t="shared" si="176"/>
        <v>4.0287096931875581</v>
      </c>
      <c r="H124" s="141">
        <f t="shared" si="176"/>
        <v>94.674677789907605</v>
      </c>
      <c r="I124" s="141">
        <f t="shared" si="176"/>
        <v>25.991709709481366</v>
      </c>
      <c r="J124" s="141">
        <f t="shared" si="176"/>
        <v>7.8500806543594086</v>
      </c>
      <c r="K124" s="141">
        <f t="shared" si="176"/>
        <v>85.049129095856486</v>
      </c>
      <c r="L124" s="141">
        <f t="shared" si="176"/>
        <v>124.2692095872778</v>
      </c>
      <c r="M124" s="141">
        <f t="shared" si="176"/>
        <v>63.35088719795349</v>
      </c>
      <c r="O124" s="140" t="s">
        <v>31</v>
      </c>
      <c r="P124" s="141">
        <f>SUM(P105:P120)</f>
        <v>174</v>
      </c>
      <c r="Q124" s="141">
        <f t="shared" ref="Q124:AA124" si="177">SUM(Q105:Q120)</f>
        <v>59</v>
      </c>
      <c r="R124" s="141">
        <f t="shared" si="177"/>
        <v>168</v>
      </c>
      <c r="S124" s="141">
        <f t="shared" si="177"/>
        <v>22</v>
      </c>
      <c r="T124" s="141">
        <f t="shared" si="177"/>
        <v>159</v>
      </c>
      <c r="U124" s="141">
        <f t="shared" si="177"/>
        <v>6</v>
      </c>
      <c r="V124" s="141">
        <f t="shared" si="177"/>
        <v>141</v>
      </c>
      <c r="W124" s="141">
        <f t="shared" si="177"/>
        <v>30</v>
      </c>
      <c r="X124" s="141">
        <f t="shared" si="177"/>
        <v>9</v>
      </c>
      <c r="Y124" s="141">
        <f t="shared" si="177"/>
        <v>93</v>
      </c>
      <c r="Z124" s="141">
        <f t="shared" si="177"/>
        <v>113</v>
      </c>
      <c r="AA124" s="141">
        <f t="shared" si="177"/>
        <v>76</v>
      </c>
      <c r="AC124" s="140" t="s">
        <v>31</v>
      </c>
      <c r="AD124" s="141">
        <f>SUM(AD105:AD120)</f>
        <v>136.29999999999998</v>
      </c>
      <c r="AE124" s="141">
        <f t="shared" ref="AE124:AO124" si="178">SUM(AE105:AE120)</f>
        <v>0</v>
      </c>
      <c r="AF124" s="141">
        <f t="shared" si="178"/>
        <v>0</v>
      </c>
      <c r="AG124" s="141">
        <f t="shared" si="178"/>
        <v>0</v>
      </c>
      <c r="AH124" s="141">
        <f t="shared" si="178"/>
        <v>0</v>
      </c>
      <c r="AI124" s="141">
        <f t="shared" si="178"/>
        <v>0</v>
      </c>
      <c r="AJ124" s="141">
        <f t="shared" si="178"/>
        <v>0</v>
      </c>
      <c r="AK124" s="141">
        <f t="shared" si="178"/>
        <v>17.8</v>
      </c>
      <c r="AL124" s="141">
        <f t="shared" si="178"/>
        <v>5.5</v>
      </c>
      <c r="AM124" s="141">
        <f t="shared" si="178"/>
        <v>68.8</v>
      </c>
      <c r="AN124" s="141">
        <f t="shared" si="178"/>
        <v>147.29999999999998</v>
      </c>
      <c r="AO124" s="141">
        <f t="shared" si="178"/>
        <v>37.5</v>
      </c>
      <c r="AQ124" s="140" t="s">
        <v>31</v>
      </c>
      <c r="AR124" s="141">
        <f>SUM(AR105:AR120)</f>
        <v>148.50745977993918</v>
      </c>
      <c r="AS124" s="141">
        <f t="shared" ref="AS124:BC124" si="179">SUM(AS105:AS120)</f>
        <v>19.10451265295524</v>
      </c>
      <c r="AT124" s="141">
        <f t="shared" si="179"/>
        <v>54.399290266042044</v>
      </c>
      <c r="AU124" s="141">
        <f t="shared" si="179"/>
        <v>7.1237165824578854</v>
      </c>
      <c r="AV124" s="141">
        <f t="shared" si="179"/>
        <v>51.485042573218365</v>
      </c>
      <c r="AW124" s="141">
        <f t="shared" si="179"/>
        <v>1.942831795215787</v>
      </c>
      <c r="AX124" s="141">
        <f t="shared" si="179"/>
        <v>45.656547187570993</v>
      </c>
      <c r="AY124" s="141">
        <f t="shared" si="179"/>
        <v>21.750424650272102</v>
      </c>
      <c r="AZ124" s="141">
        <f t="shared" si="179"/>
        <v>6.6333185472092087</v>
      </c>
      <c r="BA124" s="141">
        <f t="shared" si="179"/>
        <v>76.636088240703671</v>
      </c>
      <c r="BB124" s="141">
        <f t="shared" si="179"/>
        <v>136.19347823734975</v>
      </c>
      <c r="BC124" s="141">
        <f t="shared" si="179"/>
        <v>49.966504019301297</v>
      </c>
      <c r="BE124" s="140" t="s">
        <v>31</v>
      </c>
      <c r="BF124" s="141">
        <f>SUM(BF105:BF120)</f>
        <v>150.14867080466638</v>
      </c>
      <c r="BG124" s="141">
        <f t="shared" ref="BG124:BQ124" si="180">SUM(BG105:BG120)</f>
        <v>21.672986139928831</v>
      </c>
      <c r="BH124" s="141">
        <f t="shared" si="180"/>
        <v>61.712909686577014</v>
      </c>
      <c r="BI124" s="141">
        <f t="shared" si="180"/>
        <v>8.0814524589565124</v>
      </c>
      <c r="BJ124" s="141">
        <f t="shared" si="180"/>
        <v>58.406860953367534</v>
      </c>
      <c r="BK124" s="141">
        <f t="shared" si="180"/>
        <v>2.2040324888063219</v>
      </c>
      <c r="BL124" s="141">
        <f t="shared" si="180"/>
        <v>51.794763486948561</v>
      </c>
      <c r="BM124" s="141">
        <f t="shared" si="180"/>
        <v>22.281532727239522</v>
      </c>
      <c r="BN124" s="141">
        <f t="shared" si="180"/>
        <v>6.7856856184703549</v>
      </c>
      <c r="BO124" s="141">
        <f t="shared" si="180"/>
        <v>77.689597704852162</v>
      </c>
      <c r="BP124" s="141">
        <f t="shared" si="180"/>
        <v>134.70028093899052</v>
      </c>
      <c r="BQ124" s="141">
        <f t="shared" si="180"/>
        <v>51.642541803173899</v>
      </c>
    </row>
    <row r="125" spans="1:70" ht="15.75" thickBot="1">
      <c r="A125" s="133" t="s">
        <v>32</v>
      </c>
      <c r="B125" s="134">
        <f>COUNTIF(B92:B122,"&gt;0")</f>
        <v>20</v>
      </c>
      <c r="C125" s="134">
        <f t="shared" ref="C125:M125" si="181">COUNTIF(C92:C122,"&gt;0")</f>
        <v>15</v>
      </c>
      <c r="D125" s="134">
        <f t="shared" si="181"/>
        <v>12</v>
      </c>
      <c r="E125" s="134">
        <f t="shared" si="181"/>
        <v>11</v>
      </c>
      <c r="F125" s="134">
        <f t="shared" si="181"/>
        <v>15</v>
      </c>
      <c r="G125" s="134">
        <f t="shared" si="181"/>
        <v>11</v>
      </c>
      <c r="H125" s="134">
        <f t="shared" si="181"/>
        <v>8</v>
      </c>
      <c r="I125" s="134">
        <f t="shared" si="181"/>
        <v>7</v>
      </c>
      <c r="J125" s="134">
        <f t="shared" si="181"/>
        <v>9</v>
      </c>
      <c r="K125" s="134">
        <f t="shared" si="181"/>
        <v>16</v>
      </c>
      <c r="L125" s="134">
        <f t="shared" si="181"/>
        <v>27</v>
      </c>
      <c r="M125" s="134">
        <f t="shared" si="181"/>
        <v>22</v>
      </c>
      <c r="O125" s="133" t="s">
        <v>32</v>
      </c>
      <c r="P125" s="134">
        <f>COUNTIF(P90:P120,"&gt;0")</f>
        <v>15</v>
      </c>
      <c r="Q125" s="134">
        <f t="shared" ref="Q125:AA125" si="182">COUNTIF(Q90:Q120,"&gt;0")</f>
        <v>13</v>
      </c>
      <c r="R125" s="134">
        <f t="shared" si="182"/>
        <v>12</v>
      </c>
      <c r="S125" s="134">
        <f t="shared" si="182"/>
        <v>10</v>
      </c>
      <c r="T125" s="134">
        <f t="shared" si="182"/>
        <v>15</v>
      </c>
      <c r="U125" s="134">
        <f t="shared" si="182"/>
        <v>10</v>
      </c>
      <c r="V125" s="134">
        <f t="shared" si="182"/>
        <v>6</v>
      </c>
      <c r="W125" s="134">
        <f t="shared" si="182"/>
        <v>6</v>
      </c>
      <c r="X125" s="134">
        <f t="shared" si="182"/>
        <v>3</v>
      </c>
      <c r="Y125" s="134">
        <f t="shared" si="182"/>
        <v>10</v>
      </c>
      <c r="Z125" s="134">
        <f t="shared" si="182"/>
        <v>16</v>
      </c>
      <c r="AA125" s="134">
        <f t="shared" si="182"/>
        <v>13</v>
      </c>
      <c r="AC125" s="133" t="s">
        <v>32</v>
      </c>
      <c r="AD125" s="134">
        <f>COUNTIF(AD90:AD120,"&gt;0")</f>
        <v>17</v>
      </c>
      <c r="AE125" s="134">
        <f t="shared" ref="AE125:AO125" si="183">COUNTIF(AE90:AE120,"&gt;0")</f>
        <v>5</v>
      </c>
      <c r="AF125" s="134">
        <f t="shared" si="183"/>
        <v>0</v>
      </c>
      <c r="AG125" s="134">
        <f t="shared" si="183"/>
        <v>0</v>
      </c>
      <c r="AH125" s="134">
        <f t="shared" si="183"/>
        <v>0</v>
      </c>
      <c r="AI125" s="134">
        <f t="shared" si="183"/>
        <v>0</v>
      </c>
      <c r="AJ125" s="134">
        <f t="shared" si="183"/>
        <v>0</v>
      </c>
      <c r="AK125" s="134">
        <f t="shared" si="183"/>
        <v>1</v>
      </c>
      <c r="AL125" s="134">
        <f t="shared" si="183"/>
        <v>6</v>
      </c>
      <c r="AM125" s="134">
        <f t="shared" si="183"/>
        <v>13</v>
      </c>
      <c r="AN125" s="134">
        <f t="shared" si="183"/>
        <v>26</v>
      </c>
      <c r="AO125" s="134">
        <f t="shared" si="183"/>
        <v>21</v>
      </c>
      <c r="AQ125" s="133" t="s">
        <v>32</v>
      </c>
      <c r="AR125" s="134">
        <f>COUNTIF(AR90:AR120,"&gt;0")</f>
        <v>20</v>
      </c>
      <c r="AS125" s="134">
        <f t="shared" ref="AS125:BC125" si="184">COUNTIF(AS90:AS120,"&gt;0")</f>
        <v>15</v>
      </c>
      <c r="AT125" s="134">
        <f t="shared" si="184"/>
        <v>12</v>
      </c>
      <c r="AU125" s="134">
        <f t="shared" si="184"/>
        <v>10</v>
      </c>
      <c r="AV125" s="134">
        <f t="shared" si="184"/>
        <v>15</v>
      </c>
      <c r="AW125" s="134">
        <f t="shared" si="184"/>
        <v>10</v>
      </c>
      <c r="AX125" s="134">
        <f t="shared" si="184"/>
        <v>6</v>
      </c>
      <c r="AY125" s="134">
        <f t="shared" si="184"/>
        <v>6</v>
      </c>
      <c r="AZ125" s="134">
        <f t="shared" si="184"/>
        <v>7</v>
      </c>
      <c r="BA125" s="134">
        <f t="shared" si="184"/>
        <v>14</v>
      </c>
      <c r="BB125" s="134">
        <f t="shared" si="184"/>
        <v>27</v>
      </c>
      <c r="BC125" s="134">
        <f t="shared" si="184"/>
        <v>22</v>
      </c>
      <c r="BE125" s="133" t="s">
        <v>32</v>
      </c>
      <c r="BF125" s="134">
        <f>COUNTIF(BF90:BF120,"&gt;0")</f>
        <v>20</v>
      </c>
      <c r="BG125" s="134">
        <f t="shared" ref="BG125:BQ125" si="185">COUNTIF(BG90:BG120,"&gt;0")</f>
        <v>15</v>
      </c>
      <c r="BH125" s="134">
        <f t="shared" si="185"/>
        <v>12</v>
      </c>
      <c r="BI125" s="134">
        <f t="shared" si="185"/>
        <v>10</v>
      </c>
      <c r="BJ125" s="134">
        <f t="shared" si="185"/>
        <v>15</v>
      </c>
      <c r="BK125" s="134">
        <f t="shared" si="185"/>
        <v>10</v>
      </c>
      <c r="BL125" s="134">
        <f t="shared" si="185"/>
        <v>6</v>
      </c>
      <c r="BM125" s="134">
        <f t="shared" si="185"/>
        <v>6</v>
      </c>
      <c r="BN125" s="134">
        <f t="shared" si="185"/>
        <v>7</v>
      </c>
      <c r="BO125" s="134">
        <f t="shared" si="185"/>
        <v>14</v>
      </c>
      <c r="BP125" s="134">
        <f t="shared" si="185"/>
        <v>27</v>
      </c>
      <c r="BQ125" s="134">
        <f t="shared" si="185"/>
        <v>22</v>
      </c>
    </row>
    <row r="126" spans="1:70" ht="15.75" thickBot="1"/>
    <row r="127" spans="1:70" s="142" customFormat="1">
      <c r="A127" s="147" t="s">
        <v>35</v>
      </c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9"/>
      <c r="N127" s="129"/>
      <c r="O127" s="147" t="s">
        <v>35</v>
      </c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9"/>
      <c r="AB127" s="129"/>
      <c r="AC127" s="147" t="s">
        <v>35</v>
      </c>
      <c r="AD127" s="148"/>
      <c r="AE127" s="148"/>
      <c r="AF127" s="148"/>
      <c r="AG127" s="148"/>
      <c r="AH127" s="148"/>
      <c r="AI127" s="148"/>
      <c r="AJ127" s="148"/>
      <c r="AK127" s="148"/>
      <c r="AL127" s="148"/>
      <c r="AM127" s="148"/>
      <c r="AN127" s="148"/>
      <c r="AO127" s="149"/>
      <c r="AP127" s="129"/>
      <c r="AQ127" s="147" t="s">
        <v>35</v>
      </c>
      <c r="AR127" s="148"/>
      <c r="AS127" s="148"/>
      <c r="AT127" s="148"/>
      <c r="AU127" s="148"/>
      <c r="AV127" s="148"/>
      <c r="AW127" s="148"/>
      <c r="AX127" s="148"/>
      <c r="AY127" s="148"/>
      <c r="AZ127" s="148"/>
      <c r="BA127" s="148"/>
      <c r="BB127" s="148"/>
      <c r="BC127" s="149"/>
      <c r="BD127" s="129"/>
      <c r="BE127" s="147" t="s">
        <v>35</v>
      </c>
      <c r="BF127" s="148"/>
      <c r="BG127" s="148"/>
      <c r="BH127" s="148"/>
      <c r="BI127" s="148"/>
      <c r="BJ127" s="148"/>
      <c r="BK127" s="148"/>
      <c r="BL127" s="148"/>
      <c r="BM127" s="148"/>
      <c r="BN127" s="148"/>
      <c r="BO127" s="148"/>
      <c r="BP127" s="148"/>
      <c r="BQ127" s="149"/>
      <c r="BR127" s="129"/>
    </row>
    <row r="128" spans="1:70">
      <c r="A128" s="144"/>
      <c r="B128" s="145" t="s">
        <v>15</v>
      </c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6"/>
      <c r="O128" s="144"/>
      <c r="P128" s="145" t="s">
        <v>15</v>
      </c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6"/>
      <c r="AC128" s="144"/>
      <c r="AD128" s="145" t="s">
        <v>15</v>
      </c>
      <c r="AE128" s="145"/>
      <c r="AF128" s="145"/>
      <c r="AG128" s="145"/>
      <c r="AH128" s="145"/>
      <c r="AI128" s="145"/>
      <c r="AJ128" s="145"/>
      <c r="AK128" s="145"/>
      <c r="AL128" s="145"/>
      <c r="AM128" s="145"/>
      <c r="AN128" s="145"/>
      <c r="AO128" s="146"/>
      <c r="AQ128" s="144"/>
      <c r="AR128" s="145" t="s">
        <v>15</v>
      </c>
      <c r="AS128" s="145"/>
      <c r="AT128" s="145"/>
      <c r="AU128" s="145"/>
      <c r="AV128" s="145"/>
      <c r="AW128" s="145"/>
      <c r="AX128" s="145"/>
      <c r="AY128" s="145"/>
      <c r="AZ128" s="145"/>
      <c r="BA128" s="145"/>
      <c r="BB128" s="145"/>
      <c r="BC128" s="146"/>
      <c r="BE128" s="144"/>
      <c r="BF128" s="145" t="s">
        <v>15</v>
      </c>
      <c r="BG128" s="145"/>
      <c r="BH128" s="145"/>
      <c r="BI128" s="145"/>
      <c r="BJ128" s="145"/>
      <c r="BK128" s="145"/>
      <c r="BL128" s="145"/>
      <c r="BM128" s="145"/>
      <c r="BN128" s="145"/>
      <c r="BO128" s="145"/>
      <c r="BP128" s="145"/>
      <c r="BQ128" s="146"/>
    </row>
    <row r="129" spans="1:69">
      <c r="A129" s="144"/>
      <c r="B129" s="131" t="s">
        <v>16</v>
      </c>
      <c r="C129" s="131" t="s">
        <v>17</v>
      </c>
      <c r="D129" s="131" t="s">
        <v>18</v>
      </c>
      <c r="E129" s="131" t="s">
        <v>19</v>
      </c>
      <c r="F129" s="131" t="s">
        <v>20</v>
      </c>
      <c r="G129" s="131" t="s">
        <v>21</v>
      </c>
      <c r="H129" s="131" t="s">
        <v>22</v>
      </c>
      <c r="I129" s="131" t="s">
        <v>23</v>
      </c>
      <c r="J129" s="131" t="s">
        <v>24</v>
      </c>
      <c r="K129" s="131" t="s">
        <v>25</v>
      </c>
      <c r="L129" s="131" t="s">
        <v>26</v>
      </c>
      <c r="M129" s="132" t="s">
        <v>27</v>
      </c>
      <c r="O129" s="144"/>
      <c r="P129" s="131" t="s">
        <v>16</v>
      </c>
      <c r="Q129" s="131" t="s">
        <v>17</v>
      </c>
      <c r="R129" s="131" t="s">
        <v>18</v>
      </c>
      <c r="S129" s="131" t="s">
        <v>19</v>
      </c>
      <c r="T129" s="131" t="s">
        <v>20</v>
      </c>
      <c r="U129" s="131" t="s">
        <v>21</v>
      </c>
      <c r="V129" s="131" t="s">
        <v>22</v>
      </c>
      <c r="W129" s="131" t="s">
        <v>23</v>
      </c>
      <c r="X129" s="131" t="s">
        <v>24</v>
      </c>
      <c r="Y129" s="131" t="s">
        <v>25</v>
      </c>
      <c r="Z129" s="131" t="s">
        <v>26</v>
      </c>
      <c r="AA129" s="132" t="s">
        <v>27</v>
      </c>
      <c r="AC129" s="144"/>
      <c r="AD129" s="131" t="s">
        <v>16</v>
      </c>
      <c r="AE129" s="131" t="s">
        <v>17</v>
      </c>
      <c r="AF129" s="131" t="s">
        <v>18</v>
      </c>
      <c r="AG129" s="131" t="s">
        <v>19</v>
      </c>
      <c r="AH129" s="131" t="s">
        <v>20</v>
      </c>
      <c r="AI129" s="131" t="s">
        <v>21</v>
      </c>
      <c r="AJ129" s="131" t="s">
        <v>22</v>
      </c>
      <c r="AK129" s="131" t="s">
        <v>23</v>
      </c>
      <c r="AL129" s="131" t="s">
        <v>24</v>
      </c>
      <c r="AM129" s="131" t="s">
        <v>25</v>
      </c>
      <c r="AN129" s="131" t="s">
        <v>26</v>
      </c>
      <c r="AO129" s="132" t="s">
        <v>27</v>
      </c>
      <c r="AQ129" s="144"/>
      <c r="AR129" s="131" t="s">
        <v>16</v>
      </c>
      <c r="AS129" s="131" t="s">
        <v>17</v>
      </c>
      <c r="AT129" s="131" t="s">
        <v>18</v>
      </c>
      <c r="AU129" s="131" t="s">
        <v>19</v>
      </c>
      <c r="AV129" s="131" t="s">
        <v>20</v>
      </c>
      <c r="AW129" s="131" t="s">
        <v>21</v>
      </c>
      <c r="AX129" s="131" t="s">
        <v>22</v>
      </c>
      <c r="AY129" s="131" t="s">
        <v>23</v>
      </c>
      <c r="AZ129" s="131" t="s">
        <v>24</v>
      </c>
      <c r="BA129" s="131" t="s">
        <v>25</v>
      </c>
      <c r="BB129" s="131" t="s">
        <v>26</v>
      </c>
      <c r="BC129" s="132" t="s">
        <v>27</v>
      </c>
      <c r="BE129" s="144"/>
      <c r="BF129" s="131" t="s">
        <v>16</v>
      </c>
      <c r="BG129" s="131" t="s">
        <v>17</v>
      </c>
      <c r="BH129" s="131" t="s">
        <v>18</v>
      </c>
      <c r="BI129" s="131" t="s">
        <v>19</v>
      </c>
      <c r="BJ129" s="131" t="s">
        <v>20</v>
      </c>
      <c r="BK129" s="131" t="s">
        <v>21</v>
      </c>
      <c r="BL129" s="131" t="s">
        <v>22</v>
      </c>
      <c r="BM129" s="131" t="s">
        <v>23</v>
      </c>
      <c r="BN129" s="131" t="s">
        <v>24</v>
      </c>
      <c r="BO129" s="131" t="s">
        <v>25</v>
      </c>
      <c r="BP129" s="131" t="s">
        <v>26</v>
      </c>
      <c r="BQ129" s="132" t="s">
        <v>27</v>
      </c>
    </row>
    <row r="130" spans="1:69">
      <c r="A130" s="130">
        <v>1</v>
      </c>
      <c r="B130" s="131">
        <f>((P130/($F$1^2))+(AD130/($F$2^2)))/((1/($F$1^2))+(1/($F$2^2)))</f>
        <v>17.786290388281493</v>
      </c>
      <c r="C130" s="131">
        <f t="shared" ref="C130:C160" si="186">((Q130/($F$1^2))+(AE130/($F$2^2)))/((1/($F$1^2))+(1/($F$2^2)))</f>
        <v>4.0287096931875581</v>
      </c>
      <c r="D130" s="131">
        <f t="shared" ref="D130:D160" si="187">((R130/($F$1^2))+(AF130/($F$2^2)))/((1/($F$1^2))+(1/($F$2^2)))</f>
        <v>23.229983869128116</v>
      </c>
      <c r="E130" s="131">
        <f t="shared" ref="E130:E160" si="188">((S130/($F$1^2))+(AG130/($F$2^2)))/((1/($F$1^2))+(1/($F$2^2)))</f>
        <v>0</v>
      </c>
      <c r="F130" s="131">
        <f t="shared" ref="F130:F160" si="189">((T130/($F$1^2))+(AH130/($F$2^2)))/((1/($F$1^2))+(1/($F$2^2)))</f>
        <v>29.145774200381272</v>
      </c>
      <c r="G130" s="131">
        <f t="shared" ref="G130:G160" si="190">((U130/($F$1^2))+(AI130/($F$2^2)))/((1/($F$1^2))+(1/($F$2^2)))</f>
        <v>4.3572580776562981</v>
      </c>
      <c r="H130" s="131">
        <f t="shared" ref="H130:H160" si="191">((V130/($F$1^2))+(AJ130/($F$2^2)))/((1/($F$1^2))+(1/($F$2^2)))</f>
        <v>0</v>
      </c>
      <c r="I130" s="131">
        <f t="shared" ref="I130:I160" si="192">((W130/($F$1^2))+(AK130/($F$2^2)))/((1/($F$1^2))+(1/($F$2^2)))</f>
        <v>0</v>
      </c>
      <c r="J130" s="131">
        <f t="shared" ref="J130:J160" si="193">((X130/($F$1^2))+(AL130/($F$2^2)))/((1/($F$1^2))+(1/($F$2^2)))</f>
        <v>0.32854838446874024</v>
      </c>
      <c r="K130" s="131">
        <f t="shared" ref="K130:K160" si="194">((Y130/($F$1^2))+(AM130/($F$2^2)))/((1/($F$1^2))+(1/($F$2^2)))</f>
        <v>0</v>
      </c>
      <c r="L130" s="131">
        <f t="shared" ref="L130:L160" si="195">((Z130/($F$1^2))+(AN130/($F$2^2)))/((1/($F$1^2))+(1/($F$2^2)))</f>
        <v>2.9486451697000309</v>
      </c>
      <c r="M130" s="131">
        <f t="shared" ref="M130:M160" si="196">((AA130/($F$1^2))+(AO130/($F$2^2)))/((1/($F$1^2))+(1/($F$2^2)))</f>
        <v>18.813080670653218</v>
      </c>
      <c r="O130" s="130">
        <v>1</v>
      </c>
      <c r="P130" s="131">
        <f>'Stasiun Pontianak Kota'!Q184</f>
        <v>26</v>
      </c>
      <c r="Q130" s="131">
        <f>'Stasiun Pontianak Kota'!R184</f>
        <v>6</v>
      </c>
      <c r="R130" s="131">
        <f>'Stasiun Pontianak Kota'!S184</f>
        <v>23</v>
      </c>
      <c r="S130" s="131">
        <f>'Stasiun Pontianak Kota'!T184</f>
        <v>0</v>
      </c>
      <c r="T130" s="131">
        <f>'Stasiun Pontianak Kota'!U184</f>
        <v>30</v>
      </c>
      <c r="U130" s="131">
        <f>'Stasiun Pontianak Kota'!V184</f>
        <v>6</v>
      </c>
      <c r="V130" s="131">
        <f>'Stasiun Pontianak Kota'!W184</f>
        <v>0</v>
      </c>
      <c r="W130" s="131">
        <f>'Stasiun Pontianak Kota'!X184</f>
        <v>0</v>
      </c>
      <c r="X130" s="131">
        <f>'Stasiun Pontianak Kota'!Y184</f>
        <v>0</v>
      </c>
      <c r="Y130" s="131">
        <f>'Stasiun Pontianak Kota'!Z184</f>
        <v>0</v>
      </c>
      <c r="Z130" s="131">
        <f>'Stasiun Pontianak Kota'!AA184</f>
        <v>4</v>
      </c>
      <c r="AA130" s="131">
        <f>'Stasiun Pontianak Kota'!AB184</f>
        <v>22</v>
      </c>
      <c r="AC130" s="130">
        <v>1</v>
      </c>
      <c r="AD130" s="131">
        <f>'Sta. Meteorologi pnk'!B143</f>
        <v>1</v>
      </c>
      <c r="AE130" s="131">
        <f>'Sta. Meteorologi pnk'!C143</f>
        <v>0</v>
      </c>
      <c r="AF130" s="131">
        <f>'Sta. Meteorologi pnk'!D143</f>
        <v>23.7</v>
      </c>
      <c r="AG130" s="131">
        <f>'Sta. Meteorologi pnk'!E143</f>
        <v>0</v>
      </c>
      <c r="AH130" s="131">
        <f>'Sta. Meteorologi pnk'!F143</f>
        <v>27.4</v>
      </c>
      <c r="AI130" s="131">
        <f>'Sta. Meteorologi pnk'!G143</f>
        <v>1</v>
      </c>
      <c r="AJ130" s="131">
        <f>'Sta. Meteorologi pnk'!H143</f>
        <v>0</v>
      </c>
      <c r="AK130" s="131">
        <f>'Sta. Meteorologi pnk'!I143</f>
        <v>0</v>
      </c>
      <c r="AL130" s="131">
        <f>'Sta. Meteorologi pnk'!J143</f>
        <v>1</v>
      </c>
      <c r="AM130" s="131">
        <f>'Sta. Meteorologi pnk'!K143</f>
        <v>0</v>
      </c>
      <c r="AN130" s="131">
        <f>'Sta. Meteorologi pnk'!L143</f>
        <v>0.8</v>
      </c>
      <c r="AO130" s="131">
        <f>'Sta. Meteorologi pnk'!M143</f>
        <v>12.3</v>
      </c>
      <c r="AQ130" s="130">
        <v>1</v>
      </c>
      <c r="AR130" s="131">
        <f>((P130/($AV$1^2))+(AD130/($AV$2^2)))/((1/($AV$1^2))+(1/($AV$2^2)))</f>
        <v>9.0951324800657805</v>
      </c>
      <c r="AS130" s="131">
        <f t="shared" ref="AS130:AS160" si="197">((Q130/($AV$1^2))+(AE130/($AV$2^2)))/((1/($AV$1^2))+(1/($AV$2^2)))</f>
        <v>1.942831795215787</v>
      </c>
      <c r="AT130" s="131">
        <f t="shared" ref="AT130:AT160" si="198">((R130/($AV$1^2))+(AF130/($AV$2^2)))/((1/($AV$1^2))+(1/($AV$2^2)))</f>
        <v>23.473336290558155</v>
      </c>
      <c r="AU130" s="131">
        <f t="shared" ref="AU130:AU160" si="199">((S130/($AV$1^2))+(AG130/($AV$2^2)))/((1/($AV$1^2))+(1/($AV$2^2)))</f>
        <v>0</v>
      </c>
      <c r="AV130" s="131">
        <f t="shared" ref="AV130:AV160" si="200">((T130/($AV$1^2))+(AH130/($AV$2^2)))/((1/($AV$1^2))+(1/($AV$2^2)))</f>
        <v>28.241893777926837</v>
      </c>
      <c r="AW130" s="131">
        <f t="shared" ref="AW130:AW160" si="201">((U130/($AV$1^2))+(AI130/($AV$2^2)))/((1/($AV$1^2))+(1/($AV$2^2)))</f>
        <v>2.6190264960131557</v>
      </c>
      <c r="AX130" s="131">
        <f t="shared" ref="AX130:AX160" si="202">((V130/($AV$1^2))+(AJ130/($AV$2^2)))/((1/($AV$1^2))+(1/($AV$2^2)))</f>
        <v>0</v>
      </c>
      <c r="AY130" s="131">
        <f t="shared" ref="AY130:AY160" si="203">((W130/($AV$1^2))+(AK130/($AV$2^2)))/((1/($AV$1^2))+(1/($AV$2^2)))</f>
        <v>0</v>
      </c>
      <c r="AZ130" s="131">
        <f t="shared" ref="AZ130:AZ160" si="204">((X130/($AV$1^2))+(AL130/($AV$2^2)))/((1/($AV$1^2))+(1/($AV$2^2)))</f>
        <v>0.67619470079736876</v>
      </c>
      <c r="BA130" s="131">
        <f t="shared" ref="BA130:BA160" si="205">((Y130/($AV$1^2))+(AM130/($AV$2^2)))/((1/($AV$1^2))+(1/($AV$2^2)))</f>
        <v>0</v>
      </c>
      <c r="BB130" s="131">
        <f t="shared" ref="BB130:BB160" si="206">((Z130/($AV$1^2))+(AN130/($AV$2^2)))/((1/($AV$1^2))+(1/($AV$2^2)))</f>
        <v>1.8361769574484197</v>
      </c>
      <c r="BC130" s="131">
        <f t="shared" ref="BC130:BC160" si="207">((AA130/($AV$1^2))+(AO130/($AV$2^2)))/((1/($AV$1^2))+(1/($AV$2^2)))</f>
        <v>15.440911402265522</v>
      </c>
      <c r="BE130" s="130">
        <v>1</v>
      </c>
      <c r="BF130" s="131">
        <f>((B130/($BI$1^2))+(P130/($AV$1^2))+(AD130/($AV$2^2)))/((1/($BI$1^2))+(1/($AV$1^2))+(1/($AV$2^2)))</f>
        <v>10.183468703359674</v>
      </c>
      <c r="BG130" s="131">
        <f t="shared" ref="BG130:BG160" si="208">((C130/($BI$1^2))+(Q130/($AV$1^2))+(AE130/($AV$2^2)))/((1/($BI$1^2))+(1/($AV$1^2))+(1/($AV$2^2)))</f>
        <v>2.2040324888063219</v>
      </c>
      <c r="BH130" s="131">
        <f t="shared" ref="BH130:BH160" si="209">((D130/($BI$1^2))+(R130/($AV$1^2))+(AF130/($AV$2^2)))/((1/($BI$1^2))+(1/($AV$1^2))+(1/($AV$2^2)))</f>
        <v>23.442862876305931</v>
      </c>
      <c r="BI130" s="131">
        <f t="shared" ref="BI130:BI160" si="210">((E130/($BI$1^2))+(S130/($AV$1^2))+(AG130/($AV$2^2)))/((1/($BI$1^2))+(1/($AV$1^2))+(1/($AV$2^2)))</f>
        <v>0</v>
      </c>
      <c r="BJ130" s="131">
        <f t="shared" ref="BJ130:BJ160" si="211">((F130/($BI$1^2))+(T130/($AV$1^2))+(AH130/($AV$2^2)))/((1/($BI$1^2))+(1/($AV$1^2))+(1/($AV$2^2)))</f>
        <v>28.355080745149404</v>
      </c>
      <c r="BK130" s="131">
        <f t="shared" ref="BK130:BK160" si="212">((G130/($BI$1^2))+(U130/($AV$1^2))+(AI130/($AV$2^2)))/((1/($BI$1^2))+(1/($AV$1^2))+(1/($AV$2^2)))</f>
        <v>2.8366937406719348</v>
      </c>
      <c r="BL130" s="131">
        <f t="shared" ref="BL130:BL160" si="213">((H130/($BI$1^2))+(V130/($AV$1^2))+(AJ130/($AV$2^2)))/((1/($BI$1^2))+(1/($AV$1^2))+(1/($AV$2^2)))</f>
        <v>0</v>
      </c>
      <c r="BM130" s="131">
        <f t="shared" ref="BM130:BM160" si="214">((I130/($BI$1^2))+(W130/($AV$1^2))+(AK130/($AV$2^2)))/((1/($BI$1^2))+(1/($AV$1^2))+(1/($AV$2^2)))</f>
        <v>0</v>
      </c>
      <c r="BN130" s="131">
        <f t="shared" ref="BN130:BN160" si="215">((J130/($BI$1^2))+(X130/($AV$1^2))+(AL130/($AV$2^2)))/((1/($BI$1^2))+(1/($AV$1^2))+(1/($AV$2^2)))</f>
        <v>0.63266125186561295</v>
      </c>
      <c r="BO130" s="131">
        <f t="shared" ref="BO130:BO160" si="216">((K130/($BI$1^2))+(Y130/($AV$1^2))+(AM130/($AV$2^2)))/((1/($BI$1^2))+(1/($AV$1^2))+(1/($AV$2^2)))</f>
        <v>0</v>
      </c>
      <c r="BP130" s="131">
        <f t="shared" ref="BP130:BP160" si="217">((L130/($BI$1^2))+(Z130/($AV$1^2))+(AN130/($AV$2^2)))/((1/($BI$1^2))+(1/($AV$1^2))+(1/($AV$2^2)))</f>
        <v>1.9754839940300384</v>
      </c>
      <c r="BQ130" s="131">
        <f t="shared" ref="BQ130:BQ160" si="218">((M130/($BI$1^2))+(AA130/($AV$1^2))+(AO130/($AV$2^2)))/((1/($BI$1^2))+(1/($AV$1^2))+(1/($AV$2^2)))</f>
        <v>15.863185856903554</v>
      </c>
    </row>
    <row r="131" spans="1:69">
      <c r="A131" s="130">
        <v>2</v>
      </c>
      <c r="B131" s="131">
        <f t="shared" ref="B131:B160" si="219">((P131/($F$1^2))+(AD131/($F$2^2)))/((1/($F$1^2))+(1/($F$2^2)))</f>
        <v>60.063177618822607</v>
      </c>
      <c r="C131" s="131">
        <f t="shared" si="186"/>
        <v>9.2896289899467188</v>
      </c>
      <c r="D131" s="131">
        <f t="shared" si="187"/>
        <v>34.312274127059126</v>
      </c>
      <c r="E131" s="131">
        <f t="shared" si="188"/>
        <v>9.8111612598373874</v>
      </c>
      <c r="F131" s="131">
        <f t="shared" si="189"/>
        <v>0</v>
      </c>
      <c r="G131" s="131">
        <f t="shared" si="190"/>
        <v>2.0143548465937791</v>
      </c>
      <c r="H131" s="131">
        <f t="shared" si="191"/>
        <v>0</v>
      </c>
      <c r="I131" s="131">
        <f t="shared" si="192"/>
        <v>0</v>
      </c>
      <c r="J131" s="131">
        <f t="shared" si="193"/>
        <v>20.702080719534649</v>
      </c>
      <c r="K131" s="131">
        <f t="shared" si="194"/>
        <v>6.7228064458312282</v>
      </c>
      <c r="L131" s="131">
        <f t="shared" si="195"/>
        <v>7.8172258159125336</v>
      </c>
      <c r="M131" s="131">
        <f t="shared" si="196"/>
        <v>37.305903247356326</v>
      </c>
      <c r="O131" s="130">
        <v>2</v>
      </c>
      <c r="P131" s="131">
        <f>'Stasiun Pontianak Kota'!Q185</f>
        <v>85</v>
      </c>
      <c r="Q131" s="131">
        <f>'Stasiun Pontianak Kota'!R185</f>
        <v>4</v>
      </c>
      <c r="R131" s="131">
        <f>'Stasiun Pontianak Kota'!S185</f>
        <v>26</v>
      </c>
      <c r="S131" s="131">
        <f>'Stasiun Pontianak Kota'!T185</f>
        <v>6</v>
      </c>
      <c r="T131" s="131">
        <f>'Stasiun Pontianak Kota'!U185</f>
        <v>0</v>
      </c>
      <c r="U131" s="131">
        <f>'Stasiun Pontianak Kota'!V185</f>
        <v>3</v>
      </c>
      <c r="V131" s="131">
        <f>'Stasiun Pontianak Kota'!W185</f>
        <v>0</v>
      </c>
      <c r="W131" s="131">
        <f>'Stasiun Pontianak Kota'!X185</f>
        <v>0</v>
      </c>
      <c r="X131" s="131">
        <f>'Stasiun Pontianak Kota'!Y185</f>
        <v>30</v>
      </c>
      <c r="Y131" s="131">
        <f>'Stasiun Pontianak Kota'!Z185</f>
        <v>6</v>
      </c>
      <c r="Z131" s="131">
        <f>'Stasiun Pontianak Kota'!AA185</f>
        <v>9</v>
      </c>
      <c r="AA131" s="131">
        <f>'Stasiun Pontianak Kota'!AB185</f>
        <v>40</v>
      </c>
      <c r="AC131" s="130">
        <v>2</v>
      </c>
      <c r="AD131" s="131">
        <f>'Sta. Meteorologi pnk'!B144</f>
        <v>9.1</v>
      </c>
      <c r="AE131" s="131">
        <f>'Sta. Meteorologi pnk'!C144</f>
        <v>20.100000000000001</v>
      </c>
      <c r="AF131" s="131">
        <f>'Sta. Meteorologi pnk'!D144</f>
        <v>51.3</v>
      </c>
      <c r="AG131" s="131">
        <f>'Sta. Meteorologi pnk'!E144</f>
        <v>17.600000000000001</v>
      </c>
      <c r="AH131" s="131">
        <f>'Sta. Meteorologi pnk'!F144</f>
        <v>0</v>
      </c>
      <c r="AI131" s="131">
        <f>'Sta. Meteorologi pnk'!G144</f>
        <v>0</v>
      </c>
      <c r="AJ131" s="131">
        <f>'Sta. Meteorologi pnk'!H144</f>
        <v>0</v>
      </c>
      <c r="AK131" s="131">
        <f>'Sta. Meteorologi pnk'!I144</f>
        <v>0</v>
      </c>
      <c r="AL131" s="131">
        <f>'Sta. Meteorologi pnk'!J144</f>
        <v>1.7</v>
      </c>
      <c r="AM131" s="131">
        <f>'Sta. Meteorologi pnk'!K144</f>
        <v>8.1999999999999993</v>
      </c>
      <c r="AN131" s="131">
        <f>'Sta. Meteorologi pnk'!L144</f>
        <v>5.4</v>
      </c>
      <c r="AO131" s="131">
        <f>'Sta. Meteorologi pnk'!M144</f>
        <v>31.8</v>
      </c>
      <c r="AQ131" s="130">
        <v>2</v>
      </c>
      <c r="AR131" s="131">
        <f t="shared" ref="AR131:AR160" si="220">((P131/($AV$1^2))+(AD131/($AV$2^2)))/((1/($AV$1^2))+(1/($AV$2^2)))</f>
        <v>33.67682220947971</v>
      </c>
      <c r="AS131" s="131">
        <f t="shared" si="197"/>
        <v>14.886734682837638</v>
      </c>
      <c r="AT131" s="131">
        <f t="shared" si="198"/>
        <v>43.107725930173423</v>
      </c>
      <c r="AU131" s="131">
        <f t="shared" si="199"/>
        <v>13.843858529249477</v>
      </c>
      <c r="AV131" s="131">
        <f t="shared" si="200"/>
        <v>0</v>
      </c>
      <c r="AW131" s="131">
        <f t="shared" si="201"/>
        <v>0.97141589760789349</v>
      </c>
      <c r="AX131" s="131">
        <f t="shared" si="202"/>
        <v>0</v>
      </c>
      <c r="AY131" s="131">
        <f t="shared" si="203"/>
        <v>0</v>
      </c>
      <c r="AZ131" s="131">
        <f t="shared" si="204"/>
        <v>10.863689967434464</v>
      </c>
      <c r="BA131" s="131">
        <f t="shared" si="205"/>
        <v>7.4876283417542098</v>
      </c>
      <c r="BB131" s="131">
        <f t="shared" si="206"/>
        <v>6.565699077129473</v>
      </c>
      <c r="BC131" s="131">
        <f t="shared" si="207"/>
        <v>34.455203453461579</v>
      </c>
      <c r="BE131" s="130">
        <v>2</v>
      </c>
      <c r="BF131" s="131">
        <f t="shared" ref="BF131:BF160" si="221">((B131/($BI$1^2))+(P131/($AV$1^2))+(AD131/($AV$2^2)))/((1/($BI$1^2))+(1/($AV$1^2))+(1/($AV$2^2)))</f>
        <v>36.981010983399976</v>
      </c>
      <c r="BG131" s="131">
        <f t="shared" si="208"/>
        <v>14.185846155036369</v>
      </c>
      <c r="BH131" s="131">
        <f t="shared" si="209"/>
        <v>42.006329672200003</v>
      </c>
      <c r="BI131" s="131">
        <f t="shared" si="210"/>
        <v>13.338870521641111</v>
      </c>
      <c r="BJ131" s="131">
        <f t="shared" si="211"/>
        <v>0</v>
      </c>
      <c r="BK131" s="131">
        <f t="shared" si="212"/>
        <v>1.1020162444031609</v>
      </c>
      <c r="BL131" s="131">
        <f t="shared" si="213"/>
        <v>0</v>
      </c>
      <c r="BM131" s="131">
        <f t="shared" si="214"/>
        <v>0</v>
      </c>
      <c r="BN131" s="131">
        <f t="shared" si="215"/>
        <v>12.095686572203151</v>
      </c>
      <c r="BO131" s="131">
        <f t="shared" si="216"/>
        <v>7.3918547541043473</v>
      </c>
      <c r="BP131" s="131">
        <f t="shared" si="217"/>
        <v>6.7224194932837928</v>
      </c>
      <c r="BQ131" s="131">
        <f t="shared" si="218"/>
        <v>34.812177734701969</v>
      </c>
    </row>
    <row r="132" spans="1:69">
      <c r="A132" s="130">
        <v>3</v>
      </c>
      <c r="B132" s="131">
        <f t="shared" si="219"/>
        <v>26.026483958744073</v>
      </c>
      <c r="C132" s="131">
        <f t="shared" si="186"/>
        <v>4.2258387238688018</v>
      </c>
      <c r="D132" s="131">
        <f t="shared" si="187"/>
        <v>4.6385967770843859</v>
      </c>
      <c r="E132" s="131">
        <f t="shared" si="188"/>
        <v>1.314193537874961</v>
      </c>
      <c r="F132" s="131">
        <f t="shared" si="189"/>
        <v>5.4826128753686465</v>
      </c>
      <c r="G132" s="131">
        <f t="shared" si="190"/>
        <v>1.8028709693187557</v>
      </c>
      <c r="H132" s="131">
        <f t="shared" si="191"/>
        <v>0</v>
      </c>
      <c r="I132" s="131">
        <f t="shared" si="192"/>
        <v>0</v>
      </c>
      <c r="J132" s="131">
        <f t="shared" si="193"/>
        <v>17.741306437684326</v>
      </c>
      <c r="K132" s="131">
        <f t="shared" si="194"/>
        <v>0</v>
      </c>
      <c r="L132" s="131">
        <f t="shared" si="195"/>
        <v>6.8870806380655978</v>
      </c>
      <c r="M132" s="131">
        <f t="shared" si="196"/>
        <v>4.1457742003812754</v>
      </c>
      <c r="O132" s="130">
        <v>3</v>
      </c>
      <c r="P132" s="131">
        <f>'Stasiun Pontianak Kota'!Q186</f>
        <v>37</v>
      </c>
      <c r="Q132" s="131">
        <f>'Stasiun Pontianak Kota'!R186</f>
        <v>6</v>
      </c>
      <c r="R132" s="131">
        <f>'Stasiun Pontianak Kota'!S186</f>
        <v>5</v>
      </c>
      <c r="S132" s="131">
        <f>'Stasiun Pontianak Kota'!T186</f>
        <v>0</v>
      </c>
      <c r="T132" s="131">
        <f>'Stasiun Pontianak Kota'!U186</f>
        <v>2</v>
      </c>
      <c r="U132" s="131">
        <f>'Stasiun Pontianak Kota'!V186</f>
        <v>2</v>
      </c>
      <c r="V132" s="131">
        <f>'Stasiun Pontianak Kota'!W186</f>
        <v>0</v>
      </c>
      <c r="W132" s="131">
        <f>'Stasiun Pontianak Kota'!X186</f>
        <v>0</v>
      </c>
      <c r="X132" s="131">
        <f>'Stasiun Pontianak Kota'!Y186</f>
        <v>16</v>
      </c>
      <c r="Y132" s="131">
        <f>'Stasiun Pontianak Kota'!Z186</f>
        <v>0</v>
      </c>
      <c r="Z132" s="131">
        <f>'Stasiun Pontianak Kota'!AA186</f>
        <v>6</v>
      </c>
      <c r="AA132" s="131">
        <f>'Stasiun Pontianak Kota'!AB186</f>
        <v>5</v>
      </c>
      <c r="AC132" s="130">
        <v>3</v>
      </c>
      <c r="AD132" s="131">
        <f>'Sta. Meteorologi pnk'!B145</f>
        <v>3.6</v>
      </c>
      <c r="AE132" s="131">
        <f>'Sta. Meteorologi pnk'!C145</f>
        <v>0.6</v>
      </c>
      <c r="AF132" s="131">
        <f>'Sta. Meteorologi pnk'!D145</f>
        <v>3.9</v>
      </c>
      <c r="AG132" s="131">
        <f>'Sta. Meteorologi pnk'!E145</f>
        <v>4</v>
      </c>
      <c r="AH132" s="131">
        <f>'Sta. Meteorologi pnk'!F145</f>
        <v>12.6</v>
      </c>
      <c r="AI132" s="131">
        <f>'Sta. Meteorologi pnk'!G145</f>
        <v>1.4</v>
      </c>
      <c r="AJ132" s="131">
        <f>'Sta. Meteorologi pnk'!H145</f>
        <v>0</v>
      </c>
      <c r="AK132" s="131">
        <f>'Sta. Meteorologi pnk'!I145</f>
        <v>0</v>
      </c>
      <c r="AL132" s="131">
        <f>'Sta. Meteorologi pnk'!J145</f>
        <v>21.3</v>
      </c>
      <c r="AM132" s="131">
        <f>'Sta. Meteorologi pnk'!K145</f>
        <v>0</v>
      </c>
      <c r="AN132" s="131">
        <f>'Sta. Meteorologi pnk'!L145</f>
        <v>8.6999999999999993</v>
      </c>
      <c r="AO132" s="131">
        <f>'Sta. Meteorologi pnk'!M145</f>
        <v>2.4</v>
      </c>
      <c r="AQ132" s="130">
        <v>3</v>
      </c>
      <c r="AR132" s="131">
        <f t="shared" si="220"/>
        <v>14.415096993367882</v>
      </c>
      <c r="AS132" s="131">
        <f t="shared" si="197"/>
        <v>2.3485486156942081</v>
      </c>
      <c r="AT132" s="131">
        <f t="shared" si="198"/>
        <v>4.2561858291228942</v>
      </c>
      <c r="AU132" s="131">
        <f t="shared" si="199"/>
        <v>2.7047788031894751</v>
      </c>
      <c r="AV132" s="131">
        <f t="shared" si="200"/>
        <v>9.1676638284521079</v>
      </c>
      <c r="AW132" s="131">
        <f t="shared" si="201"/>
        <v>1.5942831795215786</v>
      </c>
      <c r="AX132" s="131">
        <f t="shared" si="202"/>
        <v>0</v>
      </c>
      <c r="AY132" s="131">
        <f t="shared" si="203"/>
        <v>0</v>
      </c>
      <c r="AZ132" s="131">
        <f t="shared" si="204"/>
        <v>19.583831914226053</v>
      </c>
      <c r="BA132" s="131">
        <f t="shared" si="205"/>
        <v>0</v>
      </c>
      <c r="BB132" s="131">
        <f t="shared" si="206"/>
        <v>7.8257256921528953</v>
      </c>
      <c r="BC132" s="131">
        <f t="shared" si="207"/>
        <v>3.2418937779268404</v>
      </c>
      <c r="BE132" s="130">
        <v>3</v>
      </c>
      <c r="BF132" s="131">
        <f t="shared" si="221"/>
        <v>15.869114187688528</v>
      </c>
      <c r="BG132" s="131">
        <f t="shared" si="208"/>
        <v>2.5836292399256893</v>
      </c>
      <c r="BH132" s="131">
        <f t="shared" si="209"/>
        <v>4.3040726229478254</v>
      </c>
      <c r="BI132" s="131">
        <f t="shared" si="210"/>
        <v>2.5306450074624518</v>
      </c>
      <c r="BJ132" s="131">
        <f t="shared" si="211"/>
        <v>8.7062092697754974</v>
      </c>
      <c r="BK132" s="131">
        <f t="shared" si="212"/>
        <v>1.6204032488806321</v>
      </c>
      <c r="BL132" s="131">
        <f t="shared" si="213"/>
        <v>0</v>
      </c>
      <c r="BM132" s="131">
        <f t="shared" si="214"/>
        <v>0</v>
      </c>
      <c r="BN132" s="131">
        <f t="shared" si="215"/>
        <v>19.35310463488775</v>
      </c>
      <c r="BO132" s="131">
        <f t="shared" si="216"/>
        <v>0</v>
      </c>
      <c r="BP132" s="131">
        <f t="shared" si="217"/>
        <v>7.7081853800371549</v>
      </c>
      <c r="BQ132" s="131">
        <f t="shared" si="218"/>
        <v>3.3550807451494067</v>
      </c>
    </row>
    <row r="133" spans="1:69">
      <c r="A133" s="130">
        <v>4</v>
      </c>
      <c r="B133" s="131">
        <f t="shared" si="219"/>
        <v>3.4086129079562673</v>
      </c>
      <c r="C133" s="131">
        <f t="shared" si="186"/>
        <v>8.3859677708438554</v>
      </c>
      <c r="D133" s="131">
        <f t="shared" si="187"/>
        <v>25.76809672005605</v>
      </c>
      <c r="E133" s="131">
        <f t="shared" si="188"/>
        <v>4.3470483763218342</v>
      </c>
      <c r="F133" s="131">
        <f t="shared" si="189"/>
        <v>23.544177407003076</v>
      </c>
      <c r="G133" s="131">
        <f t="shared" si="190"/>
        <v>2.6858064621250386</v>
      </c>
      <c r="H133" s="131">
        <f t="shared" si="191"/>
        <v>0</v>
      </c>
      <c r="I133" s="131">
        <f t="shared" si="192"/>
        <v>0</v>
      </c>
      <c r="J133" s="131">
        <f t="shared" si="193"/>
        <v>4.7639515747967343</v>
      </c>
      <c r="K133" s="131">
        <f t="shared" si="194"/>
        <v>0</v>
      </c>
      <c r="L133" s="131">
        <f t="shared" si="195"/>
        <v>6.8685806462125027</v>
      </c>
      <c r="M133" s="131">
        <f t="shared" si="196"/>
        <v>4.3696935134342461</v>
      </c>
      <c r="O133" s="130">
        <v>4</v>
      </c>
      <c r="P133" s="131">
        <f>'Stasiun Pontianak Kota'!Q187</f>
        <v>4</v>
      </c>
      <c r="Q133" s="131">
        <f>'Stasiun Pontianak Kota'!R187</f>
        <v>12</v>
      </c>
      <c r="R133" s="131">
        <f>'Stasiun Pontianak Kota'!S187</f>
        <v>19</v>
      </c>
      <c r="S133" s="131">
        <f>'Stasiun Pontianak Kota'!T187</f>
        <v>3</v>
      </c>
      <c r="T133" s="131">
        <f>'Stasiun Pontianak Kota'!U187</f>
        <v>22</v>
      </c>
      <c r="U133" s="131">
        <f>'Stasiun Pontianak Kota'!V187</f>
        <v>4</v>
      </c>
      <c r="V133" s="131">
        <f>'Stasiun Pontianak Kota'!W187</f>
        <v>0</v>
      </c>
      <c r="W133" s="131">
        <f>'Stasiun Pontianak Kota'!X187</f>
        <v>0</v>
      </c>
      <c r="X133" s="131">
        <f>'Stasiun Pontianak Kota'!Y187</f>
        <v>0</v>
      </c>
      <c r="Y133" s="131">
        <f>'Stasiun Pontianak Kota'!Z187</f>
        <v>0</v>
      </c>
      <c r="Z133" s="131">
        <f>'Stasiun Pontianak Kota'!AA187</f>
        <v>7</v>
      </c>
      <c r="AA133" s="131">
        <f>'Stasiun Pontianak Kota'!AB187</f>
        <v>0</v>
      </c>
      <c r="AC133" s="130">
        <v>4</v>
      </c>
      <c r="AD133" s="131">
        <f>'Sta. Meteorologi pnk'!B146</f>
        <v>2.2000000000000002</v>
      </c>
      <c r="AE133" s="131">
        <f>'Sta. Meteorologi pnk'!C146</f>
        <v>1</v>
      </c>
      <c r="AF133" s="131">
        <f>'Sta. Meteorologi pnk'!D146</f>
        <v>39.6</v>
      </c>
      <c r="AG133" s="131">
        <f>'Sta. Meteorologi pnk'!E146</f>
        <v>7.1</v>
      </c>
      <c r="AH133" s="131">
        <f>'Sta. Meteorologi pnk'!F146</f>
        <v>26.7</v>
      </c>
      <c r="AI133" s="131">
        <f>'Sta. Meteorologi pnk'!G146</f>
        <v>0</v>
      </c>
      <c r="AJ133" s="131">
        <f>'Sta. Meteorologi pnk'!H146</f>
        <v>0</v>
      </c>
      <c r="AK133" s="131">
        <f>'Sta. Meteorologi pnk'!I146</f>
        <v>0</v>
      </c>
      <c r="AL133" s="131">
        <f>'Sta. Meteorologi pnk'!J146</f>
        <v>14.5</v>
      </c>
      <c r="AM133" s="131">
        <f>'Sta. Meteorologi pnk'!K146</f>
        <v>0</v>
      </c>
      <c r="AN133" s="131">
        <f>'Sta. Meteorologi pnk'!L146</f>
        <v>6.6</v>
      </c>
      <c r="AO133" s="131">
        <f>'Sta. Meteorologi pnk'!M146</f>
        <v>13.3</v>
      </c>
      <c r="AQ133" s="130">
        <v>4</v>
      </c>
      <c r="AR133" s="131">
        <f t="shared" si="220"/>
        <v>2.7828495385647365</v>
      </c>
      <c r="AS133" s="131">
        <f t="shared" si="197"/>
        <v>4.5618582912289432</v>
      </c>
      <c r="AT133" s="131">
        <f t="shared" si="198"/>
        <v>32.929610836425802</v>
      </c>
      <c r="AU133" s="131">
        <f t="shared" si="199"/>
        <v>5.7723982732692116</v>
      </c>
      <c r="AV133" s="131">
        <f t="shared" si="200"/>
        <v>25.178115093747632</v>
      </c>
      <c r="AW133" s="131">
        <f t="shared" si="201"/>
        <v>1.2952211968105249</v>
      </c>
      <c r="AX133" s="131">
        <f t="shared" si="202"/>
        <v>0</v>
      </c>
      <c r="AY133" s="131">
        <f t="shared" si="203"/>
        <v>0</v>
      </c>
      <c r="AZ133" s="131">
        <f t="shared" si="204"/>
        <v>9.8048231615618473</v>
      </c>
      <c r="BA133" s="131">
        <f t="shared" si="205"/>
        <v>0</v>
      </c>
      <c r="BB133" s="131">
        <f t="shared" si="206"/>
        <v>6.7295221196810511</v>
      </c>
      <c r="BC133" s="131">
        <f t="shared" si="207"/>
        <v>8.993389520605005</v>
      </c>
      <c r="BE133" s="130">
        <v>4</v>
      </c>
      <c r="BF133" s="131">
        <f t="shared" si="221"/>
        <v>2.8612097466418969</v>
      </c>
      <c r="BG133" s="131">
        <f t="shared" si="208"/>
        <v>5.0407262294782562</v>
      </c>
      <c r="BH133" s="131">
        <f t="shared" si="209"/>
        <v>32.032821788431633</v>
      </c>
      <c r="BI133" s="131">
        <f t="shared" si="210"/>
        <v>5.593911132649013</v>
      </c>
      <c r="BJ133" s="131">
        <f t="shared" si="211"/>
        <v>24.973507883768381</v>
      </c>
      <c r="BK133" s="131">
        <f t="shared" si="212"/>
        <v>1.469354992537548</v>
      </c>
      <c r="BL133" s="131">
        <f t="shared" si="213"/>
        <v>0</v>
      </c>
      <c r="BM133" s="131">
        <f t="shared" si="214"/>
        <v>0</v>
      </c>
      <c r="BN133" s="131">
        <f t="shared" si="215"/>
        <v>9.1735881520513889</v>
      </c>
      <c r="BO133" s="131">
        <f t="shared" si="216"/>
        <v>0</v>
      </c>
      <c r="BP133" s="131">
        <f t="shared" si="217"/>
        <v>6.7469354992537545</v>
      </c>
      <c r="BQ133" s="131">
        <f t="shared" si="218"/>
        <v>8.4143946498126549</v>
      </c>
    </row>
    <row r="134" spans="1:69">
      <c r="A134" s="130">
        <v>5</v>
      </c>
      <c r="B134" s="131">
        <f t="shared" si="219"/>
        <v>0</v>
      </c>
      <c r="C134" s="131">
        <f t="shared" si="186"/>
        <v>16.626161341306439</v>
      </c>
      <c r="D134" s="131">
        <f t="shared" si="187"/>
        <v>5.0328548384468732</v>
      </c>
      <c r="E134" s="131">
        <f t="shared" si="188"/>
        <v>28.694096752643674</v>
      </c>
      <c r="F134" s="131">
        <f t="shared" si="189"/>
        <v>0</v>
      </c>
      <c r="G134" s="131">
        <f t="shared" si="190"/>
        <v>0</v>
      </c>
      <c r="H134" s="131">
        <f t="shared" si="191"/>
        <v>0</v>
      </c>
      <c r="I134" s="131">
        <f t="shared" si="192"/>
        <v>1.4086129079562673</v>
      </c>
      <c r="J134" s="131">
        <f t="shared" si="193"/>
        <v>20.032854838446873</v>
      </c>
      <c r="K134" s="131">
        <f t="shared" si="194"/>
        <v>9.3799032147687083</v>
      </c>
      <c r="L134" s="131">
        <f t="shared" si="195"/>
        <v>19.956935460218663</v>
      </c>
      <c r="M134" s="131">
        <f t="shared" si="196"/>
        <v>24.135564499046811</v>
      </c>
      <c r="O134" s="130">
        <v>5</v>
      </c>
      <c r="P134" s="131">
        <f>'Stasiun Pontianak Kota'!Q188</f>
        <v>0</v>
      </c>
      <c r="Q134" s="131">
        <f>'Stasiun Pontianak Kota'!R188</f>
        <v>23</v>
      </c>
      <c r="R134" s="131">
        <f>'Stasiun Pontianak Kota'!S188</f>
        <v>5</v>
      </c>
      <c r="S134" s="131">
        <f>'Stasiun Pontianak Kota'!T188</f>
        <v>26</v>
      </c>
      <c r="T134" s="131">
        <f>'Stasiun Pontianak Kota'!U188</f>
        <v>0</v>
      </c>
      <c r="U134" s="131">
        <f>'Stasiun Pontianak Kota'!V188</f>
        <v>0</v>
      </c>
      <c r="V134" s="131">
        <f>'Stasiun Pontianak Kota'!W188</f>
        <v>0</v>
      </c>
      <c r="W134" s="131">
        <f>'Stasiun Pontianak Kota'!X188</f>
        <v>2</v>
      </c>
      <c r="X134" s="131">
        <f>'Stasiun Pontianak Kota'!Y188</f>
        <v>20</v>
      </c>
      <c r="Y134" s="131">
        <f>'Stasiun Pontianak Kota'!Z188</f>
        <v>8</v>
      </c>
      <c r="Z134" s="131">
        <f>'Stasiun Pontianak Kota'!AA188</f>
        <v>17</v>
      </c>
      <c r="AA134" s="131">
        <f>'Stasiun Pontianak Kota'!AB188</f>
        <v>22</v>
      </c>
      <c r="AC134" s="130">
        <v>5</v>
      </c>
      <c r="AD134" s="131">
        <f>'Sta. Meteorologi pnk'!B147</f>
        <v>0</v>
      </c>
      <c r="AE134" s="131">
        <f>'Sta. Meteorologi pnk'!C147</f>
        <v>3.6</v>
      </c>
      <c r="AF134" s="131">
        <f>'Sta. Meteorologi pnk'!D147</f>
        <v>5.0999999999999996</v>
      </c>
      <c r="AG134" s="131">
        <f>'Sta. Meteorologi pnk'!E147</f>
        <v>34.200000000000003</v>
      </c>
      <c r="AH134" s="131">
        <f>'Sta. Meteorologi pnk'!F147</f>
        <v>0</v>
      </c>
      <c r="AI134" s="131">
        <f>'Sta. Meteorologi pnk'!G147</f>
        <v>0</v>
      </c>
      <c r="AJ134" s="131">
        <f>'Sta. Meteorologi pnk'!H147</f>
        <v>0</v>
      </c>
      <c r="AK134" s="131">
        <f>'Sta. Meteorologi pnk'!I147</f>
        <v>0.2</v>
      </c>
      <c r="AL134" s="131">
        <f>'Sta. Meteorologi pnk'!J147</f>
        <v>20.100000000000001</v>
      </c>
      <c r="AM134" s="131">
        <f>'Sta. Meteorologi pnk'!K147</f>
        <v>12.2</v>
      </c>
      <c r="AN134" s="131">
        <f>'Sta. Meteorologi pnk'!L147</f>
        <v>26</v>
      </c>
      <c r="AO134" s="131">
        <f>'Sta. Meteorologi pnk'!M147</f>
        <v>28.5</v>
      </c>
      <c r="AQ134" s="130">
        <v>5</v>
      </c>
      <c r="AR134" s="131">
        <f t="shared" si="220"/>
        <v>0</v>
      </c>
      <c r="AS134" s="131">
        <f t="shared" si="197"/>
        <v>9.8818228045310441</v>
      </c>
      <c r="AT134" s="131">
        <f t="shared" si="198"/>
        <v>5.0676194700797357</v>
      </c>
      <c r="AU134" s="131">
        <f t="shared" si="199"/>
        <v>31.544796546538421</v>
      </c>
      <c r="AV134" s="131">
        <f t="shared" si="200"/>
        <v>0</v>
      </c>
      <c r="AW134" s="131">
        <f t="shared" si="201"/>
        <v>0</v>
      </c>
      <c r="AX134" s="131">
        <f t="shared" si="202"/>
        <v>0</v>
      </c>
      <c r="AY134" s="131">
        <f t="shared" si="203"/>
        <v>0.78284953856473616</v>
      </c>
      <c r="AZ134" s="131">
        <f t="shared" si="204"/>
        <v>20.067619470079737</v>
      </c>
      <c r="BA134" s="131">
        <f t="shared" si="205"/>
        <v>10.840017743348946</v>
      </c>
      <c r="BB134" s="131">
        <f t="shared" si="206"/>
        <v>23.085752307176318</v>
      </c>
      <c r="BC134" s="131">
        <f t="shared" si="207"/>
        <v>26.395265555182895</v>
      </c>
      <c r="BE134" s="130">
        <v>5</v>
      </c>
      <c r="BF134" s="131">
        <f t="shared" si="221"/>
        <v>0</v>
      </c>
      <c r="BG134" s="131">
        <f t="shared" si="208"/>
        <v>10.726371713807108</v>
      </c>
      <c r="BH134" s="131">
        <f t="shared" si="209"/>
        <v>5.0632661251865612</v>
      </c>
      <c r="BI134" s="131">
        <f t="shared" si="210"/>
        <v>31.187822265298028</v>
      </c>
      <c r="BJ134" s="131">
        <f t="shared" si="211"/>
        <v>0</v>
      </c>
      <c r="BK134" s="131">
        <f t="shared" si="212"/>
        <v>0</v>
      </c>
      <c r="BL134" s="131">
        <f t="shared" si="213"/>
        <v>0</v>
      </c>
      <c r="BM134" s="131">
        <f t="shared" si="214"/>
        <v>0.86120974664189653</v>
      </c>
      <c r="BN134" s="131">
        <f t="shared" si="215"/>
        <v>20.063266125186562</v>
      </c>
      <c r="BO134" s="131">
        <f t="shared" si="216"/>
        <v>10.657177257835574</v>
      </c>
      <c r="BP134" s="131">
        <f t="shared" si="217"/>
        <v>22.693951266790513</v>
      </c>
      <c r="BQ134" s="131">
        <f t="shared" si="218"/>
        <v>26.112298137126484</v>
      </c>
    </row>
    <row r="135" spans="1:69">
      <c r="A135" s="130">
        <v>6</v>
      </c>
      <c r="B135" s="131">
        <f t="shared" si="219"/>
        <v>3.2854838446874028E-2</v>
      </c>
      <c r="C135" s="131">
        <f t="shared" si="186"/>
        <v>4.0657096768937482</v>
      </c>
      <c r="D135" s="131">
        <f t="shared" si="187"/>
        <v>3.1869193293467806</v>
      </c>
      <c r="E135" s="131">
        <f t="shared" si="188"/>
        <v>12.69217734182784</v>
      </c>
      <c r="F135" s="131">
        <f t="shared" si="189"/>
        <v>14.638596777084386</v>
      </c>
      <c r="G135" s="131">
        <f t="shared" si="190"/>
        <v>0</v>
      </c>
      <c r="H135" s="131">
        <f t="shared" si="191"/>
        <v>0</v>
      </c>
      <c r="I135" s="131">
        <f t="shared" si="192"/>
        <v>0</v>
      </c>
      <c r="J135" s="131">
        <f t="shared" si="193"/>
        <v>6.5996773825623629</v>
      </c>
      <c r="K135" s="131">
        <f t="shared" si="194"/>
        <v>6.7802258322063444</v>
      </c>
      <c r="L135" s="131">
        <f t="shared" si="195"/>
        <v>70.081983934303352</v>
      </c>
      <c r="M135" s="131">
        <f t="shared" si="196"/>
        <v>0</v>
      </c>
      <c r="O135" s="130">
        <v>6</v>
      </c>
      <c r="P135" s="131">
        <f>'Stasiun Pontianak Kota'!Q189</f>
        <v>0</v>
      </c>
      <c r="Q135" s="131">
        <f>'Stasiun Pontianak Kota'!R189</f>
        <v>4</v>
      </c>
      <c r="R135" s="131">
        <f>'Stasiun Pontianak Kota'!S189</f>
        <v>0</v>
      </c>
      <c r="S135" s="131">
        <f>'Stasiun Pontianak Kota'!T189</f>
        <v>3</v>
      </c>
      <c r="T135" s="131">
        <f>'Stasiun Pontianak Kota'!U189</f>
        <v>15</v>
      </c>
      <c r="U135" s="131">
        <f>'Stasiun Pontianak Kota'!V189</f>
        <v>0</v>
      </c>
      <c r="V135" s="131">
        <f>'Stasiun Pontianak Kota'!W189</f>
        <v>0</v>
      </c>
      <c r="W135" s="131">
        <f>'Stasiun Pontianak Kota'!X189</f>
        <v>0</v>
      </c>
      <c r="X135" s="131">
        <f>'Stasiun Pontianak Kota'!Y189</f>
        <v>2</v>
      </c>
      <c r="Y135" s="131">
        <f>'Stasiun Pontianak Kota'!Z189</f>
        <v>10</v>
      </c>
      <c r="Z135" s="131">
        <f>'Stasiun Pontianak Kota'!AA189</f>
        <v>78</v>
      </c>
      <c r="AA135" s="131">
        <f>'Stasiun Pontianak Kota'!AB189</f>
        <v>0</v>
      </c>
      <c r="AC135" s="130">
        <v>6</v>
      </c>
      <c r="AD135" s="131">
        <f>'Sta. Meteorologi pnk'!B148</f>
        <v>0.1</v>
      </c>
      <c r="AE135" s="131">
        <f>'Sta. Meteorologi pnk'!C148</f>
        <v>4.2</v>
      </c>
      <c r="AF135" s="131">
        <f>'Sta. Meteorologi pnk'!D148</f>
        <v>9.6999999999999993</v>
      </c>
      <c r="AG135" s="131">
        <f>'Sta. Meteorologi pnk'!E148</f>
        <v>32.5</v>
      </c>
      <c r="AH135" s="131">
        <f>'Sta. Meteorologi pnk'!F148</f>
        <v>13.9</v>
      </c>
      <c r="AI135" s="131">
        <f>'Sta. Meteorologi pnk'!G148</f>
        <v>0</v>
      </c>
      <c r="AJ135" s="131">
        <f>'Sta. Meteorologi pnk'!H148</f>
        <v>0</v>
      </c>
      <c r="AK135" s="131">
        <f>'Sta. Meteorologi pnk'!I148</f>
        <v>0</v>
      </c>
      <c r="AL135" s="131">
        <f>'Sta. Meteorologi pnk'!J148</f>
        <v>16</v>
      </c>
      <c r="AM135" s="131">
        <f>'Sta. Meteorologi pnk'!K148</f>
        <v>0.2</v>
      </c>
      <c r="AN135" s="131">
        <f>'Sta. Meteorologi pnk'!L148</f>
        <v>53.9</v>
      </c>
      <c r="AO135" s="131">
        <f>'Sta. Meteorologi pnk'!M148</f>
        <v>0</v>
      </c>
      <c r="AQ135" s="130">
        <v>6</v>
      </c>
      <c r="AR135" s="131">
        <f t="shared" si="220"/>
        <v>6.7619470079736871E-2</v>
      </c>
      <c r="AS135" s="131">
        <f t="shared" si="197"/>
        <v>4.135238940159474</v>
      </c>
      <c r="AT135" s="131">
        <f t="shared" si="198"/>
        <v>6.5590885977344762</v>
      </c>
      <c r="AU135" s="131">
        <f t="shared" si="199"/>
        <v>22.947743673522378</v>
      </c>
      <c r="AV135" s="131">
        <f t="shared" si="200"/>
        <v>14.256185829122895</v>
      </c>
      <c r="AW135" s="131">
        <f t="shared" si="201"/>
        <v>0</v>
      </c>
      <c r="AX135" s="131">
        <f t="shared" si="202"/>
        <v>0</v>
      </c>
      <c r="AY135" s="131">
        <f t="shared" si="203"/>
        <v>0</v>
      </c>
      <c r="AZ135" s="131">
        <f t="shared" si="204"/>
        <v>11.466725811163162</v>
      </c>
      <c r="BA135" s="131">
        <f t="shared" si="205"/>
        <v>3.3732919321857855</v>
      </c>
      <c r="BB135" s="131">
        <f t="shared" si="206"/>
        <v>61.703707710783405</v>
      </c>
      <c r="BC135" s="131">
        <f t="shared" si="207"/>
        <v>0</v>
      </c>
      <c r="BE135" s="130">
        <v>6</v>
      </c>
      <c r="BF135" s="131">
        <f t="shared" si="221"/>
        <v>6.3266125186561301E-2</v>
      </c>
      <c r="BG135" s="131">
        <f t="shared" si="208"/>
        <v>4.1265322503731232</v>
      </c>
      <c r="BH135" s="131">
        <f t="shared" si="209"/>
        <v>6.1368141430964451</v>
      </c>
      <c r="BI135" s="131">
        <f t="shared" si="210"/>
        <v>21.663506930035584</v>
      </c>
      <c r="BJ135" s="131">
        <f t="shared" si="211"/>
        <v>14.304072622947828</v>
      </c>
      <c r="BK135" s="131">
        <f t="shared" si="212"/>
        <v>0</v>
      </c>
      <c r="BL135" s="131">
        <f t="shared" si="213"/>
        <v>0</v>
      </c>
      <c r="BM135" s="131">
        <f t="shared" si="214"/>
        <v>0</v>
      </c>
      <c r="BN135" s="131">
        <f t="shared" si="215"/>
        <v>10.857257526118582</v>
      </c>
      <c r="BO135" s="131">
        <f t="shared" si="216"/>
        <v>3.7999197317169924</v>
      </c>
      <c r="BP135" s="131">
        <f t="shared" si="217"/>
        <v>62.752863830038727</v>
      </c>
      <c r="BQ135" s="131">
        <f t="shared" si="218"/>
        <v>0</v>
      </c>
    </row>
    <row r="136" spans="1:69">
      <c r="A136" s="130">
        <v>7</v>
      </c>
      <c r="B136" s="131">
        <f t="shared" si="219"/>
        <v>38.856145210434555</v>
      </c>
      <c r="C136" s="131">
        <f t="shared" si="186"/>
        <v>1.5400322617437634</v>
      </c>
      <c r="D136" s="131">
        <f t="shared" si="187"/>
        <v>25.93429032310625</v>
      </c>
      <c r="E136" s="131">
        <f t="shared" si="188"/>
        <v>1.3614032229156143</v>
      </c>
      <c r="F136" s="131">
        <f t="shared" si="189"/>
        <v>45.658709856125654</v>
      </c>
      <c r="G136" s="131">
        <f t="shared" si="190"/>
        <v>1.4784677301093312</v>
      </c>
      <c r="H136" s="131">
        <f t="shared" si="191"/>
        <v>2.7269515910905446</v>
      </c>
      <c r="I136" s="131">
        <f t="shared" si="192"/>
        <v>0</v>
      </c>
      <c r="J136" s="131">
        <f t="shared" si="193"/>
        <v>13.002225734443483</v>
      </c>
      <c r="K136" s="131">
        <f t="shared" si="194"/>
        <v>2.0985645153406218</v>
      </c>
      <c r="L136" s="131">
        <f t="shared" si="195"/>
        <v>1.0842096687468428</v>
      </c>
      <c r="M136" s="131">
        <f t="shared" si="196"/>
        <v>0</v>
      </c>
      <c r="O136" s="130">
        <v>7</v>
      </c>
      <c r="P136" s="131">
        <f>'Stasiun Pontianak Kota'!Q190</f>
        <v>45</v>
      </c>
      <c r="Q136" s="131">
        <f>'Stasiun Pontianak Kota'!R190</f>
        <v>2</v>
      </c>
      <c r="R136" s="131">
        <f>'Stasiun Pontianak Kota'!S190</f>
        <v>26</v>
      </c>
      <c r="S136" s="131">
        <f>'Stasiun Pontianak Kota'!T190</f>
        <v>1</v>
      </c>
      <c r="T136" s="131">
        <f>'Stasiun Pontianak Kota'!U190</f>
        <v>68</v>
      </c>
      <c r="U136" s="131">
        <f>'Stasiun Pontianak Kota'!V190</f>
        <v>0</v>
      </c>
      <c r="V136" s="131">
        <f>'Stasiun Pontianak Kota'!W190</f>
        <v>0</v>
      </c>
      <c r="W136" s="131">
        <f>'Stasiun Pontianak Kota'!X190</f>
        <v>0</v>
      </c>
      <c r="X136" s="131">
        <f>'Stasiun Pontianak Kota'!Y190</f>
        <v>4</v>
      </c>
      <c r="Y136" s="131">
        <f>'Stasiun Pontianak Kota'!Z190</f>
        <v>2</v>
      </c>
      <c r="Z136" s="131">
        <f>'Stasiun Pontianak Kota'!AA190</f>
        <v>0</v>
      </c>
      <c r="AA136" s="131">
        <f>'Stasiun Pontianak Kota'!AB190</f>
        <v>0</v>
      </c>
      <c r="AC136" s="130">
        <v>7</v>
      </c>
      <c r="AD136" s="131">
        <f>'Sta. Meteorologi pnk'!B149</f>
        <v>26.3</v>
      </c>
      <c r="AE136" s="131">
        <f>'Sta. Meteorologi pnk'!C149</f>
        <v>0.6</v>
      </c>
      <c r="AF136" s="131">
        <f>'Sta. Meteorologi pnk'!D149</f>
        <v>25.8</v>
      </c>
      <c r="AG136" s="131">
        <f>'Sta. Meteorologi pnk'!E149</f>
        <v>2.1</v>
      </c>
      <c r="AH136" s="131">
        <f>'Sta. Meteorologi pnk'!F149</f>
        <v>0</v>
      </c>
      <c r="AI136" s="131">
        <f>'Sta. Meteorologi pnk'!G149</f>
        <v>4.5</v>
      </c>
      <c r="AJ136" s="131">
        <f>'Sta. Meteorologi pnk'!H149</f>
        <v>8.3000000000000007</v>
      </c>
      <c r="AK136" s="131">
        <f>'Sta. Meteorologi pnk'!I149</f>
        <v>0</v>
      </c>
      <c r="AL136" s="131">
        <f>'Sta. Meteorologi pnk'!J149</f>
        <v>31.4</v>
      </c>
      <c r="AM136" s="131">
        <f>'Sta. Meteorologi pnk'!K149</f>
        <v>2.2999999999999998</v>
      </c>
      <c r="AN136" s="131">
        <f>'Sta. Meteorologi pnk'!L149</f>
        <v>3.3</v>
      </c>
      <c r="AO136" s="131">
        <f>'Sta. Meteorologi pnk'!M149</f>
        <v>0</v>
      </c>
      <c r="AQ136" s="130">
        <v>7</v>
      </c>
      <c r="AR136" s="131">
        <f t="shared" si="220"/>
        <v>32.355159095089199</v>
      </c>
      <c r="AS136" s="131">
        <f t="shared" si="197"/>
        <v>1.0533274188836836</v>
      </c>
      <c r="AT136" s="131">
        <f t="shared" si="198"/>
        <v>25.864761059840525</v>
      </c>
      <c r="AU136" s="131">
        <f t="shared" si="199"/>
        <v>1.7438141708771058</v>
      </c>
      <c r="AV136" s="131">
        <f t="shared" si="200"/>
        <v>22.018760345778919</v>
      </c>
      <c r="AW136" s="131">
        <f t="shared" si="201"/>
        <v>3.0428761535881592</v>
      </c>
      <c r="AX136" s="131">
        <f t="shared" si="202"/>
        <v>5.6124160166181607</v>
      </c>
      <c r="AY136" s="131">
        <f t="shared" si="203"/>
        <v>0</v>
      </c>
      <c r="AZ136" s="131">
        <f t="shared" si="204"/>
        <v>22.527734801847902</v>
      </c>
      <c r="BA136" s="131">
        <f t="shared" si="205"/>
        <v>2.2028584102392106</v>
      </c>
      <c r="BB136" s="131">
        <f t="shared" si="206"/>
        <v>2.2314425126313169</v>
      </c>
      <c r="BC136" s="131">
        <f t="shared" si="207"/>
        <v>0</v>
      </c>
      <c r="BE136" s="130">
        <v>7</v>
      </c>
      <c r="BF136" s="131">
        <f t="shared" si="221"/>
        <v>33.169234590113035</v>
      </c>
      <c r="BG136" s="131">
        <f t="shared" si="208"/>
        <v>1.1142742473881417</v>
      </c>
      <c r="BH136" s="131">
        <f t="shared" si="209"/>
        <v>25.873467749626876</v>
      </c>
      <c r="BI136" s="131">
        <f t="shared" si="210"/>
        <v>1.6959273770521746</v>
      </c>
      <c r="BJ136" s="131">
        <f t="shared" si="211"/>
        <v>24.979034873138314</v>
      </c>
      <c r="BK136" s="131">
        <f t="shared" si="212"/>
        <v>2.8469756333952585</v>
      </c>
      <c r="BL136" s="131">
        <f t="shared" si="213"/>
        <v>5.2510883904845889</v>
      </c>
      <c r="BM136" s="131">
        <f t="shared" si="214"/>
        <v>0</v>
      </c>
      <c r="BN136" s="131">
        <f t="shared" si="215"/>
        <v>21.334918301117796</v>
      </c>
      <c r="BO136" s="131">
        <f t="shared" si="216"/>
        <v>2.1897983755596839</v>
      </c>
      <c r="BP136" s="131">
        <f t="shared" si="217"/>
        <v>2.0877821311565228</v>
      </c>
      <c r="BQ136" s="131">
        <f t="shared" si="218"/>
        <v>0</v>
      </c>
    </row>
    <row r="137" spans="1:69">
      <c r="A137" s="130">
        <v>8</v>
      </c>
      <c r="B137" s="131">
        <f t="shared" si="219"/>
        <v>43.578951656265787</v>
      </c>
      <c r="C137" s="131">
        <f t="shared" si="186"/>
        <v>0.52567741514998445</v>
      </c>
      <c r="D137" s="131">
        <f t="shared" si="187"/>
        <v>1.065709676893748</v>
      </c>
      <c r="E137" s="131">
        <f t="shared" si="188"/>
        <v>0.82137096117185071</v>
      </c>
      <c r="F137" s="131">
        <f t="shared" si="189"/>
        <v>3.1869193293467806</v>
      </c>
      <c r="G137" s="131">
        <f t="shared" si="190"/>
        <v>0</v>
      </c>
      <c r="H137" s="131">
        <f t="shared" si="191"/>
        <v>0</v>
      </c>
      <c r="I137" s="131">
        <f t="shared" si="192"/>
        <v>0</v>
      </c>
      <c r="J137" s="131">
        <f t="shared" si="193"/>
        <v>33.572580776562987</v>
      </c>
      <c r="K137" s="131">
        <f t="shared" si="194"/>
        <v>2.3326935297280555</v>
      </c>
      <c r="L137" s="131">
        <f t="shared" si="195"/>
        <v>0</v>
      </c>
      <c r="M137" s="131">
        <f t="shared" si="196"/>
        <v>10.225838723868803</v>
      </c>
      <c r="O137" s="130">
        <v>8</v>
      </c>
      <c r="P137" s="131">
        <f>'Stasiun Pontianak Kota'!Q191</f>
        <v>49</v>
      </c>
      <c r="Q137" s="131">
        <f>'Stasiun Pontianak Kota'!R191</f>
        <v>0</v>
      </c>
      <c r="R137" s="131">
        <f>'Stasiun Pontianak Kota'!S191</f>
        <v>1</v>
      </c>
      <c r="S137" s="131">
        <f>'Stasiun Pontianak Kota'!T191</f>
        <v>0</v>
      </c>
      <c r="T137" s="131">
        <f>'Stasiun Pontianak Kota'!U191</f>
        <v>0</v>
      </c>
      <c r="U137" s="131">
        <f>'Stasiun Pontianak Kota'!V191</f>
        <v>0</v>
      </c>
      <c r="V137" s="131">
        <f>'Stasiun Pontianak Kota'!W191</f>
        <v>0</v>
      </c>
      <c r="W137" s="131">
        <f>'Stasiun Pontianak Kota'!X191</f>
        <v>0</v>
      </c>
      <c r="X137" s="131">
        <f>'Stasiun Pontianak Kota'!Y191</f>
        <v>50</v>
      </c>
      <c r="Y137" s="131">
        <f>'Stasiun Pontianak Kota'!Z191</f>
        <v>0</v>
      </c>
      <c r="Z137" s="131">
        <f>'Stasiun Pontianak Kota'!AA191</f>
        <v>0</v>
      </c>
      <c r="AA137" s="131">
        <f>'Stasiun Pontianak Kota'!AB191</f>
        <v>12</v>
      </c>
      <c r="AC137" s="130">
        <v>8</v>
      </c>
      <c r="AD137" s="131">
        <f>'Sta. Meteorologi pnk'!B150</f>
        <v>32.5</v>
      </c>
      <c r="AE137" s="131">
        <f>'Sta. Meteorologi pnk'!C150</f>
        <v>1.6</v>
      </c>
      <c r="AF137" s="131">
        <f>'Sta. Meteorologi pnk'!D150</f>
        <v>1.2</v>
      </c>
      <c r="AG137" s="131">
        <f>'Sta. Meteorologi pnk'!E150</f>
        <v>2.5</v>
      </c>
      <c r="AH137" s="131">
        <f>'Sta. Meteorologi pnk'!F150</f>
        <v>9.6999999999999993</v>
      </c>
      <c r="AI137" s="131">
        <f>'Sta. Meteorologi pnk'!G150</f>
        <v>0</v>
      </c>
      <c r="AJ137" s="131">
        <f>'Sta. Meteorologi pnk'!H150</f>
        <v>0</v>
      </c>
      <c r="AK137" s="131">
        <f>'Sta. Meteorologi pnk'!I150</f>
        <v>0</v>
      </c>
      <c r="AL137" s="131">
        <f>'Sta. Meteorologi pnk'!J150</f>
        <v>0</v>
      </c>
      <c r="AM137" s="131">
        <f>'Sta. Meteorologi pnk'!K150</f>
        <v>7.1</v>
      </c>
      <c r="AN137" s="131">
        <f>'Sta. Meteorologi pnk'!L150</f>
        <v>0</v>
      </c>
      <c r="AO137" s="131">
        <f>'Sta. Meteorologi pnk'!M150</f>
        <v>6.6</v>
      </c>
      <c r="AQ137" s="130">
        <v>8</v>
      </c>
      <c r="AR137" s="131">
        <f t="shared" si="220"/>
        <v>37.842787436843409</v>
      </c>
      <c r="AS137" s="131">
        <f t="shared" si="197"/>
        <v>1.0819115212757899</v>
      </c>
      <c r="AT137" s="131">
        <f t="shared" si="198"/>
        <v>1.1352389401594736</v>
      </c>
      <c r="AU137" s="131">
        <f t="shared" si="199"/>
        <v>1.6904867519934219</v>
      </c>
      <c r="AV137" s="131">
        <f t="shared" si="200"/>
        <v>6.5590885977344762</v>
      </c>
      <c r="AW137" s="131">
        <f t="shared" si="201"/>
        <v>0</v>
      </c>
      <c r="AX137" s="131">
        <f t="shared" si="202"/>
        <v>0</v>
      </c>
      <c r="AY137" s="131">
        <f t="shared" si="203"/>
        <v>0</v>
      </c>
      <c r="AZ137" s="131">
        <f t="shared" si="204"/>
        <v>16.190264960131561</v>
      </c>
      <c r="BA137" s="131">
        <f t="shared" si="205"/>
        <v>4.8009823756613184</v>
      </c>
      <c r="BB137" s="131">
        <f t="shared" si="206"/>
        <v>0</v>
      </c>
      <c r="BC137" s="131">
        <f t="shared" si="207"/>
        <v>8.3485486156942077</v>
      </c>
      <c r="BE137" s="130">
        <v>8</v>
      </c>
      <c r="BF137" s="131">
        <f t="shared" si="221"/>
        <v>38.561089344217386</v>
      </c>
      <c r="BG137" s="131">
        <f t="shared" si="208"/>
        <v>1.0122580029849808</v>
      </c>
      <c r="BH137" s="131">
        <f t="shared" si="209"/>
        <v>1.1265322503731225</v>
      </c>
      <c r="BI137" s="131">
        <f t="shared" si="210"/>
        <v>1.5816531296640326</v>
      </c>
      <c r="BJ137" s="131">
        <f t="shared" si="211"/>
        <v>6.1368141430964451</v>
      </c>
      <c r="BK137" s="131">
        <f t="shared" si="212"/>
        <v>0</v>
      </c>
      <c r="BL137" s="131">
        <f t="shared" si="213"/>
        <v>0</v>
      </c>
      <c r="BM137" s="131">
        <f t="shared" si="214"/>
        <v>0</v>
      </c>
      <c r="BN137" s="131">
        <f t="shared" si="215"/>
        <v>18.366937406719352</v>
      </c>
      <c r="BO137" s="131">
        <f t="shared" si="216"/>
        <v>4.4918948882458523</v>
      </c>
      <c r="BP137" s="131">
        <f t="shared" si="217"/>
        <v>0</v>
      </c>
      <c r="BQ137" s="131">
        <f t="shared" si="218"/>
        <v>8.5836292399256884</v>
      </c>
    </row>
    <row r="138" spans="1:69">
      <c r="A138" s="130">
        <v>9</v>
      </c>
      <c r="B138" s="131">
        <f t="shared" si="219"/>
        <v>2.2771935541687709</v>
      </c>
      <c r="C138" s="131">
        <f t="shared" si="186"/>
        <v>10.864435500953187</v>
      </c>
      <c r="D138" s="131">
        <f t="shared" si="187"/>
        <v>13.651032212862333</v>
      </c>
      <c r="E138" s="131">
        <f t="shared" si="188"/>
        <v>0</v>
      </c>
      <c r="F138" s="131">
        <f t="shared" si="189"/>
        <v>5.1725644827530015</v>
      </c>
      <c r="G138" s="131">
        <f t="shared" si="190"/>
        <v>0</v>
      </c>
      <c r="H138" s="131">
        <f t="shared" si="191"/>
        <v>0</v>
      </c>
      <c r="I138" s="131">
        <f t="shared" si="192"/>
        <v>0</v>
      </c>
      <c r="J138" s="131">
        <f t="shared" si="193"/>
        <v>10.612112818340311</v>
      </c>
      <c r="K138" s="131">
        <f t="shared" si="194"/>
        <v>46.106548482231595</v>
      </c>
      <c r="L138" s="131">
        <f t="shared" si="195"/>
        <v>13.248483860981212</v>
      </c>
      <c r="M138" s="131">
        <f t="shared" si="196"/>
        <v>26.911645185993844</v>
      </c>
      <c r="O138" s="130">
        <v>9</v>
      </c>
      <c r="P138" s="131">
        <f>'Stasiun Pontianak Kota'!Q192</f>
        <v>3</v>
      </c>
      <c r="Q138" s="131">
        <f>'Stasiun Pontianak Kota'!R192</f>
        <v>13</v>
      </c>
      <c r="R138" s="131">
        <f>'Stasiun Pontianak Kota'!S192</f>
        <v>8</v>
      </c>
      <c r="S138" s="131">
        <f>'Stasiun Pontianak Kota'!T192</f>
        <v>0</v>
      </c>
      <c r="T138" s="131">
        <f>'Stasiun Pontianak Kota'!U192</f>
        <v>1</v>
      </c>
      <c r="U138" s="131">
        <f>'Stasiun Pontianak Kota'!V192</f>
        <v>0</v>
      </c>
      <c r="V138" s="131">
        <f>'Stasiun Pontianak Kota'!W192</f>
        <v>0</v>
      </c>
      <c r="W138" s="131">
        <f>'Stasiun Pontianak Kota'!X192</f>
        <v>0</v>
      </c>
      <c r="X138" s="131">
        <f>'Stasiun Pontianak Kota'!Y192</f>
        <v>0</v>
      </c>
      <c r="Y138" s="131">
        <f>'Stasiun Pontianak Kota'!Z192</f>
        <v>58</v>
      </c>
      <c r="Z138" s="131">
        <f>'Stasiun Pontianak Kota'!AA192</f>
        <v>12</v>
      </c>
      <c r="AA138" s="131">
        <f>'Stasiun Pontianak Kota'!AB192</f>
        <v>30</v>
      </c>
      <c r="AC138" s="130">
        <v>9</v>
      </c>
      <c r="AD138" s="131">
        <f>'Sta. Meteorologi pnk'!B151</f>
        <v>0.8</v>
      </c>
      <c r="AE138" s="131">
        <f>'Sta. Meteorologi pnk'!C151</f>
        <v>6.5</v>
      </c>
      <c r="AF138" s="131">
        <f>'Sta. Meteorologi pnk'!D151</f>
        <v>25.2</v>
      </c>
      <c r="AG138" s="131">
        <f>'Sta. Meteorologi pnk'!E151</f>
        <v>0</v>
      </c>
      <c r="AH138" s="131">
        <f>'Sta. Meteorologi pnk'!F151</f>
        <v>13.7</v>
      </c>
      <c r="AI138" s="131">
        <f>'Sta. Meteorologi pnk'!G151</f>
        <v>0</v>
      </c>
      <c r="AJ138" s="131">
        <f>'Sta. Meteorologi pnk'!H151</f>
        <v>0</v>
      </c>
      <c r="AK138" s="131">
        <f>'Sta. Meteorologi pnk'!I151</f>
        <v>0</v>
      </c>
      <c r="AL138" s="131">
        <f>'Sta. Meteorologi pnk'!J151</f>
        <v>32.299999999999997</v>
      </c>
      <c r="AM138" s="131">
        <f>'Sta. Meteorologi pnk'!K151</f>
        <v>21.8</v>
      </c>
      <c r="AN138" s="131">
        <f>'Sta. Meteorologi pnk'!L151</f>
        <v>15.8</v>
      </c>
      <c r="AO138" s="131">
        <f>'Sta. Meteorologi pnk'!M151</f>
        <v>20.6</v>
      </c>
      <c r="AQ138" s="130">
        <v>9</v>
      </c>
      <c r="AR138" s="131">
        <f t="shared" si="220"/>
        <v>1.5123716582457885</v>
      </c>
      <c r="AS138" s="131">
        <f t="shared" si="197"/>
        <v>8.6047344448171028</v>
      </c>
      <c r="AT138" s="131">
        <f t="shared" si="198"/>
        <v>19.630548853714743</v>
      </c>
      <c r="AU138" s="131">
        <f t="shared" si="199"/>
        <v>0</v>
      </c>
      <c r="AV138" s="131">
        <f t="shared" si="200"/>
        <v>9.587672700126582</v>
      </c>
      <c r="AW138" s="131">
        <f t="shared" si="201"/>
        <v>0</v>
      </c>
      <c r="AX138" s="131">
        <f t="shared" si="202"/>
        <v>0</v>
      </c>
      <c r="AY138" s="131">
        <f t="shared" si="203"/>
        <v>0</v>
      </c>
      <c r="AZ138" s="131">
        <f t="shared" si="204"/>
        <v>21.841088835755006</v>
      </c>
      <c r="BA138" s="131">
        <f t="shared" si="205"/>
        <v>33.521751831135248</v>
      </c>
      <c r="BB138" s="131">
        <f t="shared" si="206"/>
        <v>14.56953986303</v>
      </c>
      <c r="BC138" s="131">
        <f t="shared" si="207"/>
        <v>23.643769812504733</v>
      </c>
      <c r="BE138" s="130">
        <v>9</v>
      </c>
      <c r="BF138" s="131">
        <f t="shared" si="221"/>
        <v>1.6081452458956513</v>
      </c>
      <c r="BG138" s="131">
        <f t="shared" si="208"/>
        <v>8.8877018628735147</v>
      </c>
      <c r="BH138" s="131">
        <f t="shared" si="209"/>
        <v>18.881773532088545</v>
      </c>
      <c r="BI138" s="131">
        <f t="shared" si="210"/>
        <v>0</v>
      </c>
      <c r="BJ138" s="131">
        <f t="shared" si="211"/>
        <v>9.0347978986932844</v>
      </c>
      <c r="BK138" s="131">
        <f t="shared" si="212"/>
        <v>0</v>
      </c>
      <c r="BL138" s="131">
        <f t="shared" si="213"/>
        <v>0</v>
      </c>
      <c r="BM138" s="131">
        <f t="shared" si="214"/>
        <v>0</v>
      </c>
      <c r="BN138" s="131">
        <f t="shared" si="215"/>
        <v>20.434958435259297</v>
      </c>
      <c r="BO138" s="131">
        <f t="shared" si="216"/>
        <v>35.097662682464808</v>
      </c>
      <c r="BP138" s="131">
        <f t="shared" si="217"/>
        <v>14.404112757089329</v>
      </c>
      <c r="BQ138" s="131">
        <f t="shared" si="218"/>
        <v>24.052984232463238</v>
      </c>
    </row>
    <row r="139" spans="1:69">
      <c r="A139" s="130">
        <v>10</v>
      </c>
      <c r="B139" s="131">
        <f t="shared" si="219"/>
        <v>14.357258077656299</v>
      </c>
      <c r="C139" s="131">
        <f t="shared" si="186"/>
        <v>57.065709676893746</v>
      </c>
      <c r="D139" s="131">
        <f t="shared" si="187"/>
        <v>1.4456128916624573</v>
      </c>
      <c r="E139" s="131">
        <f t="shared" si="188"/>
        <v>0</v>
      </c>
      <c r="F139" s="131">
        <f t="shared" si="189"/>
        <v>22.277193554168772</v>
      </c>
      <c r="G139" s="131">
        <f t="shared" si="190"/>
        <v>1.0842096687468428</v>
      </c>
      <c r="H139" s="131">
        <f t="shared" si="191"/>
        <v>0</v>
      </c>
      <c r="I139" s="131">
        <f t="shared" si="192"/>
        <v>0</v>
      </c>
      <c r="J139" s="131">
        <f t="shared" si="193"/>
        <v>0</v>
      </c>
      <c r="K139" s="131">
        <f t="shared" si="194"/>
        <v>0</v>
      </c>
      <c r="L139" s="131">
        <f t="shared" si="195"/>
        <v>3.679741906049891</v>
      </c>
      <c r="M139" s="131">
        <f t="shared" si="196"/>
        <v>33.055499975559286</v>
      </c>
      <c r="O139" s="130">
        <v>10</v>
      </c>
      <c r="P139" s="131">
        <f>'Stasiun Pontianak Kota'!Q193</f>
        <v>16</v>
      </c>
      <c r="Q139" s="131">
        <f>'Stasiun Pontianak Kota'!R193</f>
        <v>57</v>
      </c>
      <c r="R139" s="131">
        <f>'Stasiun Pontianak Kota'!S193</f>
        <v>0</v>
      </c>
      <c r="S139" s="131">
        <f>'Stasiun Pontianak Kota'!T193</f>
        <v>0</v>
      </c>
      <c r="T139" s="131">
        <f>'Stasiun Pontianak Kota'!U193</f>
        <v>23</v>
      </c>
      <c r="U139" s="131">
        <f>'Stasiun Pontianak Kota'!V193</f>
        <v>0</v>
      </c>
      <c r="V139" s="131">
        <f>'Stasiun Pontianak Kota'!W193</f>
        <v>0</v>
      </c>
      <c r="W139" s="131">
        <f>'Stasiun Pontianak Kota'!X193</f>
        <v>0</v>
      </c>
      <c r="X139" s="131">
        <f>'Stasiun Pontianak Kota'!Y193</f>
        <v>0</v>
      </c>
      <c r="Y139" s="131">
        <f>'Stasiun Pontianak Kota'!Z193</f>
        <v>0</v>
      </c>
      <c r="Z139" s="131">
        <f>'Stasiun Pontianak Kota'!AA193</f>
        <v>0</v>
      </c>
      <c r="AA139" s="131">
        <f>'Stasiun Pontianak Kota'!AB193</f>
        <v>30</v>
      </c>
      <c r="AC139" s="130">
        <v>10</v>
      </c>
      <c r="AD139" s="131">
        <f>'Sta. Meteorologi pnk'!B152</f>
        <v>11</v>
      </c>
      <c r="AE139" s="131">
        <f>'Sta. Meteorologi pnk'!C152</f>
        <v>57.2</v>
      </c>
      <c r="AF139" s="131">
        <f>'Sta. Meteorologi pnk'!D152</f>
        <v>4.4000000000000004</v>
      </c>
      <c r="AG139" s="131">
        <f>'Sta. Meteorologi pnk'!E152</f>
        <v>0</v>
      </c>
      <c r="AH139" s="131">
        <f>'Sta. Meteorologi pnk'!F152</f>
        <v>20.8</v>
      </c>
      <c r="AI139" s="131">
        <f>'Sta. Meteorologi pnk'!G152</f>
        <v>3.3</v>
      </c>
      <c r="AJ139" s="131">
        <f>'Sta. Meteorologi pnk'!H152</f>
        <v>0</v>
      </c>
      <c r="AK139" s="131">
        <f>'Sta. Meteorologi pnk'!I152</f>
        <v>0</v>
      </c>
      <c r="AL139" s="131">
        <f>'Sta. Meteorologi pnk'!J152</f>
        <v>0</v>
      </c>
      <c r="AM139" s="131">
        <f>'Sta. Meteorologi pnk'!K152</f>
        <v>0</v>
      </c>
      <c r="AN139" s="131">
        <f>'Sta. Meteorologi pnk'!L152</f>
        <v>11.2</v>
      </c>
      <c r="AO139" s="131">
        <f>'Sta. Meteorologi pnk'!M152</f>
        <v>39.299999999999997</v>
      </c>
      <c r="AQ139" s="130">
        <v>10</v>
      </c>
      <c r="AR139" s="131">
        <f t="shared" si="220"/>
        <v>12.619026496013154</v>
      </c>
      <c r="AS139" s="131">
        <f t="shared" si="197"/>
        <v>57.135238940159468</v>
      </c>
      <c r="AT139" s="131">
        <f t="shared" si="198"/>
        <v>2.9752566835084227</v>
      </c>
      <c r="AU139" s="131">
        <f t="shared" si="199"/>
        <v>0</v>
      </c>
      <c r="AV139" s="131">
        <f t="shared" si="200"/>
        <v>21.512371658245787</v>
      </c>
      <c r="AW139" s="131">
        <f t="shared" si="201"/>
        <v>2.2314425126313169</v>
      </c>
      <c r="AX139" s="131">
        <f t="shared" si="202"/>
        <v>0</v>
      </c>
      <c r="AY139" s="131">
        <f t="shared" si="203"/>
        <v>0</v>
      </c>
      <c r="AZ139" s="131">
        <f t="shared" si="204"/>
        <v>0</v>
      </c>
      <c r="BA139" s="131">
        <f t="shared" si="205"/>
        <v>0</v>
      </c>
      <c r="BB139" s="131">
        <f t="shared" si="206"/>
        <v>7.5733806489305291</v>
      </c>
      <c r="BC139" s="131">
        <f t="shared" si="207"/>
        <v>36.288610717415523</v>
      </c>
      <c r="BE139" s="130">
        <v>10</v>
      </c>
      <c r="BF139" s="131">
        <f t="shared" si="221"/>
        <v>12.836693740671933</v>
      </c>
      <c r="BG139" s="131">
        <f t="shared" si="208"/>
        <v>57.126532250373131</v>
      </c>
      <c r="BH139" s="131">
        <f t="shared" si="209"/>
        <v>2.7837095082086973</v>
      </c>
      <c r="BI139" s="131">
        <f t="shared" si="210"/>
        <v>0</v>
      </c>
      <c r="BJ139" s="131">
        <f t="shared" si="211"/>
        <v>21.608145245895653</v>
      </c>
      <c r="BK139" s="131">
        <f t="shared" si="212"/>
        <v>2.0877821311565228</v>
      </c>
      <c r="BL139" s="131">
        <f t="shared" si="213"/>
        <v>0</v>
      </c>
      <c r="BM139" s="131">
        <f t="shared" si="214"/>
        <v>0</v>
      </c>
      <c r="BN139" s="131">
        <f t="shared" si="215"/>
        <v>0</v>
      </c>
      <c r="BO139" s="131">
        <f t="shared" si="216"/>
        <v>0</v>
      </c>
      <c r="BP139" s="131">
        <f t="shared" si="217"/>
        <v>7.0858060208948652</v>
      </c>
      <c r="BQ139" s="131">
        <f t="shared" si="218"/>
        <v>35.883749642350203</v>
      </c>
    </row>
    <row r="140" spans="1:69">
      <c r="A140" s="130">
        <v>11</v>
      </c>
      <c r="B140" s="131">
        <f t="shared" si="219"/>
        <v>3.2854838446874028E-2</v>
      </c>
      <c r="C140" s="131">
        <f t="shared" si="186"/>
        <v>0.93429032310625193</v>
      </c>
      <c r="D140" s="131">
        <f t="shared" si="187"/>
        <v>1.7371612924250077</v>
      </c>
      <c r="E140" s="131">
        <f t="shared" si="188"/>
        <v>0</v>
      </c>
      <c r="F140" s="131">
        <f t="shared" si="189"/>
        <v>3.2114838772750232</v>
      </c>
      <c r="G140" s="131">
        <f t="shared" si="190"/>
        <v>21.455822592996917</v>
      </c>
      <c r="H140" s="131">
        <f t="shared" si="191"/>
        <v>0.26283870757499223</v>
      </c>
      <c r="I140" s="131">
        <f t="shared" si="192"/>
        <v>4.0287096931875581</v>
      </c>
      <c r="J140" s="131">
        <f t="shared" si="193"/>
        <v>0</v>
      </c>
      <c r="K140" s="131">
        <f t="shared" si="194"/>
        <v>0</v>
      </c>
      <c r="L140" s="131">
        <f t="shared" si="195"/>
        <v>35.552467697521713</v>
      </c>
      <c r="M140" s="131">
        <f t="shared" si="196"/>
        <v>13.258693562315676</v>
      </c>
      <c r="O140" s="130">
        <v>11</v>
      </c>
      <c r="P140" s="131">
        <f>'Stasiun Pontianak Kota'!Q194</f>
        <v>0</v>
      </c>
      <c r="Q140" s="131">
        <f>'Stasiun Pontianak Kota'!R194</f>
        <v>1</v>
      </c>
      <c r="R140" s="131">
        <f>'Stasiun Pontianak Kota'!S194</f>
        <v>2</v>
      </c>
      <c r="S140" s="131">
        <f>'Stasiun Pontianak Kota'!T194</f>
        <v>0</v>
      </c>
      <c r="T140" s="131">
        <f>'Stasiun Pontianak Kota'!U194</f>
        <v>4</v>
      </c>
      <c r="U140" s="131">
        <f>'Stasiun Pontianak Kota'!V194</f>
        <v>23</v>
      </c>
      <c r="V140" s="131">
        <f>'Stasiun Pontianak Kota'!W194</f>
        <v>0</v>
      </c>
      <c r="W140" s="131">
        <f>'Stasiun Pontianak Kota'!X194</f>
        <v>6</v>
      </c>
      <c r="X140" s="131">
        <f>'Stasiun Pontianak Kota'!Y194</f>
        <v>0</v>
      </c>
      <c r="Y140" s="131">
        <f>'Stasiun Pontianak Kota'!Z194</f>
        <v>0</v>
      </c>
      <c r="Z140" s="131">
        <f>'Stasiun Pontianak Kota'!AA194</f>
        <v>30</v>
      </c>
      <c r="AA140" s="131">
        <f>'Stasiun Pontianak Kota'!AB194</f>
        <v>15</v>
      </c>
      <c r="AC140" s="130">
        <v>11</v>
      </c>
      <c r="AD140" s="131">
        <f>'Sta. Meteorologi pnk'!B153</f>
        <v>0.1</v>
      </c>
      <c r="AE140" s="131">
        <f>'Sta. Meteorologi pnk'!C153</f>
        <v>0.8</v>
      </c>
      <c r="AF140" s="131">
        <f>'Sta. Meteorologi pnk'!D153</f>
        <v>1.2</v>
      </c>
      <c r="AG140" s="131">
        <f>'Sta. Meteorologi pnk'!E153</f>
        <v>0</v>
      </c>
      <c r="AH140" s="131">
        <f>'Sta. Meteorologi pnk'!F153</f>
        <v>1.6</v>
      </c>
      <c r="AI140" s="131">
        <f>'Sta. Meteorologi pnk'!G153</f>
        <v>18.3</v>
      </c>
      <c r="AJ140" s="131">
        <f>'Sta. Meteorologi pnk'!H153</f>
        <v>0.8</v>
      </c>
      <c r="AK140" s="131">
        <f>'Sta. Meteorologi pnk'!I153</f>
        <v>0</v>
      </c>
      <c r="AL140" s="131">
        <f>'Sta. Meteorologi pnk'!J153</f>
        <v>0</v>
      </c>
      <c r="AM140" s="131">
        <f>'Sta. Meteorologi pnk'!K153</f>
        <v>0</v>
      </c>
      <c r="AN140" s="131">
        <f>'Sta. Meteorologi pnk'!L153</f>
        <v>46.9</v>
      </c>
      <c r="AO140" s="131">
        <f>'Sta. Meteorologi pnk'!M153</f>
        <v>9.6999999999999993</v>
      </c>
      <c r="AQ140" s="130">
        <v>11</v>
      </c>
      <c r="AR140" s="131">
        <f t="shared" si="220"/>
        <v>6.7619470079736871E-2</v>
      </c>
      <c r="AS140" s="131">
        <f t="shared" si="197"/>
        <v>0.8647610598405262</v>
      </c>
      <c r="AT140" s="131">
        <f t="shared" si="198"/>
        <v>1.459044239362105</v>
      </c>
      <c r="AU140" s="131">
        <f t="shared" si="199"/>
        <v>0</v>
      </c>
      <c r="AV140" s="131">
        <f t="shared" si="200"/>
        <v>2.3771327180863149</v>
      </c>
      <c r="AW140" s="131">
        <f t="shared" si="201"/>
        <v>19.821884906252365</v>
      </c>
      <c r="AX140" s="131">
        <f t="shared" si="202"/>
        <v>0.54095576063789497</v>
      </c>
      <c r="AY140" s="131">
        <f t="shared" si="203"/>
        <v>1.942831795215787</v>
      </c>
      <c r="AZ140" s="131">
        <f t="shared" si="204"/>
        <v>0</v>
      </c>
      <c r="BA140" s="131">
        <f t="shared" si="205"/>
        <v>0</v>
      </c>
      <c r="BB140" s="131">
        <f t="shared" si="206"/>
        <v>41.427690443475534</v>
      </c>
      <c r="BC140" s="131">
        <f t="shared" si="207"/>
        <v>11.416168085773943</v>
      </c>
      <c r="BE140" s="130">
        <v>11</v>
      </c>
      <c r="BF140" s="131">
        <f t="shared" si="221"/>
        <v>6.3266125186561301E-2</v>
      </c>
      <c r="BG140" s="131">
        <f t="shared" si="208"/>
        <v>0.87346774962687734</v>
      </c>
      <c r="BH140" s="131">
        <f t="shared" si="209"/>
        <v>1.4938709985075098</v>
      </c>
      <c r="BI140" s="131">
        <f t="shared" si="210"/>
        <v>0</v>
      </c>
      <c r="BJ140" s="131">
        <f t="shared" si="211"/>
        <v>2.481612995522529</v>
      </c>
      <c r="BK140" s="131">
        <f t="shared" si="212"/>
        <v>20.026492116231619</v>
      </c>
      <c r="BL140" s="131">
        <f t="shared" si="213"/>
        <v>0.5061290014924904</v>
      </c>
      <c r="BM140" s="131">
        <f t="shared" si="214"/>
        <v>2.2040324888063219</v>
      </c>
      <c r="BN140" s="131">
        <f t="shared" si="215"/>
        <v>0</v>
      </c>
      <c r="BO140" s="131">
        <f t="shared" si="216"/>
        <v>0</v>
      </c>
      <c r="BP140" s="131">
        <f t="shared" si="217"/>
        <v>40.691975156528862</v>
      </c>
      <c r="BQ140" s="131">
        <f t="shared" si="218"/>
        <v>11.64689536511225</v>
      </c>
    </row>
    <row r="141" spans="1:69">
      <c r="A141" s="130">
        <v>12</v>
      </c>
      <c r="B141" s="131">
        <f t="shared" si="219"/>
        <v>0.16427419223437012</v>
      </c>
      <c r="C141" s="131">
        <f t="shared" si="186"/>
        <v>6.1438547895654434</v>
      </c>
      <c r="D141" s="131">
        <f t="shared" si="187"/>
        <v>16.21562902253434</v>
      </c>
      <c r="E141" s="131">
        <f t="shared" si="188"/>
        <v>0</v>
      </c>
      <c r="F141" s="131">
        <f t="shared" si="189"/>
        <v>15.96300001629381</v>
      </c>
      <c r="G141" s="131">
        <f t="shared" si="190"/>
        <v>0</v>
      </c>
      <c r="H141" s="131">
        <f t="shared" si="191"/>
        <v>0</v>
      </c>
      <c r="I141" s="131">
        <f t="shared" si="192"/>
        <v>0</v>
      </c>
      <c r="J141" s="131">
        <f t="shared" si="193"/>
        <v>2.4641128835155519</v>
      </c>
      <c r="K141" s="131">
        <f t="shared" si="194"/>
        <v>0</v>
      </c>
      <c r="L141" s="131">
        <f t="shared" si="195"/>
        <v>2.9856451534062209</v>
      </c>
      <c r="M141" s="131">
        <f t="shared" si="196"/>
        <v>11.35119352158115</v>
      </c>
      <c r="O141" s="130">
        <v>12</v>
      </c>
      <c r="P141" s="131">
        <f>'Stasiun Pontianak Kota'!Q195</f>
        <v>0</v>
      </c>
      <c r="Q141" s="131">
        <f>'Stasiun Pontianak Kota'!R195</f>
        <v>0</v>
      </c>
      <c r="R141" s="131">
        <f>'Stasiun Pontianak Kota'!S195</f>
        <v>15</v>
      </c>
      <c r="S141" s="131">
        <f>'Stasiun Pontianak Kota'!T195</f>
        <v>0</v>
      </c>
      <c r="T141" s="131">
        <f>'Stasiun Pontianak Kota'!U195</f>
        <v>18</v>
      </c>
      <c r="U141" s="131">
        <f>'Stasiun Pontianak Kota'!V195</f>
        <v>0</v>
      </c>
      <c r="V141" s="131">
        <f>'Stasiun Pontianak Kota'!W195</f>
        <v>0</v>
      </c>
      <c r="W141" s="131">
        <f>'Stasiun Pontianak Kota'!X195</f>
        <v>0</v>
      </c>
      <c r="X141" s="131">
        <f>'Stasiun Pontianak Kota'!Y195</f>
        <v>0</v>
      </c>
      <c r="Y141" s="131">
        <f>'Stasiun Pontianak Kota'!Z195</f>
        <v>0</v>
      </c>
      <c r="Z141" s="131">
        <f>'Stasiun Pontianak Kota'!AA195</f>
        <v>2</v>
      </c>
      <c r="AA141" s="131">
        <f>'Stasiun Pontianak Kota'!AB195</f>
        <v>8</v>
      </c>
      <c r="AC141" s="130">
        <v>12</v>
      </c>
      <c r="AD141" s="131">
        <f>'Sta. Meteorologi pnk'!B154</f>
        <v>0.5</v>
      </c>
      <c r="AE141" s="131">
        <f>'Sta. Meteorologi pnk'!C154</f>
        <v>18.7</v>
      </c>
      <c r="AF141" s="131">
        <f>'Sta. Meteorologi pnk'!D154</f>
        <v>18.7</v>
      </c>
      <c r="AG141" s="131">
        <f>'Sta. Meteorologi pnk'!E154</f>
        <v>0</v>
      </c>
      <c r="AH141" s="131">
        <f>'Sta. Meteorologi pnk'!F154</f>
        <v>11.8</v>
      </c>
      <c r="AI141" s="131">
        <f>'Sta. Meteorologi pnk'!G154</f>
        <v>0</v>
      </c>
      <c r="AJ141" s="131">
        <f>'Sta. Meteorologi pnk'!H154</f>
        <v>0</v>
      </c>
      <c r="AK141" s="131">
        <f>'Sta. Meteorologi pnk'!I154</f>
        <v>0</v>
      </c>
      <c r="AL141" s="131">
        <f>'Sta. Meteorologi pnk'!J154</f>
        <v>7.5</v>
      </c>
      <c r="AM141" s="131">
        <f>'Sta. Meteorologi pnk'!K154</f>
        <v>0</v>
      </c>
      <c r="AN141" s="131">
        <f>'Sta. Meteorologi pnk'!L154</f>
        <v>5</v>
      </c>
      <c r="AO141" s="131">
        <f>'Sta. Meteorologi pnk'!M154</f>
        <v>18.2</v>
      </c>
      <c r="AQ141" s="130">
        <v>12</v>
      </c>
      <c r="AR141" s="131">
        <f t="shared" si="220"/>
        <v>0.33809735039868438</v>
      </c>
      <c r="AS141" s="131">
        <f t="shared" si="197"/>
        <v>12.644840904910795</v>
      </c>
      <c r="AT141" s="131">
        <f t="shared" si="198"/>
        <v>17.501920392950261</v>
      </c>
      <c r="AU141" s="131">
        <f t="shared" si="199"/>
        <v>0</v>
      </c>
      <c r="AV141" s="131">
        <f t="shared" si="200"/>
        <v>13.807592855056313</v>
      </c>
      <c r="AW141" s="131">
        <f t="shared" si="201"/>
        <v>0</v>
      </c>
      <c r="AX141" s="131">
        <f t="shared" si="202"/>
        <v>0</v>
      </c>
      <c r="AY141" s="131">
        <f t="shared" si="203"/>
        <v>0</v>
      </c>
      <c r="AZ141" s="131">
        <f t="shared" si="204"/>
        <v>5.0714602559802655</v>
      </c>
      <c r="BA141" s="131">
        <f t="shared" si="205"/>
        <v>0</v>
      </c>
      <c r="BB141" s="131">
        <f t="shared" si="206"/>
        <v>4.0285841023921067</v>
      </c>
      <c r="BC141" s="131">
        <f t="shared" si="207"/>
        <v>14.897185948133162</v>
      </c>
      <c r="BE141" s="130">
        <v>12</v>
      </c>
      <c r="BF141" s="131">
        <f t="shared" si="221"/>
        <v>0.31633062593280648</v>
      </c>
      <c r="BG141" s="131">
        <f t="shared" si="208"/>
        <v>11.830765409886963</v>
      </c>
      <c r="BH141" s="131">
        <f t="shared" si="209"/>
        <v>17.340846631902767</v>
      </c>
      <c r="BI141" s="131">
        <f t="shared" si="210"/>
        <v>0</v>
      </c>
      <c r="BJ141" s="131">
        <f t="shared" si="211"/>
        <v>14.077500238433201</v>
      </c>
      <c r="BK141" s="131">
        <f t="shared" si="212"/>
        <v>0</v>
      </c>
      <c r="BL141" s="131">
        <f t="shared" si="213"/>
        <v>0</v>
      </c>
      <c r="BM141" s="131">
        <f t="shared" si="214"/>
        <v>0</v>
      </c>
      <c r="BN141" s="131">
        <f t="shared" si="215"/>
        <v>4.7449593889920978</v>
      </c>
      <c r="BO141" s="131">
        <f t="shared" si="216"/>
        <v>0</v>
      </c>
      <c r="BP141" s="131">
        <f t="shared" si="217"/>
        <v>3.8979837555968393</v>
      </c>
      <c r="BQ141" s="131">
        <f t="shared" si="218"/>
        <v>14.453144769029253</v>
      </c>
    </row>
    <row r="142" spans="1:69">
      <c r="A142" s="130">
        <v>13</v>
      </c>
      <c r="B142" s="131">
        <f t="shared" si="219"/>
        <v>47.400016293809983</v>
      </c>
      <c r="C142" s="131">
        <f t="shared" si="186"/>
        <v>17.457742003812751</v>
      </c>
      <c r="D142" s="131">
        <f t="shared" si="187"/>
        <v>0.52567741514998445</v>
      </c>
      <c r="E142" s="131">
        <f t="shared" si="188"/>
        <v>0</v>
      </c>
      <c r="F142" s="131">
        <f t="shared" si="189"/>
        <v>30.036693660078537</v>
      </c>
      <c r="G142" s="131">
        <f t="shared" si="190"/>
        <v>0</v>
      </c>
      <c r="H142" s="131">
        <f t="shared" si="191"/>
        <v>0.19712903068124416</v>
      </c>
      <c r="I142" s="131">
        <f t="shared" si="192"/>
        <v>0</v>
      </c>
      <c r="J142" s="131">
        <f t="shared" si="193"/>
        <v>0</v>
      </c>
      <c r="K142" s="131">
        <f t="shared" si="194"/>
        <v>0</v>
      </c>
      <c r="L142" s="131">
        <f t="shared" si="195"/>
        <v>0.98564515340622083</v>
      </c>
      <c r="M142" s="131">
        <f t="shared" si="196"/>
        <v>1.6714516155312595</v>
      </c>
      <c r="O142" s="130">
        <v>13</v>
      </c>
      <c r="P142" s="131">
        <f>'Stasiun Pontianak Kota'!Q196</f>
        <v>68</v>
      </c>
      <c r="Q142" s="131">
        <f>'Stasiun Pontianak Kota'!R196</f>
        <v>26</v>
      </c>
      <c r="R142" s="131">
        <f>'Stasiun Pontianak Kota'!S196</f>
        <v>0</v>
      </c>
      <c r="S142" s="131">
        <f>'Stasiun Pontianak Kota'!T196</f>
        <v>0</v>
      </c>
      <c r="T142" s="131">
        <f>'Stasiun Pontianak Kota'!U196</f>
        <v>44</v>
      </c>
      <c r="U142" s="131">
        <f>'Stasiun Pontianak Kota'!V196</f>
        <v>0</v>
      </c>
      <c r="V142" s="131">
        <f>'Stasiun Pontianak Kota'!W196</f>
        <v>0</v>
      </c>
      <c r="W142" s="131">
        <f>'Stasiun Pontianak Kota'!X196</f>
        <v>0</v>
      </c>
      <c r="X142" s="131">
        <f>'Stasiun Pontianak Kota'!Y196</f>
        <v>0</v>
      </c>
      <c r="Y142" s="131">
        <f>'Stasiun Pontianak Kota'!Z196</f>
        <v>0</v>
      </c>
      <c r="Z142" s="131">
        <f>'Stasiun Pontianak Kota'!AA196</f>
        <v>0</v>
      </c>
      <c r="AA142" s="131">
        <f>'Stasiun Pontianak Kota'!AB196</f>
        <v>2</v>
      </c>
      <c r="AC142" s="130">
        <v>13</v>
      </c>
      <c r="AD142" s="131">
        <f>'Sta. Meteorologi pnk'!B155</f>
        <v>5.3</v>
      </c>
      <c r="AE142" s="131">
        <f>'Sta. Meteorologi pnk'!C155</f>
        <v>0</v>
      </c>
      <c r="AF142" s="131">
        <f>'Sta. Meteorologi pnk'!D155</f>
        <v>1.6</v>
      </c>
      <c r="AG142" s="131">
        <f>'Sta. Meteorologi pnk'!E155</f>
        <v>0</v>
      </c>
      <c r="AH142" s="131">
        <f>'Sta. Meteorologi pnk'!F155</f>
        <v>1.5</v>
      </c>
      <c r="AI142" s="131">
        <f>'Sta. Meteorologi pnk'!G155</f>
        <v>0</v>
      </c>
      <c r="AJ142" s="131">
        <f>'Sta. Meteorologi pnk'!H155</f>
        <v>0.6</v>
      </c>
      <c r="AK142" s="131">
        <f>'Sta. Meteorologi pnk'!I155</f>
        <v>0</v>
      </c>
      <c r="AL142" s="131">
        <f>'Sta. Meteorologi pnk'!J155</f>
        <v>0</v>
      </c>
      <c r="AM142" s="131">
        <f>'Sta. Meteorologi pnk'!K155</f>
        <v>0</v>
      </c>
      <c r="AN142" s="131">
        <f>'Sta. Meteorologi pnk'!L155</f>
        <v>3</v>
      </c>
      <c r="AO142" s="131">
        <f>'Sta. Meteorologi pnk'!M155</f>
        <v>1</v>
      </c>
      <c r="AQ142" s="130">
        <v>13</v>
      </c>
      <c r="AR142" s="131">
        <f t="shared" si="220"/>
        <v>25.602592260004975</v>
      </c>
      <c r="AS142" s="131">
        <f t="shared" si="197"/>
        <v>8.4189377792684112</v>
      </c>
      <c r="AT142" s="131">
        <f t="shared" si="198"/>
        <v>1.0819115212757899</v>
      </c>
      <c r="AU142" s="131">
        <f t="shared" si="199"/>
        <v>0</v>
      </c>
      <c r="AV142" s="131">
        <f t="shared" si="200"/>
        <v>15.261725216111826</v>
      </c>
      <c r="AW142" s="131">
        <f t="shared" si="201"/>
        <v>0</v>
      </c>
      <c r="AX142" s="131">
        <f t="shared" si="202"/>
        <v>0.40571682047842123</v>
      </c>
      <c r="AY142" s="131">
        <f t="shared" si="203"/>
        <v>0</v>
      </c>
      <c r="AZ142" s="131">
        <f t="shared" si="204"/>
        <v>0</v>
      </c>
      <c r="BA142" s="131">
        <f t="shared" si="205"/>
        <v>0</v>
      </c>
      <c r="BB142" s="131">
        <f t="shared" si="206"/>
        <v>2.0285841023921063</v>
      </c>
      <c r="BC142" s="131">
        <f t="shared" si="207"/>
        <v>1.3238052992026312</v>
      </c>
      <c r="BE142" s="130">
        <v>13</v>
      </c>
      <c r="BF142" s="131">
        <f t="shared" si="221"/>
        <v>28.332139508026064</v>
      </c>
      <c r="BG142" s="131">
        <f t="shared" si="208"/>
        <v>9.5508074514940624</v>
      </c>
      <c r="BH142" s="131">
        <f t="shared" si="209"/>
        <v>1.0122580029849808</v>
      </c>
      <c r="BI142" s="131">
        <f t="shared" si="210"/>
        <v>0</v>
      </c>
      <c r="BJ142" s="131">
        <f t="shared" si="211"/>
        <v>17.111896795711445</v>
      </c>
      <c r="BK142" s="131">
        <f t="shared" si="212"/>
        <v>0</v>
      </c>
      <c r="BL142" s="131">
        <f t="shared" si="213"/>
        <v>0.37959675111936775</v>
      </c>
      <c r="BM142" s="131">
        <f t="shared" si="214"/>
        <v>0</v>
      </c>
      <c r="BN142" s="131">
        <f t="shared" si="215"/>
        <v>0</v>
      </c>
      <c r="BO142" s="131">
        <f t="shared" si="216"/>
        <v>0</v>
      </c>
      <c r="BP142" s="131">
        <f t="shared" si="217"/>
        <v>1.8979837555968391</v>
      </c>
      <c r="BQ142" s="131">
        <f t="shared" si="218"/>
        <v>1.367338748134387</v>
      </c>
    </row>
    <row r="143" spans="1:69">
      <c r="A143" s="130">
        <v>14</v>
      </c>
      <c r="B143" s="131">
        <f t="shared" si="219"/>
        <v>37.697935574275334</v>
      </c>
      <c r="C143" s="131">
        <f t="shared" si="186"/>
        <v>35.96714516155312</v>
      </c>
      <c r="D143" s="131">
        <f t="shared" si="187"/>
        <v>1.5770322454499532</v>
      </c>
      <c r="E143" s="131">
        <f t="shared" si="188"/>
        <v>12.250403271797044</v>
      </c>
      <c r="F143" s="131">
        <f t="shared" si="189"/>
        <v>20.624241930490605</v>
      </c>
      <c r="G143" s="131">
        <f t="shared" si="190"/>
        <v>0</v>
      </c>
      <c r="H143" s="131">
        <f t="shared" si="191"/>
        <v>9.8564515340622078E-2</v>
      </c>
      <c r="I143" s="131">
        <f t="shared" si="192"/>
        <v>0</v>
      </c>
      <c r="J143" s="131">
        <f t="shared" si="193"/>
        <v>0</v>
      </c>
      <c r="K143" s="131">
        <f t="shared" si="194"/>
        <v>0</v>
      </c>
      <c r="L143" s="131">
        <f t="shared" si="195"/>
        <v>12.759806429537417</v>
      </c>
      <c r="M143" s="131">
        <f t="shared" si="196"/>
        <v>0</v>
      </c>
      <c r="O143" s="130">
        <v>14</v>
      </c>
      <c r="P143" s="131">
        <f>'Stasiun Pontianak Kota'!Q197</f>
        <v>49</v>
      </c>
      <c r="Q143" s="131">
        <f>'Stasiun Pontianak Kota'!R197</f>
        <v>36</v>
      </c>
      <c r="R143" s="131">
        <f>'Stasiun Pontianak Kota'!S197</f>
        <v>0</v>
      </c>
      <c r="S143" s="131">
        <f>'Stasiun Pontianak Kota'!T197</f>
        <v>18</v>
      </c>
      <c r="T143" s="131">
        <f>'Stasiun Pontianak Kota'!U197</f>
        <v>20</v>
      </c>
      <c r="U143" s="131">
        <f>'Stasiun Pontianak Kota'!V197</f>
        <v>0</v>
      </c>
      <c r="V143" s="131">
        <f>'Stasiun Pontianak Kota'!W197</f>
        <v>0</v>
      </c>
      <c r="W143" s="131">
        <f>'Stasiun Pontianak Kota'!X197</f>
        <v>0</v>
      </c>
      <c r="X143" s="131">
        <f>'Stasiun Pontianak Kota'!Y197</f>
        <v>0</v>
      </c>
      <c r="Y143" s="131">
        <f>'Stasiun Pontianak Kota'!Z197</f>
        <v>0</v>
      </c>
      <c r="Z143" s="131">
        <f>'Stasiun Pontianak Kota'!AA197</f>
        <v>10</v>
      </c>
      <c r="AA143" s="131">
        <f>'Stasiun Pontianak Kota'!AB197</f>
        <v>0</v>
      </c>
      <c r="AC143" s="130">
        <v>14</v>
      </c>
      <c r="AD143" s="131">
        <f>'Sta. Meteorologi pnk'!B156</f>
        <v>14.6</v>
      </c>
      <c r="AE143" s="131">
        <f>'Sta. Meteorologi pnk'!C156</f>
        <v>35.9</v>
      </c>
      <c r="AF143" s="131">
        <f>'Sta. Meteorologi pnk'!D156</f>
        <v>4.8</v>
      </c>
      <c r="AG143" s="131">
        <f>'Sta. Meteorologi pnk'!E156</f>
        <v>0.5</v>
      </c>
      <c r="AH143" s="131">
        <f>'Sta. Meteorologi pnk'!F156</f>
        <v>21.9</v>
      </c>
      <c r="AI143" s="131">
        <f>'Sta. Meteorologi pnk'!G156</f>
        <v>0</v>
      </c>
      <c r="AJ143" s="131">
        <f>'Sta. Meteorologi pnk'!H156</f>
        <v>0.3</v>
      </c>
      <c r="AK143" s="131">
        <f>'Sta. Meteorologi pnk'!I156</f>
        <v>0</v>
      </c>
      <c r="AL143" s="131">
        <f>'Sta. Meteorologi pnk'!J156</f>
        <v>0</v>
      </c>
      <c r="AM143" s="131">
        <f>'Sta. Meteorologi pnk'!K156</f>
        <v>0</v>
      </c>
      <c r="AN143" s="131">
        <f>'Sta. Meteorologi pnk'!L156</f>
        <v>18.399999999999999</v>
      </c>
      <c r="AO143" s="131">
        <f>'Sta. Meteorologi pnk'!M156</f>
        <v>0</v>
      </c>
      <c r="AQ143" s="130">
        <v>14</v>
      </c>
      <c r="AR143" s="131">
        <f t="shared" si="220"/>
        <v>25.738902292570511</v>
      </c>
      <c r="AS143" s="131">
        <f t="shared" si="197"/>
        <v>35.932380529920259</v>
      </c>
      <c r="AT143" s="131">
        <f t="shared" si="198"/>
        <v>3.2457345638273698</v>
      </c>
      <c r="AU143" s="131">
        <f t="shared" si="199"/>
        <v>6.166592736046046</v>
      </c>
      <c r="AV143" s="131">
        <f t="shared" si="200"/>
        <v>21.284769931514997</v>
      </c>
      <c r="AW143" s="131">
        <f t="shared" si="201"/>
        <v>0</v>
      </c>
      <c r="AX143" s="131">
        <f t="shared" si="202"/>
        <v>0.20285841023921061</v>
      </c>
      <c r="AY143" s="131">
        <f t="shared" si="203"/>
        <v>0</v>
      </c>
      <c r="AZ143" s="131">
        <f t="shared" si="204"/>
        <v>0</v>
      </c>
      <c r="BA143" s="131">
        <f t="shared" si="205"/>
        <v>0</v>
      </c>
      <c r="BB143" s="131">
        <f t="shared" si="206"/>
        <v>15.680035486697896</v>
      </c>
      <c r="BC143" s="131">
        <f t="shared" si="207"/>
        <v>0</v>
      </c>
      <c r="BE143" s="130">
        <v>14</v>
      </c>
      <c r="BF143" s="131">
        <f t="shared" si="221"/>
        <v>27.236452935822911</v>
      </c>
      <c r="BG143" s="131">
        <f t="shared" si="208"/>
        <v>35.936733874813442</v>
      </c>
      <c r="BH143" s="131">
        <f t="shared" si="209"/>
        <v>3.036774008954942</v>
      </c>
      <c r="BI143" s="131">
        <f t="shared" si="210"/>
        <v>6.9284280923517718</v>
      </c>
      <c r="BJ143" s="131">
        <f t="shared" si="211"/>
        <v>21.202056378544665</v>
      </c>
      <c r="BK143" s="131">
        <f t="shared" si="212"/>
        <v>0</v>
      </c>
      <c r="BL143" s="131">
        <f t="shared" si="213"/>
        <v>0.18979837555968387</v>
      </c>
      <c r="BM143" s="131">
        <f t="shared" si="214"/>
        <v>0</v>
      </c>
      <c r="BN143" s="131">
        <f t="shared" si="215"/>
        <v>0</v>
      </c>
      <c r="BO143" s="131">
        <f t="shared" si="216"/>
        <v>0</v>
      </c>
      <c r="BP143" s="131">
        <f t="shared" si="217"/>
        <v>15.314354515671148</v>
      </c>
      <c r="BQ143" s="131">
        <f t="shared" si="218"/>
        <v>0</v>
      </c>
    </row>
    <row r="144" spans="1:69">
      <c r="A144" s="130">
        <v>15</v>
      </c>
      <c r="B144" s="131">
        <f t="shared" si="219"/>
        <v>20.006370879702796</v>
      </c>
      <c r="C144" s="131">
        <f t="shared" si="186"/>
        <v>6.2424193049060648</v>
      </c>
      <c r="D144" s="131">
        <f t="shared" si="187"/>
        <v>2.6858064621250386</v>
      </c>
      <c r="E144" s="131">
        <f t="shared" si="188"/>
        <v>5.4210483437342152</v>
      </c>
      <c r="F144" s="131">
        <f t="shared" si="189"/>
        <v>38.905580629918688</v>
      </c>
      <c r="G144" s="131">
        <f t="shared" si="190"/>
        <v>56.014354846593776</v>
      </c>
      <c r="H144" s="131">
        <f t="shared" si="191"/>
        <v>9.6960161634595021</v>
      </c>
      <c r="I144" s="131">
        <f t="shared" si="192"/>
        <v>0</v>
      </c>
      <c r="J144" s="131">
        <f t="shared" si="193"/>
        <v>0.49282257670311042</v>
      </c>
      <c r="K144" s="131">
        <f t="shared" si="194"/>
        <v>32.188838740162609</v>
      </c>
      <c r="L144" s="131">
        <f t="shared" si="195"/>
        <v>2</v>
      </c>
      <c r="M144" s="131">
        <f t="shared" si="196"/>
        <v>0</v>
      </c>
      <c r="O144" s="130">
        <v>15</v>
      </c>
      <c r="P144" s="131">
        <f>'Stasiun Pontianak Kota'!Q198</f>
        <v>9</v>
      </c>
      <c r="Q144" s="131">
        <f>'Stasiun Pontianak Kota'!R198</f>
        <v>0</v>
      </c>
      <c r="R144" s="131">
        <f>'Stasiun Pontianak Kota'!S198</f>
        <v>4</v>
      </c>
      <c r="S144" s="131">
        <f>'Stasiun Pontianak Kota'!T198</f>
        <v>0</v>
      </c>
      <c r="T144" s="131">
        <f>'Stasiun Pontianak Kota'!U198</f>
        <v>37</v>
      </c>
      <c r="U144" s="131">
        <f>'Stasiun Pontianak Kota'!V198</f>
        <v>57</v>
      </c>
      <c r="V144" s="131">
        <f>'Stasiun Pontianak Kota'!W198</f>
        <v>14</v>
      </c>
      <c r="W144" s="131">
        <f>'Stasiun Pontianak Kota'!X198</f>
        <v>0</v>
      </c>
      <c r="X144" s="131">
        <f>'Stasiun Pontianak Kota'!Y198</f>
        <v>0</v>
      </c>
      <c r="Y144" s="131">
        <f>'Stasiun Pontianak Kota'!Z198</f>
        <v>36</v>
      </c>
      <c r="Z144" s="131">
        <f>'Stasiun Pontianak Kota'!AA198</f>
        <v>2</v>
      </c>
      <c r="AA144" s="131">
        <f>'Stasiun Pontianak Kota'!AB198</f>
        <v>0</v>
      </c>
      <c r="AC144" s="130">
        <v>15</v>
      </c>
      <c r="AD144" s="131">
        <f>'Sta. Meteorologi pnk'!B157</f>
        <v>42.5</v>
      </c>
      <c r="AE144" s="131">
        <f>'Sta. Meteorologi pnk'!C157</f>
        <v>19</v>
      </c>
      <c r="AF144" s="131">
        <f>'Sta. Meteorologi pnk'!D157</f>
        <v>0</v>
      </c>
      <c r="AG144" s="131">
        <f>'Sta. Meteorologi pnk'!E157</f>
        <v>16.5</v>
      </c>
      <c r="AH144" s="131">
        <f>'Sta. Meteorologi pnk'!F157</f>
        <v>42.8</v>
      </c>
      <c r="AI144" s="131">
        <f>'Sta. Meteorologi pnk'!G157</f>
        <v>54</v>
      </c>
      <c r="AJ144" s="131">
        <f>'Sta. Meteorologi pnk'!H157</f>
        <v>0.9</v>
      </c>
      <c r="AK144" s="131">
        <f>'Sta. Meteorologi pnk'!I157</f>
        <v>0</v>
      </c>
      <c r="AL144" s="131">
        <f>'Sta. Meteorologi pnk'!J157</f>
        <v>1.5</v>
      </c>
      <c r="AM144" s="131">
        <f>'Sta. Meteorologi pnk'!K157</f>
        <v>24.4</v>
      </c>
      <c r="AN144" s="131">
        <f>'Sta. Meteorologi pnk'!L157</f>
        <v>2</v>
      </c>
      <c r="AO144" s="131">
        <f>'Sta. Meteorologi pnk'!M157</f>
        <v>0</v>
      </c>
      <c r="AQ144" s="130">
        <v>15</v>
      </c>
      <c r="AR144" s="131">
        <f t="shared" si="220"/>
        <v>31.652522476711848</v>
      </c>
      <c r="AS144" s="131">
        <f t="shared" si="197"/>
        <v>12.847699315150004</v>
      </c>
      <c r="AT144" s="131">
        <f t="shared" si="198"/>
        <v>1.2952211968105249</v>
      </c>
      <c r="AU144" s="131">
        <f t="shared" si="199"/>
        <v>11.157212563156584</v>
      </c>
      <c r="AV144" s="131">
        <f t="shared" si="200"/>
        <v>40.921929264624737</v>
      </c>
      <c r="AW144" s="131">
        <f t="shared" si="201"/>
        <v>54.971415897607891</v>
      </c>
      <c r="AX144" s="131">
        <f t="shared" si="202"/>
        <v>5.1418494195544691</v>
      </c>
      <c r="AY144" s="131">
        <f t="shared" si="203"/>
        <v>0</v>
      </c>
      <c r="AZ144" s="131">
        <f t="shared" si="204"/>
        <v>1.0142920511960531</v>
      </c>
      <c r="BA144" s="131">
        <f t="shared" si="205"/>
        <v>28.156141470750519</v>
      </c>
      <c r="BB144" s="131">
        <f t="shared" si="206"/>
        <v>2</v>
      </c>
      <c r="BC144" s="131">
        <f t="shared" si="207"/>
        <v>0</v>
      </c>
      <c r="BE144" s="130">
        <v>15</v>
      </c>
      <c r="BF144" s="131">
        <f t="shared" si="221"/>
        <v>30.194151937498034</v>
      </c>
      <c r="BG144" s="131">
        <f t="shared" si="208"/>
        <v>12.020563785446647</v>
      </c>
      <c r="BH144" s="131">
        <f t="shared" si="209"/>
        <v>1.469354992537548</v>
      </c>
      <c r="BI144" s="131">
        <f t="shared" si="210"/>
        <v>10.438910655782614</v>
      </c>
      <c r="BJ144" s="131">
        <f t="shared" si="211"/>
        <v>40.669435260820556</v>
      </c>
      <c r="BK144" s="131">
        <f t="shared" si="212"/>
        <v>55.102016244403167</v>
      </c>
      <c r="BL144" s="131">
        <f t="shared" si="213"/>
        <v>5.7121376005604692</v>
      </c>
      <c r="BM144" s="131">
        <f t="shared" si="214"/>
        <v>0</v>
      </c>
      <c r="BN144" s="131">
        <f t="shared" si="215"/>
        <v>0.94899187779841954</v>
      </c>
      <c r="BO144" s="131">
        <f t="shared" si="216"/>
        <v>28.661129478358891</v>
      </c>
      <c r="BP144" s="131">
        <f t="shared" si="217"/>
        <v>2</v>
      </c>
      <c r="BQ144" s="131">
        <f t="shared" si="218"/>
        <v>0</v>
      </c>
    </row>
    <row r="145" spans="1:69">
      <c r="A145" s="130">
        <v>16</v>
      </c>
      <c r="B145" s="131">
        <f t="shared" si="219"/>
        <v>26.408612907956265</v>
      </c>
      <c r="C145" s="131">
        <f t="shared" si="186"/>
        <v>11.815306405096702</v>
      </c>
      <c r="D145" s="131">
        <f t="shared" si="187"/>
        <v>0</v>
      </c>
      <c r="E145" s="131">
        <f t="shared" si="188"/>
        <v>0</v>
      </c>
      <c r="F145" s="131">
        <f t="shared" si="189"/>
        <v>37.60988708389683</v>
      </c>
      <c r="G145" s="131">
        <f t="shared" si="190"/>
        <v>0</v>
      </c>
      <c r="H145" s="131">
        <f t="shared" si="191"/>
        <v>59.827129193619342</v>
      </c>
      <c r="I145" s="131">
        <f t="shared" si="192"/>
        <v>0</v>
      </c>
      <c r="J145" s="131">
        <f t="shared" si="193"/>
        <v>0</v>
      </c>
      <c r="K145" s="131">
        <f t="shared" si="194"/>
        <v>0</v>
      </c>
      <c r="L145" s="131">
        <f t="shared" si="195"/>
        <v>3.8829354928062827</v>
      </c>
      <c r="M145" s="131">
        <f t="shared" si="196"/>
        <v>0</v>
      </c>
      <c r="O145" s="130">
        <v>16</v>
      </c>
      <c r="P145" s="131">
        <f>'Stasiun Pontianak Kota'!Q199</f>
        <v>27</v>
      </c>
      <c r="Q145" s="131">
        <f>'Stasiun Pontianak Kota'!R199</f>
        <v>6</v>
      </c>
      <c r="R145" s="131">
        <f>'Stasiun Pontianak Kota'!S199</f>
        <v>0</v>
      </c>
      <c r="S145" s="131">
        <f>'Stasiun Pontianak Kota'!T199</f>
        <v>0</v>
      </c>
      <c r="T145" s="131">
        <f>'Stasiun Pontianak Kota'!U199</f>
        <v>36</v>
      </c>
      <c r="U145" s="131">
        <f>'Stasiun Pontianak Kota'!V199</f>
        <v>0</v>
      </c>
      <c r="V145" s="131">
        <f>'Stasiun Pontianak Kota'!W199</f>
        <v>80</v>
      </c>
      <c r="W145" s="131">
        <f>'Stasiun Pontianak Kota'!X199</f>
        <v>0</v>
      </c>
      <c r="X145" s="131">
        <f>'Stasiun Pontianak Kota'!Y199</f>
        <v>0</v>
      </c>
      <c r="Y145" s="131">
        <f>'Stasiun Pontianak Kota'!Z199</f>
        <v>0</v>
      </c>
      <c r="Z145" s="131">
        <f>'Stasiun Pontianak Kota'!AA199</f>
        <v>5</v>
      </c>
      <c r="AA145" s="131">
        <f>'Stasiun Pontianak Kota'!AB199</f>
        <v>0</v>
      </c>
      <c r="AC145" s="130">
        <v>16</v>
      </c>
      <c r="AD145" s="131">
        <f>'Sta. Meteorologi pnk'!B158</f>
        <v>25.2</v>
      </c>
      <c r="AE145" s="131">
        <f>'Sta. Meteorologi pnk'!C158</f>
        <v>23.7</v>
      </c>
      <c r="AF145" s="131">
        <f>'Sta. Meteorologi pnk'!D158</f>
        <v>0</v>
      </c>
      <c r="AG145" s="131">
        <f>'Sta. Meteorologi pnk'!E158</f>
        <v>0</v>
      </c>
      <c r="AH145" s="131">
        <f>'Sta. Meteorologi pnk'!F158</f>
        <v>40.9</v>
      </c>
      <c r="AI145" s="131">
        <f>'Sta. Meteorologi pnk'!G158</f>
        <v>0</v>
      </c>
      <c r="AJ145" s="131">
        <f>'Sta. Meteorologi pnk'!H158</f>
        <v>18.600000000000001</v>
      </c>
      <c r="AK145" s="131">
        <f>'Sta. Meteorologi pnk'!I158</f>
        <v>0</v>
      </c>
      <c r="AL145" s="131">
        <f>'Sta. Meteorologi pnk'!J158</f>
        <v>0</v>
      </c>
      <c r="AM145" s="131">
        <f>'Sta. Meteorologi pnk'!K158</f>
        <v>0</v>
      </c>
      <c r="AN145" s="131">
        <f>'Sta. Meteorologi pnk'!L158</f>
        <v>1.6</v>
      </c>
      <c r="AO145" s="131">
        <f>'Sta. Meteorologi pnk'!M158</f>
        <v>0</v>
      </c>
      <c r="AQ145" s="130">
        <v>16</v>
      </c>
      <c r="AR145" s="131">
        <f t="shared" si="220"/>
        <v>25.782849538564736</v>
      </c>
      <c r="AS145" s="131">
        <f t="shared" si="197"/>
        <v>17.968646204113423</v>
      </c>
      <c r="AT145" s="131">
        <f t="shared" si="198"/>
        <v>0</v>
      </c>
      <c r="AU145" s="131">
        <f t="shared" si="199"/>
        <v>0</v>
      </c>
      <c r="AV145" s="131">
        <f t="shared" si="200"/>
        <v>39.313354033907103</v>
      </c>
      <c r="AW145" s="131">
        <f t="shared" si="201"/>
        <v>0</v>
      </c>
      <c r="AX145" s="131">
        <f t="shared" si="202"/>
        <v>38.481645371041559</v>
      </c>
      <c r="AY145" s="131">
        <f t="shared" si="203"/>
        <v>0</v>
      </c>
      <c r="AZ145" s="131">
        <f t="shared" si="204"/>
        <v>0</v>
      </c>
      <c r="BA145" s="131">
        <f t="shared" si="205"/>
        <v>0</v>
      </c>
      <c r="BB145" s="131">
        <f t="shared" si="206"/>
        <v>2.7009380172889461</v>
      </c>
      <c r="BC145" s="131">
        <f t="shared" si="207"/>
        <v>0</v>
      </c>
      <c r="BE145" s="130">
        <v>16</v>
      </c>
      <c r="BF145" s="131">
        <f t="shared" si="221"/>
        <v>25.861209746641897</v>
      </c>
      <c r="BG145" s="131">
        <f t="shared" si="208"/>
        <v>17.198104158021348</v>
      </c>
      <c r="BH145" s="131">
        <f t="shared" si="209"/>
        <v>0</v>
      </c>
      <c r="BI145" s="131">
        <f t="shared" si="210"/>
        <v>0</v>
      </c>
      <c r="BJ145" s="131">
        <f t="shared" si="211"/>
        <v>39.100040134141501</v>
      </c>
      <c r="BK145" s="131">
        <f t="shared" si="212"/>
        <v>0</v>
      </c>
      <c r="BL145" s="131">
        <f t="shared" si="213"/>
        <v>41.154599135451363</v>
      </c>
      <c r="BM145" s="131">
        <f t="shared" si="214"/>
        <v>0</v>
      </c>
      <c r="BN145" s="131">
        <f t="shared" si="215"/>
        <v>0</v>
      </c>
      <c r="BO145" s="131">
        <f t="shared" si="216"/>
        <v>0</v>
      </c>
      <c r="BP145" s="131">
        <f t="shared" si="217"/>
        <v>2.8489517436569161</v>
      </c>
      <c r="BQ145" s="131">
        <f t="shared" si="218"/>
        <v>0</v>
      </c>
    </row>
    <row r="146" spans="1:69">
      <c r="A146" s="130">
        <v>17</v>
      </c>
      <c r="B146" s="131">
        <f t="shared" si="219"/>
        <v>54.702080719534642</v>
      </c>
      <c r="C146" s="131">
        <f t="shared" si="186"/>
        <v>0</v>
      </c>
      <c r="D146" s="131">
        <f t="shared" si="187"/>
        <v>0</v>
      </c>
      <c r="E146" s="131">
        <f t="shared" si="188"/>
        <v>46.154064490899913</v>
      </c>
      <c r="F146" s="131">
        <f t="shared" si="189"/>
        <v>1.8685806462125039</v>
      </c>
      <c r="G146" s="131">
        <f t="shared" si="190"/>
        <v>50.987564564222055</v>
      </c>
      <c r="H146" s="131">
        <f t="shared" si="191"/>
        <v>0.39425806136248831</v>
      </c>
      <c r="I146" s="131">
        <f t="shared" si="192"/>
        <v>0</v>
      </c>
      <c r="J146" s="131">
        <f t="shared" si="193"/>
        <v>0</v>
      </c>
      <c r="K146" s="131">
        <f t="shared" si="194"/>
        <v>5.3429032310625191</v>
      </c>
      <c r="L146" s="131">
        <f t="shared" si="195"/>
        <v>7.995854854740684</v>
      </c>
      <c r="M146" s="131">
        <f t="shared" si="196"/>
        <v>0</v>
      </c>
      <c r="O146" s="130">
        <v>17</v>
      </c>
      <c r="P146" s="131">
        <f>'Stasiun Pontianak Kota'!Q200</f>
        <v>64</v>
      </c>
      <c r="Q146" s="131">
        <f>'Stasiun Pontianak Kota'!R200</f>
        <v>0</v>
      </c>
      <c r="R146" s="131">
        <f>'Stasiun Pontianak Kota'!S200</f>
        <v>0</v>
      </c>
      <c r="S146" s="131">
        <f>'Stasiun Pontianak Kota'!T200</f>
        <v>43</v>
      </c>
      <c r="T146" s="131">
        <f>'Stasiun Pontianak Kota'!U200</f>
        <v>2</v>
      </c>
      <c r="U146" s="131">
        <f>'Stasiun Pontianak Kota'!V200</f>
        <v>57</v>
      </c>
      <c r="V146" s="131">
        <f>'Stasiun Pontianak Kota'!W200</f>
        <v>0</v>
      </c>
      <c r="W146" s="131">
        <f>'Stasiun Pontianak Kota'!X200</f>
        <v>0</v>
      </c>
      <c r="X146" s="131">
        <f>'Stasiun Pontianak Kota'!Y200</f>
        <v>0</v>
      </c>
      <c r="Y146" s="131">
        <f>'Stasiun Pontianak Kota'!Z200</f>
        <v>6</v>
      </c>
      <c r="Z146" s="131">
        <f>'Stasiun Pontianak Kota'!AA200</f>
        <v>10</v>
      </c>
      <c r="AA146" s="131">
        <f>'Stasiun Pontianak Kota'!AB200</f>
        <v>0</v>
      </c>
      <c r="AC146" s="130">
        <v>17</v>
      </c>
      <c r="AD146" s="131">
        <f>'Sta. Meteorologi pnk'!B159</f>
        <v>35.700000000000003</v>
      </c>
      <c r="AE146" s="131">
        <f>'Sta. Meteorologi pnk'!C159</f>
        <v>0</v>
      </c>
      <c r="AF146" s="131">
        <f>'Sta. Meteorologi pnk'!D159</f>
        <v>0</v>
      </c>
      <c r="AG146" s="131">
        <f>'Sta. Meteorologi pnk'!E159</f>
        <v>52.6</v>
      </c>
      <c r="AH146" s="131">
        <f>'Sta. Meteorologi pnk'!F159</f>
        <v>1.6</v>
      </c>
      <c r="AI146" s="131">
        <f>'Sta. Meteorologi pnk'!G159</f>
        <v>38.700000000000003</v>
      </c>
      <c r="AJ146" s="131">
        <f>'Sta. Meteorologi pnk'!H159</f>
        <v>1.2</v>
      </c>
      <c r="AK146" s="131">
        <f>'Sta. Meteorologi pnk'!I159</f>
        <v>0</v>
      </c>
      <c r="AL146" s="131">
        <f>'Sta. Meteorologi pnk'!J159</f>
        <v>0</v>
      </c>
      <c r="AM146" s="131">
        <f>'Sta. Meteorologi pnk'!K159</f>
        <v>4</v>
      </c>
      <c r="AN146" s="131">
        <f>'Sta. Meteorologi pnk'!L159</f>
        <v>3.9</v>
      </c>
      <c r="AO146" s="131">
        <f>'Sta. Meteorologi pnk'!M159</f>
        <v>0</v>
      </c>
      <c r="AQ146" s="130">
        <v>17</v>
      </c>
      <c r="AR146" s="131">
        <f t="shared" si="220"/>
        <v>44.86368996743446</v>
      </c>
      <c r="AS146" s="131">
        <f t="shared" si="197"/>
        <v>0</v>
      </c>
      <c r="AT146" s="131">
        <f t="shared" si="198"/>
        <v>0</v>
      </c>
      <c r="AU146" s="131">
        <f t="shared" si="199"/>
        <v>49.491469127654732</v>
      </c>
      <c r="AV146" s="131">
        <f t="shared" si="200"/>
        <v>1.7295221196810524</v>
      </c>
      <c r="AW146" s="131">
        <f t="shared" si="201"/>
        <v>44.625636975408149</v>
      </c>
      <c r="AX146" s="131">
        <f t="shared" si="202"/>
        <v>0.81143364095684245</v>
      </c>
      <c r="AY146" s="131">
        <f t="shared" si="203"/>
        <v>0</v>
      </c>
      <c r="AZ146" s="131">
        <f t="shared" si="204"/>
        <v>0</v>
      </c>
      <c r="BA146" s="131">
        <f t="shared" si="205"/>
        <v>4.6476105984052616</v>
      </c>
      <c r="BB146" s="131">
        <f t="shared" si="206"/>
        <v>5.87521232513605</v>
      </c>
      <c r="BC146" s="131">
        <f t="shared" si="207"/>
        <v>0</v>
      </c>
      <c r="BE146" s="130">
        <v>17</v>
      </c>
      <c r="BF146" s="131">
        <f t="shared" si="221"/>
        <v>46.095686572203157</v>
      </c>
      <c r="BG146" s="131">
        <f t="shared" si="208"/>
        <v>0</v>
      </c>
      <c r="BH146" s="131">
        <f t="shared" si="209"/>
        <v>0</v>
      </c>
      <c r="BI146" s="131">
        <f t="shared" si="210"/>
        <v>49.073548017909886</v>
      </c>
      <c r="BJ146" s="131">
        <f t="shared" si="211"/>
        <v>1.7469354992537547</v>
      </c>
      <c r="BK146" s="131">
        <f t="shared" si="212"/>
        <v>45.422299090859291</v>
      </c>
      <c r="BL146" s="131">
        <f t="shared" si="213"/>
        <v>0.7591935022387355</v>
      </c>
      <c r="BM146" s="131">
        <f t="shared" si="214"/>
        <v>0</v>
      </c>
      <c r="BN146" s="131">
        <f t="shared" si="215"/>
        <v>0</v>
      </c>
      <c r="BO146" s="131">
        <f t="shared" si="216"/>
        <v>4.7346774962687732</v>
      </c>
      <c r="BP146" s="131">
        <f t="shared" si="217"/>
        <v>6.1407663636197611</v>
      </c>
      <c r="BQ146" s="131">
        <f t="shared" si="218"/>
        <v>0</v>
      </c>
    </row>
    <row r="147" spans="1:69">
      <c r="A147" s="130">
        <v>18</v>
      </c>
      <c r="B147" s="131">
        <f t="shared" si="219"/>
        <v>5.3881935052873402</v>
      </c>
      <c r="C147" s="131">
        <f t="shared" si="186"/>
        <v>0.55853225359685843</v>
      </c>
      <c r="D147" s="131">
        <f t="shared" si="187"/>
        <v>6.4641128835155515</v>
      </c>
      <c r="E147" s="131">
        <f t="shared" si="188"/>
        <v>5.3716129242500772</v>
      </c>
      <c r="F147" s="131">
        <f t="shared" si="189"/>
        <v>1.4599677382562364</v>
      </c>
      <c r="G147" s="131">
        <f t="shared" si="190"/>
        <v>28.059951444446252</v>
      </c>
      <c r="H147" s="131">
        <f t="shared" si="191"/>
        <v>51.110693627490917</v>
      </c>
      <c r="I147" s="131">
        <f t="shared" si="192"/>
        <v>0</v>
      </c>
      <c r="J147" s="131">
        <f t="shared" si="193"/>
        <v>0</v>
      </c>
      <c r="K147" s="131">
        <f t="shared" si="194"/>
        <v>7.3614032229156132</v>
      </c>
      <c r="L147" s="131">
        <f t="shared" si="195"/>
        <v>3.0657096768937482</v>
      </c>
      <c r="M147" s="131">
        <f t="shared" si="196"/>
        <v>0</v>
      </c>
      <c r="O147" s="130">
        <v>18</v>
      </c>
      <c r="P147" s="131">
        <f>'Stasiun Pontianak Kota'!Q201</f>
        <v>0</v>
      </c>
      <c r="Q147" s="131">
        <f>'Stasiun Pontianak Kota'!R201</f>
        <v>0</v>
      </c>
      <c r="R147" s="131">
        <f>'Stasiun Pontianak Kota'!S201</f>
        <v>4</v>
      </c>
      <c r="S147" s="131">
        <f>'Stasiun Pontianak Kota'!T201</f>
        <v>8</v>
      </c>
      <c r="T147" s="131">
        <f>'Stasiun Pontianak Kota'!U201</f>
        <v>1</v>
      </c>
      <c r="U147" s="131">
        <f>'Stasiun Pontianak Kota'!V201</f>
        <v>7</v>
      </c>
      <c r="V147" s="131">
        <f>'Stasiun Pontianak Kota'!W201</f>
        <v>61</v>
      </c>
      <c r="W147" s="131">
        <f>'Stasiun Pontianak Kota'!X201</f>
        <v>0</v>
      </c>
      <c r="X147" s="131">
        <f>'Stasiun Pontianak Kota'!Y201</f>
        <v>0</v>
      </c>
      <c r="Y147" s="131">
        <f>'Stasiun Pontianak Kota'!Z201</f>
        <v>7</v>
      </c>
      <c r="Z147" s="131">
        <f>'Stasiun Pontianak Kota'!AA201</f>
        <v>3</v>
      </c>
      <c r="AA147" s="131">
        <f>'Stasiun Pontianak Kota'!AB201</f>
        <v>0</v>
      </c>
      <c r="AC147" s="130">
        <v>18</v>
      </c>
      <c r="AD147" s="131">
        <f>'Sta. Meteorologi pnk'!B160</f>
        <v>16.399999999999999</v>
      </c>
      <c r="AE147" s="131">
        <f>'Sta. Meteorologi pnk'!C160</f>
        <v>1.7</v>
      </c>
      <c r="AF147" s="131">
        <f>'Sta. Meteorologi pnk'!D160</f>
        <v>11.5</v>
      </c>
      <c r="AG147" s="131">
        <f>'Sta. Meteorologi pnk'!E160</f>
        <v>0</v>
      </c>
      <c r="AH147" s="131">
        <f>'Sta. Meteorologi pnk'!F160</f>
        <v>2.4</v>
      </c>
      <c r="AI147" s="131">
        <f>'Sta. Meteorologi pnk'!G160</f>
        <v>71.099999999999994</v>
      </c>
      <c r="AJ147" s="131">
        <f>'Sta. Meteorologi pnk'!H160</f>
        <v>30.9</v>
      </c>
      <c r="AK147" s="131">
        <f>'Sta. Meteorologi pnk'!I160</f>
        <v>0</v>
      </c>
      <c r="AL147" s="131">
        <f>'Sta. Meteorologi pnk'!J160</f>
        <v>0</v>
      </c>
      <c r="AM147" s="131">
        <f>'Sta. Meteorologi pnk'!K160</f>
        <v>8.1</v>
      </c>
      <c r="AN147" s="131">
        <f>'Sta. Meteorologi pnk'!L160</f>
        <v>3.2</v>
      </c>
      <c r="AO147" s="131">
        <f>'Sta. Meteorologi pnk'!M160</f>
        <v>0</v>
      </c>
      <c r="AQ147" s="130">
        <v>18</v>
      </c>
      <c r="AR147" s="131">
        <f t="shared" si="220"/>
        <v>11.089593093076846</v>
      </c>
      <c r="AS147" s="131">
        <f t="shared" si="197"/>
        <v>1.1495309913555267</v>
      </c>
      <c r="AT147" s="131">
        <f t="shared" si="198"/>
        <v>9.0714602559802646</v>
      </c>
      <c r="AU147" s="131">
        <f t="shared" si="199"/>
        <v>2.5904423936210499</v>
      </c>
      <c r="AV147" s="131">
        <f t="shared" si="200"/>
        <v>1.9466725811163161</v>
      </c>
      <c r="AW147" s="131">
        <f t="shared" si="201"/>
        <v>50.344080321111328</v>
      </c>
      <c r="AX147" s="131">
        <f t="shared" si="202"/>
        <v>40.646539505999193</v>
      </c>
      <c r="AY147" s="131">
        <f t="shared" si="203"/>
        <v>0</v>
      </c>
      <c r="AZ147" s="131">
        <f t="shared" si="204"/>
        <v>0</v>
      </c>
      <c r="BA147" s="131">
        <f t="shared" si="205"/>
        <v>7.7438141708771049</v>
      </c>
      <c r="BB147" s="131">
        <f t="shared" si="206"/>
        <v>3.1352389401594736</v>
      </c>
      <c r="BC147" s="131">
        <f t="shared" si="207"/>
        <v>0</v>
      </c>
      <c r="BE147" s="130">
        <v>18</v>
      </c>
      <c r="BF147" s="131">
        <f t="shared" si="221"/>
        <v>10.375644530596052</v>
      </c>
      <c r="BG147" s="131">
        <f t="shared" si="208"/>
        <v>1.075524128171542</v>
      </c>
      <c r="BH147" s="131">
        <f t="shared" si="209"/>
        <v>8.7449593889920969</v>
      </c>
      <c r="BI147" s="131">
        <f t="shared" si="210"/>
        <v>2.938709985075096</v>
      </c>
      <c r="BJ147" s="131">
        <f t="shared" si="211"/>
        <v>1.8857257526118583</v>
      </c>
      <c r="BK147" s="131">
        <f t="shared" si="212"/>
        <v>47.553586244585794</v>
      </c>
      <c r="BL147" s="131">
        <f t="shared" si="213"/>
        <v>41.956896318845047</v>
      </c>
      <c r="BM147" s="131">
        <f t="shared" si="214"/>
        <v>0</v>
      </c>
      <c r="BN147" s="131">
        <f t="shared" si="215"/>
        <v>0</v>
      </c>
      <c r="BO147" s="131">
        <f t="shared" si="216"/>
        <v>7.6959273770521737</v>
      </c>
      <c r="BP147" s="131">
        <f t="shared" si="217"/>
        <v>3.1265322503731223</v>
      </c>
      <c r="BQ147" s="131">
        <f t="shared" si="218"/>
        <v>0</v>
      </c>
    </row>
    <row r="148" spans="1:69">
      <c r="A148" s="130">
        <v>19</v>
      </c>
      <c r="B148" s="131">
        <f t="shared" si="219"/>
        <v>0.13141935378749611</v>
      </c>
      <c r="C148" s="131">
        <f t="shared" si="186"/>
        <v>25.671451615531257</v>
      </c>
      <c r="D148" s="131">
        <f t="shared" si="187"/>
        <v>1.182774184087465</v>
      </c>
      <c r="E148" s="131">
        <f t="shared" si="188"/>
        <v>4.0287096931875581</v>
      </c>
      <c r="F148" s="131">
        <f t="shared" si="189"/>
        <v>17.096645104524789</v>
      </c>
      <c r="G148" s="131">
        <f t="shared" si="190"/>
        <v>22.661241914196797</v>
      </c>
      <c r="H148" s="131">
        <f t="shared" si="191"/>
        <v>4.0287096931875581</v>
      </c>
      <c r="I148" s="131">
        <f t="shared" si="192"/>
        <v>0</v>
      </c>
      <c r="J148" s="131">
        <f t="shared" si="193"/>
        <v>0.32854838446874024</v>
      </c>
      <c r="K148" s="131">
        <f t="shared" si="194"/>
        <v>0</v>
      </c>
      <c r="L148" s="131">
        <f t="shared" si="195"/>
        <v>36.929838854219284</v>
      </c>
      <c r="M148" s="131">
        <f t="shared" si="196"/>
        <v>0.13141935378749611</v>
      </c>
      <c r="O148" s="130">
        <v>19</v>
      </c>
      <c r="P148" s="131">
        <f>'Stasiun Pontianak Kota'!Q202</f>
        <v>0</v>
      </c>
      <c r="Q148" s="131">
        <f>'Stasiun Pontianak Kota'!R202</f>
        <v>26</v>
      </c>
      <c r="R148" s="131">
        <f>'Stasiun Pontianak Kota'!S202</f>
        <v>0</v>
      </c>
      <c r="S148" s="131">
        <f>'Stasiun Pontianak Kota'!T202</f>
        <v>6</v>
      </c>
      <c r="T148" s="131">
        <f>'Stasiun Pontianak Kota'!U202</f>
        <v>10</v>
      </c>
      <c r="U148" s="131">
        <f>'Stasiun Pontianak Kota'!V202</f>
        <v>20</v>
      </c>
      <c r="V148" s="131">
        <f>'Stasiun Pontianak Kota'!W202</f>
        <v>6</v>
      </c>
      <c r="W148" s="131">
        <f>'Stasiun Pontianak Kota'!X202</f>
        <v>0</v>
      </c>
      <c r="X148" s="131">
        <f>'Stasiun Pontianak Kota'!Y202</f>
        <v>0</v>
      </c>
      <c r="Y148" s="131">
        <f>'Stasiun Pontianak Kota'!Z202</f>
        <v>0</v>
      </c>
      <c r="Z148" s="131">
        <f>'Stasiun Pontianak Kota'!AA202</f>
        <v>55</v>
      </c>
      <c r="AA148" s="131">
        <f>'Stasiun Pontianak Kota'!AB202</f>
        <v>0</v>
      </c>
      <c r="AC148" s="130">
        <v>19</v>
      </c>
      <c r="AD148" s="131">
        <f>'Sta. Meteorologi pnk'!B161</f>
        <v>0.4</v>
      </c>
      <c r="AE148" s="131">
        <f>'Sta. Meteorologi pnk'!C161</f>
        <v>25</v>
      </c>
      <c r="AF148" s="131">
        <f>'Sta. Meteorologi pnk'!D161</f>
        <v>3.6</v>
      </c>
      <c r="AG148" s="131">
        <f>'Sta. Meteorologi pnk'!E161</f>
        <v>0</v>
      </c>
      <c r="AH148" s="131">
        <f>'Sta. Meteorologi pnk'!F161</f>
        <v>31.6</v>
      </c>
      <c r="AI148" s="131">
        <f>'Sta. Meteorologi pnk'!G161</f>
        <v>28.1</v>
      </c>
      <c r="AJ148" s="131">
        <f>'Sta. Meteorologi pnk'!H161</f>
        <v>0</v>
      </c>
      <c r="AK148" s="131">
        <f>'Sta. Meteorologi pnk'!I161</f>
        <v>0</v>
      </c>
      <c r="AL148" s="131">
        <f>'Sta. Meteorologi pnk'!J161</f>
        <v>1</v>
      </c>
      <c r="AM148" s="131">
        <f>'Sta. Meteorologi pnk'!K161</f>
        <v>0</v>
      </c>
      <c r="AN148" s="131">
        <f>'Sta. Meteorologi pnk'!L161</f>
        <v>0</v>
      </c>
      <c r="AO148" s="131">
        <f>'Sta. Meteorologi pnk'!M161</f>
        <v>0.4</v>
      </c>
      <c r="AQ148" s="130">
        <v>19</v>
      </c>
      <c r="AR148" s="131">
        <f t="shared" si="220"/>
        <v>0.27047788031894748</v>
      </c>
      <c r="AS148" s="131">
        <f t="shared" si="197"/>
        <v>25.323805299202633</v>
      </c>
      <c r="AT148" s="131">
        <f t="shared" si="198"/>
        <v>2.4343009228705275</v>
      </c>
      <c r="AU148" s="131">
        <f t="shared" si="199"/>
        <v>1.942831795215787</v>
      </c>
      <c r="AV148" s="131">
        <f t="shared" si="200"/>
        <v>24.605805537223166</v>
      </c>
      <c r="AW148" s="131">
        <f t="shared" si="201"/>
        <v>25.477177076458688</v>
      </c>
      <c r="AX148" s="131">
        <f t="shared" si="202"/>
        <v>1.942831795215787</v>
      </c>
      <c r="AY148" s="131">
        <f t="shared" si="203"/>
        <v>0</v>
      </c>
      <c r="AZ148" s="131">
        <f t="shared" si="204"/>
        <v>0.67619470079736876</v>
      </c>
      <c r="BA148" s="131">
        <f t="shared" si="205"/>
        <v>0</v>
      </c>
      <c r="BB148" s="131">
        <f t="shared" si="206"/>
        <v>17.809291456144717</v>
      </c>
      <c r="BC148" s="131">
        <f t="shared" si="207"/>
        <v>0.27047788031894748</v>
      </c>
      <c r="BE148" s="130">
        <v>19</v>
      </c>
      <c r="BF148" s="131">
        <f t="shared" si="221"/>
        <v>0.2530645007462452</v>
      </c>
      <c r="BG148" s="131">
        <f t="shared" si="208"/>
        <v>25.367338748134387</v>
      </c>
      <c r="BH148" s="131">
        <f t="shared" si="209"/>
        <v>2.2775805067162072</v>
      </c>
      <c r="BI148" s="131">
        <f t="shared" si="210"/>
        <v>2.2040324888063219</v>
      </c>
      <c r="BJ148" s="131">
        <f t="shared" si="211"/>
        <v>23.665483040297243</v>
      </c>
      <c r="BK148" s="131">
        <f t="shared" si="212"/>
        <v>25.124556140111466</v>
      </c>
      <c r="BL148" s="131">
        <f t="shared" si="213"/>
        <v>2.2040324888063219</v>
      </c>
      <c r="BM148" s="131">
        <f t="shared" si="214"/>
        <v>0</v>
      </c>
      <c r="BN148" s="131">
        <f t="shared" si="215"/>
        <v>0.63266125186561295</v>
      </c>
      <c r="BO148" s="131">
        <f t="shared" si="216"/>
        <v>0</v>
      </c>
      <c r="BP148" s="131">
        <f t="shared" si="217"/>
        <v>20.203631147391285</v>
      </c>
      <c r="BQ148" s="131">
        <f t="shared" si="218"/>
        <v>0.2530645007462452</v>
      </c>
    </row>
    <row r="149" spans="1:69">
      <c r="A149" s="130">
        <v>20</v>
      </c>
      <c r="B149" s="131">
        <f t="shared" si="219"/>
        <v>13.429032310625193</v>
      </c>
      <c r="C149" s="131">
        <f t="shared" si="186"/>
        <v>12.400322617437636</v>
      </c>
      <c r="D149" s="131">
        <f t="shared" si="187"/>
        <v>0</v>
      </c>
      <c r="E149" s="131">
        <f t="shared" si="188"/>
        <v>0</v>
      </c>
      <c r="F149" s="131">
        <f t="shared" si="189"/>
        <v>6.3183386831342769</v>
      </c>
      <c r="G149" s="131">
        <f t="shared" si="190"/>
        <v>25.004145145259315</v>
      </c>
      <c r="H149" s="131">
        <f t="shared" si="191"/>
        <v>32.632532221009235</v>
      </c>
      <c r="I149" s="131">
        <f t="shared" si="192"/>
        <v>0</v>
      </c>
      <c r="J149" s="131">
        <f t="shared" si="193"/>
        <v>21.172564482753</v>
      </c>
      <c r="K149" s="131">
        <f t="shared" si="194"/>
        <v>6.5709676893748056E-2</v>
      </c>
      <c r="L149" s="131">
        <f t="shared" si="195"/>
        <v>6.5709676893748056E-2</v>
      </c>
      <c r="M149" s="131">
        <f t="shared" si="196"/>
        <v>14.051354830299967</v>
      </c>
      <c r="O149" s="130">
        <v>20</v>
      </c>
      <c r="P149" s="131">
        <f>'Stasiun Pontianak Kota'!Q203</f>
        <v>20</v>
      </c>
      <c r="Q149" s="131">
        <f>'Stasiun Pontianak Kota'!R203</f>
        <v>17</v>
      </c>
      <c r="R149" s="131">
        <f>'Stasiun Pontianak Kota'!S203</f>
        <v>0</v>
      </c>
      <c r="S149" s="131">
        <f>'Stasiun Pontianak Kota'!T203</f>
        <v>0</v>
      </c>
      <c r="T149" s="131">
        <f>'Stasiun Pontianak Kota'!U203</f>
        <v>3</v>
      </c>
      <c r="U149" s="131">
        <f>'Stasiun Pontianak Kota'!V203</f>
        <v>23</v>
      </c>
      <c r="V149" s="131">
        <f>'Stasiun Pontianak Kota'!W203</f>
        <v>28</v>
      </c>
      <c r="W149" s="131">
        <f>'Stasiun Pontianak Kota'!X203</f>
        <v>0</v>
      </c>
      <c r="X149" s="131">
        <f>'Stasiun Pontianak Kota'!Y203</f>
        <v>17</v>
      </c>
      <c r="Y149" s="131">
        <f>'Stasiun Pontianak Kota'!Z203</f>
        <v>0</v>
      </c>
      <c r="Z149" s="131">
        <f>'Stasiun Pontianak Kota'!AA203</f>
        <v>0</v>
      </c>
      <c r="AA149" s="131">
        <f>'Stasiun Pontianak Kota'!AB203</f>
        <v>13</v>
      </c>
      <c r="AC149" s="130">
        <v>20</v>
      </c>
      <c r="AD149" s="131">
        <f>'Sta. Meteorologi pnk'!B162</f>
        <v>0</v>
      </c>
      <c r="AE149" s="131">
        <f>'Sta. Meteorologi pnk'!C162</f>
        <v>3</v>
      </c>
      <c r="AF149" s="131">
        <f>'Sta. Meteorologi pnk'!D162</f>
        <v>0</v>
      </c>
      <c r="AG149" s="131">
        <f>'Sta. Meteorologi pnk'!E162</f>
        <v>0</v>
      </c>
      <c r="AH149" s="131">
        <f>'Sta. Meteorologi pnk'!F162</f>
        <v>13.1</v>
      </c>
      <c r="AI149" s="131">
        <f>'Sta. Meteorologi pnk'!G162</f>
        <v>29.1</v>
      </c>
      <c r="AJ149" s="131">
        <f>'Sta. Meteorologi pnk'!H162</f>
        <v>42.1</v>
      </c>
      <c r="AK149" s="131">
        <f>'Sta. Meteorologi pnk'!I162</f>
        <v>0</v>
      </c>
      <c r="AL149" s="131">
        <f>'Sta. Meteorologi pnk'!J162</f>
        <v>29.7</v>
      </c>
      <c r="AM149" s="131">
        <f>'Sta. Meteorologi pnk'!K162</f>
        <v>0.2</v>
      </c>
      <c r="AN149" s="131">
        <f>'Sta. Meteorologi pnk'!L162</f>
        <v>0.2</v>
      </c>
      <c r="AO149" s="131">
        <f>'Sta. Meteorologi pnk'!M162</f>
        <v>16.2</v>
      </c>
      <c r="AQ149" s="130">
        <v>20</v>
      </c>
      <c r="AR149" s="131">
        <f t="shared" si="220"/>
        <v>6.4761059840526238</v>
      </c>
      <c r="AS149" s="131">
        <f t="shared" si="197"/>
        <v>7.5332741888368364</v>
      </c>
      <c r="AT149" s="131">
        <f t="shared" si="198"/>
        <v>0</v>
      </c>
      <c r="AU149" s="131">
        <f t="shared" si="199"/>
        <v>0</v>
      </c>
      <c r="AV149" s="131">
        <f t="shared" si="200"/>
        <v>9.8295664780534224</v>
      </c>
      <c r="AW149" s="131">
        <f t="shared" si="201"/>
        <v>27.124787674863949</v>
      </c>
      <c r="AX149" s="131">
        <f t="shared" si="202"/>
        <v>37.534345281242899</v>
      </c>
      <c r="AY149" s="131">
        <f t="shared" si="203"/>
        <v>0</v>
      </c>
      <c r="AZ149" s="131">
        <f t="shared" si="204"/>
        <v>25.587672700126578</v>
      </c>
      <c r="BA149" s="131">
        <f t="shared" si="205"/>
        <v>0.13523894015947374</v>
      </c>
      <c r="BB149" s="131">
        <f t="shared" si="206"/>
        <v>0.13523894015947374</v>
      </c>
      <c r="BC149" s="131">
        <f t="shared" si="207"/>
        <v>15.163823042551581</v>
      </c>
      <c r="BE149" s="130">
        <v>20</v>
      </c>
      <c r="BF149" s="131">
        <f t="shared" si="221"/>
        <v>7.3467749626877392</v>
      </c>
      <c r="BG149" s="131">
        <f t="shared" si="208"/>
        <v>8.1427424738814178</v>
      </c>
      <c r="BH149" s="131">
        <f t="shared" si="209"/>
        <v>0</v>
      </c>
      <c r="BI149" s="131">
        <f t="shared" si="210"/>
        <v>0</v>
      </c>
      <c r="BJ149" s="131">
        <f t="shared" si="211"/>
        <v>9.3898786438426907</v>
      </c>
      <c r="BK149" s="131">
        <f t="shared" si="212"/>
        <v>26.859233636380242</v>
      </c>
      <c r="BL149" s="131">
        <f t="shared" si="213"/>
        <v>36.920523651305146</v>
      </c>
      <c r="BM149" s="131">
        <f t="shared" si="214"/>
        <v>0</v>
      </c>
      <c r="BN149" s="131">
        <f t="shared" si="215"/>
        <v>25.034797898693288</v>
      </c>
      <c r="BO149" s="131">
        <f t="shared" si="216"/>
        <v>0.1265322503731226</v>
      </c>
      <c r="BP149" s="131">
        <f t="shared" si="217"/>
        <v>0.1265322503731226</v>
      </c>
      <c r="BQ149" s="131">
        <f t="shared" si="218"/>
        <v>15.024516005969961</v>
      </c>
    </row>
    <row r="150" spans="1:69">
      <c r="A150" s="130">
        <v>21</v>
      </c>
      <c r="B150" s="131">
        <f t="shared" si="219"/>
        <v>64.677822495234054</v>
      </c>
      <c r="C150" s="131">
        <f t="shared" si="186"/>
        <v>11.143854789565443</v>
      </c>
      <c r="D150" s="131">
        <f t="shared" si="187"/>
        <v>18.160129046975054</v>
      </c>
      <c r="E150" s="131">
        <f t="shared" si="188"/>
        <v>46.373838658693558</v>
      </c>
      <c r="F150" s="131">
        <f t="shared" si="189"/>
        <v>0</v>
      </c>
      <c r="G150" s="131">
        <f t="shared" si="190"/>
        <v>0</v>
      </c>
      <c r="H150" s="131">
        <f t="shared" si="191"/>
        <v>13.006064556075145</v>
      </c>
      <c r="I150" s="131">
        <f t="shared" si="192"/>
        <v>0</v>
      </c>
      <c r="J150" s="131">
        <f t="shared" si="193"/>
        <v>15.201274175940558</v>
      </c>
      <c r="K150" s="131">
        <f t="shared" si="194"/>
        <v>0.16427419223437012</v>
      </c>
      <c r="L150" s="131">
        <f t="shared" si="195"/>
        <v>17.546096817818913</v>
      </c>
      <c r="M150" s="131">
        <f t="shared" si="196"/>
        <v>0.49282257670311042</v>
      </c>
      <c r="O150" s="130">
        <v>21</v>
      </c>
      <c r="P150" s="131">
        <f>'Stasiun Pontianak Kota'!Q204</f>
        <v>54</v>
      </c>
      <c r="Q150" s="131">
        <f>'Stasiun Pontianak Kota'!R204</f>
        <v>5</v>
      </c>
      <c r="R150" s="131">
        <f>'Stasiun Pontianak Kota'!S204</f>
        <v>20</v>
      </c>
      <c r="S150" s="131">
        <f>'Stasiun Pontianak Kota'!T204</f>
        <v>40</v>
      </c>
      <c r="T150" s="131">
        <f>'Stasiun Pontianak Kota'!U204</f>
        <v>0</v>
      </c>
      <c r="U150" s="131">
        <f>'Stasiun Pontianak Kota'!V204</f>
        <v>0</v>
      </c>
      <c r="V150" s="131">
        <f>'Stasiun Pontianak Kota'!W204</f>
        <v>18</v>
      </c>
      <c r="W150" s="131">
        <f>'Stasiun Pontianak Kota'!X204</f>
        <v>0</v>
      </c>
      <c r="X150" s="131">
        <f>'Stasiun Pontianak Kota'!Y204</f>
        <v>13</v>
      </c>
      <c r="Y150" s="131">
        <f>'Stasiun Pontianak Kota'!Z204</f>
        <v>0</v>
      </c>
      <c r="Z150" s="131">
        <f>'Stasiun Pontianak Kota'!AA204</f>
        <v>23</v>
      </c>
      <c r="AA150" s="131">
        <f>'Stasiun Pontianak Kota'!AB204</f>
        <v>0</v>
      </c>
      <c r="AC150" s="130">
        <v>21</v>
      </c>
      <c r="AD150" s="131">
        <f>'Sta. Meteorologi pnk'!B163</f>
        <v>86.5</v>
      </c>
      <c r="AE150" s="131">
        <f>'Sta. Meteorologi pnk'!C163</f>
        <v>23.7</v>
      </c>
      <c r="AF150" s="131">
        <f>'Sta. Meteorologi pnk'!D163</f>
        <v>14.4</v>
      </c>
      <c r="AG150" s="131">
        <f>'Sta. Meteorologi pnk'!E163</f>
        <v>59.4</v>
      </c>
      <c r="AH150" s="131">
        <f>'Sta. Meteorologi pnk'!F163</f>
        <v>0</v>
      </c>
      <c r="AI150" s="131">
        <f>'Sta. Meteorologi pnk'!G163</f>
        <v>0</v>
      </c>
      <c r="AJ150" s="131">
        <f>'Sta. Meteorologi pnk'!H163</f>
        <v>2.8</v>
      </c>
      <c r="AK150" s="131">
        <f>'Sta. Meteorologi pnk'!I163</f>
        <v>0</v>
      </c>
      <c r="AL150" s="131">
        <f>'Sta. Meteorologi pnk'!J163</f>
        <v>19.7</v>
      </c>
      <c r="AM150" s="131">
        <f>'Sta. Meteorologi pnk'!K163</f>
        <v>0.5</v>
      </c>
      <c r="AN150" s="131">
        <f>'Sta. Meteorologi pnk'!L163</f>
        <v>6.4</v>
      </c>
      <c r="AO150" s="131">
        <f>'Sta. Meteorologi pnk'!M163</f>
        <v>1.5</v>
      </c>
      <c r="AQ150" s="130">
        <v>21</v>
      </c>
      <c r="AR150" s="131">
        <f t="shared" si="220"/>
        <v>75.976327775914484</v>
      </c>
      <c r="AS150" s="131">
        <f t="shared" si="197"/>
        <v>17.64484090491079</v>
      </c>
      <c r="AT150" s="131">
        <f t="shared" si="198"/>
        <v>16.213309675534735</v>
      </c>
      <c r="AU150" s="131">
        <f t="shared" si="199"/>
        <v>53.118177195468952</v>
      </c>
      <c r="AV150" s="131">
        <f t="shared" si="200"/>
        <v>0</v>
      </c>
      <c r="AW150" s="131">
        <f t="shared" si="201"/>
        <v>0</v>
      </c>
      <c r="AX150" s="131">
        <f t="shared" si="202"/>
        <v>7.7218405478799932</v>
      </c>
      <c r="AY150" s="131">
        <f t="shared" si="203"/>
        <v>0</v>
      </c>
      <c r="AZ150" s="131">
        <f t="shared" si="204"/>
        <v>17.530504495342367</v>
      </c>
      <c r="BA150" s="131">
        <f t="shared" si="205"/>
        <v>0.33809735039868438</v>
      </c>
      <c r="BB150" s="131">
        <f t="shared" si="206"/>
        <v>11.775167966763679</v>
      </c>
      <c r="BC150" s="131">
        <f t="shared" si="207"/>
        <v>1.0142920511960531</v>
      </c>
      <c r="BE150" s="130">
        <v>21</v>
      </c>
      <c r="BF150" s="131">
        <f t="shared" si="221"/>
        <v>74.561490685632421</v>
      </c>
      <c r="BG150" s="131">
        <f t="shared" si="208"/>
        <v>16.830765409886961</v>
      </c>
      <c r="BH150" s="131">
        <f t="shared" si="209"/>
        <v>16.457096989552568</v>
      </c>
      <c r="BI150" s="131">
        <f t="shared" si="210"/>
        <v>52.273628286192896</v>
      </c>
      <c r="BJ150" s="131">
        <f t="shared" si="211"/>
        <v>0</v>
      </c>
      <c r="BK150" s="131">
        <f t="shared" si="212"/>
        <v>0</v>
      </c>
      <c r="BL150" s="131">
        <f t="shared" si="213"/>
        <v>8.3835489716426821</v>
      </c>
      <c r="BM150" s="131">
        <f t="shared" si="214"/>
        <v>0</v>
      </c>
      <c r="BN150" s="131">
        <f t="shared" si="215"/>
        <v>17.238830387499608</v>
      </c>
      <c r="BO150" s="131">
        <f t="shared" si="216"/>
        <v>0.31633062593280648</v>
      </c>
      <c r="BP150" s="131">
        <f t="shared" si="217"/>
        <v>12.497823219030824</v>
      </c>
      <c r="BQ150" s="131">
        <f t="shared" si="218"/>
        <v>0.94899187779841954</v>
      </c>
    </row>
    <row r="151" spans="1:69">
      <c r="A151" s="130">
        <v>22</v>
      </c>
      <c r="B151" s="131">
        <f t="shared" si="219"/>
        <v>0</v>
      </c>
      <c r="C151" s="131">
        <f t="shared" si="186"/>
        <v>5.2628387075749918</v>
      </c>
      <c r="D151" s="131">
        <f t="shared" si="187"/>
        <v>0</v>
      </c>
      <c r="E151" s="131">
        <f t="shared" si="188"/>
        <v>28.948645169700033</v>
      </c>
      <c r="F151" s="131">
        <f t="shared" si="189"/>
        <v>26.416903198474895</v>
      </c>
      <c r="G151" s="131">
        <f t="shared" si="190"/>
        <v>0</v>
      </c>
      <c r="H151" s="131">
        <f t="shared" si="191"/>
        <v>21.40446776269695</v>
      </c>
      <c r="I151" s="131">
        <f t="shared" si="192"/>
        <v>0</v>
      </c>
      <c r="J151" s="131">
        <f t="shared" si="193"/>
        <v>4.0184999918530941</v>
      </c>
      <c r="K151" s="131">
        <f t="shared" si="194"/>
        <v>12.683887051309206</v>
      </c>
      <c r="L151" s="131">
        <f t="shared" si="195"/>
        <v>21.155983901715739</v>
      </c>
      <c r="M151" s="131">
        <f t="shared" si="196"/>
        <v>0</v>
      </c>
      <c r="O151" s="130">
        <v>22</v>
      </c>
      <c r="P151" s="131">
        <f>'Stasiun Pontianak Kota'!Q205</f>
        <v>0</v>
      </c>
      <c r="Q151" s="131">
        <f>'Stasiun Pontianak Kota'!R205</f>
        <v>5</v>
      </c>
      <c r="R151" s="131">
        <f>'Stasiun Pontianak Kota'!S205</f>
        <v>0</v>
      </c>
      <c r="S151" s="131">
        <f>'Stasiun Pontianak Kota'!T205</f>
        <v>30</v>
      </c>
      <c r="T151" s="131">
        <f>'Stasiun Pontianak Kota'!U205</f>
        <v>23</v>
      </c>
      <c r="U151" s="131">
        <f>'Stasiun Pontianak Kota'!V205</f>
        <v>0</v>
      </c>
      <c r="V151" s="131">
        <f>'Stasiun Pontianak Kota'!W205</f>
        <v>24</v>
      </c>
      <c r="W151" s="131">
        <f>'Stasiun Pontianak Kota'!X205</f>
        <v>0</v>
      </c>
      <c r="X151" s="131">
        <f>'Stasiun Pontianak Kota'!Y205</f>
        <v>3</v>
      </c>
      <c r="Y151" s="131">
        <f>'Stasiun Pontianak Kota'!Z205</f>
        <v>7</v>
      </c>
      <c r="Z151" s="131">
        <f>'Stasiun Pontianak Kota'!AA205</f>
        <v>25</v>
      </c>
      <c r="AA151" s="131">
        <f>'Stasiun Pontianak Kota'!AB205</f>
        <v>0</v>
      </c>
      <c r="AC151" s="130">
        <v>22</v>
      </c>
      <c r="AD151" s="131">
        <f>'Sta. Meteorologi pnk'!B164</f>
        <v>0</v>
      </c>
      <c r="AE151" s="131">
        <f>'Sta. Meteorologi pnk'!C164</f>
        <v>5.8</v>
      </c>
      <c r="AF151" s="131">
        <f>'Sta. Meteorologi pnk'!D164</f>
        <v>0</v>
      </c>
      <c r="AG151" s="131">
        <f>'Sta. Meteorologi pnk'!E164</f>
        <v>26.8</v>
      </c>
      <c r="AH151" s="131">
        <f>'Sta. Meteorologi pnk'!F164</f>
        <v>33.4</v>
      </c>
      <c r="AI151" s="131">
        <f>'Sta. Meteorologi pnk'!G164</f>
        <v>0</v>
      </c>
      <c r="AJ151" s="131">
        <f>'Sta. Meteorologi pnk'!H164</f>
        <v>16.100000000000001</v>
      </c>
      <c r="AK151" s="131">
        <f>'Sta. Meteorologi pnk'!I164</f>
        <v>0</v>
      </c>
      <c r="AL151" s="131">
        <f>'Sta. Meteorologi pnk'!J164</f>
        <v>6.1</v>
      </c>
      <c r="AM151" s="131">
        <f>'Sta. Meteorologi pnk'!K164</f>
        <v>24.3</v>
      </c>
      <c r="AN151" s="131">
        <f>'Sta. Meteorologi pnk'!L164</f>
        <v>13.3</v>
      </c>
      <c r="AO151" s="131">
        <f>'Sta. Meteorologi pnk'!M164</f>
        <v>0</v>
      </c>
      <c r="AQ151" s="130">
        <v>22</v>
      </c>
      <c r="AR151" s="131">
        <f t="shared" si="220"/>
        <v>0</v>
      </c>
      <c r="AS151" s="131">
        <f t="shared" si="197"/>
        <v>5.5409557606378943</v>
      </c>
      <c r="AT151" s="131">
        <f t="shared" si="198"/>
        <v>0</v>
      </c>
      <c r="AU151" s="131">
        <f t="shared" si="199"/>
        <v>27.836176957448416</v>
      </c>
      <c r="AV151" s="131">
        <f t="shared" si="200"/>
        <v>30.032424888292635</v>
      </c>
      <c r="AW151" s="131">
        <f t="shared" si="201"/>
        <v>0</v>
      </c>
      <c r="AX151" s="131">
        <f t="shared" si="202"/>
        <v>18.658061863700784</v>
      </c>
      <c r="AY151" s="131">
        <f t="shared" si="203"/>
        <v>0</v>
      </c>
      <c r="AZ151" s="131">
        <f t="shared" si="204"/>
        <v>5.0962035724718424</v>
      </c>
      <c r="BA151" s="131">
        <f t="shared" si="205"/>
        <v>18.69816832379448</v>
      </c>
      <c r="BB151" s="131">
        <f t="shared" si="206"/>
        <v>17.088522000670785</v>
      </c>
      <c r="BC151" s="131">
        <f t="shared" si="207"/>
        <v>0</v>
      </c>
      <c r="BE151" s="130">
        <v>22</v>
      </c>
      <c r="BF151" s="131">
        <f t="shared" si="221"/>
        <v>0</v>
      </c>
      <c r="BG151" s="131">
        <f t="shared" si="208"/>
        <v>5.5061290014924902</v>
      </c>
      <c r="BH151" s="131">
        <f t="shared" si="209"/>
        <v>0</v>
      </c>
      <c r="BI151" s="131">
        <f t="shared" si="210"/>
        <v>27.975483994030039</v>
      </c>
      <c r="BJ151" s="131">
        <f t="shared" si="211"/>
        <v>29.579677019402371</v>
      </c>
      <c r="BK151" s="131">
        <f t="shared" si="212"/>
        <v>0</v>
      </c>
      <c r="BL151" s="131">
        <f t="shared" si="213"/>
        <v>19.001976110261658</v>
      </c>
      <c r="BM151" s="131">
        <f t="shared" si="214"/>
        <v>0</v>
      </c>
      <c r="BN151" s="131">
        <f t="shared" si="215"/>
        <v>4.9612498807833996</v>
      </c>
      <c r="BO151" s="131">
        <f t="shared" si="216"/>
        <v>17.945039657275107</v>
      </c>
      <c r="BP151" s="131">
        <f t="shared" si="217"/>
        <v>17.597863353172329</v>
      </c>
      <c r="BQ151" s="131">
        <f t="shared" si="218"/>
        <v>0</v>
      </c>
    </row>
    <row r="152" spans="1:69">
      <c r="A152" s="130">
        <v>23</v>
      </c>
      <c r="B152" s="131">
        <f t="shared" si="219"/>
        <v>14.667306470271942</v>
      </c>
      <c r="C152" s="131">
        <f t="shared" si="186"/>
        <v>6.5709676893748056E-2</v>
      </c>
      <c r="D152" s="131">
        <f t="shared" si="187"/>
        <v>0</v>
      </c>
      <c r="E152" s="131">
        <f t="shared" si="188"/>
        <v>0</v>
      </c>
      <c r="F152" s="131">
        <f t="shared" si="189"/>
        <v>6.0759193782282104</v>
      </c>
      <c r="G152" s="131">
        <f t="shared" si="190"/>
        <v>12.145774200381275</v>
      </c>
      <c r="H152" s="131">
        <f t="shared" si="191"/>
        <v>2.0143548465937791</v>
      </c>
      <c r="I152" s="131">
        <f t="shared" si="192"/>
        <v>0</v>
      </c>
      <c r="J152" s="131">
        <f t="shared" si="193"/>
        <v>6.7700161308718805</v>
      </c>
      <c r="K152" s="131">
        <f t="shared" si="194"/>
        <v>43.87050005702833</v>
      </c>
      <c r="L152" s="131">
        <f t="shared" si="195"/>
        <v>0</v>
      </c>
      <c r="M152" s="131">
        <f t="shared" si="196"/>
        <v>9.6714516155312573</v>
      </c>
      <c r="O152" s="130">
        <v>23</v>
      </c>
      <c r="P152" s="131">
        <f>'Stasiun Pontianak Kota'!Q206</f>
        <v>17</v>
      </c>
      <c r="Q152" s="131">
        <f>'Stasiun Pontianak Kota'!R206</f>
        <v>0</v>
      </c>
      <c r="R152" s="131">
        <f>'Stasiun Pontianak Kota'!S206</f>
        <v>0</v>
      </c>
      <c r="S152" s="131">
        <f>'Stasiun Pontianak Kota'!T206</f>
        <v>0</v>
      </c>
      <c r="T152" s="131">
        <f>'Stasiun Pontianak Kota'!U206</f>
        <v>9</v>
      </c>
      <c r="U152" s="131">
        <f>'Stasiun Pontianak Kota'!V206</f>
        <v>13</v>
      </c>
      <c r="V152" s="131">
        <f>'Stasiun Pontianak Kota'!W206</f>
        <v>3</v>
      </c>
      <c r="W152" s="131">
        <f>'Stasiun Pontianak Kota'!X206</f>
        <v>0</v>
      </c>
      <c r="X152" s="131">
        <f>'Stasiun Pontianak Kota'!Y206</f>
        <v>7</v>
      </c>
      <c r="Y152" s="131">
        <f>'Stasiun Pontianak Kota'!Z206</f>
        <v>51</v>
      </c>
      <c r="Z152" s="131">
        <f>'Stasiun Pontianak Kota'!AA206</f>
        <v>0</v>
      </c>
      <c r="AA152" s="131">
        <f>'Stasiun Pontianak Kota'!AB206</f>
        <v>10</v>
      </c>
      <c r="AC152" s="130">
        <v>23</v>
      </c>
      <c r="AD152" s="131">
        <f>'Sta. Meteorologi pnk'!B165</f>
        <v>9.9</v>
      </c>
      <c r="AE152" s="131">
        <f>'Sta. Meteorologi pnk'!C165</f>
        <v>0.2</v>
      </c>
      <c r="AF152" s="131">
        <f>'Sta. Meteorologi pnk'!D165</f>
        <v>0</v>
      </c>
      <c r="AG152" s="131">
        <f>'Sta. Meteorologi pnk'!E165</f>
        <v>0</v>
      </c>
      <c r="AH152" s="131">
        <f>'Sta. Meteorologi pnk'!F165</f>
        <v>0.1</v>
      </c>
      <c r="AI152" s="131">
        <f>'Sta. Meteorologi pnk'!G165</f>
        <v>10.4</v>
      </c>
      <c r="AJ152" s="131">
        <f>'Sta. Meteorologi pnk'!H165</f>
        <v>0</v>
      </c>
      <c r="AK152" s="131">
        <f>'Sta. Meteorologi pnk'!I165</f>
        <v>0</v>
      </c>
      <c r="AL152" s="131">
        <f>'Sta. Meteorologi pnk'!J165</f>
        <v>6.3</v>
      </c>
      <c r="AM152" s="131">
        <f>'Sta. Meteorologi pnk'!K165</f>
        <v>29.3</v>
      </c>
      <c r="AN152" s="131">
        <f>'Sta. Meteorologi pnk'!L165</f>
        <v>0</v>
      </c>
      <c r="AO152" s="131">
        <f>'Sta. Meteorologi pnk'!M165</f>
        <v>9</v>
      </c>
      <c r="AQ152" s="130">
        <v>23</v>
      </c>
      <c r="AR152" s="131">
        <f t="shared" si="220"/>
        <v>12.199017624338682</v>
      </c>
      <c r="AS152" s="131">
        <f t="shared" si="197"/>
        <v>0.13523894015947374</v>
      </c>
      <c r="AT152" s="131">
        <f t="shared" si="198"/>
        <v>0</v>
      </c>
      <c r="AU152" s="131">
        <f t="shared" si="199"/>
        <v>0</v>
      </c>
      <c r="AV152" s="131">
        <f t="shared" si="200"/>
        <v>2.9818671629034177</v>
      </c>
      <c r="AW152" s="131">
        <f t="shared" si="201"/>
        <v>11.24189377792684</v>
      </c>
      <c r="AX152" s="131">
        <f t="shared" si="202"/>
        <v>0.97141589760789349</v>
      </c>
      <c r="AY152" s="131">
        <f t="shared" si="203"/>
        <v>0</v>
      </c>
      <c r="AZ152" s="131">
        <f t="shared" si="204"/>
        <v>6.5266637094418414</v>
      </c>
      <c r="BA152" s="131">
        <f t="shared" si="205"/>
        <v>36.32657499269709</v>
      </c>
      <c r="BB152" s="131">
        <f t="shared" si="206"/>
        <v>0</v>
      </c>
      <c r="BC152" s="131">
        <f t="shared" si="207"/>
        <v>9.3238052992026308</v>
      </c>
      <c r="BE152" s="130">
        <v>23</v>
      </c>
      <c r="BF152" s="131">
        <f t="shared" si="221"/>
        <v>12.508105111754148</v>
      </c>
      <c r="BG152" s="131">
        <f t="shared" si="208"/>
        <v>0.1265322503731226</v>
      </c>
      <c r="BH152" s="131">
        <f t="shared" si="209"/>
        <v>0</v>
      </c>
      <c r="BI152" s="131">
        <f t="shared" si="210"/>
        <v>0</v>
      </c>
      <c r="BJ152" s="131">
        <f t="shared" si="211"/>
        <v>3.3693148583960442</v>
      </c>
      <c r="BK152" s="131">
        <f t="shared" si="212"/>
        <v>11.355080745149406</v>
      </c>
      <c r="BL152" s="131">
        <f t="shared" si="213"/>
        <v>1.1020162444031609</v>
      </c>
      <c r="BM152" s="131">
        <f t="shared" si="214"/>
        <v>0</v>
      </c>
      <c r="BN152" s="131">
        <f t="shared" si="215"/>
        <v>6.5571371236940701</v>
      </c>
      <c r="BO152" s="131">
        <f t="shared" si="216"/>
        <v>37.271250834516195</v>
      </c>
      <c r="BP152" s="131">
        <f t="shared" si="217"/>
        <v>0</v>
      </c>
      <c r="BQ152" s="131">
        <f t="shared" si="218"/>
        <v>9.3673387481343866</v>
      </c>
    </row>
    <row r="153" spans="1:69">
      <c r="A153" s="130">
        <v>24</v>
      </c>
      <c r="B153" s="131">
        <f t="shared" si="219"/>
        <v>38.157903312531566</v>
      </c>
      <c r="C153" s="131">
        <f t="shared" si="186"/>
        <v>22.016580581037264</v>
      </c>
      <c r="D153" s="131">
        <f t="shared" si="187"/>
        <v>0</v>
      </c>
      <c r="E153" s="131">
        <f t="shared" si="188"/>
        <v>47.683580727681552</v>
      </c>
      <c r="F153" s="131">
        <f t="shared" si="189"/>
        <v>0</v>
      </c>
      <c r="G153" s="131">
        <f t="shared" si="190"/>
        <v>0.32854838446874024</v>
      </c>
      <c r="H153" s="131">
        <f t="shared" si="191"/>
        <v>25.946725758884195</v>
      </c>
      <c r="I153" s="131">
        <f t="shared" si="192"/>
        <v>0</v>
      </c>
      <c r="J153" s="131">
        <f t="shared" si="193"/>
        <v>0</v>
      </c>
      <c r="K153" s="131">
        <f t="shared" si="194"/>
        <v>0.22998386912811819</v>
      </c>
      <c r="L153" s="131">
        <f t="shared" si="195"/>
        <v>0</v>
      </c>
      <c r="M153" s="131">
        <f t="shared" si="196"/>
        <v>0.72280644583122866</v>
      </c>
      <c r="O153" s="130">
        <v>24</v>
      </c>
      <c r="P153" s="131">
        <f>'Stasiun Pontianak Kota'!Q207</f>
        <v>49</v>
      </c>
      <c r="Q153" s="131">
        <f>'Stasiun Pontianak Kota'!R207</f>
        <v>14</v>
      </c>
      <c r="R153" s="131">
        <f>'Stasiun Pontianak Kota'!S207</f>
        <v>0</v>
      </c>
      <c r="S153" s="131">
        <f>'Stasiun Pontianak Kota'!T207</f>
        <v>58</v>
      </c>
      <c r="T153" s="131">
        <f>'Stasiun Pontianak Kota'!U207</f>
        <v>0</v>
      </c>
      <c r="U153" s="131">
        <f>'Stasiun Pontianak Kota'!V207</f>
        <v>0</v>
      </c>
      <c r="V153" s="131">
        <f>'Stasiun Pontianak Kota'!W207</f>
        <v>20</v>
      </c>
      <c r="W153" s="131">
        <f>'Stasiun Pontianak Kota'!X207</f>
        <v>0</v>
      </c>
      <c r="X153" s="131">
        <f>'Stasiun Pontianak Kota'!Y207</f>
        <v>0</v>
      </c>
      <c r="Y153" s="131">
        <f>'Stasiun Pontianak Kota'!Z207</f>
        <v>0</v>
      </c>
      <c r="Z153" s="131">
        <f>'Stasiun Pontianak Kota'!AA207</f>
        <v>0</v>
      </c>
      <c r="AA153" s="131">
        <f>'Stasiun Pontianak Kota'!AB207</f>
        <v>0</v>
      </c>
      <c r="AC153" s="130">
        <v>24</v>
      </c>
      <c r="AD153" s="131">
        <f>'Sta. Meteorologi pnk'!B166</f>
        <v>16</v>
      </c>
      <c r="AE153" s="131">
        <f>'Sta. Meteorologi pnk'!C166</f>
        <v>38.4</v>
      </c>
      <c r="AF153" s="131">
        <f>'Sta. Meteorologi pnk'!D166</f>
        <v>0</v>
      </c>
      <c r="AG153" s="131">
        <f>'Sta. Meteorologi pnk'!E166</f>
        <v>26.6</v>
      </c>
      <c r="AH153" s="131">
        <f>'Sta. Meteorologi pnk'!F166</f>
        <v>0</v>
      </c>
      <c r="AI153" s="131">
        <f>'Sta. Meteorologi pnk'!G166</f>
        <v>1</v>
      </c>
      <c r="AJ153" s="131">
        <f>'Sta. Meteorologi pnk'!H166</f>
        <v>38.1</v>
      </c>
      <c r="AK153" s="131">
        <f>'Sta. Meteorologi pnk'!I166</f>
        <v>0</v>
      </c>
      <c r="AL153" s="131">
        <f>'Sta. Meteorologi pnk'!J166</f>
        <v>0</v>
      </c>
      <c r="AM153" s="131">
        <f>'Sta. Meteorologi pnk'!K166</f>
        <v>0.7</v>
      </c>
      <c r="AN153" s="131">
        <f>'Sta. Meteorologi pnk'!L166</f>
        <v>0</v>
      </c>
      <c r="AO153" s="131">
        <f>'Sta. Meteorologi pnk'!M166</f>
        <v>2.2000000000000002</v>
      </c>
      <c r="AQ153" s="130">
        <v>24</v>
      </c>
      <c r="AR153" s="131">
        <f t="shared" si="220"/>
        <v>26.685574873686825</v>
      </c>
      <c r="AS153" s="131">
        <f t="shared" si="197"/>
        <v>30.499150699455797</v>
      </c>
      <c r="AT153" s="131">
        <f t="shared" si="198"/>
        <v>0</v>
      </c>
      <c r="AU153" s="131">
        <f t="shared" si="199"/>
        <v>36.767486394962617</v>
      </c>
      <c r="AV153" s="131">
        <f t="shared" si="200"/>
        <v>0</v>
      </c>
      <c r="AW153" s="131">
        <f t="shared" si="201"/>
        <v>0.67619470079736876</v>
      </c>
      <c r="AX153" s="131">
        <f t="shared" si="202"/>
        <v>32.239124084432376</v>
      </c>
      <c r="AY153" s="131">
        <f t="shared" si="203"/>
        <v>0</v>
      </c>
      <c r="AZ153" s="131">
        <f t="shared" si="204"/>
        <v>0</v>
      </c>
      <c r="BA153" s="131">
        <f t="shared" si="205"/>
        <v>0.47333629055815807</v>
      </c>
      <c r="BB153" s="131">
        <f t="shared" si="206"/>
        <v>0</v>
      </c>
      <c r="BC153" s="131">
        <f t="shared" si="207"/>
        <v>1.4876283417542113</v>
      </c>
      <c r="BE153" s="130">
        <v>24</v>
      </c>
      <c r="BF153" s="131">
        <f t="shared" si="221"/>
        <v>28.122178688434769</v>
      </c>
      <c r="BG153" s="131">
        <f t="shared" si="208"/>
        <v>29.436934545520955</v>
      </c>
      <c r="BH153" s="131">
        <f t="shared" si="209"/>
        <v>0</v>
      </c>
      <c r="BI153" s="131">
        <f t="shared" si="210"/>
        <v>38.134436691419751</v>
      </c>
      <c r="BJ153" s="131">
        <f t="shared" si="211"/>
        <v>0</v>
      </c>
      <c r="BK153" s="131">
        <f t="shared" si="212"/>
        <v>0.63266125186561295</v>
      </c>
      <c r="BL153" s="131">
        <f t="shared" si="213"/>
        <v>31.451168658767596</v>
      </c>
      <c r="BM153" s="131">
        <f t="shared" si="214"/>
        <v>0</v>
      </c>
      <c r="BN153" s="131">
        <f t="shared" si="215"/>
        <v>0</v>
      </c>
      <c r="BO153" s="131">
        <f t="shared" si="216"/>
        <v>0.44286287630592908</v>
      </c>
      <c r="BP153" s="131">
        <f t="shared" si="217"/>
        <v>0</v>
      </c>
      <c r="BQ153" s="131">
        <f t="shared" si="218"/>
        <v>1.3918547541043487</v>
      </c>
    </row>
    <row r="154" spans="1:69">
      <c r="A154" s="130">
        <v>25</v>
      </c>
      <c r="B154" s="131">
        <f t="shared" si="219"/>
        <v>0</v>
      </c>
      <c r="C154" s="131">
        <f t="shared" si="186"/>
        <v>27.287403255503232</v>
      </c>
      <c r="D154" s="131">
        <f t="shared" si="187"/>
        <v>0.16427419223437012</v>
      </c>
      <c r="E154" s="131">
        <f t="shared" si="188"/>
        <v>0</v>
      </c>
      <c r="F154" s="131">
        <f t="shared" si="189"/>
        <v>1.3429032310625193</v>
      </c>
      <c r="G154" s="131">
        <f t="shared" si="190"/>
        <v>3.0883548140061587</v>
      </c>
      <c r="H154" s="131">
        <f t="shared" si="191"/>
        <v>46.993935443924848</v>
      </c>
      <c r="I154" s="131">
        <f t="shared" si="192"/>
        <v>0</v>
      </c>
      <c r="J154" s="131">
        <f t="shared" si="193"/>
        <v>0</v>
      </c>
      <c r="K154" s="131">
        <f t="shared" si="194"/>
        <v>0.82137096117185071</v>
      </c>
      <c r="L154" s="131">
        <f t="shared" si="195"/>
        <v>3.1540644908999065</v>
      </c>
      <c r="M154" s="131">
        <f t="shared" si="196"/>
        <v>7.9569354602186628</v>
      </c>
      <c r="O154" s="130">
        <v>25</v>
      </c>
      <c r="P154" s="131">
        <f>'Stasiun Pontianak Kota'!Q208</f>
        <v>0</v>
      </c>
      <c r="Q154" s="131">
        <f>'Stasiun Pontianak Kota'!R208</f>
        <v>31</v>
      </c>
      <c r="R154" s="131">
        <f>'Stasiun Pontianak Kota'!S208</f>
        <v>0</v>
      </c>
      <c r="S154" s="131">
        <f>'Stasiun Pontianak Kota'!T208</f>
        <v>0</v>
      </c>
      <c r="T154" s="131">
        <f>'Stasiun Pontianak Kota'!U208</f>
        <v>2</v>
      </c>
      <c r="U154" s="131">
        <f>'Stasiun Pontianak Kota'!V208</f>
        <v>0</v>
      </c>
      <c r="V154" s="131">
        <f>'Stasiun Pontianak Kota'!W208</f>
        <v>42</v>
      </c>
      <c r="W154" s="131">
        <f>'Stasiun Pontianak Kota'!X208</f>
        <v>0</v>
      </c>
      <c r="X154" s="131">
        <f>'Stasiun Pontianak Kota'!Y208</f>
        <v>0</v>
      </c>
      <c r="Y154" s="131">
        <f>'Stasiun Pontianak Kota'!Z208</f>
        <v>0</v>
      </c>
      <c r="Z154" s="131">
        <f>'Stasiun Pontianak Kota'!AA208</f>
        <v>0</v>
      </c>
      <c r="AA154" s="131">
        <f>'Stasiun Pontianak Kota'!AB208</f>
        <v>5</v>
      </c>
      <c r="AC154" s="130">
        <v>25</v>
      </c>
      <c r="AD154" s="131">
        <f>'Sta. Meteorologi pnk'!B167</f>
        <v>0</v>
      </c>
      <c r="AE154" s="131">
        <f>'Sta. Meteorologi pnk'!C167</f>
        <v>19.7</v>
      </c>
      <c r="AF154" s="131">
        <f>'Sta. Meteorologi pnk'!D167</f>
        <v>0.5</v>
      </c>
      <c r="AG154" s="131">
        <f>'Sta. Meteorologi pnk'!E167</f>
        <v>0</v>
      </c>
      <c r="AH154" s="131">
        <f>'Sta. Meteorologi pnk'!F167</f>
        <v>0</v>
      </c>
      <c r="AI154" s="131">
        <f>'Sta. Meteorologi pnk'!G167</f>
        <v>9.4</v>
      </c>
      <c r="AJ154" s="131">
        <f>'Sta. Meteorologi pnk'!H167</f>
        <v>57.2</v>
      </c>
      <c r="AK154" s="131">
        <f>'Sta. Meteorologi pnk'!I167</f>
        <v>0</v>
      </c>
      <c r="AL154" s="131">
        <f>'Sta. Meteorologi pnk'!J167</f>
        <v>0</v>
      </c>
      <c r="AM154" s="131">
        <f>'Sta. Meteorologi pnk'!K167</f>
        <v>2.5</v>
      </c>
      <c r="AN154" s="131">
        <f>'Sta. Meteorologi pnk'!L167</f>
        <v>9.6</v>
      </c>
      <c r="AO154" s="131">
        <f>'Sta. Meteorologi pnk'!M167</f>
        <v>14</v>
      </c>
      <c r="AQ154" s="130">
        <v>25</v>
      </c>
      <c r="AR154" s="131">
        <f t="shared" si="220"/>
        <v>0</v>
      </c>
      <c r="AS154" s="131">
        <f t="shared" si="197"/>
        <v>23.358999880989732</v>
      </c>
      <c r="AT154" s="131">
        <f t="shared" si="198"/>
        <v>0.33809735039868438</v>
      </c>
      <c r="AU154" s="131">
        <f t="shared" si="199"/>
        <v>0</v>
      </c>
      <c r="AV154" s="131">
        <f t="shared" si="200"/>
        <v>0.64761059840526247</v>
      </c>
      <c r="AW154" s="131">
        <f t="shared" si="201"/>
        <v>6.3562301874952656</v>
      </c>
      <c r="AX154" s="131">
        <f t="shared" si="202"/>
        <v>52.278159452120001</v>
      </c>
      <c r="AY154" s="131">
        <f t="shared" si="203"/>
        <v>0</v>
      </c>
      <c r="AZ154" s="131">
        <f t="shared" si="204"/>
        <v>0</v>
      </c>
      <c r="BA154" s="131">
        <f t="shared" si="205"/>
        <v>1.6904867519934219</v>
      </c>
      <c r="BB154" s="131">
        <f t="shared" si="206"/>
        <v>6.4914691276547396</v>
      </c>
      <c r="BC154" s="131">
        <f t="shared" si="207"/>
        <v>11.085752307176319</v>
      </c>
      <c r="BE154" s="130">
        <v>25</v>
      </c>
      <c r="BF154" s="131">
        <f t="shared" si="221"/>
        <v>0</v>
      </c>
      <c r="BG154" s="131">
        <f t="shared" si="208"/>
        <v>23.85092785391857</v>
      </c>
      <c r="BH154" s="131">
        <f t="shared" si="209"/>
        <v>0.31633062593280648</v>
      </c>
      <c r="BI154" s="131">
        <f t="shared" si="210"/>
        <v>0</v>
      </c>
      <c r="BJ154" s="131">
        <f t="shared" si="211"/>
        <v>0.73467749626877399</v>
      </c>
      <c r="BK154" s="131">
        <f t="shared" si="212"/>
        <v>5.9470157675367616</v>
      </c>
      <c r="BL154" s="131">
        <f t="shared" si="213"/>
        <v>51.616451028357311</v>
      </c>
      <c r="BM154" s="131">
        <f t="shared" si="214"/>
        <v>0</v>
      </c>
      <c r="BN154" s="131">
        <f t="shared" si="215"/>
        <v>0</v>
      </c>
      <c r="BO154" s="131">
        <f t="shared" si="216"/>
        <v>1.5816531296640326</v>
      </c>
      <c r="BP154" s="131">
        <f t="shared" si="217"/>
        <v>6.073548017909884</v>
      </c>
      <c r="BQ154" s="131">
        <f t="shared" si="218"/>
        <v>10.693951266790517</v>
      </c>
    </row>
    <row r="155" spans="1:69">
      <c r="A155" s="130">
        <v>26</v>
      </c>
      <c r="B155" s="131">
        <f t="shared" si="219"/>
        <v>0</v>
      </c>
      <c r="C155" s="131">
        <f t="shared" si="186"/>
        <v>0</v>
      </c>
      <c r="D155" s="131">
        <f t="shared" si="187"/>
        <v>0</v>
      </c>
      <c r="E155" s="131">
        <f t="shared" si="188"/>
        <v>18.574806511006472</v>
      </c>
      <c r="F155" s="131">
        <f t="shared" si="189"/>
        <v>17.515467713815521</v>
      </c>
      <c r="G155" s="131">
        <f t="shared" si="190"/>
        <v>26.878790347546968</v>
      </c>
      <c r="H155" s="131">
        <f t="shared" si="191"/>
        <v>17.410838642399749</v>
      </c>
      <c r="I155" s="131">
        <f t="shared" si="192"/>
        <v>3.3614032229156141</v>
      </c>
      <c r="J155" s="131">
        <f t="shared" si="193"/>
        <v>0</v>
      </c>
      <c r="K155" s="131">
        <f t="shared" si="194"/>
        <v>1.4784677301093312</v>
      </c>
      <c r="L155" s="131">
        <f t="shared" si="195"/>
        <v>0</v>
      </c>
      <c r="M155" s="131">
        <f t="shared" si="196"/>
        <v>35.716741889756079</v>
      </c>
      <c r="O155" s="130">
        <v>26</v>
      </c>
      <c r="P155" s="131">
        <f>'Stasiun Pontianak Kota'!Q209</f>
        <v>0</v>
      </c>
      <c r="Q155" s="131">
        <f>'Stasiun Pontianak Kota'!R209</f>
        <v>0</v>
      </c>
      <c r="R155" s="131">
        <f>'Stasiun Pontianak Kota'!S209</f>
        <v>0</v>
      </c>
      <c r="S155" s="131">
        <f>'Stasiun Pontianak Kota'!T209</f>
        <v>26</v>
      </c>
      <c r="T155" s="131">
        <f>'Stasiun Pontianak Kota'!U209</f>
        <v>14</v>
      </c>
      <c r="U155" s="131">
        <f>'Stasiun Pontianak Kota'!V209</f>
        <v>30</v>
      </c>
      <c r="V155" s="131">
        <f>'Stasiun Pontianak Kota'!W209</f>
        <v>9</v>
      </c>
      <c r="W155" s="131">
        <f>'Stasiun Pontianak Kota'!X209</f>
        <v>3</v>
      </c>
      <c r="X155" s="131">
        <f>'Stasiun Pontianak Kota'!Y209</f>
        <v>0</v>
      </c>
      <c r="Y155" s="131">
        <f>'Stasiun Pontianak Kota'!Z209</f>
        <v>0</v>
      </c>
      <c r="Z155" s="131">
        <f>'Stasiun Pontianak Kota'!AA209</f>
        <v>0</v>
      </c>
      <c r="AA155" s="131">
        <f>'Stasiun Pontianak Kota'!AB209</f>
        <v>30</v>
      </c>
      <c r="AC155" s="130">
        <v>26</v>
      </c>
      <c r="AD155" s="131">
        <f>'Sta. Meteorologi pnk'!B168</f>
        <v>0</v>
      </c>
      <c r="AE155" s="131">
        <f>'Sta. Meteorologi pnk'!C168</f>
        <v>0</v>
      </c>
      <c r="AF155" s="131">
        <f>'Sta. Meteorologi pnk'!D168</f>
        <v>0</v>
      </c>
      <c r="AG155" s="131">
        <f>'Sta. Meteorologi pnk'!E168</f>
        <v>3.4</v>
      </c>
      <c r="AH155" s="131">
        <f>'Sta. Meteorologi pnk'!F168</f>
        <v>24.7</v>
      </c>
      <c r="AI155" s="131">
        <f>'Sta. Meteorologi pnk'!G168</f>
        <v>20.5</v>
      </c>
      <c r="AJ155" s="131">
        <f>'Sta. Meteorologi pnk'!H168</f>
        <v>34.6</v>
      </c>
      <c r="AK155" s="131">
        <f>'Sta. Meteorologi pnk'!I168</f>
        <v>4.0999999999999996</v>
      </c>
      <c r="AL155" s="131">
        <f>'Sta. Meteorologi pnk'!J168</f>
        <v>0</v>
      </c>
      <c r="AM155" s="131">
        <f>'Sta. Meteorologi pnk'!K168</f>
        <v>4.5</v>
      </c>
      <c r="AN155" s="131">
        <f>'Sta. Meteorologi pnk'!L168</f>
        <v>0</v>
      </c>
      <c r="AO155" s="131">
        <f>'Sta. Meteorologi pnk'!M168</f>
        <v>47.4</v>
      </c>
      <c r="AQ155" s="130">
        <v>26</v>
      </c>
      <c r="AR155" s="131">
        <f t="shared" si="220"/>
        <v>0</v>
      </c>
      <c r="AS155" s="131">
        <f t="shared" si="197"/>
        <v>0</v>
      </c>
      <c r="AT155" s="131">
        <f t="shared" si="198"/>
        <v>0</v>
      </c>
      <c r="AU155" s="131">
        <f t="shared" si="199"/>
        <v>10.717999761979465</v>
      </c>
      <c r="AV155" s="131">
        <f t="shared" si="200"/>
        <v>21.235283298531847</v>
      </c>
      <c r="AW155" s="131">
        <f t="shared" si="201"/>
        <v>23.576150342424995</v>
      </c>
      <c r="AX155" s="131">
        <f t="shared" si="202"/>
        <v>26.310584340412639</v>
      </c>
      <c r="AY155" s="131">
        <f t="shared" si="203"/>
        <v>3.7438141708771049</v>
      </c>
      <c r="AZ155" s="131">
        <f t="shared" si="204"/>
        <v>0</v>
      </c>
      <c r="BA155" s="131">
        <f t="shared" si="205"/>
        <v>3.0428761535881592</v>
      </c>
      <c r="BB155" s="131">
        <f t="shared" si="206"/>
        <v>0</v>
      </c>
      <c r="BC155" s="131">
        <f t="shared" si="207"/>
        <v>41.76578779387421</v>
      </c>
      <c r="BE155" s="130">
        <v>26</v>
      </c>
      <c r="BF155" s="131">
        <f t="shared" si="221"/>
        <v>0</v>
      </c>
      <c r="BG155" s="131">
        <f t="shared" si="208"/>
        <v>0</v>
      </c>
      <c r="BH155" s="131">
        <f t="shared" si="209"/>
        <v>0</v>
      </c>
      <c r="BI155" s="131">
        <f t="shared" si="210"/>
        <v>11.701855707837145</v>
      </c>
      <c r="BJ155" s="131">
        <f t="shared" si="211"/>
        <v>20.769475394962058</v>
      </c>
      <c r="BK155" s="131">
        <f t="shared" si="212"/>
        <v>23.989718107276673</v>
      </c>
      <c r="BL155" s="131">
        <f t="shared" si="213"/>
        <v>25.196128047759693</v>
      </c>
      <c r="BM155" s="131">
        <f t="shared" si="214"/>
        <v>3.6959273770521737</v>
      </c>
      <c r="BN155" s="131">
        <f t="shared" si="215"/>
        <v>0</v>
      </c>
      <c r="BO155" s="131">
        <f t="shared" si="216"/>
        <v>2.8469756333952585</v>
      </c>
      <c r="BP155" s="131">
        <f t="shared" si="217"/>
        <v>0</v>
      </c>
      <c r="BQ155" s="131">
        <f t="shared" si="218"/>
        <v>41.008305782461662</v>
      </c>
    </row>
    <row r="156" spans="1:69">
      <c r="A156" s="130">
        <v>27</v>
      </c>
      <c r="B156" s="131">
        <f t="shared" si="219"/>
        <v>0</v>
      </c>
      <c r="C156" s="131">
        <f t="shared" si="186"/>
        <v>1.1971290306812441</v>
      </c>
      <c r="D156" s="131">
        <f t="shared" si="187"/>
        <v>13.086129079562674</v>
      </c>
      <c r="E156" s="131">
        <f t="shared" si="188"/>
        <v>6.4127580532155832</v>
      </c>
      <c r="F156" s="131">
        <f t="shared" si="189"/>
        <v>23.763645251169081</v>
      </c>
      <c r="G156" s="131">
        <f t="shared" si="190"/>
        <v>0</v>
      </c>
      <c r="H156" s="131">
        <f t="shared" si="191"/>
        <v>0</v>
      </c>
      <c r="I156" s="131">
        <f t="shared" si="192"/>
        <v>1.8357258077656298</v>
      </c>
      <c r="J156" s="131">
        <f t="shared" si="193"/>
        <v>3.3757580695093932</v>
      </c>
      <c r="K156" s="131">
        <f t="shared" si="194"/>
        <v>3.4229677545500463</v>
      </c>
      <c r="L156" s="131">
        <f t="shared" si="195"/>
        <v>12.043064539781337</v>
      </c>
      <c r="M156" s="131">
        <f t="shared" si="196"/>
        <v>9.6816613168657213</v>
      </c>
      <c r="O156" s="130">
        <v>27</v>
      </c>
      <c r="P156" s="131">
        <f>'Stasiun Pontianak Kota'!Q210</f>
        <v>0</v>
      </c>
      <c r="Q156" s="131">
        <f>'Stasiun Pontianak Kota'!R210</f>
        <v>1</v>
      </c>
      <c r="R156" s="131">
        <f>'Stasiun Pontianak Kota'!S210</f>
        <v>19</v>
      </c>
      <c r="S156" s="131">
        <f>'Stasiun Pontianak Kota'!T210</f>
        <v>5</v>
      </c>
      <c r="T156" s="131">
        <f>'Stasiun Pontianak Kota'!U210</f>
        <v>35</v>
      </c>
      <c r="U156" s="131">
        <f>'Stasiun Pontianak Kota'!V210</f>
        <v>0</v>
      </c>
      <c r="V156" s="131">
        <f>'Stasiun Pontianak Kota'!W210</f>
        <v>0</v>
      </c>
      <c r="W156" s="131">
        <f>'Stasiun Pontianak Kota'!X210</f>
        <v>2</v>
      </c>
      <c r="X156" s="131">
        <f>'Stasiun Pontianak Kota'!Y210</f>
        <v>4</v>
      </c>
      <c r="Y156" s="131">
        <f>'Stasiun Pontianak Kota'!Z210</f>
        <v>5</v>
      </c>
      <c r="Z156" s="131">
        <f>'Stasiun Pontianak Kota'!AA210</f>
        <v>15</v>
      </c>
      <c r="AA156" s="131">
        <f>'Stasiun Pontianak Kota'!AB210</f>
        <v>13</v>
      </c>
      <c r="AC156" s="130">
        <v>27</v>
      </c>
      <c r="AD156" s="131">
        <f>'Sta. Meteorologi pnk'!B169</f>
        <v>0</v>
      </c>
      <c r="AE156" s="131">
        <f>'Sta. Meteorologi pnk'!C169</f>
        <v>1.6</v>
      </c>
      <c r="AF156" s="131">
        <f>'Sta. Meteorologi pnk'!D169</f>
        <v>1</v>
      </c>
      <c r="AG156" s="131">
        <f>'Sta. Meteorologi pnk'!E169</f>
        <v>9.3000000000000007</v>
      </c>
      <c r="AH156" s="131">
        <f>'Sta. Meteorologi pnk'!F169</f>
        <v>0.8</v>
      </c>
      <c r="AI156" s="131">
        <f>'Sta. Meteorologi pnk'!G169</f>
        <v>0</v>
      </c>
      <c r="AJ156" s="131">
        <f>'Sta. Meteorologi pnk'!H169</f>
        <v>0</v>
      </c>
      <c r="AK156" s="131">
        <f>'Sta. Meteorologi pnk'!I169</f>
        <v>1.5</v>
      </c>
      <c r="AL156" s="131">
        <f>'Sta. Meteorologi pnk'!J169</f>
        <v>2.1</v>
      </c>
      <c r="AM156" s="131">
        <f>'Sta. Meteorologi pnk'!K169</f>
        <v>0.2</v>
      </c>
      <c r="AN156" s="131">
        <f>'Sta. Meteorologi pnk'!L169</f>
        <v>6</v>
      </c>
      <c r="AO156" s="131">
        <f>'Sta. Meteorologi pnk'!M169</f>
        <v>2.9</v>
      </c>
      <c r="AQ156" s="130">
        <v>27</v>
      </c>
      <c r="AR156" s="131">
        <f t="shared" si="220"/>
        <v>0</v>
      </c>
      <c r="AS156" s="131">
        <f t="shared" si="197"/>
        <v>1.4057168204784212</v>
      </c>
      <c r="AT156" s="131">
        <f t="shared" si="198"/>
        <v>6.8284953856473614</v>
      </c>
      <c r="AU156" s="131">
        <f t="shared" si="199"/>
        <v>7.9076372134286848</v>
      </c>
      <c r="AV156" s="131">
        <f t="shared" si="200"/>
        <v>11.874141232729986</v>
      </c>
      <c r="AW156" s="131">
        <f t="shared" si="201"/>
        <v>0</v>
      </c>
      <c r="AX156" s="131">
        <f t="shared" si="202"/>
        <v>0</v>
      </c>
      <c r="AY156" s="131">
        <f t="shared" si="203"/>
        <v>1.6619026496013156</v>
      </c>
      <c r="AZ156" s="131">
        <f t="shared" si="204"/>
        <v>2.7152300684849995</v>
      </c>
      <c r="BA156" s="131">
        <f t="shared" si="205"/>
        <v>1.7542654361726295</v>
      </c>
      <c r="BB156" s="131">
        <f t="shared" si="206"/>
        <v>8.9142476928236807</v>
      </c>
      <c r="BC156" s="131">
        <f t="shared" si="207"/>
        <v>6.1704335219465749</v>
      </c>
      <c r="BE156" s="130">
        <v>27</v>
      </c>
      <c r="BF156" s="131">
        <f t="shared" si="221"/>
        <v>0</v>
      </c>
      <c r="BG156" s="131">
        <f t="shared" si="208"/>
        <v>1.3795967511193679</v>
      </c>
      <c r="BH156" s="131">
        <f t="shared" si="209"/>
        <v>7.612097466418966</v>
      </c>
      <c r="BI156" s="131">
        <f t="shared" si="210"/>
        <v>7.7204433830221362</v>
      </c>
      <c r="BJ156" s="131">
        <f t="shared" si="211"/>
        <v>13.362985186196033</v>
      </c>
      <c r="BK156" s="131">
        <f t="shared" si="212"/>
        <v>0</v>
      </c>
      <c r="BL156" s="131">
        <f t="shared" si="213"/>
        <v>0</v>
      </c>
      <c r="BM156" s="131">
        <f t="shared" si="214"/>
        <v>1.6836693740671935</v>
      </c>
      <c r="BN156" s="131">
        <f t="shared" si="215"/>
        <v>2.7979436214553357</v>
      </c>
      <c r="BO156" s="131">
        <f t="shared" si="216"/>
        <v>1.9632259910450574</v>
      </c>
      <c r="BP156" s="131">
        <f t="shared" si="217"/>
        <v>9.3060487332094848</v>
      </c>
      <c r="BQ156" s="131">
        <f t="shared" si="218"/>
        <v>6.6101213561573084</v>
      </c>
    </row>
    <row r="157" spans="1:69">
      <c r="A157" s="130">
        <v>28</v>
      </c>
      <c r="B157" s="131">
        <f t="shared" si="219"/>
        <v>27.926612679842922</v>
      </c>
      <c r="C157" s="131">
        <f t="shared" si="186"/>
        <v>1.4086129079562673</v>
      </c>
      <c r="D157" s="131">
        <f t="shared" si="187"/>
        <v>0.32854838446874024</v>
      </c>
      <c r="E157" s="131">
        <f t="shared" si="188"/>
        <v>0.32854838446874024</v>
      </c>
      <c r="F157" s="131">
        <f t="shared" si="189"/>
        <v>20.337144998615024</v>
      </c>
      <c r="G157" s="131">
        <f t="shared" si="190"/>
        <v>0.32854838446874024</v>
      </c>
      <c r="H157" s="131">
        <f t="shared" si="191"/>
        <v>0</v>
      </c>
      <c r="I157" s="131">
        <f t="shared" si="192"/>
        <v>3.2854838446874028E-2</v>
      </c>
      <c r="J157" s="131">
        <f t="shared" si="193"/>
        <v>0</v>
      </c>
      <c r="K157" s="131">
        <f t="shared" si="194"/>
        <v>32.265064442018478</v>
      </c>
      <c r="L157" s="131">
        <f t="shared" si="195"/>
        <v>58.301451778469357</v>
      </c>
      <c r="M157" s="131">
        <f t="shared" si="196"/>
        <v>19.328548384468739</v>
      </c>
      <c r="O157" s="130">
        <v>28</v>
      </c>
      <c r="P157" s="131">
        <f>'Stasiun Pontianak Kota'!Q211</f>
        <v>0</v>
      </c>
      <c r="Q157" s="131">
        <f>'Stasiun Pontianak Kota'!R211</f>
        <v>2</v>
      </c>
      <c r="R157" s="131">
        <f>'Stasiun Pontianak Kota'!S211</f>
        <v>0</v>
      </c>
      <c r="S157" s="131">
        <f>'Stasiun Pontianak Kota'!T211</f>
        <v>0</v>
      </c>
      <c r="T157" s="131">
        <f>'Stasiun Pontianak Kota'!U211</f>
        <v>0</v>
      </c>
      <c r="U157" s="131">
        <f>'Stasiun Pontianak Kota'!V211</f>
        <v>0</v>
      </c>
      <c r="V157" s="131">
        <f>'Stasiun Pontianak Kota'!W211</f>
        <v>0</v>
      </c>
      <c r="W157" s="131">
        <f>'Stasiun Pontianak Kota'!X211</f>
        <v>0</v>
      </c>
      <c r="X157" s="131">
        <f>'Stasiun Pontianak Kota'!Y211</f>
        <v>0</v>
      </c>
      <c r="Y157" s="131">
        <f>'Stasiun Pontianak Kota'!Z211</f>
        <v>23</v>
      </c>
      <c r="Z157" s="131">
        <f>'Stasiun Pontianak Kota'!AA211</f>
        <v>79</v>
      </c>
      <c r="AA157" s="131">
        <f>'Stasiun Pontianak Kota'!AB211</f>
        <v>19</v>
      </c>
      <c r="AC157" s="130">
        <v>28</v>
      </c>
      <c r="AD157" s="131">
        <f>'Sta. Meteorologi pnk'!B170</f>
        <v>85</v>
      </c>
      <c r="AE157" s="131">
        <f>'Sta. Meteorologi pnk'!C170</f>
        <v>0.2</v>
      </c>
      <c r="AF157" s="131">
        <f>'Sta. Meteorologi pnk'!D170</f>
        <v>1</v>
      </c>
      <c r="AG157" s="131">
        <f>'Sta. Meteorologi pnk'!E170</f>
        <v>1</v>
      </c>
      <c r="AH157" s="131">
        <f>'Sta. Meteorologi pnk'!F170</f>
        <v>61.9</v>
      </c>
      <c r="AI157" s="131">
        <f>'Sta. Meteorologi pnk'!G170</f>
        <v>1</v>
      </c>
      <c r="AJ157" s="131">
        <f>'Sta. Meteorologi pnk'!H170</f>
        <v>0</v>
      </c>
      <c r="AK157" s="131">
        <f>'Sta. Meteorologi pnk'!I170</f>
        <v>0.1</v>
      </c>
      <c r="AL157" s="131">
        <f>'Sta. Meteorologi pnk'!J170</f>
        <v>0</v>
      </c>
      <c r="AM157" s="131">
        <f>'Sta. Meteorologi pnk'!K170</f>
        <v>51.2</v>
      </c>
      <c r="AN157" s="131">
        <f>'Sta. Meteorologi pnk'!L170</f>
        <v>16</v>
      </c>
      <c r="AO157" s="131">
        <f>'Sta. Meteorologi pnk'!M170</f>
        <v>20</v>
      </c>
      <c r="AQ157" s="130">
        <v>28</v>
      </c>
      <c r="AR157" s="131">
        <f t="shared" si="220"/>
        <v>57.476549567776338</v>
      </c>
      <c r="AS157" s="131">
        <f t="shared" si="197"/>
        <v>0.78284953856473616</v>
      </c>
      <c r="AT157" s="131">
        <f t="shared" si="198"/>
        <v>0.67619470079736876</v>
      </c>
      <c r="AU157" s="131">
        <f t="shared" si="199"/>
        <v>0.67619470079736876</v>
      </c>
      <c r="AV157" s="131">
        <f t="shared" si="200"/>
        <v>41.856451979357125</v>
      </c>
      <c r="AW157" s="131">
        <f t="shared" si="201"/>
        <v>0.67619470079736876</v>
      </c>
      <c r="AX157" s="131">
        <f t="shared" si="202"/>
        <v>0</v>
      </c>
      <c r="AY157" s="131">
        <f t="shared" si="203"/>
        <v>6.7619470079736871E-2</v>
      </c>
      <c r="AZ157" s="131">
        <f t="shared" si="204"/>
        <v>0</v>
      </c>
      <c r="BA157" s="131">
        <f t="shared" si="205"/>
        <v>42.068690562485799</v>
      </c>
      <c r="BB157" s="131">
        <f t="shared" si="206"/>
        <v>36.399733849765767</v>
      </c>
      <c r="BC157" s="131">
        <f t="shared" si="207"/>
        <v>19.676194700797367</v>
      </c>
      <c r="BE157" s="130">
        <v>28</v>
      </c>
      <c r="BF157" s="131">
        <f t="shared" si="221"/>
        <v>53.776206408577096</v>
      </c>
      <c r="BG157" s="131">
        <f t="shared" si="208"/>
        <v>0.86120974664189653</v>
      </c>
      <c r="BH157" s="131">
        <f t="shared" si="209"/>
        <v>0.63266125186561295</v>
      </c>
      <c r="BI157" s="131">
        <f t="shared" si="210"/>
        <v>0.63266125186561295</v>
      </c>
      <c r="BJ157" s="131">
        <f t="shared" si="211"/>
        <v>39.161731490481444</v>
      </c>
      <c r="BK157" s="131">
        <f t="shared" si="212"/>
        <v>0.63266125186561295</v>
      </c>
      <c r="BL157" s="131">
        <f t="shared" si="213"/>
        <v>0</v>
      </c>
      <c r="BM157" s="131">
        <f t="shared" si="214"/>
        <v>6.3266125186561301E-2</v>
      </c>
      <c r="BN157" s="131">
        <f t="shared" si="215"/>
        <v>0</v>
      </c>
      <c r="BO157" s="131">
        <f t="shared" si="216"/>
        <v>40.841047302610292</v>
      </c>
      <c r="BP157" s="131">
        <f t="shared" si="217"/>
        <v>39.142341132466385</v>
      </c>
      <c r="BQ157" s="131">
        <f t="shared" si="218"/>
        <v>19.632661251865613</v>
      </c>
    </row>
    <row r="158" spans="1:69">
      <c r="A158" s="130">
        <v>29</v>
      </c>
      <c r="B158" s="131">
        <f t="shared" si="219"/>
        <v>0.32854838446874024</v>
      </c>
      <c r="C158" s="131">
        <f t="shared" si="186"/>
        <v>20.535887116484446</v>
      </c>
      <c r="D158" s="131">
        <f t="shared" si="187"/>
        <v>17.457742003812751</v>
      </c>
      <c r="E158" s="131">
        <f t="shared" si="188"/>
        <v>0</v>
      </c>
      <c r="F158" s="131">
        <f t="shared" si="189"/>
        <v>2.981500008146905</v>
      </c>
      <c r="G158" s="131">
        <f t="shared" si="190"/>
        <v>0</v>
      </c>
      <c r="H158" s="131">
        <f t="shared" si="191"/>
        <v>0.91993547651247276</v>
      </c>
      <c r="I158" s="131">
        <f t="shared" si="192"/>
        <v>0</v>
      </c>
      <c r="J158" s="131">
        <f t="shared" si="193"/>
        <v>0</v>
      </c>
      <c r="K158" s="131">
        <f t="shared" si="194"/>
        <v>0.32854838446874024</v>
      </c>
      <c r="L158" s="131">
        <f t="shared" si="195"/>
        <v>19.47209685040653</v>
      </c>
      <c r="M158" s="131">
        <f t="shared" si="196"/>
        <v>4.2711289980936229</v>
      </c>
      <c r="O158" s="130">
        <v>29</v>
      </c>
      <c r="P158" s="131">
        <f>'Stasiun Pontianak Kota'!Q212</f>
        <v>0</v>
      </c>
      <c r="Q158" s="131">
        <f>'Stasiun Pontianak Kota'!R212</f>
        <v>23</v>
      </c>
      <c r="R158" s="131">
        <f>'Stasiun Pontianak Kota'!S212</f>
        <v>26</v>
      </c>
      <c r="S158" s="131">
        <f>'Stasiun Pontianak Kota'!T212</f>
        <v>0</v>
      </c>
      <c r="T158" s="131">
        <f>'Stasiun Pontianak Kota'!U212</f>
        <v>4</v>
      </c>
      <c r="U158" s="131">
        <f>'Stasiun Pontianak Kota'!V212</f>
        <v>0</v>
      </c>
      <c r="V158" s="131">
        <f>'Stasiun Pontianak Kota'!W212</f>
        <v>0</v>
      </c>
      <c r="W158" s="131">
        <f>'Stasiun Pontianak Kota'!X212</f>
        <v>0</v>
      </c>
      <c r="X158" s="131">
        <f>'Stasiun Pontianak Kota'!Y212</f>
        <v>0</v>
      </c>
      <c r="Y158" s="131">
        <f>'Stasiun Pontianak Kota'!Z212</f>
        <v>0</v>
      </c>
      <c r="Z158" s="131">
        <f>'Stasiun Pontianak Kota'!AA212</f>
        <v>29</v>
      </c>
      <c r="AA158" s="131">
        <f>'Stasiun Pontianak Kota'!AB212</f>
        <v>0</v>
      </c>
      <c r="AC158" s="130">
        <v>29</v>
      </c>
      <c r="AD158" s="131">
        <f>'Sta. Meteorologi pnk'!B171</f>
        <v>1</v>
      </c>
      <c r="AE158" s="131">
        <f>'Sta. Meteorologi pnk'!C171</f>
        <v>15.5</v>
      </c>
      <c r="AF158" s="131">
        <f>'Sta. Meteorologi pnk'!D171</f>
        <v>0</v>
      </c>
      <c r="AG158" s="131">
        <f>'Sta. Meteorologi pnk'!E171</f>
        <v>0</v>
      </c>
      <c r="AH158" s="131">
        <f>'Sta. Meteorologi pnk'!F171</f>
        <v>0.9</v>
      </c>
      <c r="AI158" s="131">
        <f>'Sta. Meteorologi pnk'!G171</f>
        <v>0</v>
      </c>
      <c r="AJ158" s="131">
        <f>'Sta. Meteorologi pnk'!H171</f>
        <v>2.8</v>
      </c>
      <c r="AK158" s="131">
        <f>'Sta. Meteorologi pnk'!I171</f>
        <v>0</v>
      </c>
      <c r="AL158" s="131">
        <f>'Sta. Meteorologi pnk'!J171</f>
        <v>0</v>
      </c>
      <c r="AM158" s="131">
        <f>'Sta. Meteorologi pnk'!K171</f>
        <v>1</v>
      </c>
      <c r="AN158" s="131">
        <f>'Sta. Meteorologi pnk'!L171</f>
        <v>0</v>
      </c>
      <c r="AO158" s="131">
        <f>'Sta. Meteorologi pnk'!M171</f>
        <v>13</v>
      </c>
      <c r="AQ158" s="130">
        <v>29</v>
      </c>
      <c r="AR158" s="131">
        <f t="shared" si="220"/>
        <v>0.67619470079736876</v>
      </c>
      <c r="AS158" s="131">
        <f t="shared" si="197"/>
        <v>17.928539744019734</v>
      </c>
      <c r="AT158" s="131">
        <f t="shared" si="198"/>
        <v>8.4189377792684112</v>
      </c>
      <c r="AU158" s="131">
        <f t="shared" si="199"/>
        <v>0</v>
      </c>
      <c r="AV158" s="131">
        <f t="shared" si="200"/>
        <v>1.9037964275281565</v>
      </c>
      <c r="AW158" s="131">
        <f t="shared" si="201"/>
        <v>0</v>
      </c>
      <c r="AX158" s="131">
        <f t="shared" si="202"/>
        <v>1.8933451622326323</v>
      </c>
      <c r="AY158" s="131">
        <f t="shared" si="203"/>
        <v>0</v>
      </c>
      <c r="AZ158" s="131">
        <f t="shared" si="204"/>
        <v>0</v>
      </c>
      <c r="BA158" s="131">
        <f t="shared" si="205"/>
        <v>0.67619470079736876</v>
      </c>
      <c r="BB158" s="131">
        <f t="shared" si="206"/>
        <v>9.3903536768763036</v>
      </c>
      <c r="BC158" s="131">
        <f t="shared" si="207"/>
        <v>8.7905311103657926</v>
      </c>
      <c r="BE158" s="130">
        <v>29</v>
      </c>
      <c r="BF158" s="131">
        <f t="shared" si="221"/>
        <v>0.63266125186561295</v>
      </c>
      <c r="BG158" s="131">
        <f t="shared" si="208"/>
        <v>18.255040611007903</v>
      </c>
      <c r="BH158" s="131">
        <f t="shared" si="209"/>
        <v>9.5508074514940624</v>
      </c>
      <c r="BI158" s="131">
        <f t="shared" si="210"/>
        <v>0</v>
      </c>
      <c r="BJ158" s="131">
        <f t="shared" si="211"/>
        <v>2.0387501192165995</v>
      </c>
      <c r="BK158" s="131">
        <f t="shared" si="212"/>
        <v>0</v>
      </c>
      <c r="BL158" s="131">
        <f t="shared" si="213"/>
        <v>1.7714515052237163</v>
      </c>
      <c r="BM158" s="131">
        <f t="shared" si="214"/>
        <v>0</v>
      </c>
      <c r="BN158" s="131">
        <f t="shared" si="215"/>
        <v>0</v>
      </c>
      <c r="BO158" s="131">
        <f t="shared" si="216"/>
        <v>0.63266125186561295</v>
      </c>
      <c r="BP158" s="131">
        <f t="shared" si="217"/>
        <v>10.652823695897222</v>
      </c>
      <c r="BQ158" s="131">
        <f t="shared" si="218"/>
        <v>8.2245962742529688</v>
      </c>
    </row>
    <row r="159" spans="1:69">
      <c r="A159" s="130">
        <v>30</v>
      </c>
      <c r="B159" s="131">
        <f t="shared" si="219"/>
        <v>1.0842096687468428</v>
      </c>
      <c r="C159" s="131">
        <f t="shared" si="186"/>
        <v>0</v>
      </c>
      <c r="D159" s="131">
        <f t="shared" si="187"/>
        <v>28.400322617437631</v>
      </c>
      <c r="E159" s="131">
        <f t="shared" si="188"/>
        <v>26.059645120818601</v>
      </c>
      <c r="F159" s="131">
        <f t="shared" si="189"/>
        <v>0.72280644583122866</v>
      </c>
      <c r="G159" s="131">
        <f t="shared" si="190"/>
        <v>0</v>
      </c>
      <c r="H159" s="131">
        <f t="shared" si="191"/>
        <v>8.2956935460218659</v>
      </c>
      <c r="I159" s="131">
        <f t="shared" si="192"/>
        <v>0</v>
      </c>
      <c r="J159" s="131">
        <f t="shared" si="193"/>
        <v>0</v>
      </c>
      <c r="K159" s="131">
        <f t="shared" si="194"/>
        <v>10.49282257670311</v>
      </c>
      <c r="L159" s="131">
        <f t="shared" si="195"/>
        <v>34.25040327179704</v>
      </c>
      <c r="M159" s="131">
        <f t="shared" si="196"/>
        <v>0</v>
      </c>
      <c r="O159" s="130">
        <v>30</v>
      </c>
      <c r="P159" s="131">
        <f>'Stasiun Pontianak Kota'!Q213</f>
        <v>0</v>
      </c>
      <c r="Q159" s="131">
        <f>'Stasiun Pontianak Kota'!R213</f>
        <v>0</v>
      </c>
      <c r="R159" s="131">
        <f>'Stasiun Pontianak Kota'!S213</f>
        <v>33</v>
      </c>
      <c r="S159" s="131">
        <f>'Stasiun Pontianak Kota'!T213</f>
        <v>21</v>
      </c>
      <c r="T159" s="131">
        <f>'Stasiun Pontianak Kota'!U213</f>
        <v>0</v>
      </c>
      <c r="U159" s="131">
        <f>'Stasiun Pontianak Kota'!V213</f>
        <v>0</v>
      </c>
      <c r="V159" s="131">
        <f>'Stasiun Pontianak Kota'!W213</f>
        <v>8</v>
      </c>
      <c r="W159" s="131">
        <f>'Stasiun Pontianak Kota'!X213</f>
        <v>0</v>
      </c>
      <c r="X159" s="131">
        <f>'Stasiun Pontianak Kota'!Y213</f>
        <v>0</v>
      </c>
      <c r="Y159" s="131">
        <f>'Stasiun Pontianak Kota'!Z213</f>
        <v>10</v>
      </c>
      <c r="Z159" s="131">
        <f>'Stasiun Pontianak Kota'!AA213</f>
        <v>40</v>
      </c>
      <c r="AA159" s="131">
        <f>'Stasiun Pontianak Kota'!AB213</f>
        <v>0</v>
      </c>
      <c r="AC159" s="130">
        <v>30</v>
      </c>
      <c r="AD159" s="131">
        <f>'Sta. Meteorologi pnk'!B172</f>
        <v>3.3</v>
      </c>
      <c r="AE159" s="131">
        <f>'Sta. Meteorologi pnk'!C172</f>
        <v>0</v>
      </c>
      <c r="AF159" s="131">
        <f>'Sta. Meteorologi pnk'!D172</f>
        <v>19</v>
      </c>
      <c r="AG159" s="131">
        <f>'Sta. Meteorologi pnk'!E172</f>
        <v>36.4</v>
      </c>
      <c r="AH159" s="131">
        <f>'Sta. Meteorologi pnk'!F172</f>
        <v>2.2000000000000002</v>
      </c>
      <c r="AI159" s="131">
        <f>'Sta. Meteorologi pnk'!G172</f>
        <v>0</v>
      </c>
      <c r="AJ159" s="131">
        <f>'Sta. Meteorologi pnk'!H172</f>
        <v>8.9</v>
      </c>
      <c r="AK159" s="131">
        <f>'Sta. Meteorologi pnk'!I172</f>
        <v>0</v>
      </c>
      <c r="AL159" s="131">
        <f>'Sta. Meteorologi pnk'!J172</f>
        <v>0</v>
      </c>
      <c r="AM159" s="131">
        <f>'Sta. Meteorologi pnk'!K172</f>
        <v>11.5</v>
      </c>
      <c r="AN159" s="131">
        <f>'Sta. Meteorologi pnk'!L172</f>
        <v>22.5</v>
      </c>
      <c r="AO159" s="131">
        <f>'Sta. Meteorologi pnk'!M172</f>
        <v>0</v>
      </c>
      <c r="AQ159" s="130">
        <v>30</v>
      </c>
      <c r="AR159" s="131">
        <f t="shared" si="220"/>
        <v>2.2314425126313169</v>
      </c>
      <c r="AS159" s="131">
        <f t="shared" si="197"/>
        <v>0</v>
      </c>
      <c r="AT159" s="131">
        <f t="shared" si="198"/>
        <v>23.533274188836835</v>
      </c>
      <c r="AU159" s="131">
        <f t="shared" si="199"/>
        <v>31.413398392279476</v>
      </c>
      <c r="AV159" s="131">
        <f t="shared" si="200"/>
        <v>1.4876283417542113</v>
      </c>
      <c r="AW159" s="131">
        <f t="shared" si="201"/>
        <v>0</v>
      </c>
      <c r="AX159" s="131">
        <f t="shared" si="202"/>
        <v>8.6085752307176318</v>
      </c>
      <c r="AY159" s="131">
        <f t="shared" si="203"/>
        <v>0</v>
      </c>
      <c r="AZ159" s="131">
        <f t="shared" si="204"/>
        <v>0</v>
      </c>
      <c r="BA159" s="131">
        <f t="shared" si="205"/>
        <v>11.014292051196051</v>
      </c>
      <c r="BB159" s="131">
        <f t="shared" si="206"/>
        <v>28.166592736046045</v>
      </c>
      <c r="BC159" s="131">
        <f t="shared" si="207"/>
        <v>0</v>
      </c>
      <c r="BE159" s="130">
        <v>30</v>
      </c>
      <c r="BF159" s="131">
        <f t="shared" si="221"/>
        <v>2.0877821311565228</v>
      </c>
      <c r="BG159" s="131">
        <f t="shared" si="208"/>
        <v>0</v>
      </c>
      <c r="BH159" s="131">
        <f t="shared" si="209"/>
        <v>24.142742473881412</v>
      </c>
      <c r="BI159" s="131">
        <f t="shared" si="210"/>
        <v>30.742983278730438</v>
      </c>
      <c r="BJ159" s="131">
        <f t="shared" si="211"/>
        <v>1.3918547541043487</v>
      </c>
      <c r="BK159" s="131">
        <f t="shared" si="212"/>
        <v>0</v>
      </c>
      <c r="BL159" s="131">
        <f t="shared" si="213"/>
        <v>8.5693951266790513</v>
      </c>
      <c r="BM159" s="131">
        <f t="shared" si="214"/>
        <v>0</v>
      </c>
      <c r="BN159" s="131">
        <f t="shared" si="215"/>
        <v>0</v>
      </c>
      <c r="BO159" s="131">
        <f t="shared" si="216"/>
        <v>10.948991877798418</v>
      </c>
      <c r="BP159" s="131">
        <f t="shared" si="217"/>
        <v>28.928428092351773</v>
      </c>
      <c r="BQ159" s="131">
        <f t="shared" si="218"/>
        <v>0</v>
      </c>
    </row>
    <row r="160" spans="1:69" ht="15.75" thickBot="1">
      <c r="A160" s="133">
        <v>31</v>
      </c>
      <c r="B160" s="131">
        <f t="shared" si="219"/>
        <v>1.5770322454499532</v>
      </c>
      <c r="C160" s="131">
        <f t="shared" si="186"/>
        <v>0</v>
      </c>
      <c r="D160" s="131">
        <f t="shared" si="187"/>
        <v>0</v>
      </c>
      <c r="E160" s="131">
        <f t="shared" si="188"/>
        <v>0</v>
      </c>
      <c r="F160" s="131">
        <f t="shared" si="189"/>
        <v>12.50717742329689</v>
      </c>
      <c r="G160" s="131">
        <f t="shared" si="190"/>
        <v>0</v>
      </c>
      <c r="H160" s="131">
        <f t="shared" si="191"/>
        <v>3.7783064213905133</v>
      </c>
      <c r="I160" s="131">
        <f t="shared" si="192"/>
        <v>9.3307741189122222</v>
      </c>
      <c r="J160" s="131">
        <f t="shared" si="193"/>
        <v>0</v>
      </c>
      <c r="K160" s="131">
        <f t="shared" si="194"/>
        <v>0.82137096117185071</v>
      </c>
      <c r="L160" s="131">
        <f t="shared" si="195"/>
        <v>0</v>
      </c>
      <c r="M160" s="131">
        <f t="shared" si="196"/>
        <v>0</v>
      </c>
      <c r="O160" s="133">
        <v>31</v>
      </c>
      <c r="P160" s="131">
        <f>'Stasiun Pontianak Kota'!Q214</f>
        <v>0</v>
      </c>
      <c r="Q160" s="131">
        <f>'Stasiun Pontianak Kota'!R214</f>
        <v>0</v>
      </c>
      <c r="R160" s="131">
        <f>'Stasiun Pontianak Kota'!S214</f>
        <v>0</v>
      </c>
      <c r="S160" s="131">
        <f>'Stasiun Pontianak Kota'!T214</f>
        <v>0</v>
      </c>
      <c r="T160" s="131">
        <f>'Stasiun Pontianak Kota'!U214</f>
        <v>13</v>
      </c>
      <c r="U160" s="131">
        <f>'Stasiun Pontianak Kota'!V214</f>
        <v>0</v>
      </c>
      <c r="V160" s="131">
        <f>'Stasiun Pontianak Kota'!W214</f>
        <v>0</v>
      </c>
      <c r="W160" s="131">
        <f>'Stasiun Pontianak Kota'!X214</f>
        <v>0</v>
      </c>
      <c r="X160" s="131">
        <f>'Stasiun Pontianak Kota'!Y214</f>
        <v>0</v>
      </c>
      <c r="Y160" s="131">
        <f>'Stasiun Pontianak Kota'!Z214</f>
        <v>0</v>
      </c>
      <c r="Z160" s="131">
        <f>'Stasiun Pontianak Kota'!AA214</f>
        <v>0</v>
      </c>
      <c r="AA160" s="131">
        <f>'Stasiun Pontianak Kota'!AB214</f>
        <v>0</v>
      </c>
      <c r="AC160" s="133">
        <v>31</v>
      </c>
      <c r="AD160" s="131">
        <f>'Sta. Meteorologi pnk'!B173</f>
        <v>4.8</v>
      </c>
      <c r="AE160" s="131">
        <f>'Sta. Meteorologi pnk'!C173</f>
        <v>0</v>
      </c>
      <c r="AF160" s="131">
        <f>'Sta. Meteorologi pnk'!D173</f>
        <v>0</v>
      </c>
      <c r="AG160" s="131">
        <f>'Sta. Meteorologi pnk'!E173</f>
        <v>0</v>
      </c>
      <c r="AH160" s="131">
        <f>'Sta. Meteorologi pnk'!F173</f>
        <v>11.5</v>
      </c>
      <c r="AI160" s="131">
        <f>'Sta. Meteorologi pnk'!G173</f>
        <v>0</v>
      </c>
      <c r="AJ160" s="131">
        <f>'Sta. Meteorologi pnk'!H173</f>
        <v>11.5</v>
      </c>
      <c r="AK160" s="131">
        <f>'Sta. Meteorologi pnk'!I173</f>
        <v>28.4</v>
      </c>
      <c r="AL160" s="131">
        <f>'Sta. Meteorologi pnk'!J173</f>
        <v>0</v>
      </c>
      <c r="AM160" s="131">
        <f>'Sta. Meteorologi pnk'!K173</f>
        <v>2.5</v>
      </c>
      <c r="AN160" s="131">
        <f>'Sta. Meteorologi pnk'!L173</f>
        <v>0</v>
      </c>
      <c r="AO160" s="131">
        <f>'Sta. Meteorologi pnk'!M173</f>
        <v>0</v>
      </c>
      <c r="AQ160" s="133">
        <v>31</v>
      </c>
      <c r="AR160" s="131">
        <f t="shared" si="220"/>
        <v>3.2457345638273698</v>
      </c>
      <c r="AS160" s="131">
        <f t="shared" si="197"/>
        <v>0</v>
      </c>
      <c r="AT160" s="131">
        <f t="shared" si="198"/>
        <v>0</v>
      </c>
      <c r="AU160" s="131">
        <f t="shared" si="199"/>
        <v>0</v>
      </c>
      <c r="AV160" s="131">
        <f t="shared" si="200"/>
        <v>11.985707948803945</v>
      </c>
      <c r="AW160" s="131">
        <f t="shared" si="201"/>
        <v>0</v>
      </c>
      <c r="AX160" s="131">
        <f t="shared" si="202"/>
        <v>7.7762390591697397</v>
      </c>
      <c r="AY160" s="131">
        <f t="shared" si="203"/>
        <v>19.203929502645273</v>
      </c>
      <c r="AZ160" s="131">
        <f t="shared" si="204"/>
        <v>0</v>
      </c>
      <c r="BA160" s="131">
        <f t="shared" si="205"/>
        <v>1.6904867519934219</v>
      </c>
      <c r="BB160" s="131">
        <f t="shared" si="206"/>
        <v>0</v>
      </c>
      <c r="BC160" s="131">
        <f t="shared" si="207"/>
        <v>0</v>
      </c>
      <c r="BE160" s="133">
        <v>31</v>
      </c>
      <c r="BF160" s="131">
        <f t="shared" si="221"/>
        <v>3.036774008954942</v>
      </c>
      <c r="BG160" s="131">
        <f t="shared" si="208"/>
        <v>0</v>
      </c>
      <c r="BH160" s="131">
        <f t="shared" si="209"/>
        <v>0</v>
      </c>
      <c r="BI160" s="131">
        <f t="shared" si="210"/>
        <v>0</v>
      </c>
      <c r="BJ160" s="131">
        <f t="shared" si="211"/>
        <v>12.05100812220158</v>
      </c>
      <c r="BK160" s="131">
        <f t="shared" si="212"/>
        <v>0</v>
      </c>
      <c r="BL160" s="131">
        <f t="shared" si="213"/>
        <v>7.2756043964545487</v>
      </c>
      <c r="BM160" s="131">
        <f t="shared" si="214"/>
        <v>17.967579552983409</v>
      </c>
      <c r="BN160" s="131">
        <f t="shared" si="215"/>
        <v>0</v>
      </c>
      <c r="BO160" s="131">
        <f t="shared" si="216"/>
        <v>1.5816531296640326</v>
      </c>
      <c r="BP160" s="131">
        <f t="shared" si="217"/>
        <v>0</v>
      </c>
      <c r="BQ160" s="131">
        <f t="shared" si="218"/>
        <v>0</v>
      </c>
    </row>
    <row r="161" spans="1:70">
      <c r="A161" s="135" t="s">
        <v>28</v>
      </c>
      <c r="B161" s="136">
        <f>SUM(B130:B160)</f>
        <v>560.16719404298306</v>
      </c>
      <c r="C161" s="136">
        <f t="shared" ref="C161:M161" si="222">SUM(C130:C160)</f>
        <v>322.72695159109054</v>
      </c>
      <c r="D161" s="136">
        <f t="shared" si="222"/>
        <v>246.25070959542464</v>
      </c>
      <c r="E161" s="136">
        <f t="shared" si="222"/>
        <v>306.64911280204649</v>
      </c>
      <c r="F161" s="136">
        <f t="shared" si="222"/>
        <v>433.86443550095299</v>
      </c>
      <c r="G161" s="136">
        <f t="shared" si="222"/>
        <v>260.37606439313703</v>
      </c>
      <c r="H161" s="136">
        <f t="shared" si="222"/>
        <v>300.74514525931602</v>
      </c>
      <c r="I161" s="136">
        <f t="shared" si="222"/>
        <v>19.998080589184163</v>
      </c>
      <c r="J161" s="136">
        <f t="shared" si="222"/>
        <v>181.1789353624558</v>
      </c>
      <c r="K161" s="136">
        <f t="shared" si="222"/>
        <v>224.9588548710345</v>
      </c>
      <c r="L161" s="136">
        <f t="shared" si="222"/>
        <v>404.71966174050465</v>
      </c>
      <c r="M161" s="136">
        <f t="shared" si="222"/>
        <v>287.26920958727771</v>
      </c>
      <c r="N161" s="137">
        <f>COUNTIF(B130:M160,"&lt;0,1")-COUNTIF(B130:M160,"&lt;=0")</f>
        <v>-123</v>
      </c>
      <c r="O161" s="135" t="s">
        <v>28</v>
      </c>
      <c r="P161" s="136">
        <f>SUM(P130:P160)</f>
        <v>622</v>
      </c>
      <c r="Q161" s="136">
        <f t="shared" ref="Q161:AA161" si="223">SUM(Q130:Q160)</f>
        <v>320</v>
      </c>
      <c r="R161" s="136">
        <f t="shared" si="223"/>
        <v>236</v>
      </c>
      <c r="S161" s="136">
        <f t="shared" si="223"/>
        <v>294</v>
      </c>
      <c r="T161" s="136">
        <f t="shared" si="223"/>
        <v>436</v>
      </c>
      <c r="U161" s="136">
        <f t="shared" si="223"/>
        <v>245</v>
      </c>
      <c r="V161" s="136">
        <f t="shared" si="223"/>
        <v>313</v>
      </c>
      <c r="W161" s="136">
        <f t="shared" si="223"/>
        <v>13</v>
      </c>
      <c r="X161" s="136">
        <f t="shared" si="223"/>
        <v>166</v>
      </c>
      <c r="Y161" s="136">
        <f t="shared" si="223"/>
        <v>229</v>
      </c>
      <c r="Z161" s="136">
        <f t="shared" si="223"/>
        <v>461</v>
      </c>
      <c r="AA161" s="136">
        <f t="shared" si="223"/>
        <v>276</v>
      </c>
      <c r="AB161" s="137">
        <f>COUNTIF(P130:AA160,"&lt;0,1")-COUNTIF(P130:AA160,"&lt;=0")</f>
        <v>-189</v>
      </c>
      <c r="AC161" s="135" t="s">
        <v>28</v>
      </c>
      <c r="AD161" s="136">
        <f>SUM(AD130:AD160)</f>
        <v>433.79999999999995</v>
      </c>
      <c r="AE161" s="136">
        <f t="shared" ref="AE161:AO161" si="224">SUM(AE130:AE160)</f>
        <v>328.29999999999995</v>
      </c>
      <c r="AF161" s="136">
        <f t="shared" si="224"/>
        <v>267.19999999999993</v>
      </c>
      <c r="AG161" s="136">
        <f t="shared" si="224"/>
        <v>332.5</v>
      </c>
      <c r="AH161" s="136">
        <f t="shared" si="224"/>
        <v>429.5</v>
      </c>
      <c r="AI161" s="136">
        <f t="shared" si="224"/>
        <v>291.79999999999995</v>
      </c>
      <c r="AJ161" s="136">
        <f t="shared" si="224"/>
        <v>275.7</v>
      </c>
      <c r="AK161" s="136">
        <f t="shared" si="224"/>
        <v>34.299999999999997</v>
      </c>
      <c r="AL161" s="136">
        <f t="shared" si="224"/>
        <v>212.2</v>
      </c>
      <c r="AM161" s="136">
        <f t="shared" si="224"/>
        <v>216.7</v>
      </c>
      <c r="AN161" s="136">
        <f t="shared" si="224"/>
        <v>289.7</v>
      </c>
      <c r="AO161" s="136">
        <f t="shared" si="224"/>
        <v>310.29999999999995</v>
      </c>
      <c r="AP161" s="137">
        <f>COUNTIF(AD130:AO160,"&lt;0,1")-COUNTIF(AD130:AO160,"&lt;=0")</f>
        <v>-140</v>
      </c>
      <c r="AQ161" s="135" t="s">
        <v>28</v>
      </c>
      <c r="AR161" s="136">
        <f>SUM(AR130:AR160)</f>
        <v>494.74015730993523</v>
      </c>
      <c r="AS161" s="136">
        <f t="shared" ref="AS161:BC161" si="225">SUM(AS130:AS160)</f>
        <v>325.61241601661817</v>
      </c>
      <c r="AT161" s="136">
        <f t="shared" si="225"/>
        <v>257.09727466487794</v>
      </c>
      <c r="AU161" s="136">
        <f t="shared" si="225"/>
        <v>320.03349598069866</v>
      </c>
      <c r="AV161" s="136">
        <f t="shared" si="225"/>
        <v>431.6047344448171</v>
      </c>
      <c r="AW161" s="136">
        <f t="shared" si="225"/>
        <v>276.64591199731689</v>
      </c>
      <c r="AX161" s="136">
        <f t="shared" si="225"/>
        <v>287.77793766025809</v>
      </c>
      <c r="AY161" s="136">
        <f t="shared" si="225"/>
        <v>27.402947126983953</v>
      </c>
      <c r="AZ161" s="136">
        <f t="shared" si="225"/>
        <v>197.24019517683843</v>
      </c>
      <c r="BA161" s="136">
        <f t="shared" si="225"/>
        <v>220.68280518019236</v>
      </c>
      <c r="BB161" s="136">
        <f t="shared" si="225"/>
        <v>345.16784775341068</v>
      </c>
      <c r="BC161" s="136">
        <f t="shared" si="225"/>
        <v>299.19347823734972</v>
      </c>
      <c r="BD161" s="137">
        <f>COUNTIF(AR130:BC160,"&lt;0,1")-COUNTIF(AR130:BC160,"&lt;=0")</f>
        <v>-123</v>
      </c>
      <c r="BE161" s="135" t="s">
        <v>28</v>
      </c>
      <c r="BF161" s="136">
        <f>SUM(BF130:BF160)</f>
        <v>502.93315239889159</v>
      </c>
      <c r="BG161" s="136">
        <f t="shared" ref="BG161:BQ161" si="226">SUM(BG130:BG160)</f>
        <v>325.25108839048465</v>
      </c>
      <c r="BH161" s="136">
        <f t="shared" si="226"/>
        <v>255.73903105820713</v>
      </c>
      <c r="BI161" s="136">
        <f t="shared" si="226"/>
        <v>318.35745819682603</v>
      </c>
      <c r="BJ161" s="136">
        <f t="shared" si="226"/>
        <v>431.88770186287354</v>
      </c>
      <c r="BK161" s="136">
        <f t="shared" si="226"/>
        <v>274.60854658731068</v>
      </c>
      <c r="BL161" s="136">
        <f t="shared" si="226"/>
        <v>289.40173530541261</v>
      </c>
      <c r="BM161" s="136">
        <f t="shared" si="226"/>
        <v>26.475684664737557</v>
      </c>
      <c r="BN161" s="136">
        <f t="shared" si="226"/>
        <v>195.22894983619133</v>
      </c>
      <c r="BO161" s="136">
        <f t="shared" si="226"/>
        <v>221.21826660205295</v>
      </c>
      <c r="BP161" s="136">
        <f t="shared" si="226"/>
        <v>352.62512755542048</v>
      </c>
      <c r="BQ161" s="136">
        <f t="shared" si="226"/>
        <v>297.70028093899049</v>
      </c>
      <c r="BR161" s="137">
        <f>COUNTIF(BF130:BQ160,"&lt;0,1")-COUNTIF(BF130:BQ160,"&lt;=0")</f>
        <v>-123</v>
      </c>
    </row>
    <row r="162" spans="1:70">
      <c r="A162" s="138" t="s">
        <v>29</v>
      </c>
      <c r="B162" s="139">
        <f>MAX(B130:B160)</f>
        <v>64.677822495234054</v>
      </c>
      <c r="C162" s="139">
        <f t="shared" ref="C162:M162" si="227">MAX(C130:C160)</f>
        <v>57.065709676893746</v>
      </c>
      <c r="D162" s="139">
        <f t="shared" si="227"/>
        <v>34.312274127059126</v>
      </c>
      <c r="E162" s="139">
        <f t="shared" si="227"/>
        <v>47.683580727681552</v>
      </c>
      <c r="F162" s="139">
        <f t="shared" si="227"/>
        <v>45.658709856125654</v>
      </c>
      <c r="G162" s="139">
        <f t="shared" si="227"/>
        <v>56.014354846593776</v>
      </c>
      <c r="H162" s="139">
        <f t="shared" si="227"/>
        <v>59.827129193619342</v>
      </c>
      <c r="I162" s="139">
        <f t="shared" si="227"/>
        <v>9.3307741189122222</v>
      </c>
      <c r="J162" s="139">
        <f t="shared" si="227"/>
        <v>33.572580776562987</v>
      </c>
      <c r="K162" s="139">
        <f t="shared" si="227"/>
        <v>46.106548482231595</v>
      </c>
      <c r="L162" s="139">
        <f t="shared" si="227"/>
        <v>70.081983934303352</v>
      </c>
      <c r="M162" s="139">
        <f t="shared" si="227"/>
        <v>37.305903247356326</v>
      </c>
      <c r="N162" s="129">
        <f>MAX(B162:M162)</f>
        <v>70.081983934303352</v>
      </c>
      <c r="O162" s="138" t="s">
        <v>29</v>
      </c>
      <c r="P162" s="139">
        <f>MAX(P130:P160)</f>
        <v>85</v>
      </c>
      <c r="Q162" s="139">
        <f t="shared" ref="Q162:AA162" si="228">MAX(Q130:Q160)</f>
        <v>57</v>
      </c>
      <c r="R162" s="139">
        <f t="shared" si="228"/>
        <v>33</v>
      </c>
      <c r="S162" s="139">
        <f t="shared" si="228"/>
        <v>58</v>
      </c>
      <c r="T162" s="139">
        <f t="shared" si="228"/>
        <v>68</v>
      </c>
      <c r="U162" s="139">
        <f t="shared" si="228"/>
        <v>57</v>
      </c>
      <c r="V162" s="139">
        <f t="shared" si="228"/>
        <v>80</v>
      </c>
      <c r="W162" s="139">
        <f t="shared" si="228"/>
        <v>6</v>
      </c>
      <c r="X162" s="139">
        <f t="shared" si="228"/>
        <v>50</v>
      </c>
      <c r="Y162" s="139">
        <f t="shared" si="228"/>
        <v>58</v>
      </c>
      <c r="Z162" s="139">
        <f t="shared" si="228"/>
        <v>79</v>
      </c>
      <c r="AA162" s="139">
        <f t="shared" si="228"/>
        <v>40</v>
      </c>
      <c r="AB162" s="129">
        <f>MAX(P162:AA162)</f>
        <v>85</v>
      </c>
      <c r="AC162" s="138" t="s">
        <v>29</v>
      </c>
      <c r="AD162" s="139">
        <f>MAX(AD130:AD160)</f>
        <v>86.5</v>
      </c>
      <c r="AE162" s="139">
        <f t="shared" ref="AE162:AO162" si="229">MAX(AE130:AE160)</f>
        <v>57.2</v>
      </c>
      <c r="AF162" s="139">
        <f t="shared" si="229"/>
        <v>51.3</v>
      </c>
      <c r="AG162" s="139">
        <f t="shared" si="229"/>
        <v>59.4</v>
      </c>
      <c r="AH162" s="139">
        <f t="shared" si="229"/>
        <v>61.9</v>
      </c>
      <c r="AI162" s="139">
        <f t="shared" si="229"/>
        <v>71.099999999999994</v>
      </c>
      <c r="AJ162" s="139">
        <f t="shared" si="229"/>
        <v>57.2</v>
      </c>
      <c r="AK162" s="139">
        <f t="shared" si="229"/>
        <v>28.4</v>
      </c>
      <c r="AL162" s="139">
        <f t="shared" si="229"/>
        <v>32.299999999999997</v>
      </c>
      <c r="AM162" s="139">
        <f t="shared" si="229"/>
        <v>51.2</v>
      </c>
      <c r="AN162" s="139">
        <f t="shared" si="229"/>
        <v>53.9</v>
      </c>
      <c r="AO162" s="139">
        <f t="shared" si="229"/>
        <v>47.4</v>
      </c>
      <c r="AQ162" s="138" t="s">
        <v>29</v>
      </c>
      <c r="AR162" s="139">
        <f>MAX(AR130:AR160)</f>
        <v>75.976327775914484</v>
      </c>
      <c r="AS162" s="139">
        <f t="shared" ref="AS162:BC162" si="230">MAX(AS130:AS160)</f>
        <v>57.135238940159468</v>
      </c>
      <c r="AT162" s="139">
        <f t="shared" si="230"/>
        <v>43.107725930173423</v>
      </c>
      <c r="AU162" s="139">
        <f t="shared" si="230"/>
        <v>53.118177195468952</v>
      </c>
      <c r="AV162" s="139">
        <f t="shared" si="230"/>
        <v>41.856451979357125</v>
      </c>
      <c r="AW162" s="139">
        <f t="shared" si="230"/>
        <v>54.971415897607891</v>
      </c>
      <c r="AX162" s="139">
        <f t="shared" si="230"/>
        <v>52.278159452120001</v>
      </c>
      <c r="AY162" s="139">
        <f t="shared" si="230"/>
        <v>19.203929502645273</v>
      </c>
      <c r="AZ162" s="139">
        <f t="shared" si="230"/>
        <v>25.587672700126578</v>
      </c>
      <c r="BA162" s="139">
        <f t="shared" si="230"/>
        <v>42.068690562485799</v>
      </c>
      <c r="BB162" s="139">
        <f t="shared" si="230"/>
        <v>61.703707710783405</v>
      </c>
      <c r="BC162" s="139">
        <f t="shared" si="230"/>
        <v>41.76578779387421</v>
      </c>
      <c r="BE162" s="138" t="s">
        <v>29</v>
      </c>
      <c r="BF162" s="139">
        <f>MAX(BF130:BF160)</f>
        <v>74.561490685632421</v>
      </c>
      <c r="BG162" s="139">
        <f t="shared" ref="BG162:BQ162" si="231">MAX(BG130:BG160)</f>
        <v>57.126532250373131</v>
      </c>
      <c r="BH162" s="139">
        <f t="shared" si="231"/>
        <v>42.006329672200003</v>
      </c>
      <c r="BI162" s="139">
        <f t="shared" si="231"/>
        <v>52.273628286192896</v>
      </c>
      <c r="BJ162" s="139">
        <f t="shared" si="231"/>
        <v>40.669435260820556</v>
      </c>
      <c r="BK162" s="139">
        <f t="shared" si="231"/>
        <v>55.102016244403167</v>
      </c>
      <c r="BL162" s="139">
        <f t="shared" si="231"/>
        <v>51.616451028357311</v>
      </c>
      <c r="BM162" s="139">
        <f t="shared" si="231"/>
        <v>17.967579552983409</v>
      </c>
      <c r="BN162" s="139">
        <f t="shared" si="231"/>
        <v>25.034797898693288</v>
      </c>
      <c r="BO162" s="139">
        <f t="shared" si="231"/>
        <v>40.841047302610292</v>
      </c>
      <c r="BP162" s="139">
        <f t="shared" si="231"/>
        <v>62.752863830038727</v>
      </c>
      <c r="BQ162" s="139">
        <f t="shared" si="231"/>
        <v>41.008305782461662</v>
      </c>
      <c r="BR162" s="129">
        <f>MAX(BF162:BQ162)</f>
        <v>74.561490685632421</v>
      </c>
    </row>
    <row r="163" spans="1:70">
      <c r="A163" s="130" t="s">
        <v>30</v>
      </c>
      <c r="B163" s="131">
        <f>SUM(B130:B144)</f>
        <v>311.68841998924609</v>
      </c>
      <c r="C163" s="131">
        <f t="shared" ref="C163:M163" si="232">SUM(C130:C144)</f>
        <v>183.36332263373143</v>
      </c>
      <c r="D163" s="131">
        <f t="shared" si="232"/>
        <v>161.00667720333041</v>
      </c>
      <c r="E163" s="131">
        <f t="shared" si="232"/>
        <v>76.712903068124419</v>
      </c>
      <c r="F163" s="131">
        <f t="shared" si="232"/>
        <v>257.84754859628822</v>
      </c>
      <c r="G163" s="131">
        <f t="shared" si="232"/>
        <v>90.893145194140743</v>
      </c>
      <c r="H163" s="131">
        <f t="shared" si="232"/>
        <v>12.981500008146906</v>
      </c>
      <c r="I163" s="131">
        <f t="shared" si="232"/>
        <v>5.4373226011438254</v>
      </c>
      <c r="J163" s="131">
        <f t="shared" si="232"/>
        <v>130.31227412705911</v>
      </c>
      <c r="K163" s="131">
        <f t="shared" si="232"/>
        <v>105.60958076026917</v>
      </c>
      <c r="L163" s="131">
        <f t="shared" si="232"/>
        <v>186.85645153406216</v>
      </c>
      <c r="M163" s="131">
        <f t="shared" si="232"/>
        <v>185.24433871572188</v>
      </c>
      <c r="O163" s="130" t="s">
        <v>30</v>
      </c>
      <c r="P163" s="131">
        <f>SUM(P130:P144)</f>
        <v>391</v>
      </c>
      <c r="Q163" s="131">
        <f t="shared" ref="Q163:AA163" si="233">SUM(Q130:Q144)</f>
        <v>190</v>
      </c>
      <c r="R163" s="131">
        <f t="shared" si="233"/>
        <v>134</v>
      </c>
      <c r="S163" s="131">
        <f t="shared" si="233"/>
        <v>57</v>
      </c>
      <c r="T163" s="131">
        <f t="shared" si="233"/>
        <v>284</v>
      </c>
      <c r="U163" s="131">
        <f t="shared" si="233"/>
        <v>95</v>
      </c>
      <c r="V163" s="131">
        <f t="shared" si="233"/>
        <v>14</v>
      </c>
      <c r="W163" s="131">
        <f t="shared" si="233"/>
        <v>8</v>
      </c>
      <c r="X163" s="131">
        <f t="shared" si="233"/>
        <v>122</v>
      </c>
      <c r="Y163" s="131">
        <f t="shared" si="233"/>
        <v>120</v>
      </c>
      <c r="Z163" s="131">
        <f t="shared" si="233"/>
        <v>177</v>
      </c>
      <c r="AA163" s="131">
        <f t="shared" si="233"/>
        <v>186</v>
      </c>
      <c r="AC163" s="130" t="s">
        <v>30</v>
      </c>
      <c r="AD163" s="131">
        <f>SUM(AD130:AD144)</f>
        <v>149.59999999999997</v>
      </c>
      <c r="AE163" s="131">
        <f t="shared" ref="AE163:AO163" si="234">SUM(AE130:AE144)</f>
        <v>169.8</v>
      </c>
      <c r="AF163" s="131">
        <f t="shared" si="234"/>
        <v>216.19999999999996</v>
      </c>
      <c r="AG163" s="131">
        <f t="shared" si="234"/>
        <v>117</v>
      </c>
      <c r="AH163" s="131">
        <f t="shared" si="234"/>
        <v>204.40000000000003</v>
      </c>
      <c r="AI163" s="131">
        <f t="shared" si="234"/>
        <v>82.5</v>
      </c>
      <c r="AJ163" s="131">
        <f t="shared" si="234"/>
        <v>10.900000000000002</v>
      </c>
      <c r="AK163" s="131">
        <f t="shared" si="234"/>
        <v>0.2</v>
      </c>
      <c r="AL163" s="131">
        <f t="shared" si="234"/>
        <v>147.30000000000001</v>
      </c>
      <c r="AM163" s="131">
        <f t="shared" si="234"/>
        <v>76.199999999999989</v>
      </c>
      <c r="AN163" s="131">
        <f t="shared" si="234"/>
        <v>207</v>
      </c>
      <c r="AO163" s="131">
        <f t="shared" si="234"/>
        <v>183.7</v>
      </c>
      <c r="AQ163" s="130" t="s">
        <v>30</v>
      </c>
      <c r="AR163" s="131">
        <f>SUM(AR130:AR144)</f>
        <v>227.76659922751517</v>
      </c>
      <c r="AS163" s="131">
        <f t="shared" ref="AS163:BC163" si="235">SUM(AS130:AS144)</f>
        <v>176.34086704389316</v>
      </c>
      <c r="AT163" s="131">
        <f t="shared" si="235"/>
        <v>189.58320440554374</v>
      </c>
      <c r="AU163" s="131">
        <f t="shared" si="235"/>
        <v>97.571682047842103</v>
      </c>
      <c r="AV163" s="131">
        <f t="shared" si="235"/>
        <v>230.1749018165294</v>
      </c>
      <c r="AW163" s="131">
        <f t="shared" si="235"/>
        <v>86.547566240032893</v>
      </c>
      <c r="AX163" s="131">
        <f t="shared" si="235"/>
        <v>11.903796427528157</v>
      </c>
      <c r="AY163" s="131">
        <f t="shared" si="235"/>
        <v>2.725681333780523</v>
      </c>
      <c r="AZ163" s="131">
        <f t="shared" si="235"/>
        <v>139.10772593017344</v>
      </c>
      <c r="BA163" s="131">
        <f t="shared" si="235"/>
        <v>90.382672105075244</v>
      </c>
      <c r="BB163" s="131">
        <f t="shared" si="235"/>
        <v>197.28584102392105</v>
      </c>
      <c r="BC163" s="131">
        <f t="shared" si="235"/>
        <v>184.44475218816604</v>
      </c>
      <c r="BE163" s="130" t="s">
        <v>30</v>
      </c>
      <c r="BF163" s="131">
        <f>SUM(BF130:BF144)</f>
        <v>238.27557379964105</v>
      </c>
      <c r="BG163" s="131">
        <f t="shared" ref="BG163:BQ163" si="236">SUM(BG130:BG144)</f>
        <v>177.22024271231464</v>
      </c>
      <c r="BH163" s="131">
        <f t="shared" si="236"/>
        <v>186.00475490335339</v>
      </c>
      <c r="BI163" s="131">
        <f t="shared" si="236"/>
        <v>94.959675111936775</v>
      </c>
      <c r="BJ163" s="131">
        <f t="shared" si="236"/>
        <v>233.64016435149722</v>
      </c>
      <c r="BK163" s="131">
        <f t="shared" si="236"/>
        <v>87.091734351679847</v>
      </c>
      <c r="BL163" s="131">
        <f t="shared" si="236"/>
        <v>12.0387501192166</v>
      </c>
      <c r="BM163" s="131">
        <f t="shared" si="236"/>
        <v>3.0652422354482183</v>
      </c>
      <c r="BN163" s="131">
        <f t="shared" si="236"/>
        <v>138.0063296722</v>
      </c>
      <c r="BO163" s="131">
        <f t="shared" si="236"/>
        <v>92.289437168286142</v>
      </c>
      <c r="BP163" s="131">
        <f t="shared" si="236"/>
        <v>195.97983755596837</v>
      </c>
      <c r="BQ163" s="131">
        <f t="shared" si="236"/>
        <v>184.54487912070908</v>
      </c>
    </row>
    <row r="164" spans="1:70">
      <c r="A164" s="140" t="s">
        <v>31</v>
      </c>
      <c r="B164" s="141">
        <f>SUM(B145:B160)</f>
        <v>248.47877405373691</v>
      </c>
      <c r="C164" s="141">
        <f t="shared" ref="C164:M164" si="237">SUM(C145:C160)</f>
        <v>139.36362895735908</v>
      </c>
      <c r="D164" s="141">
        <f t="shared" si="237"/>
        <v>85.244032392094226</v>
      </c>
      <c r="E164" s="141">
        <f t="shared" si="237"/>
        <v>229.93620973392208</v>
      </c>
      <c r="F164" s="141">
        <f t="shared" si="237"/>
        <v>176.01688690466491</v>
      </c>
      <c r="G164" s="141">
        <f t="shared" si="237"/>
        <v>169.48291919899631</v>
      </c>
      <c r="H164" s="141">
        <f t="shared" si="237"/>
        <v>287.76364525116912</v>
      </c>
      <c r="I164" s="141">
        <f t="shared" si="237"/>
        <v>14.56075798804034</v>
      </c>
      <c r="J164" s="141">
        <f t="shared" si="237"/>
        <v>50.86666123539667</v>
      </c>
      <c r="K164" s="141">
        <f t="shared" si="237"/>
        <v>119.34927411076532</v>
      </c>
      <c r="L164" s="141">
        <f t="shared" si="237"/>
        <v>217.86321020644257</v>
      </c>
      <c r="M164" s="141">
        <f t="shared" si="237"/>
        <v>102.02487087155589</v>
      </c>
      <c r="O164" s="140" t="s">
        <v>31</v>
      </c>
      <c r="P164" s="141">
        <f>SUM(P145:P160)</f>
        <v>231</v>
      </c>
      <c r="Q164" s="141">
        <f t="shared" ref="Q164:AA164" si="238">SUM(Q145:Q160)</f>
        <v>130</v>
      </c>
      <c r="R164" s="141">
        <f t="shared" si="238"/>
        <v>102</v>
      </c>
      <c r="S164" s="141">
        <f t="shared" si="238"/>
        <v>237</v>
      </c>
      <c r="T164" s="141">
        <f t="shared" si="238"/>
        <v>152</v>
      </c>
      <c r="U164" s="141">
        <f t="shared" si="238"/>
        <v>150</v>
      </c>
      <c r="V164" s="141">
        <f t="shared" si="238"/>
        <v>299</v>
      </c>
      <c r="W164" s="141">
        <f t="shared" si="238"/>
        <v>5</v>
      </c>
      <c r="X164" s="141">
        <f t="shared" si="238"/>
        <v>44</v>
      </c>
      <c r="Y164" s="141">
        <f t="shared" si="238"/>
        <v>109</v>
      </c>
      <c r="Z164" s="141">
        <f t="shared" si="238"/>
        <v>284</v>
      </c>
      <c r="AA164" s="141">
        <f t="shared" si="238"/>
        <v>90</v>
      </c>
      <c r="AC164" s="140" t="s">
        <v>31</v>
      </c>
      <c r="AD164" s="141">
        <f>SUM(AD145:AD160)</f>
        <v>284.20000000000005</v>
      </c>
      <c r="AE164" s="141">
        <f t="shared" ref="AE164:AO164" si="239">SUM(AE145:AE160)</f>
        <v>158.49999999999997</v>
      </c>
      <c r="AF164" s="141">
        <f t="shared" si="239"/>
        <v>51</v>
      </c>
      <c r="AG164" s="141">
        <f t="shared" si="239"/>
        <v>215.50000000000003</v>
      </c>
      <c r="AH164" s="141">
        <f t="shared" si="239"/>
        <v>225.1</v>
      </c>
      <c r="AI164" s="141">
        <f t="shared" si="239"/>
        <v>209.3</v>
      </c>
      <c r="AJ164" s="141">
        <f t="shared" si="239"/>
        <v>264.8</v>
      </c>
      <c r="AK164" s="141">
        <f t="shared" si="239"/>
        <v>34.099999999999994</v>
      </c>
      <c r="AL164" s="141">
        <f t="shared" si="239"/>
        <v>64.899999999999991</v>
      </c>
      <c r="AM164" s="141">
        <f t="shared" si="239"/>
        <v>140.5</v>
      </c>
      <c r="AN164" s="141">
        <f t="shared" si="239"/>
        <v>82.7</v>
      </c>
      <c r="AO164" s="141">
        <f t="shared" si="239"/>
        <v>126.6</v>
      </c>
      <c r="AQ164" s="140" t="s">
        <v>31</v>
      </c>
      <c r="AR164" s="141">
        <f>SUM(AR145:AR160)</f>
        <v>266.97355808242003</v>
      </c>
      <c r="AS164" s="141">
        <f t="shared" ref="AS164:BC164" si="240">SUM(AS145:AS160)</f>
        <v>149.27154897272499</v>
      </c>
      <c r="AT164" s="141">
        <f t="shared" si="240"/>
        <v>67.51407025933419</v>
      </c>
      <c r="AU164" s="141">
        <f t="shared" si="240"/>
        <v>222.46181393285653</v>
      </c>
      <c r="AV164" s="141">
        <f t="shared" si="240"/>
        <v>201.42983262828764</v>
      </c>
      <c r="AW164" s="141">
        <f t="shared" si="240"/>
        <v>190.09834575728394</v>
      </c>
      <c r="AX164" s="141">
        <f t="shared" si="240"/>
        <v>275.87414123272993</v>
      </c>
      <c r="AY164" s="141">
        <f t="shared" si="240"/>
        <v>24.677265793203432</v>
      </c>
      <c r="AZ164" s="141">
        <f t="shared" si="240"/>
        <v>58.132469246664996</v>
      </c>
      <c r="BA164" s="141">
        <f t="shared" si="240"/>
        <v>130.30013307511712</v>
      </c>
      <c r="BB164" s="141">
        <f t="shared" si="240"/>
        <v>147.88200672948966</v>
      </c>
      <c r="BC164" s="141">
        <f t="shared" si="240"/>
        <v>114.74872604918369</v>
      </c>
      <c r="BE164" s="140" t="s">
        <v>31</v>
      </c>
      <c r="BF164" s="141">
        <f>SUM(BF145:BF160)</f>
        <v>264.6575785992506</v>
      </c>
      <c r="BG164" s="141">
        <f t="shared" ref="BG164:BQ164" si="241">SUM(BG145:BG160)</f>
        <v>148.03084567816995</v>
      </c>
      <c r="BH164" s="141">
        <f t="shared" si="241"/>
        <v>69.734276154853731</v>
      </c>
      <c r="BI164" s="141">
        <f t="shared" si="241"/>
        <v>223.39778308488934</v>
      </c>
      <c r="BJ164" s="141">
        <f t="shared" si="241"/>
        <v>198.24753751137629</v>
      </c>
      <c r="BK164" s="141">
        <f t="shared" si="241"/>
        <v>187.51681223563085</v>
      </c>
      <c r="BL164" s="141">
        <f t="shared" si="241"/>
        <v>277.362985186196</v>
      </c>
      <c r="BM164" s="141">
        <f t="shared" si="241"/>
        <v>23.410442429289336</v>
      </c>
      <c r="BN164" s="141">
        <f t="shared" si="241"/>
        <v>57.222620163991316</v>
      </c>
      <c r="BO164" s="141">
        <f t="shared" si="241"/>
        <v>128.92882943376682</v>
      </c>
      <c r="BP164" s="141">
        <f t="shared" si="241"/>
        <v>156.6452899994521</v>
      </c>
      <c r="BQ164" s="141">
        <f t="shared" si="241"/>
        <v>113.15540181828143</v>
      </c>
    </row>
    <row r="165" spans="1:70" ht="15.75" thickBot="1">
      <c r="A165" s="133" t="s">
        <v>32</v>
      </c>
      <c r="B165" s="134">
        <f>COUNTIF(B132:B162,"&gt;0")</f>
        <v>26</v>
      </c>
      <c r="C165" s="134">
        <f t="shared" ref="C165:M165" si="242">COUNTIF(C132:C162,"&gt;0")</f>
        <v>27</v>
      </c>
      <c r="D165" s="134">
        <f t="shared" si="242"/>
        <v>23</v>
      </c>
      <c r="E165" s="134">
        <f t="shared" si="242"/>
        <v>20</v>
      </c>
      <c r="F165" s="134">
        <f t="shared" si="242"/>
        <v>28</v>
      </c>
      <c r="G165" s="134">
        <f t="shared" si="242"/>
        <v>17</v>
      </c>
      <c r="H165" s="134">
        <f t="shared" si="242"/>
        <v>21</v>
      </c>
      <c r="I165" s="134">
        <f t="shared" si="242"/>
        <v>8</v>
      </c>
      <c r="J165" s="134">
        <f t="shared" si="242"/>
        <v>17</v>
      </c>
      <c r="K165" s="134">
        <f t="shared" si="242"/>
        <v>22</v>
      </c>
      <c r="L165" s="134">
        <f t="shared" si="242"/>
        <v>26</v>
      </c>
      <c r="M165" s="134">
        <f t="shared" si="242"/>
        <v>21</v>
      </c>
      <c r="O165" s="133" t="s">
        <v>32</v>
      </c>
      <c r="P165" s="134">
        <f>COUNTIF(P130:P160,"&gt;0")</f>
        <v>17</v>
      </c>
      <c r="Q165" s="134">
        <f t="shared" ref="Q165:AA165" si="243">COUNTIF(Q130:Q160,"&gt;0")</f>
        <v>22</v>
      </c>
      <c r="R165" s="134">
        <f t="shared" si="243"/>
        <v>16</v>
      </c>
      <c r="S165" s="134">
        <f t="shared" si="243"/>
        <v>15</v>
      </c>
      <c r="T165" s="134">
        <f t="shared" si="243"/>
        <v>24</v>
      </c>
      <c r="U165" s="134">
        <f t="shared" si="243"/>
        <v>12</v>
      </c>
      <c r="V165" s="134">
        <f t="shared" si="243"/>
        <v>12</v>
      </c>
      <c r="W165" s="134">
        <f t="shared" si="243"/>
        <v>4</v>
      </c>
      <c r="X165" s="134">
        <f t="shared" si="243"/>
        <v>11</v>
      </c>
      <c r="Y165" s="134">
        <f t="shared" si="243"/>
        <v>13</v>
      </c>
      <c r="Z165" s="134">
        <f t="shared" si="243"/>
        <v>21</v>
      </c>
      <c r="AA165" s="134">
        <f t="shared" si="243"/>
        <v>16</v>
      </c>
      <c r="AC165" s="133" t="s">
        <v>32</v>
      </c>
      <c r="AD165" s="134">
        <f>COUNTIF(AD130:AD160,"&gt;0")</f>
        <v>25</v>
      </c>
      <c r="AE165" s="134">
        <f t="shared" ref="AE165:AO165" si="244">COUNTIF(AE130:AE160,"&gt;0")</f>
        <v>25</v>
      </c>
      <c r="AF165" s="134">
        <f t="shared" si="244"/>
        <v>21</v>
      </c>
      <c r="AG165" s="134">
        <f t="shared" si="244"/>
        <v>17</v>
      </c>
      <c r="AH165" s="134">
        <f t="shared" si="244"/>
        <v>25</v>
      </c>
      <c r="AI165" s="134">
        <f t="shared" si="244"/>
        <v>15</v>
      </c>
      <c r="AJ165" s="134">
        <f t="shared" si="244"/>
        <v>17</v>
      </c>
      <c r="AK165" s="134">
        <f t="shared" si="244"/>
        <v>5</v>
      </c>
      <c r="AL165" s="134">
        <f t="shared" si="244"/>
        <v>16</v>
      </c>
      <c r="AM165" s="134">
        <f t="shared" si="244"/>
        <v>21</v>
      </c>
      <c r="AN165" s="134">
        <f t="shared" si="244"/>
        <v>24</v>
      </c>
      <c r="AO165" s="134">
        <f t="shared" si="244"/>
        <v>21</v>
      </c>
      <c r="AQ165" s="133" t="s">
        <v>32</v>
      </c>
      <c r="AR165" s="134">
        <f>COUNTIF(AR130:AR160,"&gt;0")</f>
        <v>26</v>
      </c>
      <c r="AS165" s="134">
        <f t="shared" ref="AS165:BC165" si="245">COUNTIF(AS130:AS160,"&gt;0")</f>
        <v>27</v>
      </c>
      <c r="AT165" s="134">
        <f t="shared" si="245"/>
        <v>23</v>
      </c>
      <c r="AU165" s="134">
        <f t="shared" si="245"/>
        <v>19</v>
      </c>
      <c r="AV165" s="134">
        <f t="shared" si="245"/>
        <v>27</v>
      </c>
      <c r="AW165" s="134">
        <f t="shared" si="245"/>
        <v>17</v>
      </c>
      <c r="AX165" s="134">
        <f t="shared" si="245"/>
        <v>19</v>
      </c>
      <c r="AY165" s="134">
        <f t="shared" si="245"/>
        <v>6</v>
      </c>
      <c r="AZ165" s="134">
        <f t="shared" si="245"/>
        <v>17</v>
      </c>
      <c r="BA165" s="134">
        <f t="shared" si="245"/>
        <v>21</v>
      </c>
      <c r="BB165" s="134">
        <f t="shared" si="245"/>
        <v>26</v>
      </c>
      <c r="BC165" s="134">
        <f t="shared" si="245"/>
        <v>21</v>
      </c>
      <c r="BE165" s="133" t="s">
        <v>32</v>
      </c>
      <c r="BF165" s="134">
        <f>COUNTIF(BF130:BF160,"&gt;0")</f>
        <v>26</v>
      </c>
      <c r="BG165" s="134">
        <f t="shared" ref="BG165:BQ165" si="246">COUNTIF(BG130:BG160,"&gt;0")</f>
        <v>27</v>
      </c>
      <c r="BH165" s="134">
        <f t="shared" si="246"/>
        <v>23</v>
      </c>
      <c r="BI165" s="134">
        <f t="shared" si="246"/>
        <v>19</v>
      </c>
      <c r="BJ165" s="134">
        <f t="shared" si="246"/>
        <v>27</v>
      </c>
      <c r="BK165" s="134">
        <f t="shared" si="246"/>
        <v>17</v>
      </c>
      <c r="BL165" s="134">
        <f t="shared" si="246"/>
        <v>19</v>
      </c>
      <c r="BM165" s="134">
        <f t="shared" si="246"/>
        <v>6</v>
      </c>
      <c r="BN165" s="134">
        <f t="shared" si="246"/>
        <v>17</v>
      </c>
      <c r="BO165" s="134">
        <f t="shared" si="246"/>
        <v>21</v>
      </c>
      <c r="BP165" s="134">
        <f t="shared" si="246"/>
        <v>26</v>
      </c>
      <c r="BQ165" s="134">
        <f t="shared" si="246"/>
        <v>21</v>
      </c>
    </row>
    <row r="166" spans="1:70" ht="15.75" thickBot="1"/>
    <row r="167" spans="1:70" s="142" customFormat="1">
      <c r="A167" s="147" t="s">
        <v>36</v>
      </c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9"/>
      <c r="N167" s="129"/>
      <c r="O167" s="147" t="s">
        <v>36</v>
      </c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  <c r="AA167" s="149"/>
      <c r="AB167" s="129"/>
      <c r="AC167" s="147" t="s">
        <v>36</v>
      </c>
      <c r="AD167" s="148"/>
      <c r="AE167" s="148"/>
      <c r="AF167" s="148"/>
      <c r="AG167" s="148"/>
      <c r="AH167" s="148"/>
      <c r="AI167" s="148"/>
      <c r="AJ167" s="148"/>
      <c r="AK167" s="148"/>
      <c r="AL167" s="148"/>
      <c r="AM167" s="148"/>
      <c r="AN167" s="148"/>
      <c r="AO167" s="149"/>
      <c r="AP167" s="129"/>
      <c r="AQ167" s="147" t="s">
        <v>36</v>
      </c>
      <c r="AR167" s="148"/>
      <c r="AS167" s="148"/>
      <c r="AT167" s="148"/>
      <c r="AU167" s="148"/>
      <c r="AV167" s="148"/>
      <c r="AW167" s="148"/>
      <c r="AX167" s="148"/>
      <c r="AY167" s="148"/>
      <c r="AZ167" s="148"/>
      <c r="BA167" s="148"/>
      <c r="BB167" s="148"/>
      <c r="BC167" s="149"/>
      <c r="BD167" s="129"/>
      <c r="BE167" s="147" t="s">
        <v>36</v>
      </c>
      <c r="BF167" s="148"/>
      <c r="BG167" s="148"/>
      <c r="BH167" s="148"/>
      <c r="BI167" s="148"/>
      <c r="BJ167" s="148"/>
      <c r="BK167" s="148"/>
      <c r="BL167" s="148"/>
      <c r="BM167" s="148"/>
      <c r="BN167" s="148"/>
      <c r="BO167" s="148"/>
      <c r="BP167" s="148"/>
      <c r="BQ167" s="149"/>
      <c r="BR167" s="129"/>
    </row>
    <row r="168" spans="1:70">
      <c r="A168" s="144"/>
      <c r="B168" s="145" t="s">
        <v>15</v>
      </c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6"/>
      <c r="O168" s="144"/>
      <c r="P168" s="145" t="s">
        <v>15</v>
      </c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  <c r="AA168" s="146"/>
      <c r="AC168" s="144"/>
      <c r="AD168" s="145" t="s">
        <v>15</v>
      </c>
      <c r="AE168" s="145"/>
      <c r="AF168" s="145"/>
      <c r="AG168" s="145"/>
      <c r="AH168" s="145"/>
      <c r="AI168" s="145"/>
      <c r="AJ168" s="145"/>
      <c r="AK168" s="145"/>
      <c r="AL168" s="145"/>
      <c r="AM168" s="145"/>
      <c r="AN168" s="145"/>
      <c r="AO168" s="146"/>
      <c r="AQ168" s="144"/>
      <c r="AR168" s="145" t="s">
        <v>15</v>
      </c>
      <c r="AS168" s="145"/>
      <c r="AT168" s="145"/>
      <c r="AU168" s="145"/>
      <c r="AV168" s="145"/>
      <c r="AW168" s="145"/>
      <c r="AX168" s="145"/>
      <c r="AY168" s="145"/>
      <c r="AZ168" s="145"/>
      <c r="BA168" s="145"/>
      <c r="BB168" s="145"/>
      <c r="BC168" s="146"/>
      <c r="BE168" s="144"/>
      <c r="BF168" s="145" t="s">
        <v>15</v>
      </c>
      <c r="BG168" s="145"/>
      <c r="BH168" s="145"/>
      <c r="BI168" s="145"/>
      <c r="BJ168" s="145"/>
      <c r="BK168" s="145"/>
      <c r="BL168" s="145"/>
      <c r="BM168" s="145"/>
      <c r="BN168" s="145"/>
      <c r="BO168" s="145"/>
      <c r="BP168" s="145"/>
      <c r="BQ168" s="146"/>
    </row>
    <row r="169" spans="1:70">
      <c r="A169" s="144"/>
      <c r="B169" s="131" t="s">
        <v>16</v>
      </c>
      <c r="C169" s="131" t="s">
        <v>17</v>
      </c>
      <c r="D169" s="131" t="s">
        <v>18</v>
      </c>
      <c r="E169" s="131" t="s">
        <v>19</v>
      </c>
      <c r="F169" s="131" t="s">
        <v>20</v>
      </c>
      <c r="G169" s="131" t="s">
        <v>21</v>
      </c>
      <c r="H169" s="131" t="s">
        <v>22</v>
      </c>
      <c r="I169" s="131" t="s">
        <v>23</v>
      </c>
      <c r="J169" s="131" t="s">
        <v>24</v>
      </c>
      <c r="K169" s="131" t="s">
        <v>25</v>
      </c>
      <c r="L169" s="131" t="s">
        <v>26</v>
      </c>
      <c r="M169" s="132" t="s">
        <v>27</v>
      </c>
      <c r="O169" s="144"/>
      <c r="P169" s="131" t="s">
        <v>16</v>
      </c>
      <c r="Q169" s="131" t="s">
        <v>17</v>
      </c>
      <c r="R169" s="131" t="s">
        <v>18</v>
      </c>
      <c r="S169" s="131" t="s">
        <v>19</v>
      </c>
      <c r="T169" s="131" t="s">
        <v>20</v>
      </c>
      <c r="U169" s="131" t="s">
        <v>21</v>
      </c>
      <c r="V169" s="131" t="s">
        <v>22</v>
      </c>
      <c r="W169" s="131" t="s">
        <v>23</v>
      </c>
      <c r="X169" s="131" t="s">
        <v>24</v>
      </c>
      <c r="Y169" s="131" t="s">
        <v>25</v>
      </c>
      <c r="Z169" s="131" t="s">
        <v>26</v>
      </c>
      <c r="AA169" s="132" t="s">
        <v>27</v>
      </c>
      <c r="AC169" s="144"/>
      <c r="AD169" s="131" t="s">
        <v>16</v>
      </c>
      <c r="AE169" s="131" t="s">
        <v>17</v>
      </c>
      <c r="AF169" s="131" t="s">
        <v>18</v>
      </c>
      <c r="AG169" s="131" t="s">
        <v>19</v>
      </c>
      <c r="AH169" s="131" t="s">
        <v>20</v>
      </c>
      <c r="AI169" s="131" t="s">
        <v>21</v>
      </c>
      <c r="AJ169" s="131" t="s">
        <v>22</v>
      </c>
      <c r="AK169" s="131" t="s">
        <v>23</v>
      </c>
      <c r="AL169" s="131" t="s">
        <v>24</v>
      </c>
      <c r="AM169" s="131" t="s">
        <v>25</v>
      </c>
      <c r="AN169" s="131" t="s">
        <v>26</v>
      </c>
      <c r="AO169" s="132" t="s">
        <v>27</v>
      </c>
      <c r="AQ169" s="144"/>
      <c r="AR169" s="131" t="s">
        <v>16</v>
      </c>
      <c r="AS169" s="131" t="s">
        <v>17</v>
      </c>
      <c r="AT169" s="131" t="s">
        <v>18</v>
      </c>
      <c r="AU169" s="131" t="s">
        <v>19</v>
      </c>
      <c r="AV169" s="131" t="s">
        <v>20</v>
      </c>
      <c r="AW169" s="131" t="s">
        <v>21</v>
      </c>
      <c r="AX169" s="131" t="s">
        <v>22</v>
      </c>
      <c r="AY169" s="131" t="s">
        <v>23</v>
      </c>
      <c r="AZ169" s="131" t="s">
        <v>24</v>
      </c>
      <c r="BA169" s="131" t="s">
        <v>25</v>
      </c>
      <c r="BB169" s="131" t="s">
        <v>26</v>
      </c>
      <c r="BC169" s="132" t="s">
        <v>27</v>
      </c>
      <c r="BE169" s="144"/>
      <c r="BF169" s="131" t="s">
        <v>16</v>
      </c>
      <c r="BG169" s="131" t="s">
        <v>17</v>
      </c>
      <c r="BH169" s="131" t="s">
        <v>18</v>
      </c>
      <c r="BI169" s="131" t="s">
        <v>19</v>
      </c>
      <c r="BJ169" s="131" t="s">
        <v>20</v>
      </c>
      <c r="BK169" s="131" t="s">
        <v>21</v>
      </c>
      <c r="BL169" s="131" t="s">
        <v>22</v>
      </c>
      <c r="BM169" s="131" t="s">
        <v>23</v>
      </c>
      <c r="BN169" s="131" t="s">
        <v>24</v>
      </c>
      <c r="BO169" s="131" t="s">
        <v>25</v>
      </c>
      <c r="BP169" s="131" t="s">
        <v>26</v>
      </c>
      <c r="BQ169" s="132" t="s">
        <v>27</v>
      </c>
    </row>
    <row r="170" spans="1:70">
      <c r="A170" s="130">
        <v>1</v>
      </c>
      <c r="B170" s="131">
        <f>((P170/($F$1^2))+(AD170/($F$2^2)))/((1/($F$1^2))+(1/($F$2^2)))</f>
        <v>0</v>
      </c>
      <c r="C170" s="131">
        <f t="shared" ref="C170:C200" si="247">((Q170/($F$1^2))+(AE170/($F$2^2)))/((1/($F$1^2))+(1/($F$2^2)))</f>
        <v>1.3429032310625193</v>
      </c>
      <c r="D170" s="131">
        <f t="shared" ref="D170:D200" si="248">((R170/($F$1^2))+(AF170/($F$2^2)))/((1/($F$1^2))+(1/($F$2^2)))</f>
        <v>33.948645169700029</v>
      </c>
      <c r="E170" s="131">
        <f t="shared" ref="E170:E200" si="249">((S170/($F$1^2))+(AG170/($F$2^2)))/((1/($F$1^2))+(1/($F$2^2)))</f>
        <v>0</v>
      </c>
      <c r="F170" s="131">
        <f t="shared" ref="F170:F200" si="250">((T170/($F$1^2))+(AH170/($F$2^2)))/((1/($F$1^2))+(1/($F$2^2)))</f>
        <v>7.0143548465937791</v>
      </c>
      <c r="G170" s="131">
        <f t="shared" ref="G170:G200" si="251">((U170/($F$1^2))+(AI170/($F$2^2)))/((1/($F$1^2))+(1/($F$2^2)))</f>
        <v>13.51546771381552</v>
      </c>
      <c r="H170" s="131">
        <f t="shared" ref="H170:H200" si="252">((V170/($F$1^2))+(AJ170/($F$2^2)))/((1/($F$1^2))+(1/($F$2^2)))</f>
        <v>2.1684193374936855</v>
      </c>
      <c r="I170" s="131">
        <f t="shared" ref="I170:I200" si="253">((W170/($F$1^2))+(AK170/($F$2^2)))/((1/($F$1^2))+(1/($F$2^2)))</f>
        <v>0</v>
      </c>
      <c r="J170" s="131">
        <f t="shared" ref="J170:J200" si="254">((X170/($F$1^2))+(AL170/($F$2^2)))/((1/($F$1^2))+(1/($F$2^2)))</f>
        <v>0</v>
      </c>
      <c r="K170" s="131">
        <f t="shared" ref="K170:K200" si="255">((Y170/($F$1^2))+(AM170/($F$2^2)))/((1/($F$1^2))+(1/($F$2^2)))</f>
        <v>44.492822576703105</v>
      </c>
      <c r="L170" s="131">
        <f t="shared" ref="L170:L200" si="256">((Z170/($F$1^2))+(AN170/($F$2^2)))/((1/($F$1^2))+(1/($F$2^2)))</f>
        <v>9.632532221009237</v>
      </c>
      <c r="M170" s="131">
        <f t="shared" ref="M170:M200" si="257">((AA170/($F$1^2))+(AO170/($F$2^2)))/((1/($F$1^2))+(1/($F$2^2)))</f>
        <v>4.0513548302999691</v>
      </c>
      <c r="O170" s="130">
        <v>1</v>
      </c>
      <c r="P170" s="131">
        <f>'Stasiun Pontianak Kota'!Q228</f>
        <v>0</v>
      </c>
      <c r="Q170" s="131">
        <f>'Stasiun Pontianak Kota'!R228</f>
        <v>2</v>
      </c>
      <c r="R170" s="131">
        <f>'Stasiun Pontianak Kota'!S228</f>
        <v>35</v>
      </c>
      <c r="S170" s="131">
        <f>'Stasiun Pontianak Kota'!T228</f>
        <v>0</v>
      </c>
      <c r="T170" s="131">
        <f>'Stasiun Pontianak Kota'!U228</f>
        <v>8</v>
      </c>
      <c r="U170" s="131">
        <f>'Stasiun Pontianak Kota'!V228</f>
        <v>10</v>
      </c>
      <c r="V170" s="131">
        <f>'Stasiun Pontianak Kota'!W228</f>
        <v>0</v>
      </c>
      <c r="W170" s="131">
        <f>'Stasiun Pontianak Kota'!X228</f>
        <v>0</v>
      </c>
      <c r="X170" s="131">
        <f>'Stasiun Pontianak Kota'!Y228</f>
        <v>0</v>
      </c>
      <c r="Y170" s="131">
        <f>'Stasiun Pontianak Kota'!Z228</f>
        <v>44</v>
      </c>
      <c r="Z170" s="131">
        <f>'Stasiun Pontianak Kota'!AA228</f>
        <v>5</v>
      </c>
      <c r="AA170" s="131">
        <f>'Stasiun Pontianak Kota'!AB228</f>
        <v>3</v>
      </c>
      <c r="AC170" s="130">
        <v>1</v>
      </c>
      <c r="AD170" s="131">
        <f>'Sta. Meteorologi pnk'!B188</f>
        <v>0</v>
      </c>
      <c r="AE170" s="131">
        <f>'Sta. Meteorologi pnk'!C188</f>
        <v>0</v>
      </c>
      <c r="AF170" s="131">
        <f>'Sta. Meteorologi pnk'!D188</f>
        <v>31.8</v>
      </c>
      <c r="AG170" s="131">
        <f>'Sta. Meteorologi pnk'!E188</f>
        <v>0</v>
      </c>
      <c r="AH170" s="131">
        <f>'Sta. Meteorologi pnk'!F188</f>
        <v>5</v>
      </c>
      <c r="AI170" s="131">
        <f>'Sta. Meteorologi pnk'!G188</f>
        <v>20.7</v>
      </c>
      <c r="AJ170" s="131">
        <f>'Sta. Meteorologi pnk'!H188</f>
        <v>6.6</v>
      </c>
      <c r="AK170" s="131">
        <f>'Sta. Meteorologi pnk'!I188</f>
        <v>0</v>
      </c>
      <c r="AL170" s="131">
        <f>'Sta. Meteorologi pnk'!J188</f>
        <v>0</v>
      </c>
      <c r="AM170" s="131">
        <f>'Sta. Meteorologi pnk'!K188</f>
        <v>45.5</v>
      </c>
      <c r="AN170" s="131">
        <f>'Sta. Meteorologi pnk'!L188</f>
        <v>19.100000000000001</v>
      </c>
      <c r="AO170" s="131">
        <f>'Sta. Meteorologi pnk'!M188</f>
        <v>6.2</v>
      </c>
      <c r="AQ170" s="130">
        <v>1</v>
      </c>
      <c r="AR170" s="131">
        <f>((P170/($AV$1^2))+(AD170/($AV$2^2)))/((1/($AV$1^2))+(1/($AV$2^2)))</f>
        <v>0</v>
      </c>
      <c r="AS170" s="131">
        <f t="shared" ref="AS170:AS200" si="258">((Q170/($AV$1^2))+(AE170/($AV$2^2)))/((1/($AV$1^2))+(1/($AV$2^2)))</f>
        <v>0.64761059840526247</v>
      </c>
      <c r="AT170" s="131">
        <f t="shared" ref="AT170:AT200" si="259">((R170/($AV$1^2))+(AF170/($AV$2^2)))/((1/($AV$1^2))+(1/($AV$2^2)))</f>
        <v>32.836176957448423</v>
      </c>
      <c r="AU170" s="131">
        <f t="shared" ref="AU170:AU200" si="260">((S170/($AV$1^2))+(AG170/($AV$2^2)))/((1/($AV$1^2))+(1/($AV$2^2)))</f>
        <v>0</v>
      </c>
      <c r="AV170" s="131">
        <f t="shared" ref="AV170:AV200" si="261">((T170/($AV$1^2))+(AH170/($AV$2^2)))/((1/($AV$1^2))+(1/($AV$2^2)))</f>
        <v>5.9714158976078933</v>
      </c>
      <c r="AW170" s="131">
        <f t="shared" ref="AW170:AW200" si="262">((U170/($AV$1^2))+(AI170/($AV$2^2)))/((1/($AV$1^2))+(1/($AV$2^2)))</f>
        <v>17.235283298531847</v>
      </c>
      <c r="AX170" s="131">
        <f t="shared" ref="AX170:AX200" si="263">((V170/($AV$1^2))+(AJ170/($AV$2^2)))/((1/($AV$1^2))+(1/($AV$2^2)))</f>
        <v>4.4628850252626338</v>
      </c>
      <c r="AY170" s="131">
        <f t="shared" ref="AY170:AY200" si="264">((W170/($AV$1^2))+(AK170/($AV$2^2)))/((1/($AV$1^2))+(1/($AV$2^2)))</f>
        <v>0</v>
      </c>
      <c r="AZ170" s="131">
        <f t="shared" ref="AZ170:AZ200" si="265">((X170/($AV$1^2))+(AL170/($AV$2^2)))/((1/($AV$1^2))+(1/($AV$2^2)))</f>
        <v>0</v>
      </c>
      <c r="BA170" s="131">
        <f t="shared" ref="BA170:BA200" si="266">((Y170/($AV$1^2))+(AM170/($AV$2^2)))/((1/($AV$1^2))+(1/($AV$2^2)))</f>
        <v>45.014292051196058</v>
      </c>
      <c r="BB170" s="131">
        <f t="shared" ref="BB170:BB200" si="267">((Z170/($AV$1^2))+(AN170/($AV$2^2)))/((1/($AV$1^2))+(1/($AV$2^2)))</f>
        <v>14.534345281242899</v>
      </c>
      <c r="BC170" s="131">
        <f t="shared" ref="BC170:BC200" si="268">((AA170/($AV$1^2))+(AO170/($AV$2^2)))/((1/($AV$1^2))+(1/($AV$2^2)))</f>
        <v>5.1638230425515799</v>
      </c>
      <c r="BE170" s="130">
        <v>1</v>
      </c>
      <c r="BF170" s="131">
        <f>((B170/($BI$1^2))+(P170/($AV$1^2))+(AD170/($AV$2^2)))/((1/($BI$1^2))+(1/($AV$1^2))+(1/($AV$2^2)))</f>
        <v>0</v>
      </c>
      <c r="BG170" s="131">
        <f t="shared" ref="BG170:BG200" si="269">((C170/($BI$1^2))+(Q170/($AV$1^2))+(AE170/($AV$2^2)))/((1/($BI$1^2))+(1/($AV$1^2))+(1/($AV$2^2)))</f>
        <v>0.73467749626877399</v>
      </c>
      <c r="BH170" s="131">
        <f t="shared" ref="BH170:BH200" si="270">((D170/($BI$1^2))+(R170/($AV$1^2))+(AF170/($AV$2^2)))/((1/($BI$1^2))+(1/($AV$1^2))+(1/($AV$2^2)))</f>
        <v>32.975483994030036</v>
      </c>
      <c r="BI170" s="131">
        <f t="shared" ref="BI170:BI200" si="271">((E170/($BI$1^2))+(S170/($AV$1^2))+(AG170/($AV$2^2)))/((1/($BI$1^2))+(1/($AV$1^2))+(1/($AV$2^2)))</f>
        <v>0</v>
      </c>
      <c r="BJ170" s="131">
        <f t="shared" ref="BJ170:BJ200" si="272">((F170/($BI$1^2))+(T170/($AV$1^2))+(AH170/($AV$2^2)))/((1/($BI$1^2))+(1/($AV$1^2))+(1/($AV$2^2)))</f>
        <v>6.1020162444031616</v>
      </c>
      <c r="BK170" s="131">
        <f t="shared" ref="BK170:BK200" si="273">((G170/($BI$1^2))+(U170/($AV$1^2))+(AI170/($AV$2^2)))/((1/($BI$1^2))+(1/($AV$1^2))+(1/($AV$2^2)))</f>
        <v>16.769475394962058</v>
      </c>
      <c r="BL170" s="131">
        <f t="shared" ref="BL170:BL200" si="274">((H170/($BI$1^2))+(V170/($AV$1^2))+(AJ170/($AV$2^2)))/((1/($BI$1^2))+(1/($AV$1^2))+(1/($AV$2^2)))</f>
        <v>4.1755642623130456</v>
      </c>
      <c r="BM170" s="131">
        <f t="shared" ref="BM170:BM200" si="275">((I170/($BI$1^2))+(W170/($AV$1^2))+(AK170/($AV$2^2)))/((1/($BI$1^2))+(1/($AV$1^2))+(1/($AV$2^2)))</f>
        <v>0</v>
      </c>
      <c r="BN170" s="131">
        <f t="shared" ref="BN170:BN200" si="276">((J170/($BI$1^2))+(X170/($AV$1^2))+(AL170/($AV$2^2)))/((1/($BI$1^2))+(1/($AV$1^2))+(1/($AV$2^2)))</f>
        <v>0</v>
      </c>
      <c r="BO170" s="131">
        <f t="shared" ref="BO170:BO200" si="277">((K170/($BI$1^2))+(Y170/($AV$1^2))+(AM170/($AV$2^2)))/((1/($BI$1^2))+(1/($AV$1^2))+(1/($AV$2^2)))</f>
        <v>44.948991877798427</v>
      </c>
      <c r="BP170" s="131">
        <f t="shared" ref="BP170:BP200" si="278">((L170/($BI$1^2))+(Z170/($AV$1^2))+(AN170/($AV$2^2)))/((1/($BI$1^2))+(1/($AV$1^2))+(1/($AV$2^2)))</f>
        <v>13.920523651305144</v>
      </c>
      <c r="BQ170" s="131">
        <f t="shared" ref="BQ170:BQ200" si="279">((M170/($BI$1^2))+(AA170/($AV$1^2))+(AO170/($AV$2^2)))/((1/($BI$1^2))+(1/($AV$1^2))+(1/($AV$2^2)))</f>
        <v>5.0245160059699616</v>
      </c>
    </row>
    <row r="171" spans="1:70">
      <c r="A171" s="130">
        <v>2</v>
      </c>
      <c r="B171" s="131">
        <f t="shared" ref="B171:B200" si="280">((P171/($F$1^2))+(AD171/($F$2^2)))/((1/($F$1^2))+(1/($F$2^2)))</f>
        <v>0</v>
      </c>
      <c r="C171" s="131">
        <f t="shared" si="247"/>
        <v>25.83572580776563</v>
      </c>
      <c r="D171" s="131">
        <f t="shared" si="248"/>
        <v>15.410838642399751</v>
      </c>
      <c r="E171" s="131">
        <f t="shared" si="249"/>
        <v>0</v>
      </c>
      <c r="F171" s="131">
        <f t="shared" si="250"/>
        <v>36.36524204454728</v>
      </c>
      <c r="G171" s="131">
        <f t="shared" si="251"/>
        <v>13.642741922343699</v>
      </c>
      <c r="H171" s="131">
        <f t="shared" si="252"/>
        <v>0</v>
      </c>
      <c r="I171" s="131">
        <f t="shared" si="253"/>
        <v>0</v>
      </c>
      <c r="J171" s="131">
        <f t="shared" si="254"/>
        <v>1.314193537874961</v>
      </c>
      <c r="K171" s="131">
        <f t="shared" si="255"/>
        <v>13.96300001629381</v>
      </c>
      <c r="L171" s="131">
        <f t="shared" si="256"/>
        <v>8.3901129161031722</v>
      </c>
      <c r="M171" s="131">
        <f t="shared" si="257"/>
        <v>0</v>
      </c>
      <c r="O171" s="130">
        <v>2</v>
      </c>
      <c r="P171" s="131">
        <f>'Stasiun Pontianak Kota'!Q229</f>
        <v>0</v>
      </c>
      <c r="Q171" s="131">
        <f>'Stasiun Pontianak Kota'!R229</f>
        <v>26</v>
      </c>
      <c r="R171" s="131">
        <f>'Stasiun Pontianak Kota'!S229</f>
        <v>7</v>
      </c>
      <c r="S171" s="131">
        <f>'Stasiun Pontianak Kota'!T229</f>
        <v>0</v>
      </c>
      <c r="T171" s="131">
        <f>'Stasiun Pontianak Kota'!U229</f>
        <v>50</v>
      </c>
      <c r="U171" s="131">
        <f>'Stasiun Pontianak Kota'!V229</f>
        <v>12</v>
      </c>
      <c r="V171" s="131">
        <f>'Stasiun Pontianak Kota'!W229</f>
        <v>0</v>
      </c>
      <c r="W171" s="131">
        <f>'Stasiun Pontianak Kota'!X229</f>
        <v>0</v>
      </c>
      <c r="X171" s="131">
        <f>'Stasiun Pontianak Kota'!Y229</f>
        <v>0</v>
      </c>
      <c r="Y171" s="131">
        <f>'Stasiun Pontianak Kota'!Z229</f>
        <v>16</v>
      </c>
      <c r="Z171" s="131">
        <f>'Stasiun Pontianak Kota'!AA229</f>
        <v>10</v>
      </c>
      <c r="AA171" s="131">
        <f>'Stasiun Pontianak Kota'!AB229</f>
        <v>0</v>
      </c>
      <c r="AC171" s="130">
        <v>2</v>
      </c>
      <c r="AD171" s="131">
        <f>'Sta. Meteorologi pnk'!B189</f>
        <v>0</v>
      </c>
      <c r="AE171" s="131">
        <f>'Sta. Meteorologi pnk'!C189</f>
        <v>25.5</v>
      </c>
      <c r="AF171" s="131">
        <f>'Sta. Meteorologi pnk'!D189</f>
        <v>32.6</v>
      </c>
      <c r="AG171" s="131">
        <f>'Sta. Meteorologi pnk'!E189</f>
        <v>0</v>
      </c>
      <c r="AH171" s="131">
        <f>'Sta. Meteorologi pnk'!F189</f>
        <v>8.5</v>
      </c>
      <c r="AI171" s="131">
        <f>'Sta. Meteorologi pnk'!G189</f>
        <v>17</v>
      </c>
      <c r="AJ171" s="131">
        <f>'Sta. Meteorologi pnk'!H189</f>
        <v>0</v>
      </c>
      <c r="AK171" s="131">
        <f>'Sta. Meteorologi pnk'!I189</f>
        <v>0</v>
      </c>
      <c r="AL171" s="131">
        <f>'Sta. Meteorologi pnk'!J189</f>
        <v>4</v>
      </c>
      <c r="AM171" s="131">
        <f>'Sta. Meteorologi pnk'!K189</f>
        <v>9.8000000000000007</v>
      </c>
      <c r="AN171" s="131">
        <f>'Sta. Meteorologi pnk'!L189</f>
        <v>5.0999999999999996</v>
      </c>
      <c r="AO171" s="131">
        <f>'Sta. Meteorologi pnk'!M189</f>
        <v>0</v>
      </c>
      <c r="AQ171" s="130">
        <v>2</v>
      </c>
      <c r="AR171" s="131">
        <f t="shared" ref="AR171:AR200" si="281">((P171/($AV$1^2))+(AD171/($AV$2^2)))/((1/($AV$1^2))+(1/($AV$2^2)))</f>
        <v>0</v>
      </c>
      <c r="AS171" s="131">
        <f t="shared" si="258"/>
        <v>25.661902649601313</v>
      </c>
      <c r="AT171" s="131">
        <f t="shared" si="259"/>
        <v>24.310584340412639</v>
      </c>
      <c r="AU171" s="131">
        <f t="shared" si="260"/>
        <v>0</v>
      </c>
      <c r="AV171" s="131">
        <f t="shared" si="261"/>
        <v>21.937919916909195</v>
      </c>
      <c r="AW171" s="131">
        <f t="shared" si="262"/>
        <v>15.380973503986842</v>
      </c>
      <c r="AX171" s="131">
        <f t="shared" si="263"/>
        <v>0</v>
      </c>
      <c r="AY171" s="131">
        <f t="shared" si="264"/>
        <v>0</v>
      </c>
      <c r="AZ171" s="131">
        <f t="shared" si="265"/>
        <v>2.7047788031894751</v>
      </c>
      <c r="BA171" s="131">
        <f t="shared" si="266"/>
        <v>11.807592855056313</v>
      </c>
      <c r="BB171" s="131">
        <f t="shared" si="267"/>
        <v>6.6866459660928914</v>
      </c>
      <c r="BC171" s="131">
        <f t="shared" si="268"/>
        <v>0</v>
      </c>
      <c r="BE171" s="130">
        <v>2</v>
      </c>
      <c r="BF171" s="131">
        <f t="shared" ref="BF171:BF200" si="282">((B171/($BI$1^2))+(P171/($AV$1^2))+(AD171/($AV$2^2)))/((1/($BI$1^2))+(1/($AV$1^2))+(1/($AV$2^2)))</f>
        <v>0</v>
      </c>
      <c r="BG171" s="131">
        <f t="shared" si="269"/>
        <v>25.683669374067193</v>
      </c>
      <c r="BH171" s="131">
        <f t="shared" si="270"/>
        <v>23.196128047759689</v>
      </c>
      <c r="BI171" s="131">
        <f t="shared" si="271"/>
        <v>0</v>
      </c>
      <c r="BJ171" s="131">
        <f t="shared" si="272"/>
        <v>23.744558047577062</v>
      </c>
      <c r="BK171" s="131">
        <f t="shared" si="273"/>
        <v>15.163306259328065</v>
      </c>
      <c r="BL171" s="131">
        <f t="shared" si="274"/>
        <v>0</v>
      </c>
      <c r="BM171" s="131">
        <f t="shared" si="275"/>
        <v>0</v>
      </c>
      <c r="BN171" s="131">
        <f t="shared" si="276"/>
        <v>2.5306450074624518</v>
      </c>
      <c r="BO171" s="131">
        <f t="shared" si="277"/>
        <v>12.077500238433199</v>
      </c>
      <c r="BP171" s="131">
        <f t="shared" si="278"/>
        <v>6.8999598658584951</v>
      </c>
      <c r="BQ171" s="131">
        <f t="shared" si="279"/>
        <v>0</v>
      </c>
    </row>
    <row r="172" spans="1:70">
      <c r="A172" s="130">
        <v>3</v>
      </c>
      <c r="B172" s="131">
        <f t="shared" si="280"/>
        <v>0</v>
      </c>
      <c r="C172" s="131">
        <f t="shared" si="247"/>
        <v>5.5524676975217107</v>
      </c>
      <c r="D172" s="131">
        <f t="shared" si="248"/>
        <v>0.13141935378749611</v>
      </c>
      <c r="E172" s="131">
        <f t="shared" si="249"/>
        <v>8.2443387157218968</v>
      </c>
      <c r="F172" s="131">
        <f t="shared" si="250"/>
        <v>5.9384354683655678</v>
      </c>
      <c r="G172" s="131">
        <f t="shared" si="251"/>
        <v>9.8564515340622078E-2</v>
      </c>
      <c r="H172" s="131">
        <f t="shared" si="252"/>
        <v>0</v>
      </c>
      <c r="I172" s="131">
        <f t="shared" si="253"/>
        <v>0</v>
      </c>
      <c r="J172" s="131">
        <f t="shared" si="254"/>
        <v>0</v>
      </c>
      <c r="K172" s="131">
        <f t="shared" si="255"/>
        <v>17.564596809672008</v>
      </c>
      <c r="L172" s="131">
        <f t="shared" si="256"/>
        <v>0</v>
      </c>
      <c r="M172" s="131">
        <f t="shared" si="257"/>
        <v>0</v>
      </c>
      <c r="O172" s="130">
        <v>3</v>
      </c>
      <c r="P172" s="131">
        <f>'Stasiun Pontianak Kota'!Q230</f>
        <v>0</v>
      </c>
      <c r="Q172" s="131">
        <f>'Stasiun Pontianak Kota'!R230</f>
        <v>0</v>
      </c>
      <c r="R172" s="131">
        <f>'Stasiun Pontianak Kota'!S230</f>
        <v>0</v>
      </c>
      <c r="S172" s="131">
        <f>'Stasiun Pontianak Kota'!T230</f>
        <v>9</v>
      </c>
      <c r="T172" s="131">
        <f>'Stasiun Pontianak Kota'!U230</f>
        <v>4</v>
      </c>
      <c r="U172" s="131">
        <f>'Stasiun Pontianak Kota'!V230</f>
        <v>0</v>
      </c>
      <c r="V172" s="131">
        <f>'Stasiun Pontianak Kota'!W230</f>
        <v>0</v>
      </c>
      <c r="W172" s="131">
        <f>'Stasiun Pontianak Kota'!X230</f>
        <v>0</v>
      </c>
      <c r="X172" s="131">
        <f>'Stasiun Pontianak Kota'!Y230</f>
        <v>0</v>
      </c>
      <c r="Y172" s="131">
        <f>'Stasiun Pontianak Kota'!Z230</f>
        <v>22</v>
      </c>
      <c r="Z172" s="131">
        <f>'Stasiun Pontianak Kota'!AA230</f>
        <v>0</v>
      </c>
      <c r="AA172" s="131">
        <f>'Stasiun Pontianak Kota'!AB230</f>
        <v>0</v>
      </c>
      <c r="AC172" s="130">
        <v>3</v>
      </c>
      <c r="AD172" s="131">
        <f>'Sta. Meteorologi pnk'!B190</f>
        <v>0</v>
      </c>
      <c r="AE172" s="131">
        <f>'Sta. Meteorologi pnk'!C190</f>
        <v>16.899999999999999</v>
      </c>
      <c r="AF172" s="131">
        <f>'Sta. Meteorologi pnk'!D190</f>
        <v>0.4</v>
      </c>
      <c r="AG172" s="131">
        <f>'Sta. Meteorologi pnk'!E190</f>
        <v>6.7</v>
      </c>
      <c r="AH172" s="131">
        <f>'Sta. Meteorologi pnk'!F190</f>
        <v>9.9</v>
      </c>
      <c r="AI172" s="131">
        <f>'Sta. Meteorologi pnk'!G190</f>
        <v>0.3</v>
      </c>
      <c r="AJ172" s="131">
        <f>'Sta. Meteorologi pnk'!H190</f>
        <v>0</v>
      </c>
      <c r="AK172" s="131">
        <f>'Sta. Meteorologi pnk'!I190</f>
        <v>0</v>
      </c>
      <c r="AL172" s="131">
        <f>'Sta. Meteorologi pnk'!J190</f>
        <v>0</v>
      </c>
      <c r="AM172" s="131">
        <f>'Sta. Meteorologi pnk'!K190</f>
        <v>8.5</v>
      </c>
      <c r="AN172" s="131">
        <f>'Sta. Meteorologi pnk'!L190</f>
        <v>0</v>
      </c>
      <c r="AO172" s="131">
        <f>'Sta. Meteorologi pnk'!M190</f>
        <v>0</v>
      </c>
      <c r="AQ172" s="130">
        <v>3</v>
      </c>
      <c r="AR172" s="131">
        <f t="shared" si="281"/>
        <v>0</v>
      </c>
      <c r="AS172" s="131">
        <f t="shared" si="258"/>
        <v>11.42769044347553</v>
      </c>
      <c r="AT172" s="131">
        <f t="shared" si="259"/>
        <v>0.27047788031894748</v>
      </c>
      <c r="AU172" s="131">
        <f t="shared" si="260"/>
        <v>7.444752188166051</v>
      </c>
      <c r="AV172" s="131">
        <f t="shared" si="261"/>
        <v>7.9895487347044769</v>
      </c>
      <c r="AW172" s="131">
        <f t="shared" si="262"/>
        <v>0.20285841023921061</v>
      </c>
      <c r="AX172" s="131">
        <f t="shared" si="263"/>
        <v>0</v>
      </c>
      <c r="AY172" s="131">
        <f t="shared" si="264"/>
        <v>0</v>
      </c>
      <c r="AZ172" s="131">
        <f t="shared" si="265"/>
        <v>0</v>
      </c>
      <c r="BA172" s="131">
        <f t="shared" si="266"/>
        <v>12.871371539235522</v>
      </c>
      <c r="BB172" s="131">
        <f t="shared" si="267"/>
        <v>0</v>
      </c>
      <c r="BC172" s="131">
        <f t="shared" si="268"/>
        <v>0</v>
      </c>
      <c r="BE172" s="130">
        <v>3</v>
      </c>
      <c r="BF172" s="131">
        <f t="shared" si="282"/>
        <v>0</v>
      </c>
      <c r="BG172" s="131">
        <f t="shared" si="269"/>
        <v>10.69197515652886</v>
      </c>
      <c r="BH172" s="131">
        <f t="shared" si="270"/>
        <v>0.2530645007462452</v>
      </c>
      <c r="BI172" s="131">
        <f t="shared" si="271"/>
        <v>7.5448791207090897</v>
      </c>
      <c r="BJ172" s="131">
        <f t="shared" si="272"/>
        <v>7.7327013860071174</v>
      </c>
      <c r="BK172" s="131">
        <f t="shared" si="273"/>
        <v>0.18979837555968387</v>
      </c>
      <c r="BL172" s="131">
        <f t="shared" si="274"/>
        <v>0</v>
      </c>
      <c r="BM172" s="131">
        <f t="shared" si="275"/>
        <v>0</v>
      </c>
      <c r="BN172" s="131">
        <f t="shared" si="276"/>
        <v>0</v>
      </c>
      <c r="BO172" s="131">
        <f t="shared" si="277"/>
        <v>13.459073099814225</v>
      </c>
      <c r="BP172" s="131">
        <f t="shared" si="278"/>
        <v>0</v>
      </c>
      <c r="BQ172" s="131">
        <f t="shared" si="279"/>
        <v>0</v>
      </c>
    </row>
    <row r="173" spans="1:70">
      <c r="A173" s="130">
        <v>4</v>
      </c>
      <c r="B173" s="131">
        <f t="shared" si="280"/>
        <v>0</v>
      </c>
      <c r="C173" s="131">
        <f t="shared" si="247"/>
        <v>0</v>
      </c>
      <c r="D173" s="131">
        <f t="shared" si="248"/>
        <v>15.236354748830918</v>
      </c>
      <c r="E173" s="131">
        <f t="shared" si="249"/>
        <v>0</v>
      </c>
      <c r="F173" s="131">
        <f t="shared" si="250"/>
        <v>0</v>
      </c>
      <c r="G173" s="131">
        <f t="shared" si="251"/>
        <v>0</v>
      </c>
      <c r="H173" s="131">
        <f t="shared" si="252"/>
        <v>36.028709693187558</v>
      </c>
      <c r="I173" s="131">
        <f t="shared" si="253"/>
        <v>0</v>
      </c>
      <c r="J173" s="131">
        <f t="shared" si="254"/>
        <v>4.0287096931875581</v>
      </c>
      <c r="K173" s="131">
        <f t="shared" si="255"/>
        <v>8.0513548302999673</v>
      </c>
      <c r="L173" s="131">
        <f t="shared" si="256"/>
        <v>0</v>
      </c>
      <c r="M173" s="131">
        <f t="shared" si="257"/>
        <v>0</v>
      </c>
      <c r="O173" s="130">
        <v>4</v>
      </c>
      <c r="P173" s="131">
        <f>'Stasiun Pontianak Kota'!Q231</f>
        <v>0</v>
      </c>
      <c r="Q173" s="131">
        <f>'Stasiun Pontianak Kota'!R231</f>
        <v>0</v>
      </c>
      <c r="R173" s="131">
        <f>'Stasiun Pontianak Kota'!S231</f>
        <v>4</v>
      </c>
      <c r="S173" s="131">
        <f>'Stasiun Pontianak Kota'!T231</f>
        <v>0</v>
      </c>
      <c r="T173" s="131">
        <f>'Stasiun Pontianak Kota'!U231</f>
        <v>0</v>
      </c>
      <c r="U173" s="131">
        <f>'Stasiun Pontianak Kota'!V231</f>
        <v>0</v>
      </c>
      <c r="V173" s="131">
        <f>'Stasiun Pontianak Kota'!W231</f>
        <v>38</v>
      </c>
      <c r="W173" s="131">
        <f>'Stasiun Pontianak Kota'!X231</f>
        <v>0</v>
      </c>
      <c r="X173" s="131">
        <f>'Stasiun Pontianak Kota'!Y231</f>
        <v>6</v>
      </c>
      <c r="Y173" s="131">
        <f>'Stasiun Pontianak Kota'!Z231</f>
        <v>7</v>
      </c>
      <c r="Z173" s="131">
        <f>'Stasiun Pontianak Kota'!AA231</f>
        <v>0</v>
      </c>
      <c r="AA173" s="131">
        <f>'Stasiun Pontianak Kota'!AB231</f>
        <v>0</v>
      </c>
      <c r="AC173" s="130">
        <v>4</v>
      </c>
      <c r="AD173" s="131">
        <f>'Sta. Meteorologi pnk'!B191</f>
        <v>0</v>
      </c>
      <c r="AE173" s="131">
        <f>'Sta. Meteorologi pnk'!C191</f>
        <v>0</v>
      </c>
      <c r="AF173" s="131">
        <f>'Sta. Meteorologi pnk'!D191</f>
        <v>38.200000000000003</v>
      </c>
      <c r="AG173" s="131">
        <f>'Sta. Meteorologi pnk'!E191</f>
        <v>0</v>
      </c>
      <c r="AH173" s="131">
        <f>'Sta. Meteorologi pnk'!F191</f>
        <v>0</v>
      </c>
      <c r="AI173" s="131">
        <f>'Sta. Meteorologi pnk'!G191</f>
        <v>0</v>
      </c>
      <c r="AJ173" s="131">
        <f>'Sta. Meteorologi pnk'!H191</f>
        <v>32</v>
      </c>
      <c r="AK173" s="131">
        <f>'Sta. Meteorologi pnk'!I191</f>
        <v>0</v>
      </c>
      <c r="AL173" s="131">
        <f>'Sta. Meteorologi pnk'!J191</f>
        <v>0</v>
      </c>
      <c r="AM173" s="131">
        <f>'Sta. Meteorologi pnk'!K191</f>
        <v>10.199999999999999</v>
      </c>
      <c r="AN173" s="131">
        <f>'Sta. Meteorologi pnk'!L191</f>
        <v>0</v>
      </c>
      <c r="AO173" s="131">
        <f>'Sta. Meteorologi pnk'!M191</f>
        <v>0</v>
      </c>
      <c r="AQ173" s="130">
        <v>4</v>
      </c>
      <c r="AR173" s="131">
        <f t="shared" si="281"/>
        <v>0</v>
      </c>
      <c r="AS173" s="131">
        <f t="shared" si="258"/>
        <v>0</v>
      </c>
      <c r="AT173" s="131">
        <f t="shared" si="259"/>
        <v>27.12585876727001</v>
      </c>
      <c r="AU173" s="131">
        <f t="shared" si="260"/>
        <v>0</v>
      </c>
      <c r="AV173" s="131">
        <f t="shared" si="261"/>
        <v>0</v>
      </c>
      <c r="AW173" s="131">
        <f t="shared" si="262"/>
        <v>0</v>
      </c>
      <c r="AX173" s="131">
        <f t="shared" si="263"/>
        <v>33.942831795215788</v>
      </c>
      <c r="AY173" s="131">
        <f t="shared" si="264"/>
        <v>0</v>
      </c>
      <c r="AZ173" s="131">
        <f t="shared" si="265"/>
        <v>1.942831795215787</v>
      </c>
      <c r="BA173" s="131">
        <f t="shared" si="266"/>
        <v>9.163823042551579</v>
      </c>
      <c r="BB173" s="131">
        <f t="shared" si="267"/>
        <v>0</v>
      </c>
      <c r="BC173" s="131">
        <f t="shared" si="268"/>
        <v>0</v>
      </c>
      <c r="BE173" s="130">
        <v>4</v>
      </c>
      <c r="BF173" s="131">
        <f t="shared" si="282"/>
        <v>0</v>
      </c>
      <c r="BG173" s="131">
        <f t="shared" si="269"/>
        <v>0</v>
      </c>
      <c r="BH173" s="131">
        <f t="shared" si="270"/>
        <v>25.637014813803969</v>
      </c>
      <c r="BI173" s="131">
        <f t="shared" si="271"/>
        <v>0</v>
      </c>
      <c r="BJ173" s="131">
        <f t="shared" si="272"/>
        <v>0</v>
      </c>
      <c r="BK173" s="131">
        <f t="shared" si="273"/>
        <v>0</v>
      </c>
      <c r="BL173" s="131">
        <f t="shared" si="274"/>
        <v>34.204032488806327</v>
      </c>
      <c r="BM173" s="131">
        <f t="shared" si="275"/>
        <v>0</v>
      </c>
      <c r="BN173" s="131">
        <f t="shared" si="276"/>
        <v>2.2040324888063219</v>
      </c>
      <c r="BO173" s="131">
        <f t="shared" si="277"/>
        <v>9.0245160059699607</v>
      </c>
      <c r="BP173" s="131">
        <f t="shared" si="278"/>
        <v>0</v>
      </c>
      <c r="BQ173" s="131">
        <f t="shared" si="279"/>
        <v>0</v>
      </c>
    </row>
    <row r="174" spans="1:70">
      <c r="A174" s="130">
        <v>5</v>
      </c>
      <c r="B174" s="131">
        <f t="shared" si="280"/>
        <v>6.5709676893748056E-2</v>
      </c>
      <c r="C174" s="131">
        <f t="shared" si="247"/>
        <v>0</v>
      </c>
      <c r="D174" s="131">
        <f t="shared" si="248"/>
        <v>0.65709676893748048</v>
      </c>
      <c r="E174" s="131">
        <f t="shared" si="249"/>
        <v>0</v>
      </c>
      <c r="F174" s="131">
        <f t="shared" si="250"/>
        <v>57.556306519153374</v>
      </c>
      <c r="G174" s="131">
        <f t="shared" si="251"/>
        <v>0</v>
      </c>
      <c r="H174" s="131">
        <f t="shared" si="252"/>
        <v>0</v>
      </c>
      <c r="I174" s="131">
        <f t="shared" si="253"/>
        <v>0</v>
      </c>
      <c r="J174" s="131">
        <f t="shared" si="254"/>
        <v>3.7454515829436392</v>
      </c>
      <c r="K174" s="131">
        <f t="shared" si="255"/>
        <v>0.39425806136248831</v>
      </c>
      <c r="L174" s="131">
        <f t="shared" si="256"/>
        <v>59.244032392094248</v>
      </c>
      <c r="M174" s="131">
        <f t="shared" si="257"/>
        <v>0.49282257670311042</v>
      </c>
      <c r="O174" s="130">
        <v>5</v>
      </c>
      <c r="P174" s="131">
        <f>'Stasiun Pontianak Kota'!Q232</f>
        <v>0</v>
      </c>
      <c r="Q174" s="131">
        <f>'Stasiun Pontianak Kota'!R232</f>
        <v>0</v>
      </c>
      <c r="R174" s="131">
        <f>'Stasiun Pontianak Kota'!S232</f>
        <v>0</v>
      </c>
      <c r="S174" s="131">
        <f>'Stasiun Pontianak Kota'!T232</f>
        <v>0</v>
      </c>
      <c r="T174" s="131">
        <f>'Stasiun Pontianak Kota'!U232</f>
        <v>66</v>
      </c>
      <c r="U174" s="131">
        <f>'Stasiun Pontianak Kota'!V232</f>
        <v>0</v>
      </c>
      <c r="V174" s="131">
        <f>'Stasiun Pontianak Kota'!W232</f>
        <v>0</v>
      </c>
      <c r="W174" s="131">
        <f>'Stasiun Pontianak Kota'!X232</f>
        <v>0</v>
      </c>
      <c r="X174" s="131">
        <f>'Stasiun Pontianak Kota'!Y232</f>
        <v>0</v>
      </c>
      <c r="Y174" s="131">
        <f>'Stasiun Pontianak Kota'!Z232</f>
        <v>0</v>
      </c>
      <c r="Z174" s="131">
        <f>'Stasiun Pontianak Kota'!AA232</f>
        <v>76</v>
      </c>
      <c r="AA174" s="131">
        <f>'Stasiun Pontianak Kota'!AB232</f>
        <v>0</v>
      </c>
      <c r="AC174" s="130">
        <v>5</v>
      </c>
      <c r="AD174" s="131">
        <f>'Sta. Meteorologi pnk'!B192</f>
        <v>0.2</v>
      </c>
      <c r="AE174" s="131">
        <f>'Sta. Meteorologi pnk'!C192</f>
        <v>0</v>
      </c>
      <c r="AF174" s="131">
        <f>'Sta. Meteorologi pnk'!D192</f>
        <v>2</v>
      </c>
      <c r="AG174" s="131">
        <f>'Sta. Meteorologi pnk'!E192</f>
        <v>0</v>
      </c>
      <c r="AH174" s="131">
        <f>'Sta. Meteorologi pnk'!F192</f>
        <v>40.299999999999997</v>
      </c>
      <c r="AI174" s="131">
        <f>'Sta. Meteorologi pnk'!G192</f>
        <v>0</v>
      </c>
      <c r="AJ174" s="131">
        <f>'Sta. Meteorologi pnk'!H192</f>
        <v>0</v>
      </c>
      <c r="AK174" s="131">
        <f>'Sta. Meteorologi pnk'!I192</f>
        <v>0</v>
      </c>
      <c r="AL174" s="131">
        <f>'Sta. Meteorologi pnk'!J192</f>
        <v>11.4</v>
      </c>
      <c r="AM174" s="131">
        <f>'Sta. Meteorologi pnk'!K192</f>
        <v>1.2</v>
      </c>
      <c r="AN174" s="131">
        <f>'Sta. Meteorologi pnk'!L192</f>
        <v>25</v>
      </c>
      <c r="AO174" s="131">
        <f>'Sta. Meteorologi pnk'!M192</f>
        <v>1.5</v>
      </c>
      <c r="AQ174" s="130">
        <v>5</v>
      </c>
      <c r="AR174" s="131">
        <f t="shared" si="281"/>
        <v>0.13523894015947374</v>
      </c>
      <c r="AS174" s="131">
        <f t="shared" si="258"/>
        <v>0</v>
      </c>
      <c r="AT174" s="131">
        <f t="shared" si="259"/>
        <v>1.3523894015947375</v>
      </c>
      <c r="AU174" s="131">
        <f t="shared" si="260"/>
        <v>0</v>
      </c>
      <c r="AV174" s="131">
        <f t="shared" si="261"/>
        <v>48.62179618950762</v>
      </c>
      <c r="AW174" s="131">
        <f t="shared" si="262"/>
        <v>0</v>
      </c>
      <c r="AX174" s="131">
        <f t="shared" si="263"/>
        <v>0</v>
      </c>
      <c r="AY174" s="131">
        <f t="shared" si="264"/>
        <v>0</v>
      </c>
      <c r="AZ174" s="131">
        <f t="shared" si="265"/>
        <v>7.7086195890900031</v>
      </c>
      <c r="BA174" s="131">
        <f t="shared" si="266"/>
        <v>0.81143364095684245</v>
      </c>
      <c r="BB174" s="131">
        <f t="shared" si="267"/>
        <v>41.51407025933419</v>
      </c>
      <c r="BC174" s="131">
        <f t="shared" si="268"/>
        <v>1.0142920511960531</v>
      </c>
      <c r="BE174" s="130">
        <v>5</v>
      </c>
      <c r="BF174" s="131">
        <f t="shared" si="282"/>
        <v>0.1265322503731226</v>
      </c>
      <c r="BG174" s="131">
        <f t="shared" si="269"/>
        <v>0</v>
      </c>
      <c r="BH174" s="131">
        <f t="shared" si="270"/>
        <v>1.2653225037312259</v>
      </c>
      <c r="BI174" s="131">
        <f t="shared" si="271"/>
        <v>0</v>
      </c>
      <c r="BJ174" s="131">
        <f t="shared" si="272"/>
        <v>49.740605827053749</v>
      </c>
      <c r="BK174" s="131">
        <f t="shared" si="273"/>
        <v>0</v>
      </c>
      <c r="BL174" s="131">
        <f t="shared" si="274"/>
        <v>0</v>
      </c>
      <c r="BM174" s="131">
        <f t="shared" si="275"/>
        <v>0</v>
      </c>
      <c r="BN174" s="131">
        <f t="shared" si="276"/>
        <v>7.2123382712679884</v>
      </c>
      <c r="BO174" s="131">
        <f t="shared" si="277"/>
        <v>0.7591935022387355</v>
      </c>
      <c r="BP174" s="131">
        <f t="shared" si="278"/>
        <v>43.734276154853738</v>
      </c>
      <c r="BQ174" s="131">
        <f t="shared" si="279"/>
        <v>0.94899187779841954</v>
      </c>
    </row>
    <row r="175" spans="1:70">
      <c r="A175" s="130">
        <v>6</v>
      </c>
      <c r="B175" s="131">
        <f t="shared" si="280"/>
        <v>0</v>
      </c>
      <c r="C175" s="131">
        <f t="shared" si="247"/>
        <v>0</v>
      </c>
      <c r="D175" s="131">
        <f t="shared" si="248"/>
        <v>2.2114838772750232</v>
      </c>
      <c r="E175" s="131">
        <f t="shared" si="249"/>
        <v>0</v>
      </c>
      <c r="F175" s="131">
        <f t="shared" si="250"/>
        <v>2.1684193374936855</v>
      </c>
      <c r="G175" s="131">
        <f t="shared" si="251"/>
        <v>0</v>
      </c>
      <c r="H175" s="131">
        <f t="shared" si="252"/>
        <v>27.228064458312282</v>
      </c>
      <c r="I175" s="131">
        <f t="shared" si="253"/>
        <v>22.014354846593779</v>
      </c>
      <c r="J175" s="131">
        <f t="shared" si="254"/>
        <v>10.466032294331384</v>
      </c>
      <c r="K175" s="131">
        <f t="shared" si="255"/>
        <v>1.149919345640591</v>
      </c>
      <c r="L175" s="131">
        <f t="shared" si="256"/>
        <v>6.9486451697000309</v>
      </c>
      <c r="M175" s="131">
        <f t="shared" si="257"/>
        <v>1.4456128916624573</v>
      </c>
      <c r="O175" s="130">
        <v>6</v>
      </c>
      <c r="P175" s="131">
        <f>'Stasiun Pontianak Kota'!Q233</f>
        <v>0</v>
      </c>
      <c r="Q175" s="131">
        <f>'Stasiun Pontianak Kota'!R233</f>
        <v>0</v>
      </c>
      <c r="R175" s="131">
        <f>'Stasiun Pontianak Kota'!S233</f>
        <v>3</v>
      </c>
      <c r="S175" s="131">
        <f>'Stasiun Pontianak Kota'!T233</f>
        <v>0</v>
      </c>
      <c r="T175" s="131">
        <f>'Stasiun Pontianak Kota'!U233</f>
        <v>0</v>
      </c>
      <c r="U175" s="131">
        <f>'Stasiun Pontianak Kota'!V233</f>
        <v>0</v>
      </c>
      <c r="V175" s="131">
        <f>'Stasiun Pontianak Kota'!W233</f>
        <v>20</v>
      </c>
      <c r="W175" s="131">
        <f>'Stasiun Pontianak Kota'!X233</f>
        <v>23</v>
      </c>
      <c r="X175" s="131">
        <f>'Stasiun Pontianak Kota'!Y233</f>
        <v>15</v>
      </c>
      <c r="Y175" s="131">
        <f>'Stasiun Pontianak Kota'!Z233</f>
        <v>0</v>
      </c>
      <c r="Z175" s="131">
        <f>'Stasiun Pontianak Kota'!AA233</f>
        <v>8</v>
      </c>
      <c r="AA175" s="131">
        <f>'Stasiun Pontianak Kota'!AB233</f>
        <v>0</v>
      </c>
      <c r="AC175" s="130">
        <v>6</v>
      </c>
      <c r="AD175" s="131">
        <f>'Sta. Meteorologi pnk'!B193</f>
        <v>0</v>
      </c>
      <c r="AE175" s="131">
        <f>'Sta. Meteorologi pnk'!C193</f>
        <v>0</v>
      </c>
      <c r="AF175" s="131">
        <f>'Sta. Meteorologi pnk'!D193</f>
        <v>0.6</v>
      </c>
      <c r="AG175" s="131">
        <f>'Sta. Meteorologi pnk'!E193</f>
        <v>0</v>
      </c>
      <c r="AH175" s="131">
        <f>'Sta. Meteorologi pnk'!F193</f>
        <v>6.6</v>
      </c>
      <c r="AI175" s="131">
        <f>'Sta. Meteorologi pnk'!G193</f>
        <v>0</v>
      </c>
      <c r="AJ175" s="131">
        <f>'Sta. Meteorologi pnk'!H193</f>
        <v>42</v>
      </c>
      <c r="AK175" s="131">
        <f>'Sta. Meteorologi pnk'!I193</f>
        <v>20</v>
      </c>
      <c r="AL175" s="131">
        <f>'Sta. Meteorologi pnk'!J193</f>
        <v>1.2</v>
      </c>
      <c r="AM175" s="131">
        <f>'Sta. Meteorologi pnk'!K193</f>
        <v>3.5</v>
      </c>
      <c r="AN175" s="131">
        <f>'Sta. Meteorologi pnk'!L193</f>
        <v>4.8</v>
      </c>
      <c r="AO175" s="131">
        <f>'Sta. Meteorologi pnk'!M193</f>
        <v>4.4000000000000004</v>
      </c>
      <c r="AQ175" s="130">
        <v>6</v>
      </c>
      <c r="AR175" s="131">
        <f t="shared" si="281"/>
        <v>0</v>
      </c>
      <c r="AS175" s="131">
        <f t="shared" si="258"/>
        <v>0</v>
      </c>
      <c r="AT175" s="131">
        <f t="shared" si="259"/>
        <v>1.3771327180863149</v>
      </c>
      <c r="AU175" s="131">
        <f t="shared" si="260"/>
        <v>0</v>
      </c>
      <c r="AV175" s="131">
        <f t="shared" si="261"/>
        <v>4.4628850252626338</v>
      </c>
      <c r="AW175" s="131">
        <f t="shared" si="262"/>
        <v>0</v>
      </c>
      <c r="AX175" s="131">
        <f t="shared" si="263"/>
        <v>34.876283417542112</v>
      </c>
      <c r="AY175" s="131">
        <f t="shared" si="264"/>
        <v>20.971415897607894</v>
      </c>
      <c r="AZ175" s="131">
        <f t="shared" si="265"/>
        <v>5.6685131289963104</v>
      </c>
      <c r="BA175" s="131">
        <f t="shared" si="266"/>
        <v>2.3666814527907905</v>
      </c>
      <c r="BB175" s="131">
        <f t="shared" si="267"/>
        <v>5.8361769574484201</v>
      </c>
      <c r="BC175" s="131">
        <f t="shared" si="268"/>
        <v>2.9752566835084227</v>
      </c>
      <c r="BE175" s="130">
        <v>6</v>
      </c>
      <c r="BF175" s="131">
        <f t="shared" si="282"/>
        <v>0</v>
      </c>
      <c r="BG175" s="131">
        <f t="shared" si="269"/>
        <v>0</v>
      </c>
      <c r="BH175" s="131">
        <f t="shared" si="270"/>
        <v>1.4816129955225288</v>
      </c>
      <c r="BI175" s="131">
        <f t="shared" si="271"/>
        <v>0</v>
      </c>
      <c r="BJ175" s="131">
        <f t="shared" si="272"/>
        <v>4.1755642623130456</v>
      </c>
      <c r="BK175" s="131">
        <f t="shared" si="273"/>
        <v>0</v>
      </c>
      <c r="BL175" s="131">
        <f t="shared" si="274"/>
        <v>33.918547541043488</v>
      </c>
      <c r="BM175" s="131">
        <f t="shared" si="275"/>
        <v>21.102016244403163</v>
      </c>
      <c r="BN175" s="131">
        <f t="shared" si="276"/>
        <v>6.269274724254541</v>
      </c>
      <c r="BO175" s="131">
        <f t="shared" si="277"/>
        <v>2.2143143815296455</v>
      </c>
      <c r="BP175" s="131">
        <f t="shared" si="278"/>
        <v>5.9754839940300393</v>
      </c>
      <c r="BQ175" s="131">
        <f t="shared" si="279"/>
        <v>2.7837095082086973</v>
      </c>
    </row>
    <row r="176" spans="1:70">
      <c r="A176" s="130">
        <v>7</v>
      </c>
      <c r="B176" s="131">
        <f t="shared" si="280"/>
        <v>0</v>
      </c>
      <c r="C176" s="131">
        <f t="shared" si="247"/>
        <v>0</v>
      </c>
      <c r="D176" s="131">
        <f t="shared" si="248"/>
        <v>0</v>
      </c>
      <c r="E176" s="131">
        <f t="shared" si="249"/>
        <v>0</v>
      </c>
      <c r="F176" s="131">
        <f t="shared" si="250"/>
        <v>17.839870953024946</v>
      </c>
      <c r="G176" s="131">
        <f t="shared" si="251"/>
        <v>0</v>
      </c>
      <c r="H176" s="131">
        <f t="shared" si="252"/>
        <v>29.599371058934711</v>
      </c>
      <c r="I176" s="131">
        <f t="shared" si="253"/>
        <v>31</v>
      </c>
      <c r="J176" s="131">
        <f t="shared" si="254"/>
        <v>6.3368386749873711</v>
      </c>
      <c r="K176" s="131">
        <f t="shared" si="255"/>
        <v>6.0452902742248202</v>
      </c>
      <c r="L176" s="131">
        <f t="shared" si="256"/>
        <v>0</v>
      </c>
      <c r="M176" s="131">
        <f t="shared" si="257"/>
        <v>8.0822902579310103</v>
      </c>
      <c r="O176" s="130">
        <v>7</v>
      </c>
      <c r="P176" s="131">
        <f>'Stasiun Pontianak Kota'!Q234</f>
        <v>0</v>
      </c>
      <c r="Q176" s="131">
        <f>'Stasiun Pontianak Kota'!R234</f>
        <v>0</v>
      </c>
      <c r="R176" s="131">
        <f>'Stasiun Pontianak Kota'!S234</f>
        <v>0</v>
      </c>
      <c r="S176" s="131">
        <f>'Stasiun Pontianak Kota'!T234</f>
        <v>0</v>
      </c>
      <c r="T176" s="131">
        <f>'Stasiun Pontianak Kota'!U234</f>
        <v>16</v>
      </c>
      <c r="U176" s="131">
        <f>'Stasiun Pontianak Kota'!V234</f>
        <v>0</v>
      </c>
      <c r="V176" s="131">
        <f>'Stasiun Pontianak Kota'!W234</f>
        <v>41</v>
      </c>
      <c r="W176" s="131">
        <f>'Stasiun Pontianak Kota'!X234</f>
        <v>31</v>
      </c>
      <c r="X176" s="131">
        <f>'Stasiun Pontianak Kota'!Y234</f>
        <v>2</v>
      </c>
      <c r="Y176" s="131">
        <f>'Stasiun Pontianak Kota'!Z234</f>
        <v>0</v>
      </c>
      <c r="Z176" s="131">
        <f>'Stasiun Pontianak Kota'!AA234</f>
        <v>0</v>
      </c>
      <c r="AA176" s="131">
        <f>'Stasiun Pontianak Kota'!AB234</f>
        <v>0</v>
      </c>
      <c r="AC176" s="130">
        <v>7</v>
      </c>
      <c r="AD176" s="131">
        <f>'Sta. Meteorologi pnk'!B194</f>
        <v>0</v>
      </c>
      <c r="AE176" s="131">
        <f>'Sta. Meteorologi pnk'!C194</f>
        <v>0</v>
      </c>
      <c r="AF176" s="131">
        <f>'Sta. Meteorologi pnk'!D194</f>
        <v>0</v>
      </c>
      <c r="AG176" s="131">
        <f>'Sta. Meteorologi pnk'!E194</f>
        <v>0</v>
      </c>
      <c r="AH176" s="131">
        <f>'Sta. Meteorologi pnk'!F194</f>
        <v>21.6</v>
      </c>
      <c r="AI176" s="131">
        <f>'Sta. Meteorologi pnk'!G194</f>
        <v>0</v>
      </c>
      <c r="AJ176" s="131">
        <f>'Sta. Meteorologi pnk'!H194</f>
        <v>6.3</v>
      </c>
      <c r="AK176" s="131">
        <f>'Sta. Meteorologi pnk'!I194</f>
        <v>31</v>
      </c>
      <c r="AL176" s="131">
        <f>'Sta. Meteorologi pnk'!J194</f>
        <v>15.2</v>
      </c>
      <c r="AM176" s="131">
        <f>'Sta. Meteorologi pnk'!K194</f>
        <v>18.399999999999999</v>
      </c>
      <c r="AN176" s="131">
        <f>'Sta. Meteorologi pnk'!L194</f>
        <v>0</v>
      </c>
      <c r="AO176" s="131">
        <f>'Sta. Meteorologi pnk'!M194</f>
        <v>24.6</v>
      </c>
      <c r="AQ176" s="130">
        <v>7</v>
      </c>
      <c r="AR176" s="131">
        <f t="shared" si="281"/>
        <v>0</v>
      </c>
      <c r="AS176" s="131">
        <f t="shared" si="258"/>
        <v>0</v>
      </c>
      <c r="AT176" s="131">
        <f t="shared" si="259"/>
        <v>0</v>
      </c>
      <c r="AU176" s="131">
        <f t="shared" si="260"/>
        <v>0</v>
      </c>
      <c r="AV176" s="131">
        <f t="shared" si="261"/>
        <v>19.786690324465262</v>
      </c>
      <c r="AW176" s="131">
        <f t="shared" si="262"/>
        <v>0</v>
      </c>
      <c r="AX176" s="131">
        <f t="shared" si="263"/>
        <v>17.536043882331303</v>
      </c>
      <c r="AY176" s="131">
        <f t="shared" si="264"/>
        <v>30.999999999999996</v>
      </c>
      <c r="AZ176" s="131">
        <f t="shared" si="265"/>
        <v>10.925770050525268</v>
      </c>
      <c r="BA176" s="131">
        <f t="shared" si="266"/>
        <v>12.441982494671585</v>
      </c>
      <c r="BB176" s="131">
        <f t="shared" si="267"/>
        <v>0</v>
      </c>
      <c r="BC176" s="131">
        <f t="shared" si="268"/>
        <v>16.634389639615272</v>
      </c>
      <c r="BE176" s="130">
        <v>7</v>
      </c>
      <c r="BF176" s="131">
        <f t="shared" si="282"/>
        <v>0</v>
      </c>
      <c r="BG176" s="131">
        <f t="shared" si="269"/>
        <v>0</v>
      </c>
      <c r="BH176" s="131">
        <f t="shared" si="270"/>
        <v>0</v>
      </c>
      <c r="BI176" s="131">
        <f t="shared" si="271"/>
        <v>0</v>
      </c>
      <c r="BJ176" s="131">
        <f t="shared" si="272"/>
        <v>19.542903010447432</v>
      </c>
      <c r="BK176" s="131">
        <f t="shared" si="273"/>
        <v>0</v>
      </c>
      <c r="BL176" s="131">
        <f t="shared" si="274"/>
        <v>19.046654560263232</v>
      </c>
      <c r="BM176" s="131">
        <f t="shared" si="275"/>
        <v>31</v>
      </c>
      <c r="BN176" s="131">
        <f t="shared" si="276"/>
        <v>10.351128524626091</v>
      </c>
      <c r="BO176" s="131">
        <f t="shared" si="277"/>
        <v>11.64096703432728</v>
      </c>
      <c r="BP176" s="131">
        <f t="shared" si="278"/>
        <v>0</v>
      </c>
      <c r="BQ176" s="131">
        <f t="shared" si="279"/>
        <v>15.563466795894081</v>
      </c>
    </row>
    <row r="177" spans="1:69">
      <c r="A177" s="130">
        <v>8</v>
      </c>
      <c r="B177" s="131">
        <f t="shared" si="280"/>
        <v>0</v>
      </c>
      <c r="C177" s="131">
        <f t="shared" si="247"/>
        <v>0</v>
      </c>
      <c r="D177" s="131">
        <f t="shared" si="248"/>
        <v>0</v>
      </c>
      <c r="E177" s="131">
        <f t="shared" si="249"/>
        <v>0</v>
      </c>
      <c r="F177" s="131">
        <f t="shared" si="250"/>
        <v>0</v>
      </c>
      <c r="G177" s="131">
        <f t="shared" si="251"/>
        <v>0</v>
      </c>
      <c r="H177" s="131">
        <f t="shared" si="252"/>
        <v>0</v>
      </c>
      <c r="I177" s="131">
        <f t="shared" si="253"/>
        <v>1.7700161308718818</v>
      </c>
      <c r="J177" s="131">
        <f t="shared" si="254"/>
        <v>0.68995160738435457</v>
      </c>
      <c r="K177" s="131">
        <f t="shared" si="255"/>
        <v>23.632225897381581</v>
      </c>
      <c r="L177" s="131">
        <f t="shared" si="256"/>
        <v>38.071774232968892</v>
      </c>
      <c r="M177" s="131">
        <f t="shared" si="257"/>
        <v>0.49282257670311042</v>
      </c>
      <c r="O177" s="130">
        <v>8</v>
      </c>
      <c r="P177" s="131">
        <f>'Stasiun Pontianak Kota'!Q235</f>
        <v>0</v>
      </c>
      <c r="Q177" s="131">
        <f>'Stasiun Pontianak Kota'!R235</f>
        <v>0</v>
      </c>
      <c r="R177" s="131">
        <f>'Stasiun Pontianak Kota'!S235</f>
        <v>0</v>
      </c>
      <c r="S177" s="131">
        <f>'Stasiun Pontianak Kota'!T235</f>
        <v>0</v>
      </c>
      <c r="T177" s="131">
        <f>'Stasiun Pontianak Kota'!U235</f>
        <v>0</v>
      </c>
      <c r="U177" s="131">
        <f>'Stasiun Pontianak Kota'!V235</f>
        <v>0</v>
      </c>
      <c r="V177" s="131">
        <f>'Stasiun Pontianak Kota'!W235</f>
        <v>0</v>
      </c>
      <c r="W177" s="131">
        <f>'Stasiun Pontianak Kota'!X235</f>
        <v>2</v>
      </c>
      <c r="X177" s="131">
        <f>'Stasiun Pontianak Kota'!Y235</f>
        <v>0</v>
      </c>
      <c r="Y177" s="131">
        <f>'Stasiun Pontianak Kota'!Z235</f>
        <v>35</v>
      </c>
      <c r="Z177" s="131">
        <f>'Stasiun Pontianak Kota'!AA235</f>
        <v>43</v>
      </c>
      <c r="AA177" s="131">
        <f>'Stasiun Pontianak Kota'!AB235</f>
        <v>0</v>
      </c>
      <c r="AC177" s="130">
        <v>8</v>
      </c>
      <c r="AD177" s="131">
        <f>'Sta. Meteorologi pnk'!B195</f>
        <v>0</v>
      </c>
      <c r="AE177" s="131">
        <f>'Sta. Meteorologi pnk'!C195</f>
        <v>0</v>
      </c>
      <c r="AF177" s="131">
        <f>'Sta. Meteorologi pnk'!D195</f>
        <v>0</v>
      </c>
      <c r="AG177" s="131">
        <f>'Sta. Meteorologi pnk'!E195</f>
        <v>0</v>
      </c>
      <c r="AH177" s="131">
        <f>'Sta. Meteorologi pnk'!F195</f>
        <v>0</v>
      </c>
      <c r="AI177" s="131">
        <f>'Sta. Meteorologi pnk'!G195</f>
        <v>0</v>
      </c>
      <c r="AJ177" s="131">
        <f>'Sta. Meteorologi pnk'!H195</f>
        <v>0</v>
      </c>
      <c r="AK177" s="131">
        <f>'Sta. Meteorologi pnk'!I195</f>
        <v>1.3</v>
      </c>
      <c r="AL177" s="131">
        <f>'Sta. Meteorologi pnk'!J195</f>
        <v>2.1</v>
      </c>
      <c r="AM177" s="131">
        <f>'Sta. Meteorologi pnk'!K195</f>
        <v>0.4</v>
      </c>
      <c r="AN177" s="131">
        <f>'Sta. Meteorologi pnk'!L195</f>
        <v>28</v>
      </c>
      <c r="AO177" s="131">
        <f>'Sta. Meteorologi pnk'!M195</f>
        <v>1.5</v>
      </c>
      <c r="AQ177" s="130">
        <v>8</v>
      </c>
      <c r="AR177" s="131">
        <f t="shared" si="281"/>
        <v>0</v>
      </c>
      <c r="AS177" s="131">
        <f t="shared" si="258"/>
        <v>0</v>
      </c>
      <c r="AT177" s="131">
        <f t="shared" si="259"/>
        <v>0</v>
      </c>
      <c r="AU177" s="131">
        <f t="shared" si="260"/>
        <v>0</v>
      </c>
      <c r="AV177" s="131">
        <f t="shared" si="261"/>
        <v>0</v>
      </c>
      <c r="AW177" s="131">
        <f t="shared" si="262"/>
        <v>0</v>
      </c>
      <c r="AX177" s="131">
        <f t="shared" si="263"/>
        <v>0</v>
      </c>
      <c r="AY177" s="131">
        <f t="shared" si="264"/>
        <v>1.5266637094418418</v>
      </c>
      <c r="AZ177" s="131">
        <f t="shared" si="265"/>
        <v>1.4200088716744745</v>
      </c>
      <c r="BA177" s="131">
        <f t="shared" si="266"/>
        <v>11.60366335241104</v>
      </c>
      <c r="BB177" s="131">
        <f t="shared" si="267"/>
        <v>32.857079488039467</v>
      </c>
      <c r="BC177" s="131">
        <f t="shared" si="268"/>
        <v>1.0142920511960531</v>
      </c>
      <c r="BE177" s="130">
        <v>8</v>
      </c>
      <c r="BF177" s="131">
        <f t="shared" si="282"/>
        <v>0</v>
      </c>
      <c r="BG177" s="131">
        <f t="shared" si="269"/>
        <v>0</v>
      </c>
      <c r="BH177" s="131">
        <f t="shared" si="270"/>
        <v>0</v>
      </c>
      <c r="BI177" s="131">
        <f t="shared" si="271"/>
        <v>0</v>
      </c>
      <c r="BJ177" s="131">
        <f t="shared" si="272"/>
        <v>0</v>
      </c>
      <c r="BK177" s="131">
        <f t="shared" si="273"/>
        <v>0</v>
      </c>
      <c r="BL177" s="131">
        <f t="shared" si="274"/>
        <v>0</v>
      </c>
      <c r="BM177" s="131">
        <f t="shared" si="275"/>
        <v>1.5571371236940712</v>
      </c>
      <c r="BN177" s="131">
        <f t="shared" si="276"/>
        <v>1.3285886289177873</v>
      </c>
      <c r="BO177" s="131">
        <f t="shared" si="277"/>
        <v>13.10992068544979</v>
      </c>
      <c r="BP177" s="131">
        <f t="shared" si="278"/>
        <v>33.510081222015806</v>
      </c>
      <c r="BQ177" s="131">
        <f t="shared" si="279"/>
        <v>0.94899187779841954</v>
      </c>
    </row>
    <row r="178" spans="1:69">
      <c r="A178" s="130">
        <v>9</v>
      </c>
      <c r="B178" s="131">
        <f t="shared" si="280"/>
        <v>0</v>
      </c>
      <c r="C178" s="131">
        <f t="shared" si="247"/>
        <v>0</v>
      </c>
      <c r="D178" s="131">
        <f t="shared" si="248"/>
        <v>0</v>
      </c>
      <c r="E178" s="131">
        <f t="shared" si="249"/>
        <v>0</v>
      </c>
      <c r="F178" s="131">
        <f t="shared" si="250"/>
        <v>0.32854838446874024</v>
      </c>
      <c r="G178" s="131">
        <f t="shared" si="251"/>
        <v>9.035080572890358</v>
      </c>
      <c r="H178" s="131">
        <f t="shared" si="252"/>
        <v>78.499193456405905</v>
      </c>
      <c r="I178" s="131">
        <f t="shared" si="253"/>
        <v>0</v>
      </c>
      <c r="J178" s="131">
        <f t="shared" si="254"/>
        <v>4.7228064458312291</v>
      </c>
      <c r="K178" s="131">
        <f t="shared" si="255"/>
        <v>1.0513548302999689</v>
      </c>
      <c r="L178" s="131">
        <f t="shared" si="256"/>
        <v>2.3141935378749614</v>
      </c>
      <c r="M178" s="131">
        <f t="shared" si="257"/>
        <v>22.027096605999379</v>
      </c>
      <c r="O178" s="130">
        <v>9</v>
      </c>
      <c r="P178" s="131">
        <f>'Stasiun Pontianak Kota'!Q236</f>
        <v>0</v>
      </c>
      <c r="Q178" s="131">
        <f>'Stasiun Pontianak Kota'!R236</f>
        <v>0</v>
      </c>
      <c r="R178" s="131">
        <f>'Stasiun Pontianak Kota'!S236</f>
        <v>0</v>
      </c>
      <c r="S178" s="131">
        <f>'Stasiun Pontianak Kota'!T236</f>
        <v>0</v>
      </c>
      <c r="T178" s="131">
        <f>'Stasiun Pontianak Kota'!U236</f>
        <v>0</v>
      </c>
      <c r="U178" s="131">
        <f>'Stasiun Pontianak Kota'!V236</f>
        <v>0</v>
      </c>
      <c r="V178" s="131">
        <f>'Stasiun Pontianak Kota'!W236</f>
        <v>67</v>
      </c>
      <c r="W178" s="131">
        <f>'Stasiun Pontianak Kota'!X236</f>
        <v>0</v>
      </c>
      <c r="X178" s="131">
        <f>'Stasiun Pontianak Kota'!Y236</f>
        <v>4</v>
      </c>
      <c r="Y178" s="131">
        <f>'Stasiun Pontianak Kota'!Z236</f>
        <v>0</v>
      </c>
      <c r="Z178" s="131">
        <f>'Stasiun Pontianak Kota'!AA236</f>
        <v>1</v>
      </c>
      <c r="AA178" s="131">
        <f>'Stasiun Pontianak Kota'!AB236</f>
        <v>1</v>
      </c>
      <c r="AC178" s="130">
        <v>9</v>
      </c>
      <c r="AD178" s="131">
        <f>'Sta. Meteorologi pnk'!B196</f>
        <v>0</v>
      </c>
      <c r="AE178" s="131">
        <f>'Sta. Meteorologi pnk'!C196</f>
        <v>0</v>
      </c>
      <c r="AF178" s="131">
        <f>'Sta. Meteorologi pnk'!D196</f>
        <v>0</v>
      </c>
      <c r="AG178" s="131">
        <f>'Sta. Meteorologi pnk'!E196</f>
        <v>0</v>
      </c>
      <c r="AH178" s="131">
        <f>'Sta. Meteorologi pnk'!F196</f>
        <v>1</v>
      </c>
      <c r="AI178" s="131">
        <f>'Sta. Meteorologi pnk'!G196</f>
        <v>27.5</v>
      </c>
      <c r="AJ178" s="131">
        <f>'Sta. Meteorologi pnk'!H196</f>
        <v>102</v>
      </c>
      <c r="AK178" s="131">
        <f>'Sta. Meteorologi pnk'!I196</f>
        <v>0</v>
      </c>
      <c r="AL178" s="131">
        <f>'Sta. Meteorologi pnk'!J196</f>
        <v>6.2</v>
      </c>
      <c r="AM178" s="131">
        <f>'Sta. Meteorologi pnk'!K196</f>
        <v>3.2</v>
      </c>
      <c r="AN178" s="131">
        <f>'Sta. Meteorologi pnk'!L196</f>
        <v>5</v>
      </c>
      <c r="AO178" s="131">
        <f>'Sta. Meteorologi pnk'!M196</f>
        <v>65</v>
      </c>
      <c r="AQ178" s="130">
        <v>9</v>
      </c>
      <c r="AR178" s="131">
        <f t="shared" si="281"/>
        <v>0</v>
      </c>
      <c r="AS178" s="131">
        <f t="shared" si="258"/>
        <v>0</v>
      </c>
      <c r="AT178" s="131">
        <f t="shared" si="259"/>
        <v>0</v>
      </c>
      <c r="AU178" s="131">
        <f t="shared" si="260"/>
        <v>0</v>
      </c>
      <c r="AV178" s="131">
        <f t="shared" si="261"/>
        <v>0.67619470079736876</v>
      </c>
      <c r="AW178" s="131">
        <f t="shared" si="262"/>
        <v>18.59535427192764</v>
      </c>
      <c r="AX178" s="131">
        <f t="shared" si="263"/>
        <v>90.666814527907903</v>
      </c>
      <c r="AY178" s="131">
        <f t="shared" si="264"/>
        <v>0</v>
      </c>
      <c r="AZ178" s="131">
        <f t="shared" si="265"/>
        <v>5.4876283417542107</v>
      </c>
      <c r="BA178" s="131">
        <f t="shared" si="266"/>
        <v>2.1638230425515799</v>
      </c>
      <c r="BB178" s="131">
        <f t="shared" si="267"/>
        <v>3.7047788031894755</v>
      </c>
      <c r="BC178" s="131">
        <f t="shared" si="268"/>
        <v>44.276460851031594</v>
      </c>
      <c r="BE178" s="130">
        <v>9</v>
      </c>
      <c r="BF178" s="131">
        <f t="shared" si="282"/>
        <v>0</v>
      </c>
      <c r="BG178" s="131">
        <f t="shared" si="269"/>
        <v>0</v>
      </c>
      <c r="BH178" s="131">
        <f t="shared" si="270"/>
        <v>0</v>
      </c>
      <c r="BI178" s="131">
        <f t="shared" si="271"/>
        <v>0</v>
      </c>
      <c r="BJ178" s="131">
        <f t="shared" si="272"/>
        <v>0.63266125186561295</v>
      </c>
      <c r="BK178" s="131">
        <f t="shared" si="273"/>
        <v>17.398184426304358</v>
      </c>
      <c r="BL178" s="131">
        <f t="shared" si="274"/>
        <v>89.143143815296455</v>
      </c>
      <c r="BM178" s="131">
        <f t="shared" si="275"/>
        <v>0</v>
      </c>
      <c r="BN178" s="131">
        <f t="shared" si="276"/>
        <v>5.3918547541043491</v>
      </c>
      <c r="BO178" s="131">
        <f t="shared" si="277"/>
        <v>2.0245160059699616</v>
      </c>
      <c r="BP178" s="131">
        <f t="shared" si="278"/>
        <v>3.5306450074624522</v>
      </c>
      <c r="BQ178" s="131">
        <f t="shared" si="279"/>
        <v>41.490320119399229</v>
      </c>
    </row>
    <row r="179" spans="1:69">
      <c r="A179" s="130">
        <v>10</v>
      </c>
      <c r="B179" s="131">
        <f t="shared" si="280"/>
        <v>0</v>
      </c>
      <c r="C179" s="131">
        <f t="shared" si="247"/>
        <v>0</v>
      </c>
      <c r="D179" s="131">
        <f t="shared" si="248"/>
        <v>4.2711289980936229</v>
      </c>
      <c r="E179" s="131">
        <f t="shared" si="249"/>
        <v>0</v>
      </c>
      <c r="F179" s="131">
        <f t="shared" si="250"/>
        <v>0</v>
      </c>
      <c r="G179" s="131">
        <f t="shared" si="251"/>
        <v>24.030935427631039</v>
      </c>
      <c r="H179" s="131">
        <f t="shared" si="252"/>
        <v>4.2771935541687709</v>
      </c>
      <c r="I179" s="131">
        <f t="shared" si="253"/>
        <v>40.496967721962427</v>
      </c>
      <c r="J179" s="131">
        <f t="shared" si="254"/>
        <v>29.383742036400371</v>
      </c>
      <c r="K179" s="131">
        <f t="shared" si="255"/>
        <v>22.420742020106562</v>
      </c>
      <c r="L179" s="131">
        <f t="shared" si="256"/>
        <v>0.49282257670311042</v>
      </c>
      <c r="M179" s="131">
        <f t="shared" si="257"/>
        <v>47.001613087188176</v>
      </c>
      <c r="O179" s="130">
        <v>10</v>
      </c>
      <c r="P179" s="131">
        <f>'Stasiun Pontianak Kota'!Q237</f>
        <v>0</v>
      </c>
      <c r="Q179" s="131">
        <f>'Stasiun Pontianak Kota'!R237</f>
        <v>0</v>
      </c>
      <c r="R179" s="131">
        <f>'Stasiun Pontianak Kota'!S237</f>
        <v>0</v>
      </c>
      <c r="S179" s="131">
        <f>'Stasiun Pontianak Kota'!T237</f>
        <v>0</v>
      </c>
      <c r="T179" s="131">
        <f>'Stasiun Pontianak Kota'!U237</f>
        <v>0</v>
      </c>
      <c r="U179" s="131">
        <f>'Stasiun Pontianak Kota'!V237</f>
        <v>17</v>
      </c>
      <c r="V179" s="131">
        <f>'Stasiun Pontianak Kota'!W237</f>
        <v>5</v>
      </c>
      <c r="W179" s="131">
        <f>'Stasiun Pontianak Kota'!X237</f>
        <v>38</v>
      </c>
      <c r="X179" s="131">
        <f>'Stasiun Pontianak Kota'!Y237</f>
        <v>42</v>
      </c>
      <c r="Y179" s="131">
        <f>'Stasiun Pontianak Kota'!Z237</f>
        <v>33</v>
      </c>
      <c r="Z179" s="131">
        <f>'Stasiun Pontianak Kota'!AA237</f>
        <v>0</v>
      </c>
      <c r="AA179" s="131">
        <f>'Stasiun Pontianak Kota'!AB237</f>
        <v>70</v>
      </c>
      <c r="AC179" s="130">
        <v>10</v>
      </c>
      <c r="AD179" s="131">
        <f>'Sta. Meteorologi pnk'!B197</f>
        <v>0</v>
      </c>
      <c r="AE179" s="131">
        <f>'Sta. Meteorologi pnk'!C197</f>
        <v>0</v>
      </c>
      <c r="AF179" s="131">
        <f>'Sta. Meteorologi pnk'!D197</f>
        <v>13</v>
      </c>
      <c r="AG179" s="131">
        <f>'Sta. Meteorologi pnk'!E197</f>
        <v>0</v>
      </c>
      <c r="AH179" s="131">
        <f>'Sta. Meteorologi pnk'!F197</f>
        <v>0</v>
      </c>
      <c r="AI179" s="131">
        <f>'Sta. Meteorologi pnk'!G197</f>
        <v>38.4</v>
      </c>
      <c r="AJ179" s="131">
        <f>'Sta. Meteorologi pnk'!H197</f>
        <v>2.8</v>
      </c>
      <c r="AK179" s="131">
        <f>'Sta. Meteorologi pnk'!I197</f>
        <v>45.6</v>
      </c>
      <c r="AL179" s="131">
        <f>'Sta. Meteorologi pnk'!J197</f>
        <v>3.6</v>
      </c>
      <c r="AM179" s="131">
        <f>'Sta. Meteorologi pnk'!K197</f>
        <v>0.8</v>
      </c>
      <c r="AN179" s="131">
        <f>'Sta. Meteorologi pnk'!L197</f>
        <v>1.5</v>
      </c>
      <c r="AO179" s="131">
        <f>'Sta. Meteorologi pnk'!M197</f>
        <v>0</v>
      </c>
      <c r="AQ179" s="130">
        <v>10</v>
      </c>
      <c r="AR179" s="131">
        <f t="shared" si="281"/>
        <v>0</v>
      </c>
      <c r="AS179" s="131">
        <f t="shared" si="258"/>
        <v>0</v>
      </c>
      <c r="AT179" s="131">
        <f t="shared" si="259"/>
        <v>8.7905311103657926</v>
      </c>
      <c r="AU179" s="131">
        <f t="shared" si="260"/>
        <v>0</v>
      </c>
      <c r="AV179" s="131">
        <f t="shared" si="261"/>
        <v>0</v>
      </c>
      <c r="AW179" s="131">
        <f t="shared" si="262"/>
        <v>31.470566597063687</v>
      </c>
      <c r="AX179" s="131">
        <f t="shared" si="263"/>
        <v>3.5123716582457885</v>
      </c>
      <c r="AY179" s="131">
        <f t="shared" si="264"/>
        <v>43.139079726059997</v>
      </c>
      <c r="AZ179" s="131">
        <f t="shared" si="265"/>
        <v>16.034123489381038</v>
      </c>
      <c r="BA179" s="131">
        <f t="shared" si="266"/>
        <v>11.226530634324725</v>
      </c>
      <c r="BB179" s="131">
        <f t="shared" si="267"/>
        <v>1.0142920511960531</v>
      </c>
      <c r="BC179" s="131">
        <f t="shared" si="268"/>
        <v>22.666370944184184</v>
      </c>
      <c r="BE179" s="130">
        <v>10</v>
      </c>
      <c r="BF179" s="131">
        <f t="shared" si="282"/>
        <v>0</v>
      </c>
      <c r="BG179" s="131">
        <f t="shared" si="269"/>
        <v>0</v>
      </c>
      <c r="BH179" s="131">
        <f t="shared" si="270"/>
        <v>8.2245962742529688</v>
      </c>
      <c r="BI179" s="131">
        <f t="shared" si="271"/>
        <v>0</v>
      </c>
      <c r="BJ179" s="131">
        <f t="shared" si="272"/>
        <v>0</v>
      </c>
      <c r="BK179" s="131">
        <f t="shared" si="273"/>
        <v>30.538950789924119</v>
      </c>
      <c r="BL179" s="131">
        <f t="shared" si="274"/>
        <v>3.6081452458956509</v>
      </c>
      <c r="BM179" s="131">
        <f t="shared" si="275"/>
        <v>42.808225514178659</v>
      </c>
      <c r="BN179" s="131">
        <f t="shared" si="276"/>
        <v>17.705807928360461</v>
      </c>
      <c r="BO179" s="131">
        <f t="shared" si="277"/>
        <v>12.628307689927261</v>
      </c>
      <c r="BP179" s="131">
        <f t="shared" si="278"/>
        <v>0.94899187779841954</v>
      </c>
      <c r="BQ179" s="131">
        <f t="shared" si="279"/>
        <v>25.713712369407091</v>
      </c>
    </row>
    <row r="180" spans="1:69">
      <c r="A180" s="130">
        <v>11</v>
      </c>
      <c r="B180" s="131">
        <f t="shared" si="280"/>
        <v>0</v>
      </c>
      <c r="C180" s="131">
        <f t="shared" si="247"/>
        <v>0</v>
      </c>
      <c r="D180" s="131">
        <f t="shared" si="248"/>
        <v>95.492209929447796</v>
      </c>
      <c r="E180" s="131">
        <f t="shared" si="249"/>
        <v>0.16427419223437012</v>
      </c>
      <c r="F180" s="131">
        <f t="shared" si="250"/>
        <v>38.913870920437326</v>
      </c>
      <c r="G180" s="131">
        <f t="shared" si="251"/>
        <v>0</v>
      </c>
      <c r="H180" s="131">
        <f t="shared" si="252"/>
        <v>0</v>
      </c>
      <c r="I180" s="131">
        <f t="shared" si="253"/>
        <v>14.347048376321837</v>
      </c>
      <c r="J180" s="131">
        <f t="shared" si="254"/>
        <v>30.326628973652909</v>
      </c>
      <c r="K180" s="131">
        <f t="shared" si="255"/>
        <v>1.314193537874961</v>
      </c>
      <c r="L180" s="131">
        <f t="shared" si="256"/>
        <v>0</v>
      </c>
      <c r="M180" s="131">
        <f t="shared" si="257"/>
        <v>0</v>
      </c>
      <c r="O180" s="130">
        <v>11</v>
      </c>
      <c r="P180" s="131">
        <f>'Stasiun Pontianak Kota'!Q238</f>
        <v>0</v>
      </c>
      <c r="Q180" s="131">
        <f>'Stasiun Pontianak Kota'!R238</f>
        <v>0</v>
      </c>
      <c r="R180" s="131">
        <f>'Stasiun Pontianak Kota'!S238</f>
        <v>127</v>
      </c>
      <c r="S180" s="131">
        <f>'Stasiun Pontianak Kota'!T238</f>
        <v>0</v>
      </c>
      <c r="T180" s="131">
        <f>'Stasiun Pontianak Kota'!U238</f>
        <v>33</v>
      </c>
      <c r="U180" s="131">
        <f>'Stasiun Pontianak Kota'!V238</f>
        <v>0</v>
      </c>
      <c r="V180" s="131">
        <f>'Stasiun Pontianak Kota'!W238</f>
        <v>0</v>
      </c>
      <c r="W180" s="131">
        <f>'Stasiun Pontianak Kota'!X238</f>
        <v>13</v>
      </c>
      <c r="X180" s="131">
        <f>'Stasiun Pontianak Kota'!Y238</f>
        <v>23</v>
      </c>
      <c r="Y180" s="131">
        <f>'Stasiun Pontianak Kota'!Z238</f>
        <v>0</v>
      </c>
      <c r="Z180" s="131">
        <f>'Stasiun Pontianak Kota'!AA238</f>
        <v>0</v>
      </c>
      <c r="AA180" s="131">
        <f>'Stasiun Pontianak Kota'!AB238</f>
        <v>0</v>
      </c>
      <c r="AC180" s="130">
        <v>11</v>
      </c>
      <c r="AD180" s="131">
        <f>'Sta. Meteorologi pnk'!B198</f>
        <v>0</v>
      </c>
      <c r="AE180" s="131">
        <f>'Sta. Meteorologi pnk'!C198</f>
        <v>0</v>
      </c>
      <c r="AF180" s="131">
        <f>'Sta. Meteorologi pnk'!D198</f>
        <v>31.1</v>
      </c>
      <c r="AG180" s="131">
        <f>'Sta. Meteorologi pnk'!E198</f>
        <v>0.5</v>
      </c>
      <c r="AH180" s="131">
        <f>'Sta. Meteorologi pnk'!F198</f>
        <v>51</v>
      </c>
      <c r="AI180" s="131">
        <f>'Sta. Meteorologi pnk'!G198</f>
        <v>0</v>
      </c>
      <c r="AJ180" s="131">
        <f>'Sta. Meteorologi pnk'!H198</f>
        <v>0</v>
      </c>
      <c r="AK180" s="131">
        <f>'Sta. Meteorologi pnk'!I198</f>
        <v>17.100000000000001</v>
      </c>
      <c r="AL180" s="131">
        <f>'Sta. Meteorologi pnk'!J198</f>
        <v>45.3</v>
      </c>
      <c r="AM180" s="131">
        <f>'Sta. Meteorologi pnk'!K198</f>
        <v>4</v>
      </c>
      <c r="AN180" s="131">
        <f>'Sta. Meteorologi pnk'!L198</f>
        <v>0</v>
      </c>
      <c r="AO180" s="131">
        <f>'Sta. Meteorologi pnk'!M198</f>
        <v>0</v>
      </c>
      <c r="AQ180" s="130">
        <v>11</v>
      </c>
      <c r="AR180" s="131">
        <f t="shared" si="281"/>
        <v>0</v>
      </c>
      <c r="AS180" s="131">
        <f t="shared" si="258"/>
        <v>0</v>
      </c>
      <c r="AT180" s="131">
        <f t="shared" si="259"/>
        <v>62.152928193532333</v>
      </c>
      <c r="AU180" s="131">
        <f t="shared" si="260"/>
        <v>0.33809735039868438</v>
      </c>
      <c r="AV180" s="131">
        <f t="shared" si="261"/>
        <v>45.171504614352635</v>
      </c>
      <c r="AW180" s="131">
        <f t="shared" si="262"/>
        <v>0</v>
      </c>
      <c r="AX180" s="131">
        <f t="shared" si="263"/>
        <v>0</v>
      </c>
      <c r="AY180" s="131">
        <f t="shared" si="264"/>
        <v>15.772398273269211</v>
      </c>
      <c r="AZ180" s="131">
        <f t="shared" si="265"/>
        <v>38.079141827781314</v>
      </c>
      <c r="BA180" s="131">
        <f t="shared" si="266"/>
        <v>2.7047788031894751</v>
      </c>
      <c r="BB180" s="131">
        <f t="shared" si="267"/>
        <v>0</v>
      </c>
      <c r="BC180" s="131">
        <f t="shared" si="268"/>
        <v>0</v>
      </c>
      <c r="BE180" s="130">
        <v>11</v>
      </c>
      <c r="BF180" s="131">
        <f t="shared" si="282"/>
        <v>0</v>
      </c>
      <c r="BG180" s="131">
        <f t="shared" si="269"/>
        <v>0</v>
      </c>
      <c r="BH180" s="131">
        <f t="shared" si="270"/>
        <v>66.327785946087715</v>
      </c>
      <c r="BI180" s="131">
        <f t="shared" si="271"/>
        <v>0.31633062593280648</v>
      </c>
      <c r="BJ180" s="131">
        <f t="shared" si="272"/>
        <v>44.387902533581034</v>
      </c>
      <c r="BK180" s="131">
        <f t="shared" si="273"/>
        <v>0</v>
      </c>
      <c r="BL180" s="131">
        <f t="shared" si="274"/>
        <v>0</v>
      </c>
      <c r="BM180" s="131">
        <f t="shared" si="275"/>
        <v>15.593911132649014</v>
      </c>
      <c r="BN180" s="131">
        <f t="shared" si="276"/>
        <v>37.10834591660317</v>
      </c>
      <c r="BO180" s="131">
        <f t="shared" si="277"/>
        <v>2.5306450074624518</v>
      </c>
      <c r="BP180" s="131">
        <f t="shared" si="278"/>
        <v>0</v>
      </c>
      <c r="BQ180" s="131">
        <f t="shared" si="279"/>
        <v>0</v>
      </c>
    </row>
    <row r="181" spans="1:69">
      <c r="A181" s="130">
        <v>12</v>
      </c>
      <c r="B181" s="131">
        <f t="shared" si="280"/>
        <v>0</v>
      </c>
      <c r="C181" s="131">
        <f t="shared" si="247"/>
        <v>0</v>
      </c>
      <c r="D181" s="131">
        <f t="shared" si="248"/>
        <v>0</v>
      </c>
      <c r="E181" s="131">
        <f t="shared" si="249"/>
        <v>0</v>
      </c>
      <c r="F181" s="131">
        <f t="shared" si="250"/>
        <v>24.041145128965503</v>
      </c>
      <c r="G181" s="131">
        <f t="shared" si="251"/>
        <v>0.65709676893748048</v>
      </c>
      <c r="H181" s="131">
        <f t="shared" si="252"/>
        <v>77.70430645397812</v>
      </c>
      <c r="I181" s="131">
        <f t="shared" si="253"/>
        <v>0</v>
      </c>
      <c r="J181" s="131">
        <f t="shared" si="254"/>
        <v>8.4108386423997512</v>
      </c>
      <c r="K181" s="131">
        <f t="shared" si="255"/>
        <v>6.2484838609812137</v>
      </c>
      <c r="L181" s="131">
        <f t="shared" si="256"/>
        <v>7.2609192967591598</v>
      </c>
      <c r="M181" s="131">
        <f t="shared" si="257"/>
        <v>0.98564515340622083</v>
      </c>
      <c r="O181" s="130">
        <v>12</v>
      </c>
      <c r="P181" s="131">
        <f>'Stasiun Pontianak Kota'!Q239</f>
        <v>0</v>
      </c>
      <c r="Q181" s="131">
        <f>'Stasiun Pontianak Kota'!R239</f>
        <v>0</v>
      </c>
      <c r="R181" s="131">
        <f>'Stasiun Pontianak Kota'!S239</f>
        <v>0</v>
      </c>
      <c r="S181" s="131">
        <f>'Stasiun Pontianak Kota'!T239</f>
        <v>0</v>
      </c>
      <c r="T181" s="131">
        <f>'Stasiun Pontianak Kota'!U239</f>
        <v>20</v>
      </c>
      <c r="U181" s="131">
        <f>'Stasiun Pontianak Kota'!V239</f>
        <v>0</v>
      </c>
      <c r="V181" s="131">
        <f>'Stasiun Pontianak Kota'!W239</f>
        <v>78</v>
      </c>
      <c r="W181" s="131">
        <f>'Stasiun Pontianak Kota'!X239</f>
        <v>0</v>
      </c>
      <c r="X181" s="131">
        <f>'Stasiun Pontianak Kota'!Y239</f>
        <v>0</v>
      </c>
      <c r="Y181" s="131">
        <f>'Stasiun Pontianak Kota'!Z239</f>
        <v>5</v>
      </c>
      <c r="Z181" s="131">
        <f>'Stasiun Pontianak Kota'!AA239</f>
        <v>0</v>
      </c>
      <c r="AA181" s="131">
        <f>'Stasiun Pontianak Kota'!AB239</f>
        <v>0</v>
      </c>
      <c r="AC181" s="130">
        <v>12</v>
      </c>
      <c r="AD181" s="131">
        <f>'Sta. Meteorologi pnk'!B199</f>
        <v>0</v>
      </c>
      <c r="AE181" s="131">
        <f>'Sta. Meteorologi pnk'!C199</f>
        <v>0</v>
      </c>
      <c r="AF181" s="131">
        <f>'Sta. Meteorologi pnk'!D199</f>
        <v>0</v>
      </c>
      <c r="AG181" s="131">
        <f>'Sta. Meteorologi pnk'!E199</f>
        <v>0</v>
      </c>
      <c r="AH181" s="131">
        <f>'Sta. Meteorologi pnk'!F199</f>
        <v>32.299999999999997</v>
      </c>
      <c r="AI181" s="131">
        <f>'Sta. Meteorologi pnk'!G199</f>
        <v>2</v>
      </c>
      <c r="AJ181" s="131">
        <f>'Sta. Meteorologi pnk'!H199</f>
        <v>77.099999999999994</v>
      </c>
      <c r="AK181" s="131">
        <f>'Sta. Meteorologi pnk'!I199</f>
        <v>0</v>
      </c>
      <c r="AL181" s="131">
        <f>'Sta. Meteorologi pnk'!J199</f>
        <v>25.6</v>
      </c>
      <c r="AM181" s="131">
        <f>'Sta. Meteorologi pnk'!K199</f>
        <v>8.8000000000000007</v>
      </c>
      <c r="AN181" s="131">
        <f>'Sta. Meteorologi pnk'!L199</f>
        <v>22.1</v>
      </c>
      <c r="AO181" s="131">
        <f>'Sta. Meteorologi pnk'!M199</f>
        <v>3</v>
      </c>
      <c r="AQ181" s="130">
        <v>12</v>
      </c>
      <c r="AR181" s="131">
        <f t="shared" si="281"/>
        <v>0</v>
      </c>
      <c r="AS181" s="131">
        <f t="shared" si="258"/>
        <v>0</v>
      </c>
      <c r="AT181" s="131">
        <f t="shared" si="259"/>
        <v>0</v>
      </c>
      <c r="AU181" s="131">
        <f t="shared" si="260"/>
        <v>0</v>
      </c>
      <c r="AV181" s="131">
        <f t="shared" si="261"/>
        <v>28.317194819807629</v>
      </c>
      <c r="AW181" s="131">
        <f t="shared" si="262"/>
        <v>1.3523894015947375</v>
      </c>
      <c r="AX181" s="131">
        <f t="shared" si="263"/>
        <v>77.391424769282366</v>
      </c>
      <c r="AY181" s="131">
        <f t="shared" si="264"/>
        <v>0</v>
      </c>
      <c r="AZ181" s="131">
        <f t="shared" si="265"/>
        <v>17.310584340412639</v>
      </c>
      <c r="BA181" s="131">
        <f t="shared" si="266"/>
        <v>7.569539863030001</v>
      </c>
      <c r="BB181" s="131">
        <f t="shared" si="267"/>
        <v>14.943902887621849</v>
      </c>
      <c r="BC181" s="131">
        <f t="shared" si="268"/>
        <v>2.0285841023921063</v>
      </c>
      <c r="BE181" s="130">
        <v>12</v>
      </c>
      <c r="BF181" s="131">
        <f t="shared" si="282"/>
        <v>0</v>
      </c>
      <c r="BG181" s="131">
        <f t="shared" si="269"/>
        <v>0</v>
      </c>
      <c r="BH181" s="131">
        <f t="shared" si="270"/>
        <v>0</v>
      </c>
      <c r="BI181" s="131">
        <f t="shared" si="271"/>
        <v>0</v>
      </c>
      <c r="BJ181" s="131">
        <f t="shared" si="272"/>
        <v>27.781733397947036</v>
      </c>
      <c r="BK181" s="131">
        <f t="shared" si="273"/>
        <v>1.2653225037312259</v>
      </c>
      <c r="BL181" s="131">
        <f t="shared" si="274"/>
        <v>77.430604873320945</v>
      </c>
      <c r="BM181" s="131">
        <f t="shared" si="275"/>
        <v>0</v>
      </c>
      <c r="BN181" s="131">
        <f t="shared" si="276"/>
        <v>16.196128047759693</v>
      </c>
      <c r="BO181" s="131">
        <f t="shared" si="277"/>
        <v>7.4041127570893295</v>
      </c>
      <c r="BP181" s="131">
        <f t="shared" si="278"/>
        <v>13.981813666230046</v>
      </c>
      <c r="BQ181" s="131">
        <f t="shared" si="279"/>
        <v>1.8979837555968391</v>
      </c>
    </row>
    <row r="182" spans="1:69">
      <c r="A182" s="130">
        <v>13</v>
      </c>
      <c r="B182" s="131">
        <f t="shared" si="280"/>
        <v>6.2998386912811819</v>
      </c>
      <c r="C182" s="131">
        <f t="shared" si="247"/>
        <v>0</v>
      </c>
      <c r="D182" s="131">
        <f t="shared" si="248"/>
        <v>0.26283870757499223</v>
      </c>
      <c r="E182" s="131">
        <f t="shared" si="249"/>
        <v>0</v>
      </c>
      <c r="F182" s="131">
        <f t="shared" si="250"/>
        <v>1.2813386994280871</v>
      </c>
      <c r="G182" s="131">
        <f t="shared" si="251"/>
        <v>0</v>
      </c>
      <c r="H182" s="131">
        <f t="shared" si="252"/>
        <v>0.68995160738435457</v>
      </c>
      <c r="I182" s="131">
        <f t="shared" si="253"/>
        <v>40.794580678800124</v>
      </c>
      <c r="J182" s="131">
        <f t="shared" si="254"/>
        <v>1.8727257914718196</v>
      </c>
      <c r="K182" s="131">
        <f t="shared" si="255"/>
        <v>6.5709676893748056E-2</v>
      </c>
      <c r="L182" s="131">
        <f t="shared" si="256"/>
        <v>13.109080540302736</v>
      </c>
      <c r="M182" s="131">
        <f t="shared" si="257"/>
        <v>1.314193537874961</v>
      </c>
      <c r="O182" s="130">
        <v>13</v>
      </c>
      <c r="P182" s="131">
        <f>'Stasiun Pontianak Kota'!Q240</f>
        <v>4</v>
      </c>
      <c r="Q182" s="131">
        <f>'Stasiun Pontianak Kota'!R240</f>
        <v>0</v>
      </c>
      <c r="R182" s="131">
        <f>'Stasiun Pontianak Kota'!S240</f>
        <v>0</v>
      </c>
      <c r="S182" s="131">
        <f>'Stasiun Pontianak Kota'!T240</f>
        <v>0</v>
      </c>
      <c r="T182" s="131">
        <f>'Stasiun Pontianak Kota'!U240</f>
        <v>0</v>
      </c>
      <c r="U182" s="131">
        <f>'Stasiun Pontianak Kota'!V240</f>
        <v>0</v>
      </c>
      <c r="V182" s="131">
        <f>'Stasiun Pontianak Kota'!W240</f>
        <v>0</v>
      </c>
      <c r="W182" s="131">
        <f>'Stasiun Pontianak Kota'!X240</f>
        <v>45</v>
      </c>
      <c r="X182" s="131">
        <f>'Stasiun Pontianak Kota'!Y240</f>
        <v>0</v>
      </c>
      <c r="Y182" s="131">
        <f>'Stasiun Pontianak Kota'!Z240</f>
        <v>0</v>
      </c>
      <c r="Z182" s="131">
        <f>'Stasiun Pontianak Kota'!AA240</f>
        <v>0</v>
      </c>
      <c r="AA182" s="131">
        <f>'Stasiun Pontianak Kota'!AB240</f>
        <v>0</v>
      </c>
      <c r="AC182" s="130">
        <v>13</v>
      </c>
      <c r="AD182" s="131">
        <f>'Sta. Meteorologi pnk'!B200</f>
        <v>11</v>
      </c>
      <c r="AE182" s="131">
        <f>'Sta. Meteorologi pnk'!C200</f>
        <v>0</v>
      </c>
      <c r="AF182" s="131">
        <f>'Sta. Meteorologi pnk'!D200</f>
        <v>0.8</v>
      </c>
      <c r="AG182" s="131">
        <f>'Sta. Meteorologi pnk'!E200</f>
        <v>0</v>
      </c>
      <c r="AH182" s="131">
        <f>'Sta. Meteorologi pnk'!F200</f>
        <v>3.9</v>
      </c>
      <c r="AI182" s="131">
        <f>'Sta. Meteorologi pnk'!G200</f>
        <v>0</v>
      </c>
      <c r="AJ182" s="131">
        <f>'Sta. Meteorologi pnk'!H200</f>
        <v>2.1</v>
      </c>
      <c r="AK182" s="131">
        <f>'Sta. Meteorologi pnk'!I200</f>
        <v>32.200000000000003</v>
      </c>
      <c r="AL182" s="131">
        <f>'Sta. Meteorologi pnk'!J200</f>
        <v>5.7</v>
      </c>
      <c r="AM182" s="131">
        <f>'Sta. Meteorologi pnk'!K200</f>
        <v>0.2</v>
      </c>
      <c r="AN182" s="131">
        <f>'Sta. Meteorologi pnk'!L200</f>
        <v>39.9</v>
      </c>
      <c r="AO182" s="131">
        <f>'Sta. Meteorologi pnk'!M200</f>
        <v>4</v>
      </c>
      <c r="AQ182" s="130">
        <v>13</v>
      </c>
      <c r="AR182" s="131">
        <f t="shared" si="281"/>
        <v>8.7333629055815809</v>
      </c>
      <c r="AS182" s="131">
        <f t="shared" si="258"/>
        <v>0</v>
      </c>
      <c r="AT182" s="131">
        <f t="shared" si="259"/>
        <v>0.54095576063789497</v>
      </c>
      <c r="AU182" s="131">
        <f t="shared" si="260"/>
        <v>0</v>
      </c>
      <c r="AV182" s="131">
        <f t="shared" si="261"/>
        <v>2.6371593331097376</v>
      </c>
      <c r="AW182" s="131">
        <f t="shared" si="262"/>
        <v>0</v>
      </c>
      <c r="AX182" s="131">
        <f t="shared" si="263"/>
        <v>1.4200088716744745</v>
      </c>
      <c r="AY182" s="131">
        <f t="shared" si="264"/>
        <v>36.344707829793684</v>
      </c>
      <c r="AZ182" s="131">
        <f t="shared" si="265"/>
        <v>3.8543097945450016</v>
      </c>
      <c r="BA182" s="131">
        <f t="shared" si="266"/>
        <v>0.13523894015947374</v>
      </c>
      <c r="BB182" s="131">
        <f t="shared" si="267"/>
        <v>26.980168561815013</v>
      </c>
      <c r="BC182" s="131">
        <f t="shared" si="268"/>
        <v>2.7047788031894751</v>
      </c>
      <c r="BE182" s="130">
        <v>13</v>
      </c>
      <c r="BF182" s="131">
        <f t="shared" si="282"/>
        <v>8.4286287630592902</v>
      </c>
      <c r="BG182" s="131">
        <f t="shared" si="269"/>
        <v>0</v>
      </c>
      <c r="BH182" s="131">
        <f t="shared" si="270"/>
        <v>0.5061290014924904</v>
      </c>
      <c r="BI182" s="131">
        <f t="shared" si="271"/>
        <v>0</v>
      </c>
      <c r="BJ182" s="131">
        <f t="shared" si="272"/>
        <v>2.4673788822758906</v>
      </c>
      <c r="BK182" s="131">
        <f t="shared" si="273"/>
        <v>0</v>
      </c>
      <c r="BL182" s="131">
        <f t="shared" si="274"/>
        <v>1.3285886289177873</v>
      </c>
      <c r="BM182" s="131">
        <f t="shared" si="275"/>
        <v>36.901935976120157</v>
      </c>
      <c r="BN182" s="131">
        <f t="shared" si="276"/>
        <v>3.6061691356339942</v>
      </c>
      <c r="BO182" s="131">
        <f t="shared" si="277"/>
        <v>0.1265322503731226</v>
      </c>
      <c r="BP182" s="131">
        <f t="shared" si="278"/>
        <v>25.24318394943796</v>
      </c>
      <c r="BQ182" s="131">
        <f t="shared" si="279"/>
        <v>2.5306450074624518</v>
      </c>
    </row>
    <row r="183" spans="1:69">
      <c r="A183" s="130">
        <v>14</v>
      </c>
      <c r="B183" s="131">
        <f t="shared" si="280"/>
        <v>0</v>
      </c>
      <c r="C183" s="131">
        <f t="shared" si="247"/>
        <v>9.6858064621250399</v>
      </c>
      <c r="D183" s="131">
        <f t="shared" si="248"/>
        <v>0</v>
      </c>
      <c r="E183" s="131">
        <f t="shared" si="249"/>
        <v>0.68995160738435457</v>
      </c>
      <c r="F183" s="131">
        <f t="shared" si="250"/>
        <v>9.4271128998093623</v>
      </c>
      <c r="G183" s="131">
        <f t="shared" si="251"/>
        <v>1.7084515992374496</v>
      </c>
      <c r="H183" s="131">
        <f t="shared" si="252"/>
        <v>0.39425806136248831</v>
      </c>
      <c r="I183" s="131">
        <f t="shared" si="253"/>
        <v>84.133338764603323</v>
      </c>
      <c r="J183" s="131">
        <f t="shared" si="254"/>
        <v>3.2854838446874028E-2</v>
      </c>
      <c r="K183" s="131">
        <f t="shared" si="255"/>
        <v>0.72280644583122866</v>
      </c>
      <c r="L183" s="131">
        <f t="shared" si="256"/>
        <v>0</v>
      </c>
      <c r="M183" s="131">
        <f t="shared" si="257"/>
        <v>16.080064523487525</v>
      </c>
      <c r="O183" s="130">
        <v>14</v>
      </c>
      <c r="P183" s="131">
        <f>'Stasiun Pontianak Kota'!Q241</f>
        <v>0</v>
      </c>
      <c r="Q183" s="131">
        <f>'Stasiun Pontianak Kota'!R241</f>
        <v>11</v>
      </c>
      <c r="R183" s="131">
        <f>'Stasiun Pontianak Kota'!S241</f>
        <v>0</v>
      </c>
      <c r="S183" s="131">
        <f>'Stasiun Pontianak Kota'!T241</f>
        <v>0</v>
      </c>
      <c r="T183" s="131">
        <f>'Stasiun Pontianak Kota'!U241</f>
        <v>9</v>
      </c>
      <c r="U183" s="131">
        <f>'Stasiun Pontianak Kota'!V241</f>
        <v>0</v>
      </c>
      <c r="V183" s="131">
        <f>'Stasiun Pontianak Kota'!W241</f>
        <v>0</v>
      </c>
      <c r="W183" s="131">
        <f>'Stasiun Pontianak Kota'!X241</f>
        <v>91</v>
      </c>
      <c r="X183" s="131">
        <f>'Stasiun Pontianak Kota'!Y241</f>
        <v>0</v>
      </c>
      <c r="Y183" s="131">
        <f>'Stasiun Pontianak Kota'!Z241</f>
        <v>0</v>
      </c>
      <c r="Z183" s="131">
        <f>'Stasiun Pontianak Kota'!AA241</f>
        <v>0</v>
      </c>
      <c r="AA183" s="131">
        <f>'Stasiun Pontianak Kota'!AB241</f>
        <v>17</v>
      </c>
      <c r="AC183" s="130">
        <v>14</v>
      </c>
      <c r="AD183" s="131">
        <f>'Sta. Meteorologi pnk'!B201</f>
        <v>0</v>
      </c>
      <c r="AE183" s="131">
        <f>'Sta. Meteorologi pnk'!C201</f>
        <v>7</v>
      </c>
      <c r="AF183" s="131">
        <f>'Sta. Meteorologi pnk'!D201</f>
        <v>0</v>
      </c>
      <c r="AG183" s="131">
        <f>'Sta. Meteorologi pnk'!E201</f>
        <v>2.1</v>
      </c>
      <c r="AH183" s="131">
        <f>'Sta. Meteorologi pnk'!F201</f>
        <v>10.3</v>
      </c>
      <c r="AI183" s="131">
        <f>'Sta. Meteorologi pnk'!G201</f>
        <v>5.2</v>
      </c>
      <c r="AJ183" s="131">
        <f>'Sta. Meteorologi pnk'!H201</f>
        <v>1.2</v>
      </c>
      <c r="AK183" s="131">
        <f>'Sta. Meteorologi pnk'!I201</f>
        <v>70.099999999999994</v>
      </c>
      <c r="AL183" s="131">
        <f>'Sta. Meteorologi pnk'!J201</f>
        <v>0.1</v>
      </c>
      <c r="AM183" s="131">
        <f>'Sta. Meteorologi pnk'!K201</f>
        <v>2.2000000000000002</v>
      </c>
      <c r="AN183" s="131">
        <f>'Sta. Meteorologi pnk'!L201</f>
        <v>0</v>
      </c>
      <c r="AO183" s="131">
        <f>'Sta. Meteorologi pnk'!M201</f>
        <v>14.2</v>
      </c>
      <c r="AQ183" s="130">
        <v>14</v>
      </c>
      <c r="AR183" s="131">
        <f t="shared" si="281"/>
        <v>0</v>
      </c>
      <c r="AS183" s="131">
        <f t="shared" si="258"/>
        <v>8.2952211968105249</v>
      </c>
      <c r="AT183" s="131">
        <f t="shared" si="259"/>
        <v>0</v>
      </c>
      <c r="AU183" s="131">
        <f t="shared" si="260"/>
        <v>1.4200088716744745</v>
      </c>
      <c r="AV183" s="131">
        <f t="shared" si="261"/>
        <v>9.879053111036578</v>
      </c>
      <c r="AW183" s="131">
        <f t="shared" si="262"/>
        <v>3.5162124441463174</v>
      </c>
      <c r="AX183" s="131">
        <f t="shared" si="263"/>
        <v>0.81143364095684245</v>
      </c>
      <c r="AY183" s="131">
        <f t="shared" si="264"/>
        <v>76.867530753334989</v>
      </c>
      <c r="AZ183" s="131">
        <f t="shared" si="265"/>
        <v>6.7619470079736871E-2</v>
      </c>
      <c r="BA183" s="131">
        <f t="shared" si="266"/>
        <v>1.4876283417542113</v>
      </c>
      <c r="BB183" s="131">
        <f t="shared" si="267"/>
        <v>0</v>
      </c>
      <c r="BC183" s="131">
        <f t="shared" si="268"/>
        <v>15.106654837767367</v>
      </c>
      <c r="BE183" s="130">
        <v>14</v>
      </c>
      <c r="BF183" s="131">
        <f t="shared" si="282"/>
        <v>0</v>
      </c>
      <c r="BG183" s="131">
        <f t="shared" si="269"/>
        <v>8.4693549925375482</v>
      </c>
      <c r="BH183" s="131">
        <f t="shared" si="270"/>
        <v>0</v>
      </c>
      <c r="BI183" s="131">
        <f t="shared" si="271"/>
        <v>1.3285886289177873</v>
      </c>
      <c r="BJ183" s="131">
        <f t="shared" si="272"/>
        <v>9.8224596274252978</v>
      </c>
      <c r="BK183" s="131">
        <f t="shared" si="273"/>
        <v>3.289838509701188</v>
      </c>
      <c r="BL183" s="131">
        <f t="shared" si="274"/>
        <v>0.7591935022387355</v>
      </c>
      <c r="BM183" s="131">
        <f t="shared" si="275"/>
        <v>77.777379836008691</v>
      </c>
      <c r="BN183" s="131">
        <f t="shared" si="276"/>
        <v>6.3266125186561301E-2</v>
      </c>
      <c r="BO183" s="131">
        <f t="shared" si="277"/>
        <v>1.3918547541043487</v>
      </c>
      <c r="BP183" s="131">
        <f t="shared" si="278"/>
        <v>0</v>
      </c>
      <c r="BQ183" s="131">
        <f t="shared" si="279"/>
        <v>15.228548494776282</v>
      </c>
    </row>
    <row r="184" spans="1:69">
      <c r="A184" s="130">
        <v>15</v>
      </c>
      <c r="B184" s="131">
        <f t="shared" si="280"/>
        <v>0.78851612272497662</v>
      </c>
      <c r="C184" s="131">
        <f t="shared" si="247"/>
        <v>0</v>
      </c>
      <c r="D184" s="131">
        <f t="shared" si="248"/>
        <v>0</v>
      </c>
      <c r="E184" s="131">
        <f t="shared" si="249"/>
        <v>32.393951737734838</v>
      </c>
      <c r="F184" s="131">
        <f t="shared" si="250"/>
        <v>0</v>
      </c>
      <c r="G184" s="131">
        <f t="shared" si="251"/>
        <v>36.665387059456116</v>
      </c>
      <c r="H184" s="131">
        <f t="shared" si="252"/>
        <v>0</v>
      </c>
      <c r="I184" s="131">
        <f t="shared" si="253"/>
        <v>0.19712903068124416</v>
      </c>
      <c r="J184" s="131">
        <f t="shared" si="254"/>
        <v>0</v>
      </c>
      <c r="K184" s="131">
        <f t="shared" si="255"/>
        <v>0</v>
      </c>
      <c r="L184" s="131">
        <f t="shared" si="256"/>
        <v>1.2156290225343389</v>
      </c>
      <c r="M184" s="131">
        <f t="shared" si="257"/>
        <v>0</v>
      </c>
      <c r="O184" s="130">
        <v>15</v>
      </c>
      <c r="P184" s="131">
        <f>'Stasiun Pontianak Kota'!Q242</f>
        <v>0</v>
      </c>
      <c r="Q184" s="131">
        <f>'Stasiun Pontianak Kota'!R242</f>
        <v>0</v>
      </c>
      <c r="R184" s="131">
        <f>'Stasiun Pontianak Kota'!S242</f>
        <v>0</v>
      </c>
      <c r="S184" s="131">
        <f>'Stasiun Pontianak Kota'!T242</f>
        <v>48</v>
      </c>
      <c r="T184" s="131">
        <f>'Stasiun Pontianak Kota'!U242</f>
        <v>0</v>
      </c>
      <c r="U184" s="131">
        <f>'Stasiun Pontianak Kota'!V242</f>
        <v>32</v>
      </c>
      <c r="V184" s="131">
        <f>'Stasiun Pontianak Kota'!W242</f>
        <v>0</v>
      </c>
      <c r="W184" s="131">
        <f>'Stasiun Pontianak Kota'!X242</f>
        <v>0</v>
      </c>
      <c r="X184" s="131">
        <f>'Stasiun Pontianak Kota'!Y242</f>
        <v>0</v>
      </c>
      <c r="Y184" s="131">
        <f>'Stasiun Pontianak Kota'!Z242</f>
        <v>0</v>
      </c>
      <c r="Z184" s="131">
        <f>'Stasiun Pontianak Kota'!AA242</f>
        <v>0</v>
      </c>
      <c r="AA184" s="131">
        <f>'Stasiun Pontianak Kota'!AB242</f>
        <v>0</v>
      </c>
      <c r="AC184" s="130">
        <v>15</v>
      </c>
      <c r="AD184" s="131">
        <f>'Sta. Meteorologi pnk'!B202</f>
        <v>2.4</v>
      </c>
      <c r="AE184" s="131">
        <f>'Sta. Meteorologi pnk'!C202</f>
        <v>0</v>
      </c>
      <c r="AF184" s="131">
        <f>'Sta. Meteorologi pnk'!D202</f>
        <v>0</v>
      </c>
      <c r="AG184" s="131">
        <f>'Sta. Meteorologi pnk'!E202</f>
        <v>0.5</v>
      </c>
      <c r="AH184" s="131">
        <f>'Sta. Meteorologi pnk'!F202</f>
        <v>0</v>
      </c>
      <c r="AI184" s="131">
        <f>'Sta. Meteorologi pnk'!G202</f>
        <v>46.2</v>
      </c>
      <c r="AJ184" s="131">
        <f>'Sta. Meteorologi pnk'!H202</f>
        <v>0</v>
      </c>
      <c r="AK184" s="131">
        <f>'Sta. Meteorologi pnk'!I202</f>
        <v>0.6</v>
      </c>
      <c r="AL184" s="131">
        <f>'Sta. Meteorologi pnk'!J202</f>
        <v>0</v>
      </c>
      <c r="AM184" s="131">
        <f>'Sta. Meteorologi pnk'!K202</f>
        <v>0</v>
      </c>
      <c r="AN184" s="131">
        <f>'Sta. Meteorologi pnk'!L202</f>
        <v>3.7</v>
      </c>
      <c r="AO184" s="131">
        <f>'Sta. Meteorologi pnk'!M202</f>
        <v>0</v>
      </c>
      <c r="AQ184" s="130">
        <v>15</v>
      </c>
      <c r="AR184" s="131">
        <f t="shared" si="281"/>
        <v>1.6228672819136849</v>
      </c>
      <c r="AS184" s="131">
        <f t="shared" si="258"/>
        <v>0</v>
      </c>
      <c r="AT184" s="131">
        <f t="shared" si="259"/>
        <v>0</v>
      </c>
      <c r="AU184" s="131">
        <f t="shared" si="260"/>
        <v>15.880751712124979</v>
      </c>
      <c r="AV184" s="131">
        <f t="shared" si="261"/>
        <v>0</v>
      </c>
      <c r="AW184" s="131">
        <f t="shared" si="262"/>
        <v>41.601964751322633</v>
      </c>
      <c r="AX184" s="131">
        <f t="shared" si="263"/>
        <v>0</v>
      </c>
      <c r="AY184" s="131">
        <f t="shared" si="264"/>
        <v>0.40571682047842123</v>
      </c>
      <c r="AZ184" s="131">
        <f t="shared" si="265"/>
        <v>0</v>
      </c>
      <c r="BA184" s="131">
        <f t="shared" si="266"/>
        <v>0</v>
      </c>
      <c r="BB184" s="131">
        <f t="shared" si="267"/>
        <v>2.5019203929502645</v>
      </c>
      <c r="BC184" s="131">
        <f t="shared" si="268"/>
        <v>0</v>
      </c>
      <c r="BE184" s="130">
        <v>15</v>
      </c>
      <c r="BF184" s="131">
        <f t="shared" si="282"/>
        <v>1.518387004477471</v>
      </c>
      <c r="BG184" s="131">
        <f t="shared" si="269"/>
        <v>0</v>
      </c>
      <c r="BH184" s="131">
        <f t="shared" si="270"/>
        <v>0</v>
      </c>
      <c r="BI184" s="131">
        <f t="shared" si="271"/>
        <v>17.948590536383382</v>
      </c>
      <c r="BJ184" s="131">
        <f t="shared" si="272"/>
        <v>0</v>
      </c>
      <c r="BK184" s="131">
        <f t="shared" si="273"/>
        <v>40.983789776491712</v>
      </c>
      <c r="BL184" s="131">
        <f t="shared" si="274"/>
        <v>0</v>
      </c>
      <c r="BM184" s="131">
        <f t="shared" si="275"/>
        <v>0.37959675111936775</v>
      </c>
      <c r="BN184" s="131">
        <f t="shared" si="276"/>
        <v>0</v>
      </c>
      <c r="BO184" s="131">
        <f t="shared" si="277"/>
        <v>0</v>
      </c>
      <c r="BP184" s="131">
        <f t="shared" si="278"/>
        <v>2.3408466319027683</v>
      </c>
      <c r="BQ184" s="131">
        <f t="shared" si="279"/>
        <v>0</v>
      </c>
    </row>
    <row r="185" spans="1:69">
      <c r="A185" s="130">
        <v>16</v>
      </c>
      <c r="B185" s="131">
        <f t="shared" si="280"/>
        <v>0</v>
      </c>
      <c r="C185" s="131">
        <f t="shared" si="247"/>
        <v>110.78951656265785</v>
      </c>
      <c r="D185" s="131">
        <f t="shared" si="248"/>
        <v>0</v>
      </c>
      <c r="E185" s="131">
        <f t="shared" si="249"/>
        <v>35.60351620419403</v>
      </c>
      <c r="F185" s="131">
        <f t="shared" si="250"/>
        <v>0</v>
      </c>
      <c r="G185" s="131">
        <f t="shared" si="251"/>
        <v>5.4312580450686783</v>
      </c>
      <c r="H185" s="131">
        <f t="shared" si="252"/>
        <v>29.135564499046811</v>
      </c>
      <c r="I185" s="131">
        <f t="shared" si="253"/>
        <v>16.439548335587308</v>
      </c>
      <c r="J185" s="131">
        <f t="shared" si="254"/>
        <v>0</v>
      </c>
      <c r="K185" s="131">
        <f t="shared" si="255"/>
        <v>3.1212096524530324</v>
      </c>
      <c r="L185" s="131">
        <f t="shared" si="256"/>
        <v>15.254548417056359</v>
      </c>
      <c r="M185" s="131">
        <f t="shared" si="257"/>
        <v>0</v>
      </c>
      <c r="O185" s="130">
        <v>16</v>
      </c>
      <c r="P185" s="131">
        <f>'Stasiun Pontianak Kota'!Q243</f>
        <v>0</v>
      </c>
      <c r="Q185" s="131">
        <f>'Stasiun Pontianak Kota'!R243</f>
        <v>165</v>
      </c>
      <c r="R185" s="131">
        <f>'Stasiun Pontianak Kota'!S243</f>
        <v>0</v>
      </c>
      <c r="S185" s="131">
        <f>'Stasiun Pontianak Kota'!T243</f>
        <v>45</v>
      </c>
      <c r="T185" s="131">
        <f>'Stasiun Pontianak Kota'!U243</f>
        <v>0</v>
      </c>
      <c r="U185" s="131">
        <f>'Stasiun Pontianak Kota'!V243</f>
        <v>3</v>
      </c>
      <c r="V185" s="131">
        <f>'Stasiun Pontianak Kota'!W243</f>
        <v>27</v>
      </c>
      <c r="W185" s="131">
        <f>'Stasiun Pontianak Kota'!X243</f>
        <v>10</v>
      </c>
      <c r="X185" s="131">
        <f>'Stasiun Pontianak Kota'!Y243</f>
        <v>0</v>
      </c>
      <c r="Y185" s="131">
        <f>'Stasiun Pontianak Kota'!Z243</f>
        <v>0</v>
      </c>
      <c r="Z185" s="131">
        <f>'Stasiun Pontianak Kota'!AA243</f>
        <v>19</v>
      </c>
      <c r="AA185" s="131">
        <f>'Stasiun Pontianak Kota'!AB243</f>
        <v>0</v>
      </c>
      <c r="AC185" s="130">
        <v>16</v>
      </c>
      <c r="AD185" s="131">
        <f>'Sta. Meteorologi pnk'!B203</f>
        <v>0</v>
      </c>
      <c r="AE185" s="131">
        <f>'Sta. Meteorologi pnk'!C203</f>
        <v>0</v>
      </c>
      <c r="AF185" s="131">
        <f>'Sta. Meteorologi pnk'!D203</f>
        <v>0</v>
      </c>
      <c r="AG185" s="131">
        <f>'Sta. Meteorologi pnk'!E203</f>
        <v>16.399999999999999</v>
      </c>
      <c r="AH185" s="131">
        <f>'Sta. Meteorologi pnk'!F203</f>
        <v>0</v>
      </c>
      <c r="AI185" s="131">
        <f>'Sta. Meteorologi pnk'!G203</f>
        <v>10.4</v>
      </c>
      <c r="AJ185" s="131">
        <f>'Sta. Meteorologi pnk'!H203</f>
        <v>33.5</v>
      </c>
      <c r="AK185" s="131">
        <f>'Sta. Meteorologi pnk'!I203</f>
        <v>29.6</v>
      </c>
      <c r="AL185" s="131">
        <f>'Sta. Meteorologi pnk'!J203</f>
        <v>0</v>
      </c>
      <c r="AM185" s="131">
        <f>'Sta. Meteorologi pnk'!K203</f>
        <v>9.5</v>
      </c>
      <c r="AN185" s="131">
        <f>'Sta. Meteorologi pnk'!L203</f>
        <v>7.6</v>
      </c>
      <c r="AO185" s="131">
        <f>'Sta. Meteorologi pnk'!M203</f>
        <v>0</v>
      </c>
      <c r="AQ185" s="130">
        <v>16</v>
      </c>
      <c r="AR185" s="131">
        <f t="shared" si="281"/>
        <v>0</v>
      </c>
      <c r="AS185" s="131">
        <f t="shared" si="258"/>
        <v>53.427874368434153</v>
      </c>
      <c r="AT185" s="131">
        <f t="shared" si="259"/>
        <v>0</v>
      </c>
      <c r="AU185" s="131">
        <f t="shared" si="260"/>
        <v>25.660831557195252</v>
      </c>
      <c r="AV185" s="131">
        <f t="shared" si="261"/>
        <v>0</v>
      </c>
      <c r="AW185" s="131">
        <f t="shared" si="262"/>
        <v>8.0038407859005289</v>
      </c>
      <c r="AX185" s="131">
        <f t="shared" si="263"/>
        <v>31.395265555182899</v>
      </c>
      <c r="AY185" s="131">
        <f t="shared" si="264"/>
        <v>23.253416135628427</v>
      </c>
      <c r="AZ185" s="131">
        <f t="shared" si="265"/>
        <v>0</v>
      </c>
      <c r="BA185" s="131">
        <f t="shared" si="266"/>
        <v>6.4238496575750021</v>
      </c>
      <c r="BB185" s="131">
        <f t="shared" si="267"/>
        <v>11.291380410909994</v>
      </c>
      <c r="BC185" s="131">
        <f t="shared" si="268"/>
        <v>0</v>
      </c>
      <c r="BE185" s="130">
        <v>16</v>
      </c>
      <c r="BF185" s="131">
        <f t="shared" si="282"/>
        <v>0</v>
      </c>
      <c r="BG185" s="131">
        <f t="shared" si="269"/>
        <v>60.610893442173861</v>
      </c>
      <c r="BH185" s="131">
        <f t="shared" si="270"/>
        <v>0</v>
      </c>
      <c r="BI185" s="131">
        <f t="shared" si="271"/>
        <v>26.905888196643463</v>
      </c>
      <c r="BJ185" s="131">
        <f t="shared" si="272"/>
        <v>0</v>
      </c>
      <c r="BK185" s="131">
        <f t="shared" si="273"/>
        <v>7.6816932638055366</v>
      </c>
      <c r="BL185" s="131">
        <f t="shared" si="274"/>
        <v>31.112298137126484</v>
      </c>
      <c r="BM185" s="131">
        <f t="shared" si="275"/>
        <v>22.400160536566016</v>
      </c>
      <c r="BN185" s="131">
        <f t="shared" si="276"/>
        <v>0</v>
      </c>
      <c r="BO185" s="131">
        <f t="shared" si="277"/>
        <v>6.0102818927233237</v>
      </c>
      <c r="BP185" s="131">
        <f t="shared" si="278"/>
        <v>11.787661728732013</v>
      </c>
      <c r="BQ185" s="131">
        <f t="shared" si="279"/>
        <v>0</v>
      </c>
    </row>
    <row r="186" spans="1:69">
      <c r="A186" s="130">
        <v>17</v>
      </c>
      <c r="B186" s="131">
        <f t="shared" si="280"/>
        <v>0</v>
      </c>
      <c r="C186" s="131">
        <f t="shared" si="247"/>
        <v>9.8564515340622078E-2</v>
      </c>
      <c r="D186" s="131">
        <f t="shared" si="248"/>
        <v>16.942580613624884</v>
      </c>
      <c r="E186" s="131">
        <f t="shared" si="249"/>
        <v>17</v>
      </c>
      <c r="F186" s="131">
        <f t="shared" si="250"/>
        <v>13.644967656787186</v>
      </c>
      <c r="G186" s="131">
        <f t="shared" si="251"/>
        <v>8.8194515503560176</v>
      </c>
      <c r="H186" s="131">
        <f t="shared" si="252"/>
        <v>0.26283870757499223</v>
      </c>
      <c r="I186" s="131">
        <f t="shared" si="253"/>
        <v>0.22998386912811819</v>
      </c>
      <c r="J186" s="131">
        <f t="shared" si="254"/>
        <v>0</v>
      </c>
      <c r="K186" s="131">
        <f t="shared" si="255"/>
        <v>8.956935460218661</v>
      </c>
      <c r="L186" s="131">
        <f t="shared" si="256"/>
        <v>0.49282257670311042</v>
      </c>
      <c r="M186" s="131">
        <f t="shared" si="257"/>
        <v>4.7843709774656604</v>
      </c>
      <c r="O186" s="130">
        <v>17</v>
      </c>
      <c r="P186" s="131">
        <f>'Stasiun Pontianak Kota'!Q244</f>
        <v>0</v>
      </c>
      <c r="Q186" s="131">
        <f>'Stasiun Pontianak Kota'!R244</f>
        <v>0</v>
      </c>
      <c r="R186" s="131">
        <f>'Stasiun Pontianak Kota'!S244</f>
        <v>13</v>
      </c>
      <c r="S186" s="131">
        <f>'Stasiun Pontianak Kota'!T244</f>
        <v>17</v>
      </c>
      <c r="T186" s="131">
        <f>'Stasiun Pontianak Kota'!U244</f>
        <v>3</v>
      </c>
      <c r="U186" s="131">
        <f>'Stasiun Pontianak Kota'!V244</f>
        <v>1</v>
      </c>
      <c r="V186" s="131">
        <f>'Stasiun Pontianak Kota'!W244</f>
        <v>0</v>
      </c>
      <c r="W186" s="131">
        <f>'Stasiun Pontianak Kota'!X244</f>
        <v>0</v>
      </c>
      <c r="X186" s="131">
        <f>'Stasiun Pontianak Kota'!Y244</f>
        <v>0</v>
      </c>
      <c r="Y186" s="131">
        <f>'Stasiun Pontianak Kota'!Z244</f>
        <v>6</v>
      </c>
      <c r="Z186" s="131">
        <f>'Stasiun Pontianak Kota'!AA244</f>
        <v>0</v>
      </c>
      <c r="AA186" s="131">
        <f>'Stasiun Pontianak Kota'!AB244</f>
        <v>6</v>
      </c>
      <c r="AC186" s="130">
        <v>17</v>
      </c>
      <c r="AD186" s="131">
        <f>'Sta. Meteorologi pnk'!B204</f>
        <v>0</v>
      </c>
      <c r="AE186" s="131">
        <f>'Sta. Meteorologi pnk'!C204</f>
        <v>0.3</v>
      </c>
      <c r="AF186" s="131">
        <f>'Sta. Meteorologi pnk'!D204</f>
        <v>25</v>
      </c>
      <c r="AG186" s="131">
        <f>'Sta. Meteorologi pnk'!E204</f>
        <v>17</v>
      </c>
      <c r="AH186" s="131">
        <f>'Sta. Meteorologi pnk'!F204</f>
        <v>35.4</v>
      </c>
      <c r="AI186" s="131">
        <f>'Sta. Meteorologi pnk'!G204</f>
        <v>24.8</v>
      </c>
      <c r="AJ186" s="131">
        <f>'Sta. Meteorologi pnk'!H204</f>
        <v>0.8</v>
      </c>
      <c r="AK186" s="131">
        <f>'Sta. Meteorologi pnk'!I204</f>
        <v>0.7</v>
      </c>
      <c r="AL186" s="131">
        <f>'Sta. Meteorologi pnk'!J204</f>
        <v>0</v>
      </c>
      <c r="AM186" s="131">
        <f>'Sta. Meteorologi pnk'!K204</f>
        <v>15</v>
      </c>
      <c r="AN186" s="131">
        <f>'Sta. Meteorologi pnk'!L204</f>
        <v>1.5</v>
      </c>
      <c r="AO186" s="131">
        <f>'Sta. Meteorologi pnk'!M204</f>
        <v>2.2999999999999998</v>
      </c>
      <c r="AQ186" s="130">
        <v>17</v>
      </c>
      <c r="AR186" s="131">
        <f t="shared" si="281"/>
        <v>0</v>
      </c>
      <c r="AS186" s="131">
        <f t="shared" si="258"/>
        <v>0.20285841023921061</v>
      </c>
      <c r="AT186" s="131">
        <f t="shared" si="259"/>
        <v>21.114336409568423</v>
      </c>
      <c r="AU186" s="131">
        <f t="shared" si="260"/>
        <v>16.999999999999996</v>
      </c>
      <c r="AV186" s="131">
        <f t="shared" si="261"/>
        <v>24.908708305834743</v>
      </c>
      <c r="AW186" s="131">
        <f t="shared" si="262"/>
        <v>17.093433878977375</v>
      </c>
      <c r="AX186" s="131">
        <f t="shared" si="263"/>
        <v>0.54095576063789497</v>
      </c>
      <c r="AY186" s="131">
        <f t="shared" si="264"/>
        <v>0.47333629055815807</v>
      </c>
      <c r="AZ186" s="131">
        <f t="shared" si="265"/>
        <v>0</v>
      </c>
      <c r="BA186" s="131">
        <f t="shared" si="266"/>
        <v>12.085752307176318</v>
      </c>
      <c r="BB186" s="131">
        <f t="shared" si="267"/>
        <v>1.0142920511960531</v>
      </c>
      <c r="BC186" s="131">
        <f t="shared" si="268"/>
        <v>3.4980796070497351</v>
      </c>
      <c r="BE186" s="130">
        <v>17</v>
      </c>
      <c r="BF186" s="131">
        <f t="shared" si="282"/>
        <v>0</v>
      </c>
      <c r="BG186" s="131">
        <f t="shared" si="269"/>
        <v>0.18979837555968387</v>
      </c>
      <c r="BH186" s="131">
        <f t="shared" si="270"/>
        <v>20.591935022387357</v>
      </c>
      <c r="BI186" s="131">
        <f t="shared" si="271"/>
        <v>17</v>
      </c>
      <c r="BJ186" s="131">
        <f t="shared" si="272"/>
        <v>23.498224560445859</v>
      </c>
      <c r="BK186" s="131">
        <f t="shared" si="273"/>
        <v>16.05733779440159</v>
      </c>
      <c r="BL186" s="131">
        <f t="shared" si="274"/>
        <v>0.5061290014924904</v>
      </c>
      <c r="BM186" s="131">
        <f t="shared" si="275"/>
        <v>0.44286287630592908</v>
      </c>
      <c r="BN186" s="131">
        <f t="shared" si="276"/>
        <v>0</v>
      </c>
      <c r="BO186" s="131">
        <f t="shared" si="277"/>
        <v>11.693951266790517</v>
      </c>
      <c r="BP186" s="131">
        <f t="shared" si="278"/>
        <v>0.94899187779841954</v>
      </c>
      <c r="BQ186" s="131">
        <f t="shared" si="279"/>
        <v>3.6591533680972317</v>
      </c>
    </row>
    <row r="187" spans="1:69">
      <c r="A187" s="130">
        <v>18</v>
      </c>
      <c r="B187" s="131">
        <f t="shared" si="280"/>
        <v>0</v>
      </c>
      <c r="C187" s="131">
        <f t="shared" si="247"/>
        <v>0</v>
      </c>
      <c r="D187" s="131">
        <f t="shared" si="248"/>
        <v>4.6529516236781649</v>
      </c>
      <c r="E187" s="131">
        <f t="shared" si="249"/>
        <v>0</v>
      </c>
      <c r="F187" s="131">
        <f t="shared" si="250"/>
        <v>10.513548302999688</v>
      </c>
      <c r="G187" s="131">
        <f t="shared" si="251"/>
        <v>2.145774200381275</v>
      </c>
      <c r="H187" s="131">
        <f t="shared" si="252"/>
        <v>13.459967738256237</v>
      </c>
      <c r="I187" s="131">
        <f t="shared" si="253"/>
        <v>0</v>
      </c>
      <c r="J187" s="131">
        <f t="shared" si="254"/>
        <v>16.043064539781337</v>
      </c>
      <c r="K187" s="131">
        <f t="shared" si="255"/>
        <v>0</v>
      </c>
      <c r="L187" s="131">
        <f t="shared" si="256"/>
        <v>0</v>
      </c>
      <c r="M187" s="131">
        <f t="shared" si="257"/>
        <v>4.0287096931875581</v>
      </c>
      <c r="O187" s="130">
        <v>18</v>
      </c>
      <c r="P187" s="131">
        <f>'Stasiun Pontianak Kota'!Q245</f>
        <v>0</v>
      </c>
      <c r="Q187" s="131">
        <f>'Stasiun Pontianak Kota'!R245</f>
        <v>0</v>
      </c>
      <c r="R187" s="131">
        <f>'Stasiun Pontianak Kota'!S245</f>
        <v>6</v>
      </c>
      <c r="S187" s="131">
        <f>'Stasiun Pontianak Kota'!T245</f>
        <v>0</v>
      </c>
      <c r="T187" s="131">
        <f>'Stasiun Pontianak Kota'!U245</f>
        <v>0</v>
      </c>
      <c r="U187" s="131">
        <f>'Stasiun Pontianak Kota'!V245</f>
        <v>3</v>
      </c>
      <c r="V187" s="131">
        <f>'Stasiun Pontianak Kota'!W245</f>
        <v>13</v>
      </c>
      <c r="W187" s="131">
        <f>'Stasiun Pontianak Kota'!X245</f>
        <v>0</v>
      </c>
      <c r="X187" s="131">
        <f>'Stasiun Pontianak Kota'!Y245</f>
        <v>19</v>
      </c>
      <c r="Y187" s="131">
        <f>'Stasiun Pontianak Kota'!Z245</f>
        <v>0</v>
      </c>
      <c r="Z187" s="131">
        <f>'Stasiun Pontianak Kota'!AA245</f>
        <v>0</v>
      </c>
      <c r="AA187" s="131">
        <f>'Stasiun Pontianak Kota'!AB245</f>
        <v>6</v>
      </c>
      <c r="AC187" s="130">
        <v>18</v>
      </c>
      <c r="AD187" s="131">
        <f>'Sta. Meteorologi pnk'!B205</f>
        <v>0</v>
      </c>
      <c r="AE187" s="131">
        <f>'Sta. Meteorologi pnk'!C205</f>
        <v>0</v>
      </c>
      <c r="AF187" s="131">
        <f>'Sta. Meteorologi pnk'!D205</f>
        <v>1.9</v>
      </c>
      <c r="AG187" s="131">
        <f>'Sta. Meteorologi pnk'!E205</f>
        <v>0</v>
      </c>
      <c r="AH187" s="131">
        <f>'Sta. Meteorologi pnk'!F205</f>
        <v>32</v>
      </c>
      <c r="AI187" s="131">
        <f>'Sta. Meteorologi pnk'!G205</f>
        <v>0.4</v>
      </c>
      <c r="AJ187" s="131">
        <f>'Sta. Meteorologi pnk'!H205</f>
        <v>14.4</v>
      </c>
      <c r="AK187" s="131">
        <f>'Sta. Meteorologi pnk'!I205</f>
        <v>0</v>
      </c>
      <c r="AL187" s="131">
        <f>'Sta. Meteorologi pnk'!J205</f>
        <v>10</v>
      </c>
      <c r="AM187" s="131">
        <f>'Sta. Meteorologi pnk'!K205</f>
        <v>0</v>
      </c>
      <c r="AN187" s="131">
        <f>'Sta. Meteorologi pnk'!L205</f>
        <v>0</v>
      </c>
      <c r="AO187" s="131">
        <f>'Sta. Meteorologi pnk'!M205</f>
        <v>0</v>
      </c>
      <c r="AQ187" s="130">
        <v>18</v>
      </c>
      <c r="AR187" s="131">
        <f t="shared" si="281"/>
        <v>0</v>
      </c>
      <c r="AS187" s="131">
        <f t="shared" si="258"/>
        <v>0</v>
      </c>
      <c r="AT187" s="131">
        <f t="shared" si="259"/>
        <v>3.227601726730787</v>
      </c>
      <c r="AU187" s="131">
        <f t="shared" si="260"/>
        <v>0</v>
      </c>
      <c r="AV187" s="131">
        <f t="shared" si="261"/>
        <v>21.6382304255158</v>
      </c>
      <c r="AW187" s="131">
        <f t="shared" si="262"/>
        <v>1.2418937779268411</v>
      </c>
      <c r="AX187" s="131">
        <f t="shared" si="263"/>
        <v>13.946672581116315</v>
      </c>
      <c r="AY187" s="131">
        <f t="shared" si="264"/>
        <v>0</v>
      </c>
      <c r="AZ187" s="131">
        <f t="shared" si="265"/>
        <v>12.914247692823681</v>
      </c>
      <c r="BA187" s="131">
        <f t="shared" si="266"/>
        <v>0</v>
      </c>
      <c r="BB187" s="131">
        <f t="shared" si="267"/>
        <v>0</v>
      </c>
      <c r="BC187" s="131">
        <f t="shared" si="268"/>
        <v>1.942831795215787</v>
      </c>
      <c r="BE187" s="130">
        <v>18</v>
      </c>
      <c r="BF187" s="131">
        <f t="shared" si="282"/>
        <v>0</v>
      </c>
      <c r="BG187" s="131">
        <f t="shared" si="269"/>
        <v>0</v>
      </c>
      <c r="BH187" s="131">
        <f t="shared" si="270"/>
        <v>3.4060888673509866</v>
      </c>
      <c r="BI187" s="131">
        <f t="shared" si="271"/>
        <v>0</v>
      </c>
      <c r="BJ187" s="131">
        <f t="shared" si="272"/>
        <v>20.245160059699614</v>
      </c>
      <c r="BK187" s="131">
        <f t="shared" si="273"/>
        <v>1.355080745149406</v>
      </c>
      <c r="BL187" s="131">
        <f t="shared" si="274"/>
        <v>13.885725752611858</v>
      </c>
      <c r="BM187" s="131">
        <f t="shared" si="275"/>
        <v>0</v>
      </c>
      <c r="BN187" s="131">
        <f t="shared" si="276"/>
        <v>13.306048733209483</v>
      </c>
      <c r="BO187" s="131">
        <f t="shared" si="277"/>
        <v>0</v>
      </c>
      <c r="BP187" s="131">
        <f t="shared" si="278"/>
        <v>0</v>
      </c>
      <c r="BQ187" s="131">
        <f t="shared" si="279"/>
        <v>2.2040324888063219</v>
      </c>
    </row>
    <row r="188" spans="1:69">
      <c r="A188" s="130">
        <v>19</v>
      </c>
      <c r="B188" s="131">
        <f t="shared" si="280"/>
        <v>0</v>
      </c>
      <c r="C188" s="131">
        <f t="shared" si="247"/>
        <v>0</v>
      </c>
      <c r="D188" s="131">
        <f t="shared" si="248"/>
        <v>25.223612989425312</v>
      </c>
      <c r="E188" s="131">
        <f t="shared" si="249"/>
        <v>0.59138709204373252</v>
      </c>
      <c r="F188" s="131">
        <f t="shared" si="250"/>
        <v>23.297612956837696</v>
      </c>
      <c r="G188" s="131">
        <f t="shared" si="251"/>
        <v>11.529822560409297</v>
      </c>
      <c r="H188" s="131">
        <f t="shared" si="252"/>
        <v>0.29569354602186626</v>
      </c>
      <c r="I188" s="131">
        <f t="shared" si="253"/>
        <v>0</v>
      </c>
      <c r="J188" s="131">
        <f t="shared" si="254"/>
        <v>3.5626773988561742</v>
      </c>
      <c r="K188" s="131">
        <f t="shared" si="255"/>
        <v>0</v>
      </c>
      <c r="L188" s="131">
        <f t="shared" si="256"/>
        <v>0.13141935378749611</v>
      </c>
      <c r="M188" s="131">
        <f t="shared" si="257"/>
        <v>0</v>
      </c>
      <c r="O188" s="130">
        <v>19</v>
      </c>
      <c r="P188" s="131">
        <f>'Stasiun Pontianak Kota'!Q246</f>
        <v>0</v>
      </c>
      <c r="Q188" s="131">
        <f>'Stasiun Pontianak Kota'!R246</f>
        <v>0</v>
      </c>
      <c r="R188" s="131">
        <f>'Stasiun Pontianak Kota'!S246</f>
        <v>36</v>
      </c>
      <c r="S188" s="131">
        <f>'Stasiun Pontianak Kota'!T246</f>
        <v>0</v>
      </c>
      <c r="T188" s="131">
        <f>'Stasiun Pontianak Kota'!U246</f>
        <v>30</v>
      </c>
      <c r="U188" s="131">
        <f>'Stasiun Pontianak Kota'!V246</f>
        <v>9</v>
      </c>
      <c r="V188" s="131">
        <f>'Stasiun Pontianak Kota'!W246</f>
        <v>0</v>
      </c>
      <c r="W188" s="131">
        <f>'Stasiun Pontianak Kota'!X246</f>
        <v>0</v>
      </c>
      <c r="X188" s="131">
        <f>'Stasiun Pontianak Kota'!Y246</f>
        <v>1</v>
      </c>
      <c r="Y188" s="131">
        <f>'Stasiun Pontianak Kota'!Z246</f>
        <v>0</v>
      </c>
      <c r="Z188" s="131">
        <f>'Stasiun Pontianak Kota'!AA246</f>
        <v>0</v>
      </c>
      <c r="AA188" s="131">
        <f>'Stasiun Pontianak Kota'!AB246</f>
        <v>0</v>
      </c>
      <c r="AC188" s="130">
        <v>19</v>
      </c>
      <c r="AD188" s="131">
        <f>'Sta. Meteorologi pnk'!B206</f>
        <v>0</v>
      </c>
      <c r="AE188" s="131">
        <f>'Sta. Meteorologi pnk'!C206</f>
        <v>0</v>
      </c>
      <c r="AF188" s="131">
        <f>'Sta. Meteorologi pnk'!D206</f>
        <v>3.2</v>
      </c>
      <c r="AG188" s="131">
        <f>'Sta. Meteorologi pnk'!E206</f>
        <v>1.8</v>
      </c>
      <c r="AH188" s="131">
        <f>'Sta. Meteorologi pnk'!F206</f>
        <v>9.6</v>
      </c>
      <c r="AI188" s="131">
        <f>'Sta. Meteorologi pnk'!G206</f>
        <v>16.7</v>
      </c>
      <c r="AJ188" s="131">
        <f>'Sta. Meteorologi pnk'!H206</f>
        <v>0.9</v>
      </c>
      <c r="AK188" s="131">
        <f>'Sta. Meteorologi pnk'!I206</f>
        <v>0</v>
      </c>
      <c r="AL188" s="131">
        <f>'Sta. Meteorologi pnk'!J206</f>
        <v>8.8000000000000007</v>
      </c>
      <c r="AM188" s="131">
        <f>'Sta. Meteorologi pnk'!K206</f>
        <v>0</v>
      </c>
      <c r="AN188" s="131">
        <f>'Sta. Meteorologi pnk'!L206</f>
        <v>0.4</v>
      </c>
      <c r="AO188" s="131">
        <f>'Sta. Meteorologi pnk'!M206</f>
        <v>0</v>
      </c>
      <c r="AQ188" s="130">
        <v>19</v>
      </c>
      <c r="AR188" s="131">
        <f t="shared" si="281"/>
        <v>0</v>
      </c>
      <c r="AS188" s="131">
        <f t="shared" si="258"/>
        <v>0</v>
      </c>
      <c r="AT188" s="131">
        <f t="shared" si="259"/>
        <v>13.820813813846303</v>
      </c>
      <c r="AU188" s="131">
        <f t="shared" si="260"/>
        <v>1.2171504614352637</v>
      </c>
      <c r="AV188" s="131">
        <f t="shared" si="261"/>
        <v>16.205628103733677</v>
      </c>
      <c r="AW188" s="131">
        <f t="shared" si="262"/>
        <v>14.20669919613974</v>
      </c>
      <c r="AX188" s="131">
        <f t="shared" si="263"/>
        <v>0.60857523071763187</v>
      </c>
      <c r="AY188" s="131">
        <f t="shared" si="264"/>
        <v>0</v>
      </c>
      <c r="AZ188" s="131">
        <f t="shared" si="265"/>
        <v>6.2743186662194761</v>
      </c>
      <c r="BA188" s="131">
        <f t="shared" si="266"/>
        <v>0</v>
      </c>
      <c r="BB188" s="131">
        <f t="shared" si="267"/>
        <v>0.27047788031894748</v>
      </c>
      <c r="BC188" s="131">
        <f t="shared" si="268"/>
        <v>0</v>
      </c>
      <c r="BE188" s="130">
        <v>19</v>
      </c>
      <c r="BF188" s="131">
        <f t="shared" si="282"/>
        <v>0</v>
      </c>
      <c r="BG188" s="131">
        <f t="shared" si="269"/>
        <v>0</v>
      </c>
      <c r="BH188" s="131">
        <f t="shared" si="270"/>
        <v>15.248710938807893</v>
      </c>
      <c r="BI188" s="131">
        <f t="shared" si="271"/>
        <v>1.1387902533581036</v>
      </c>
      <c r="BJ188" s="131">
        <f t="shared" si="272"/>
        <v>17.093710461941495</v>
      </c>
      <c r="BK188" s="131">
        <f t="shared" si="273"/>
        <v>13.871491639365219</v>
      </c>
      <c r="BL188" s="131">
        <f t="shared" si="274"/>
        <v>0.56939512667905179</v>
      </c>
      <c r="BM188" s="131">
        <f t="shared" si="275"/>
        <v>0</v>
      </c>
      <c r="BN188" s="131">
        <f t="shared" si="276"/>
        <v>5.9347577645517813</v>
      </c>
      <c r="BO188" s="131">
        <f t="shared" si="277"/>
        <v>0</v>
      </c>
      <c r="BP188" s="131">
        <f t="shared" si="278"/>
        <v>0.2530645007462452</v>
      </c>
      <c r="BQ188" s="131">
        <f t="shared" si="279"/>
        <v>0</v>
      </c>
    </row>
    <row r="189" spans="1:69">
      <c r="A189" s="130">
        <v>20</v>
      </c>
      <c r="B189" s="131">
        <f t="shared" si="280"/>
        <v>2.8213709611718509</v>
      </c>
      <c r="C189" s="131">
        <f t="shared" si="247"/>
        <v>0</v>
      </c>
      <c r="D189" s="131">
        <f t="shared" si="248"/>
        <v>0</v>
      </c>
      <c r="E189" s="131">
        <f t="shared" si="249"/>
        <v>0.26283870757499223</v>
      </c>
      <c r="F189" s="131">
        <f t="shared" si="250"/>
        <v>5.646887067603017</v>
      </c>
      <c r="G189" s="131">
        <f t="shared" si="251"/>
        <v>0</v>
      </c>
      <c r="H189" s="131">
        <f t="shared" si="252"/>
        <v>0</v>
      </c>
      <c r="I189" s="131">
        <f t="shared" si="253"/>
        <v>6.5709676893748056E-2</v>
      </c>
      <c r="J189" s="131">
        <f t="shared" si="254"/>
        <v>0.32854838446874024</v>
      </c>
      <c r="K189" s="131">
        <f t="shared" si="255"/>
        <v>0</v>
      </c>
      <c r="L189" s="131">
        <f t="shared" si="256"/>
        <v>0</v>
      </c>
      <c r="M189" s="131">
        <f t="shared" si="257"/>
        <v>1.1170645071937169</v>
      </c>
      <c r="O189" s="130">
        <v>20</v>
      </c>
      <c r="P189" s="131">
        <f>'Stasiun Pontianak Kota'!Q247</f>
        <v>2</v>
      </c>
      <c r="Q189" s="131">
        <f>'Stasiun Pontianak Kota'!R247</f>
        <v>0</v>
      </c>
      <c r="R189" s="131">
        <f>'Stasiun Pontianak Kota'!S247</f>
        <v>0</v>
      </c>
      <c r="S189" s="131">
        <f>'Stasiun Pontianak Kota'!T247</f>
        <v>0</v>
      </c>
      <c r="T189" s="131">
        <f>'Stasiun Pontianak Kota'!U247</f>
        <v>2</v>
      </c>
      <c r="U189" s="131">
        <f>'Stasiun Pontianak Kota'!V247</f>
        <v>0</v>
      </c>
      <c r="V189" s="131">
        <f>'Stasiun Pontianak Kota'!W247</f>
        <v>0</v>
      </c>
      <c r="W189" s="131">
        <f>'Stasiun Pontianak Kota'!X247</f>
        <v>0</v>
      </c>
      <c r="X189" s="131">
        <f>'Stasiun Pontianak Kota'!Y247</f>
        <v>0</v>
      </c>
      <c r="Y189" s="131">
        <f>'Stasiun Pontianak Kota'!Z247</f>
        <v>0</v>
      </c>
      <c r="Z189" s="131">
        <f>'Stasiun Pontianak Kota'!AA247</f>
        <v>0</v>
      </c>
      <c r="AA189" s="131">
        <f>'Stasiun Pontianak Kota'!AB247</f>
        <v>0</v>
      </c>
      <c r="AC189" s="130">
        <v>20</v>
      </c>
      <c r="AD189" s="131">
        <f>'Sta. Meteorologi pnk'!B207</f>
        <v>4.5</v>
      </c>
      <c r="AE189" s="131">
        <f>'Sta. Meteorologi pnk'!C207</f>
        <v>0</v>
      </c>
      <c r="AF189" s="131">
        <f>'Sta. Meteorologi pnk'!D207</f>
        <v>0</v>
      </c>
      <c r="AG189" s="131">
        <f>'Sta. Meteorologi pnk'!E207</f>
        <v>0.8</v>
      </c>
      <c r="AH189" s="131">
        <f>'Sta. Meteorologi pnk'!F207</f>
        <v>13.1</v>
      </c>
      <c r="AI189" s="131">
        <f>'Sta. Meteorologi pnk'!G207</f>
        <v>0</v>
      </c>
      <c r="AJ189" s="131">
        <f>'Sta. Meteorologi pnk'!H207</f>
        <v>0</v>
      </c>
      <c r="AK189" s="131">
        <f>'Sta. Meteorologi pnk'!I207</f>
        <v>0.2</v>
      </c>
      <c r="AL189" s="131">
        <f>'Sta. Meteorologi pnk'!J207</f>
        <v>1</v>
      </c>
      <c r="AM189" s="131">
        <f>'Sta. Meteorologi pnk'!K207</f>
        <v>0</v>
      </c>
      <c r="AN189" s="131">
        <f>'Sta. Meteorologi pnk'!L207</f>
        <v>0</v>
      </c>
      <c r="AO189" s="131">
        <f>'Sta. Meteorologi pnk'!M207</f>
        <v>3.4</v>
      </c>
      <c r="AQ189" s="130">
        <v>20</v>
      </c>
      <c r="AR189" s="131">
        <f t="shared" si="281"/>
        <v>3.6904867519934221</v>
      </c>
      <c r="AS189" s="131">
        <f t="shared" si="258"/>
        <v>0</v>
      </c>
      <c r="AT189" s="131">
        <f t="shared" si="259"/>
        <v>0</v>
      </c>
      <c r="AU189" s="131">
        <f t="shared" si="260"/>
        <v>0.54095576063789497</v>
      </c>
      <c r="AV189" s="131">
        <f t="shared" si="261"/>
        <v>9.5057611788507934</v>
      </c>
      <c r="AW189" s="131">
        <f t="shared" si="262"/>
        <v>0</v>
      </c>
      <c r="AX189" s="131">
        <f t="shared" si="263"/>
        <v>0</v>
      </c>
      <c r="AY189" s="131">
        <f t="shared" si="264"/>
        <v>0.13523894015947374</v>
      </c>
      <c r="AZ189" s="131">
        <f t="shared" si="265"/>
        <v>0.67619470079736876</v>
      </c>
      <c r="BA189" s="131">
        <f t="shared" si="266"/>
        <v>0</v>
      </c>
      <c r="BB189" s="131">
        <f t="shared" si="267"/>
        <v>0</v>
      </c>
      <c r="BC189" s="131">
        <f t="shared" si="268"/>
        <v>2.2990619827110534</v>
      </c>
      <c r="BE189" s="130">
        <v>20</v>
      </c>
      <c r="BF189" s="131">
        <f t="shared" si="282"/>
        <v>3.5816531296640326</v>
      </c>
      <c r="BG189" s="131">
        <f t="shared" si="269"/>
        <v>0</v>
      </c>
      <c r="BH189" s="131">
        <f t="shared" si="270"/>
        <v>0</v>
      </c>
      <c r="BI189" s="131">
        <f t="shared" si="271"/>
        <v>0.5061290014924904</v>
      </c>
      <c r="BJ189" s="131">
        <f t="shared" si="272"/>
        <v>9.0225398957083041</v>
      </c>
      <c r="BK189" s="131">
        <f t="shared" si="273"/>
        <v>0</v>
      </c>
      <c r="BL189" s="131">
        <f t="shared" si="274"/>
        <v>0</v>
      </c>
      <c r="BM189" s="131">
        <f t="shared" si="275"/>
        <v>0.1265322503731226</v>
      </c>
      <c r="BN189" s="131">
        <f t="shared" si="276"/>
        <v>0.63266125186561295</v>
      </c>
      <c r="BO189" s="131">
        <f t="shared" si="277"/>
        <v>0</v>
      </c>
      <c r="BP189" s="131">
        <f t="shared" si="278"/>
        <v>0</v>
      </c>
      <c r="BQ189" s="131">
        <f t="shared" si="279"/>
        <v>2.1510482563430839</v>
      </c>
    </row>
    <row r="190" spans="1:69">
      <c r="A190" s="130">
        <v>21</v>
      </c>
      <c r="B190" s="131">
        <f t="shared" si="280"/>
        <v>0</v>
      </c>
      <c r="C190" s="131">
        <f t="shared" si="247"/>
        <v>0</v>
      </c>
      <c r="D190" s="131">
        <f t="shared" si="248"/>
        <v>15.285483844687404</v>
      </c>
      <c r="E190" s="131">
        <f t="shared" si="249"/>
        <v>0</v>
      </c>
      <c r="F190" s="131">
        <f t="shared" si="250"/>
        <v>3.3572580776562981</v>
      </c>
      <c r="G190" s="131">
        <f t="shared" si="251"/>
        <v>0</v>
      </c>
      <c r="H190" s="131">
        <f t="shared" si="252"/>
        <v>0</v>
      </c>
      <c r="I190" s="131">
        <f t="shared" si="253"/>
        <v>30.084515992374495</v>
      </c>
      <c r="J190" s="131">
        <f t="shared" si="254"/>
        <v>9.8564515340622078E-2</v>
      </c>
      <c r="K190" s="131">
        <f t="shared" si="255"/>
        <v>0</v>
      </c>
      <c r="L190" s="131">
        <f t="shared" si="256"/>
        <v>27.811161259837384</v>
      </c>
      <c r="M190" s="131">
        <f t="shared" si="257"/>
        <v>0</v>
      </c>
      <c r="O190" s="130">
        <v>21</v>
      </c>
      <c r="P190" s="131">
        <f>'Stasiun Pontianak Kota'!Q248</f>
        <v>0</v>
      </c>
      <c r="Q190" s="131">
        <f>'Stasiun Pontianak Kota'!R248</f>
        <v>0</v>
      </c>
      <c r="R190" s="131">
        <f>'Stasiun Pontianak Kota'!S248</f>
        <v>12</v>
      </c>
      <c r="S190" s="131">
        <f>'Stasiun Pontianak Kota'!T248</f>
        <v>0</v>
      </c>
      <c r="T190" s="131">
        <f>'Stasiun Pontianak Kota'!U248</f>
        <v>5</v>
      </c>
      <c r="U190" s="131">
        <f>'Stasiun Pontianak Kota'!V248</f>
        <v>0</v>
      </c>
      <c r="V190" s="131">
        <f>'Stasiun Pontianak Kota'!W248</f>
        <v>0</v>
      </c>
      <c r="W190" s="131">
        <f>'Stasiun Pontianak Kota'!X248</f>
        <v>13</v>
      </c>
      <c r="X190" s="131">
        <f>'Stasiun Pontianak Kota'!Y248</f>
        <v>0</v>
      </c>
      <c r="Y190" s="131">
        <f>'Stasiun Pontianak Kota'!Z248</f>
        <v>0</v>
      </c>
      <c r="Z190" s="131">
        <f>'Stasiun Pontianak Kota'!AA248</f>
        <v>24</v>
      </c>
      <c r="AA190" s="131">
        <f>'Stasiun Pontianak Kota'!AB248</f>
        <v>0</v>
      </c>
      <c r="AC190" s="130">
        <v>21</v>
      </c>
      <c r="AD190" s="131">
        <f>'Sta. Meteorologi pnk'!B208</f>
        <v>0</v>
      </c>
      <c r="AE190" s="131">
        <f>'Sta. Meteorologi pnk'!C208</f>
        <v>0</v>
      </c>
      <c r="AF190" s="131">
        <f>'Sta. Meteorologi pnk'!D208</f>
        <v>22</v>
      </c>
      <c r="AG190" s="131">
        <f>'Sta. Meteorologi pnk'!E208</f>
        <v>0</v>
      </c>
      <c r="AH190" s="131">
        <f>'Sta. Meteorologi pnk'!F208</f>
        <v>0</v>
      </c>
      <c r="AI190" s="131">
        <f>'Sta. Meteorologi pnk'!G208</f>
        <v>0</v>
      </c>
      <c r="AJ190" s="131">
        <f>'Sta. Meteorologi pnk'!H208</f>
        <v>0</v>
      </c>
      <c r="AK190" s="131">
        <f>'Sta. Meteorologi pnk'!I208</f>
        <v>65</v>
      </c>
      <c r="AL190" s="131">
        <f>'Sta. Meteorologi pnk'!J208</f>
        <v>0.3</v>
      </c>
      <c r="AM190" s="131">
        <f>'Sta. Meteorologi pnk'!K208</f>
        <v>0</v>
      </c>
      <c r="AN190" s="131">
        <f>'Sta. Meteorologi pnk'!L208</f>
        <v>35.6</v>
      </c>
      <c r="AO190" s="131">
        <f>'Sta. Meteorologi pnk'!M208</f>
        <v>0</v>
      </c>
      <c r="AQ190" s="130">
        <v>21</v>
      </c>
      <c r="AR190" s="131">
        <f t="shared" si="281"/>
        <v>0</v>
      </c>
      <c r="AS190" s="131">
        <f t="shared" si="258"/>
        <v>0</v>
      </c>
      <c r="AT190" s="131">
        <f t="shared" si="259"/>
        <v>18.761947007973685</v>
      </c>
      <c r="AU190" s="131">
        <f t="shared" si="260"/>
        <v>0</v>
      </c>
      <c r="AV190" s="131">
        <f t="shared" si="261"/>
        <v>1.619026496013156</v>
      </c>
      <c r="AW190" s="131">
        <f t="shared" si="262"/>
        <v>0</v>
      </c>
      <c r="AX190" s="131">
        <f t="shared" si="263"/>
        <v>0</v>
      </c>
      <c r="AY190" s="131">
        <f t="shared" si="264"/>
        <v>48.16212444146317</v>
      </c>
      <c r="AZ190" s="131">
        <f t="shared" si="265"/>
        <v>0.20285841023921061</v>
      </c>
      <c r="BA190" s="131">
        <f t="shared" si="266"/>
        <v>0</v>
      </c>
      <c r="BB190" s="131">
        <f t="shared" si="267"/>
        <v>31.843858529249474</v>
      </c>
      <c r="BC190" s="131">
        <f t="shared" si="268"/>
        <v>0</v>
      </c>
      <c r="BE190" s="130">
        <v>21</v>
      </c>
      <c r="BF190" s="131">
        <f t="shared" si="282"/>
        <v>0</v>
      </c>
      <c r="BG190" s="131">
        <f t="shared" si="269"/>
        <v>0</v>
      </c>
      <c r="BH190" s="131">
        <f t="shared" si="270"/>
        <v>18.32661251865613</v>
      </c>
      <c r="BI190" s="131">
        <f t="shared" si="271"/>
        <v>0</v>
      </c>
      <c r="BJ190" s="131">
        <f t="shared" si="272"/>
        <v>1.8366937406719348</v>
      </c>
      <c r="BK190" s="131">
        <f t="shared" si="273"/>
        <v>0</v>
      </c>
      <c r="BL190" s="131">
        <f t="shared" si="274"/>
        <v>0</v>
      </c>
      <c r="BM190" s="131">
        <f t="shared" si="275"/>
        <v>45.898385097011875</v>
      </c>
      <c r="BN190" s="131">
        <f t="shared" si="276"/>
        <v>0.18979837555968387</v>
      </c>
      <c r="BO190" s="131">
        <f t="shared" si="277"/>
        <v>0</v>
      </c>
      <c r="BP190" s="131">
        <f t="shared" si="278"/>
        <v>31.338870521641113</v>
      </c>
      <c r="BQ190" s="131">
        <f t="shared" si="279"/>
        <v>0</v>
      </c>
    </row>
    <row r="191" spans="1:69">
      <c r="A191" s="130">
        <v>22</v>
      </c>
      <c r="B191" s="131">
        <f t="shared" si="280"/>
        <v>0.93429032310625193</v>
      </c>
      <c r="C191" s="131">
        <f t="shared" si="247"/>
        <v>5.3572580776562981</v>
      </c>
      <c r="D191" s="131">
        <f t="shared" si="248"/>
        <v>1.8398709530249455</v>
      </c>
      <c r="E191" s="131">
        <f t="shared" si="249"/>
        <v>14.484532286184477</v>
      </c>
      <c r="F191" s="131">
        <f t="shared" si="250"/>
        <v>10.973516041255925</v>
      </c>
      <c r="G191" s="131">
        <f t="shared" si="251"/>
        <v>0</v>
      </c>
      <c r="H191" s="131">
        <f t="shared" si="252"/>
        <v>0</v>
      </c>
      <c r="I191" s="131">
        <f t="shared" si="253"/>
        <v>7.6880321965685221</v>
      </c>
      <c r="J191" s="131">
        <f t="shared" si="254"/>
        <v>0</v>
      </c>
      <c r="K191" s="131">
        <f t="shared" si="255"/>
        <v>0</v>
      </c>
      <c r="L191" s="131">
        <f t="shared" si="256"/>
        <v>0</v>
      </c>
      <c r="M191" s="131">
        <f t="shared" si="257"/>
        <v>0</v>
      </c>
      <c r="O191" s="130">
        <v>22</v>
      </c>
      <c r="P191" s="131">
        <f>'Stasiun Pontianak Kota'!Q249</f>
        <v>1</v>
      </c>
      <c r="Q191" s="131">
        <f>'Stasiun Pontianak Kota'!R249</f>
        <v>7</v>
      </c>
      <c r="R191" s="131">
        <f>'Stasiun Pontianak Kota'!S249</f>
        <v>0</v>
      </c>
      <c r="S191" s="131">
        <f>'Stasiun Pontianak Kota'!T249</f>
        <v>18</v>
      </c>
      <c r="T191" s="131">
        <f>'Stasiun Pontianak Kota'!U249</f>
        <v>0</v>
      </c>
      <c r="U191" s="131">
        <f>'Stasiun Pontianak Kota'!V249</f>
        <v>0</v>
      </c>
      <c r="V191" s="131">
        <f>'Stasiun Pontianak Kota'!W249</f>
        <v>0</v>
      </c>
      <c r="W191" s="131">
        <f>'Stasiun Pontianak Kota'!X249</f>
        <v>0</v>
      </c>
      <c r="X191" s="131">
        <f>'Stasiun Pontianak Kota'!Y249</f>
        <v>0</v>
      </c>
      <c r="Y191" s="131">
        <f>'Stasiun Pontianak Kota'!Z249</f>
        <v>0</v>
      </c>
      <c r="Z191" s="131">
        <f>'Stasiun Pontianak Kota'!AA249</f>
        <v>0</v>
      </c>
      <c r="AA191" s="131">
        <f>'Stasiun Pontianak Kota'!AB249</f>
        <v>0</v>
      </c>
      <c r="AC191" s="130">
        <v>22</v>
      </c>
      <c r="AD191" s="131">
        <f>'Sta. Meteorologi pnk'!B209</f>
        <v>0.8</v>
      </c>
      <c r="AE191" s="131">
        <f>'Sta. Meteorologi pnk'!C209</f>
        <v>2</v>
      </c>
      <c r="AF191" s="131">
        <f>'Sta. Meteorologi pnk'!D209</f>
        <v>5.6</v>
      </c>
      <c r="AG191" s="131">
        <f>'Sta. Meteorologi pnk'!E209</f>
        <v>7.3</v>
      </c>
      <c r="AH191" s="131">
        <f>'Sta. Meteorologi pnk'!F209</f>
        <v>33.4</v>
      </c>
      <c r="AI191" s="131">
        <f>'Sta. Meteorologi pnk'!G209</f>
        <v>0</v>
      </c>
      <c r="AJ191" s="131">
        <f>'Sta. Meteorologi pnk'!H209</f>
        <v>0</v>
      </c>
      <c r="AK191" s="131">
        <f>'Sta. Meteorologi pnk'!I209</f>
        <v>23.4</v>
      </c>
      <c r="AL191" s="131">
        <f>'Sta. Meteorologi pnk'!J209</f>
        <v>0</v>
      </c>
      <c r="AM191" s="131">
        <f>'Sta. Meteorologi pnk'!K209</f>
        <v>0</v>
      </c>
      <c r="AN191" s="131">
        <f>'Sta. Meteorologi pnk'!L209</f>
        <v>0</v>
      </c>
      <c r="AO191" s="131">
        <f>'Sta. Meteorologi pnk'!M209</f>
        <v>0</v>
      </c>
      <c r="AQ191" s="130">
        <v>22</v>
      </c>
      <c r="AR191" s="131">
        <f t="shared" si="281"/>
        <v>0.8647610598405262</v>
      </c>
      <c r="AS191" s="131">
        <f t="shared" si="258"/>
        <v>3.6190264960131562</v>
      </c>
      <c r="AT191" s="131">
        <f t="shared" si="259"/>
        <v>3.7866903244652645</v>
      </c>
      <c r="AU191" s="131">
        <f t="shared" si="260"/>
        <v>10.764716701468153</v>
      </c>
      <c r="AV191" s="131">
        <f t="shared" si="261"/>
        <v>22.584903006632114</v>
      </c>
      <c r="AW191" s="131">
        <f t="shared" si="262"/>
        <v>0</v>
      </c>
      <c r="AX191" s="131">
        <f t="shared" si="263"/>
        <v>0</v>
      </c>
      <c r="AY191" s="131">
        <f t="shared" si="264"/>
        <v>15.822955998658427</v>
      </c>
      <c r="AZ191" s="131">
        <f t="shared" si="265"/>
        <v>0</v>
      </c>
      <c r="BA191" s="131">
        <f t="shared" si="266"/>
        <v>0</v>
      </c>
      <c r="BB191" s="131">
        <f t="shared" si="267"/>
        <v>0</v>
      </c>
      <c r="BC191" s="131">
        <f t="shared" si="268"/>
        <v>0</v>
      </c>
      <c r="BE191" s="130">
        <v>22</v>
      </c>
      <c r="BF191" s="131">
        <f t="shared" si="282"/>
        <v>0.87346774962687734</v>
      </c>
      <c r="BG191" s="131">
        <f t="shared" si="269"/>
        <v>3.8366937406719352</v>
      </c>
      <c r="BH191" s="131">
        <f t="shared" si="270"/>
        <v>3.5429030104474326</v>
      </c>
      <c r="BI191" s="131">
        <f t="shared" si="271"/>
        <v>11.230524605037942</v>
      </c>
      <c r="BJ191" s="131">
        <f t="shared" si="272"/>
        <v>21.130885812311472</v>
      </c>
      <c r="BK191" s="131">
        <f t="shared" si="273"/>
        <v>0</v>
      </c>
      <c r="BL191" s="131">
        <f t="shared" si="274"/>
        <v>0</v>
      </c>
      <c r="BM191" s="131">
        <f t="shared" si="275"/>
        <v>14.804273293655344</v>
      </c>
      <c r="BN191" s="131">
        <f t="shared" si="276"/>
        <v>0</v>
      </c>
      <c r="BO191" s="131">
        <f t="shared" si="277"/>
        <v>0</v>
      </c>
      <c r="BP191" s="131">
        <f t="shared" si="278"/>
        <v>0</v>
      </c>
      <c r="BQ191" s="131">
        <f t="shared" si="279"/>
        <v>0</v>
      </c>
    </row>
    <row r="192" spans="1:69">
      <c r="A192" s="130">
        <v>23</v>
      </c>
      <c r="B192" s="131">
        <f t="shared" si="280"/>
        <v>6.5709676893748056E-2</v>
      </c>
      <c r="C192" s="131">
        <f t="shared" si="247"/>
        <v>4.7228064458312291</v>
      </c>
      <c r="D192" s="131">
        <f t="shared" si="248"/>
        <v>6.4743225848500154</v>
      </c>
      <c r="E192" s="131">
        <f t="shared" si="249"/>
        <v>11.324403239209424</v>
      </c>
      <c r="F192" s="131">
        <f t="shared" si="250"/>
        <v>3.2854838446874028E-2</v>
      </c>
      <c r="G192" s="131">
        <f t="shared" si="251"/>
        <v>0</v>
      </c>
      <c r="H192" s="131">
        <f t="shared" si="252"/>
        <v>0</v>
      </c>
      <c r="I192" s="131">
        <f t="shared" si="253"/>
        <v>31.305903247356326</v>
      </c>
      <c r="J192" s="131">
        <f t="shared" si="254"/>
        <v>0</v>
      </c>
      <c r="K192" s="131">
        <f t="shared" si="255"/>
        <v>0</v>
      </c>
      <c r="L192" s="131">
        <f t="shared" si="256"/>
        <v>0</v>
      </c>
      <c r="M192" s="131">
        <f t="shared" si="257"/>
        <v>0</v>
      </c>
      <c r="O192" s="130">
        <v>23</v>
      </c>
      <c r="P192" s="131">
        <f>'Stasiun Pontianak Kota'!Q250</f>
        <v>0</v>
      </c>
      <c r="Q192" s="131">
        <f>'Stasiun Pontianak Kota'!R250</f>
        <v>4</v>
      </c>
      <c r="R192" s="131">
        <f>'Stasiun Pontianak Kota'!S250</f>
        <v>7</v>
      </c>
      <c r="S192" s="131">
        <f>'Stasiun Pontianak Kota'!T250</f>
        <v>13</v>
      </c>
      <c r="T192" s="131">
        <f>'Stasiun Pontianak Kota'!U250</f>
        <v>0</v>
      </c>
      <c r="U192" s="131">
        <f>'Stasiun Pontianak Kota'!V250</f>
        <v>0</v>
      </c>
      <c r="V192" s="131">
        <f>'Stasiun Pontianak Kota'!W250</f>
        <v>0</v>
      </c>
      <c r="W192" s="131">
        <f>'Stasiun Pontianak Kota'!X250</f>
        <v>34</v>
      </c>
      <c r="X192" s="131">
        <f>'Stasiun Pontianak Kota'!Y250</f>
        <v>0</v>
      </c>
      <c r="Y192" s="131">
        <f>'Stasiun Pontianak Kota'!Z250</f>
        <v>0</v>
      </c>
      <c r="Z192" s="131">
        <f>'Stasiun Pontianak Kota'!AA250</f>
        <v>0</v>
      </c>
      <c r="AA192" s="131">
        <f>'Stasiun Pontianak Kota'!AB250</f>
        <v>0</v>
      </c>
      <c r="AC192" s="130">
        <v>23</v>
      </c>
      <c r="AD192" s="131">
        <f>'Sta. Meteorologi pnk'!B210</f>
        <v>0.2</v>
      </c>
      <c r="AE192" s="131">
        <f>'Sta. Meteorologi pnk'!C210</f>
        <v>6.2</v>
      </c>
      <c r="AF192" s="131">
        <f>'Sta. Meteorologi pnk'!D210</f>
        <v>5.4</v>
      </c>
      <c r="AG192" s="131">
        <f>'Sta. Meteorologi pnk'!E210</f>
        <v>7.9</v>
      </c>
      <c r="AH192" s="131">
        <f>'Sta. Meteorologi pnk'!F210</f>
        <v>0.1</v>
      </c>
      <c r="AI192" s="131">
        <f>'Sta. Meteorologi pnk'!G210</f>
        <v>0</v>
      </c>
      <c r="AJ192" s="131">
        <f>'Sta. Meteorologi pnk'!H210</f>
        <v>0</v>
      </c>
      <c r="AK192" s="131">
        <f>'Sta. Meteorologi pnk'!I210</f>
        <v>25.8</v>
      </c>
      <c r="AL192" s="131">
        <f>'Sta. Meteorologi pnk'!J210</f>
        <v>0</v>
      </c>
      <c r="AM192" s="131">
        <f>'Sta. Meteorologi pnk'!K210</f>
        <v>0</v>
      </c>
      <c r="AN192" s="131">
        <f>'Sta. Meteorologi pnk'!L210</f>
        <v>0</v>
      </c>
      <c r="AO192" s="131">
        <f>'Sta. Meteorologi pnk'!M210</f>
        <v>0</v>
      </c>
      <c r="AQ192" s="130">
        <v>23</v>
      </c>
      <c r="AR192" s="131">
        <f t="shared" si="281"/>
        <v>0.13523894015947374</v>
      </c>
      <c r="AS192" s="131">
        <f t="shared" si="258"/>
        <v>5.4876283417542107</v>
      </c>
      <c r="AT192" s="131">
        <f t="shared" si="259"/>
        <v>5.9180884787242096</v>
      </c>
      <c r="AU192" s="131">
        <f t="shared" si="260"/>
        <v>9.5514070259334183</v>
      </c>
      <c r="AV192" s="131">
        <f t="shared" si="261"/>
        <v>6.7619470079736871E-2</v>
      </c>
      <c r="AW192" s="131">
        <f t="shared" si="262"/>
        <v>0</v>
      </c>
      <c r="AX192" s="131">
        <f t="shared" si="263"/>
        <v>0</v>
      </c>
      <c r="AY192" s="131">
        <f t="shared" si="264"/>
        <v>28.455203453461571</v>
      </c>
      <c r="AZ192" s="131">
        <f t="shared" si="265"/>
        <v>0</v>
      </c>
      <c r="BA192" s="131">
        <f t="shared" si="266"/>
        <v>0</v>
      </c>
      <c r="BB192" s="131">
        <f t="shared" si="267"/>
        <v>0</v>
      </c>
      <c r="BC192" s="131">
        <f t="shared" si="268"/>
        <v>0</v>
      </c>
      <c r="BE192" s="130">
        <v>23</v>
      </c>
      <c r="BF192" s="131">
        <f t="shared" si="282"/>
        <v>0.1265322503731226</v>
      </c>
      <c r="BG192" s="131">
        <f t="shared" si="269"/>
        <v>5.3918547541043491</v>
      </c>
      <c r="BH192" s="131">
        <f t="shared" si="270"/>
        <v>5.9877419970150187</v>
      </c>
      <c r="BI192" s="131">
        <f t="shared" si="271"/>
        <v>9.7734276154853745</v>
      </c>
      <c r="BJ192" s="131">
        <f t="shared" si="272"/>
        <v>6.3266125186561301E-2</v>
      </c>
      <c r="BK192" s="131">
        <f t="shared" si="273"/>
        <v>0</v>
      </c>
      <c r="BL192" s="131">
        <f t="shared" si="274"/>
        <v>0</v>
      </c>
      <c r="BM192" s="131">
        <f t="shared" si="275"/>
        <v>28.812177734701972</v>
      </c>
      <c r="BN192" s="131">
        <f t="shared" si="276"/>
        <v>0</v>
      </c>
      <c r="BO192" s="131">
        <f t="shared" si="277"/>
        <v>0</v>
      </c>
      <c r="BP192" s="131">
        <f t="shared" si="278"/>
        <v>0</v>
      </c>
      <c r="BQ192" s="131">
        <f t="shared" si="279"/>
        <v>0</v>
      </c>
    </row>
    <row r="193" spans="1:70">
      <c r="A193" s="130">
        <v>24</v>
      </c>
      <c r="B193" s="131">
        <f t="shared" si="280"/>
        <v>4.5113225685562055</v>
      </c>
      <c r="C193" s="131">
        <f t="shared" si="247"/>
        <v>11.414677464031413</v>
      </c>
      <c r="D193" s="131">
        <f t="shared" si="248"/>
        <v>0</v>
      </c>
      <c r="E193" s="131">
        <f t="shared" si="249"/>
        <v>0</v>
      </c>
      <c r="F193" s="131">
        <f t="shared" si="250"/>
        <v>0</v>
      </c>
      <c r="G193" s="131">
        <f t="shared" si="251"/>
        <v>7.8194515503560194</v>
      </c>
      <c r="H193" s="131">
        <f t="shared" si="252"/>
        <v>0</v>
      </c>
      <c r="I193" s="131">
        <f t="shared" si="253"/>
        <v>0</v>
      </c>
      <c r="J193" s="131">
        <f t="shared" si="254"/>
        <v>0</v>
      </c>
      <c r="K193" s="131">
        <f t="shared" si="255"/>
        <v>0</v>
      </c>
      <c r="L193" s="131">
        <f t="shared" si="256"/>
        <v>8.3511935215811501</v>
      </c>
      <c r="M193" s="131">
        <f t="shared" si="257"/>
        <v>0</v>
      </c>
      <c r="O193" s="130">
        <v>24</v>
      </c>
      <c r="P193" s="131">
        <f>'Stasiun Pontianak Kota'!Q251</f>
        <v>3</v>
      </c>
      <c r="Q193" s="131">
        <f>'Stasiun Pontianak Kota'!R251</f>
        <v>17</v>
      </c>
      <c r="R193" s="131">
        <f>'Stasiun Pontianak Kota'!S251</f>
        <v>0</v>
      </c>
      <c r="S193" s="131">
        <f>'Stasiun Pontianak Kota'!T251</f>
        <v>0</v>
      </c>
      <c r="T193" s="131">
        <f>'Stasiun Pontianak Kota'!U251</f>
        <v>0</v>
      </c>
      <c r="U193" s="131">
        <f>'Stasiun Pontianak Kota'!V251</f>
        <v>0</v>
      </c>
      <c r="V193" s="131">
        <f>'Stasiun Pontianak Kota'!W251</f>
        <v>0</v>
      </c>
      <c r="W193" s="131">
        <f>'Stasiun Pontianak Kota'!X251</f>
        <v>0</v>
      </c>
      <c r="X193" s="131">
        <f>'Stasiun Pontianak Kota'!Y251</f>
        <v>0</v>
      </c>
      <c r="Y193" s="131">
        <f>'Stasiun Pontianak Kota'!Z251</f>
        <v>0</v>
      </c>
      <c r="Z193" s="131">
        <f>'Stasiun Pontianak Kota'!AA251</f>
        <v>5</v>
      </c>
      <c r="AA193" s="131">
        <f>'Stasiun Pontianak Kota'!AB251</f>
        <v>0</v>
      </c>
      <c r="AC193" s="130">
        <v>24</v>
      </c>
      <c r="AD193" s="131">
        <f>'Sta. Meteorologi pnk'!B211</f>
        <v>7.6</v>
      </c>
      <c r="AE193" s="131">
        <f>'Sta. Meteorologi pnk'!C211</f>
        <v>0</v>
      </c>
      <c r="AF193" s="131">
        <f>'Sta. Meteorologi pnk'!D211</f>
        <v>0</v>
      </c>
      <c r="AG193" s="131">
        <f>'Sta. Meteorologi pnk'!E211</f>
        <v>0</v>
      </c>
      <c r="AH193" s="131">
        <f>'Sta. Meteorologi pnk'!F211</f>
        <v>0</v>
      </c>
      <c r="AI193" s="131">
        <f>'Sta. Meteorologi pnk'!G211</f>
        <v>23.8</v>
      </c>
      <c r="AJ193" s="131">
        <f>'Sta. Meteorologi pnk'!H211</f>
        <v>0</v>
      </c>
      <c r="AK193" s="131">
        <f>'Sta. Meteorologi pnk'!I211</f>
        <v>0</v>
      </c>
      <c r="AL193" s="131">
        <f>'Sta. Meteorologi pnk'!J211</f>
        <v>0</v>
      </c>
      <c r="AM193" s="131">
        <f>'Sta. Meteorologi pnk'!K211</f>
        <v>0</v>
      </c>
      <c r="AN193" s="131">
        <f>'Sta. Meteorologi pnk'!L211</f>
        <v>15.2</v>
      </c>
      <c r="AO193" s="131">
        <f>'Sta. Meteorologi pnk'!M211</f>
        <v>0</v>
      </c>
      <c r="AQ193" s="130">
        <v>24</v>
      </c>
      <c r="AR193" s="131">
        <f t="shared" si="281"/>
        <v>6.1104956236678953</v>
      </c>
      <c r="AS193" s="131">
        <f t="shared" si="258"/>
        <v>5.5046900864447297</v>
      </c>
      <c r="AT193" s="131">
        <f t="shared" si="259"/>
        <v>0</v>
      </c>
      <c r="AU193" s="131">
        <f t="shared" si="260"/>
        <v>0</v>
      </c>
      <c r="AV193" s="131">
        <f t="shared" si="261"/>
        <v>0</v>
      </c>
      <c r="AW193" s="131">
        <f t="shared" si="262"/>
        <v>16.093433878977375</v>
      </c>
      <c r="AX193" s="131">
        <f t="shared" si="263"/>
        <v>0</v>
      </c>
      <c r="AY193" s="131">
        <f t="shared" si="264"/>
        <v>0</v>
      </c>
      <c r="AZ193" s="131">
        <f t="shared" si="265"/>
        <v>0</v>
      </c>
      <c r="BA193" s="131">
        <f t="shared" si="266"/>
        <v>0</v>
      </c>
      <c r="BB193" s="131">
        <f t="shared" si="267"/>
        <v>11.89718594813316</v>
      </c>
      <c r="BC193" s="131">
        <f t="shared" si="268"/>
        <v>0</v>
      </c>
      <c r="BE193" s="130">
        <v>24</v>
      </c>
      <c r="BF193" s="131">
        <f t="shared" si="282"/>
        <v>5.9102417585818188</v>
      </c>
      <c r="BG193" s="131">
        <f t="shared" si="269"/>
        <v>6.2447587182845785</v>
      </c>
      <c r="BH193" s="131">
        <f t="shared" si="270"/>
        <v>0</v>
      </c>
      <c r="BI193" s="131">
        <f t="shared" si="271"/>
        <v>0</v>
      </c>
      <c r="BJ193" s="131">
        <f t="shared" si="272"/>
        <v>0</v>
      </c>
      <c r="BK193" s="131">
        <f t="shared" si="273"/>
        <v>15.057337794401588</v>
      </c>
      <c r="BL193" s="131">
        <f t="shared" si="274"/>
        <v>0</v>
      </c>
      <c r="BM193" s="131">
        <f t="shared" si="275"/>
        <v>0</v>
      </c>
      <c r="BN193" s="131">
        <f t="shared" si="276"/>
        <v>0</v>
      </c>
      <c r="BO193" s="131">
        <f t="shared" si="277"/>
        <v>0</v>
      </c>
      <c r="BP193" s="131">
        <f t="shared" si="278"/>
        <v>11.453144769029253</v>
      </c>
      <c r="BQ193" s="131">
        <f t="shared" si="279"/>
        <v>0</v>
      </c>
    </row>
    <row r="194" spans="1:70">
      <c r="A194" s="130">
        <v>25</v>
      </c>
      <c r="B194" s="131">
        <f t="shared" si="280"/>
        <v>7.4969677219624264</v>
      </c>
      <c r="C194" s="131">
        <f t="shared" si="247"/>
        <v>9.4003226174376344</v>
      </c>
      <c r="D194" s="131">
        <f t="shared" si="248"/>
        <v>0</v>
      </c>
      <c r="E194" s="131">
        <f t="shared" si="249"/>
        <v>5.9856451534062209</v>
      </c>
      <c r="F194" s="131">
        <f t="shared" si="250"/>
        <v>0</v>
      </c>
      <c r="G194" s="131">
        <f t="shared" si="251"/>
        <v>0</v>
      </c>
      <c r="H194" s="131">
        <f t="shared" si="252"/>
        <v>0</v>
      </c>
      <c r="I194" s="131">
        <f t="shared" si="253"/>
        <v>34.928225767031108</v>
      </c>
      <c r="J194" s="131">
        <f t="shared" si="254"/>
        <v>0</v>
      </c>
      <c r="K194" s="131">
        <f t="shared" si="255"/>
        <v>0</v>
      </c>
      <c r="L194" s="131">
        <f t="shared" si="256"/>
        <v>4.0369999837061901</v>
      </c>
      <c r="M194" s="131">
        <f t="shared" si="257"/>
        <v>24.839870953024946</v>
      </c>
      <c r="O194" s="130">
        <v>25</v>
      </c>
      <c r="P194" s="131">
        <f>'Stasiun Pontianak Kota'!Q252</f>
        <v>5</v>
      </c>
      <c r="Q194" s="131">
        <f>'Stasiun Pontianak Kota'!R252</f>
        <v>14</v>
      </c>
      <c r="R194" s="131">
        <f>'Stasiun Pontianak Kota'!S252</f>
        <v>0</v>
      </c>
      <c r="S194" s="131">
        <f>'Stasiun Pontianak Kota'!T252</f>
        <v>5</v>
      </c>
      <c r="T194" s="131">
        <f>'Stasiun Pontianak Kota'!U252</f>
        <v>0</v>
      </c>
      <c r="U194" s="131">
        <f>'Stasiun Pontianak Kota'!V252</f>
        <v>0</v>
      </c>
      <c r="V194" s="131">
        <f>'Stasiun Pontianak Kota'!W252</f>
        <v>0</v>
      </c>
      <c r="W194" s="131">
        <f>'Stasiun Pontianak Kota'!X252</f>
        <v>30</v>
      </c>
      <c r="X194" s="131">
        <f>'Stasiun Pontianak Kota'!Y252</f>
        <v>0</v>
      </c>
      <c r="Y194" s="131">
        <f>'Stasiun Pontianak Kota'!Z252</f>
        <v>0</v>
      </c>
      <c r="Z194" s="131">
        <f>'Stasiun Pontianak Kota'!AA252</f>
        <v>2</v>
      </c>
      <c r="AA194" s="131">
        <f>'Stasiun Pontianak Kota'!AB252</f>
        <v>23</v>
      </c>
      <c r="AC194" s="130">
        <v>25</v>
      </c>
      <c r="AD194" s="131">
        <f>'Sta. Meteorologi pnk'!B212</f>
        <v>12.6</v>
      </c>
      <c r="AE194" s="131">
        <f>'Sta. Meteorologi pnk'!C212</f>
        <v>0</v>
      </c>
      <c r="AF194" s="131">
        <f>'Sta. Meteorologi pnk'!D212</f>
        <v>0</v>
      </c>
      <c r="AG194" s="131">
        <f>'Sta. Meteorologi pnk'!E212</f>
        <v>8</v>
      </c>
      <c r="AH194" s="131">
        <f>'Sta. Meteorologi pnk'!F212</f>
        <v>0</v>
      </c>
      <c r="AI194" s="131">
        <f>'Sta. Meteorologi pnk'!G212</f>
        <v>0</v>
      </c>
      <c r="AJ194" s="131">
        <f>'Sta. Meteorologi pnk'!H212</f>
        <v>0</v>
      </c>
      <c r="AK194" s="131">
        <f>'Sta. Meteorologi pnk'!I212</f>
        <v>45</v>
      </c>
      <c r="AL194" s="131">
        <f>'Sta. Meteorologi pnk'!J212</f>
        <v>0</v>
      </c>
      <c r="AM194" s="131">
        <f>'Sta. Meteorologi pnk'!K212</f>
        <v>0</v>
      </c>
      <c r="AN194" s="131">
        <f>'Sta. Meteorologi pnk'!L212</f>
        <v>8.1999999999999993</v>
      </c>
      <c r="AO194" s="131">
        <f>'Sta. Meteorologi pnk'!M212</f>
        <v>28.6</v>
      </c>
      <c r="AQ194" s="130">
        <v>25</v>
      </c>
      <c r="AR194" s="131">
        <f t="shared" si="281"/>
        <v>10.139079726060002</v>
      </c>
      <c r="AS194" s="131">
        <f t="shared" si="258"/>
        <v>4.5332741888368364</v>
      </c>
      <c r="AT194" s="131">
        <f t="shared" si="259"/>
        <v>0</v>
      </c>
      <c r="AU194" s="131">
        <f t="shared" si="260"/>
        <v>7.0285841023921067</v>
      </c>
      <c r="AV194" s="131">
        <f t="shared" si="261"/>
        <v>0</v>
      </c>
      <c r="AW194" s="131">
        <f t="shared" si="262"/>
        <v>0</v>
      </c>
      <c r="AX194" s="131">
        <f t="shared" si="263"/>
        <v>0</v>
      </c>
      <c r="AY194" s="131">
        <f t="shared" si="264"/>
        <v>40.142920511960533</v>
      </c>
      <c r="AZ194" s="131">
        <f t="shared" si="265"/>
        <v>0</v>
      </c>
      <c r="BA194" s="131">
        <f t="shared" si="266"/>
        <v>0</v>
      </c>
      <c r="BB194" s="131">
        <f t="shared" si="267"/>
        <v>6.1924071449436857</v>
      </c>
      <c r="BC194" s="131">
        <f t="shared" si="268"/>
        <v>26.786690324465262</v>
      </c>
      <c r="BE194" s="130">
        <v>25</v>
      </c>
      <c r="BF194" s="131">
        <f t="shared" si="282"/>
        <v>9.808225514178659</v>
      </c>
      <c r="BG194" s="131">
        <f t="shared" si="269"/>
        <v>5.1427424738814178</v>
      </c>
      <c r="BH194" s="131">
        <f t="shared" si="270"/>
        <v>0</v>
      </c>
      <c r="BI194" s="131">
        <f t="shared" si="271"/>
        <v>6.8979837555968384</v>
      </c>
      <c r="BJ194" s="131">
        <f t="shared" si="272"/>
        <v>0</v>
      </c>
      <c r="BK194" s="131">
        <f t="shared" si="273"/>
        <v>0</v>
      </c>
      <c r="BL194" s="131">
        <f t="shared" si="274"/>
        <v>0</v>
      </c>
      <c r="BM194" s="131">
        <f t="shared" si="275"/>
        <v>39.489918777984194</v>
      </c>
      <c r="BN194" s="131">
        <f t="shared" si="276"/>
        <v>0</v>
      </c>
      <c r="BO194" s="131">
        <f t="shared" si="277"/>
        <v>0</v>
      </c>
      <c r="BP194" s="131">
        <f t="shared" si="278"/>
        <v>5.9224997615668</v>
      </c>
      <c r="BQ194" s="131">
        <f t="shared" si="279"/>
        <v>26.542903010447432</v>
      </c>
    </row>
    <row r="195" spans="1:70">
      <c r="A195" s="130">
        <v>26</v>
      </c>
      <c r="B195" s="131">
        <f t="shared" si="280"/>
        <v>17.870500057028337</v>
      </c>
      <c r="C195" s="131">
        <f t="shared" si="247"/>
        <v>0.39425806136248831</v>
      </c>
      <c r="D195" s="131">
        <f t="shared" si="248"/>
        <v>0</v>
      </c>
      <c r="E195" s="131">
        <f t="shared" si="249"/>
        <v>0</v>
      </c>
      <c r="F195" s="131">
        <f t="shared" si="250"/>
        <v>8.1151450963778853</v>
      </c>
      <c r="G195" s="131">
        <f t="shared" si="251"/>
        <v>12.316112948690792</v>
      </c>
      <c r="H195" s="131">
        <f t="shared" si="252"/>
        <v>0</v>
      </c>
      <c r="I195" s="131">
        <f t="shared" si="253"/>
        <v>35.406693497140431</v>
      </c>
      <c r="J195" s="131">
        <f t="shared" si="254"/>
        <v>0</v>
      </c>
      <c r="K195" s="131">
        <f t="shared" si="255"/>
        <v>0</v>
      </c>
      <c r="L195" s="131">
        <f t="shared" si="256"/>
        <v>9.8564515340622078E-2</v>
      </c>
      <c r="M195" s="131">
        <f t="shared" si="257"/>
        <v>4.8953709285842306</v>
      </c>
      <c r="O195" s="130">
        <v>26</v>
      </c>
      <c r="P195" s="131">
        <f>'Stasiun Pontianak Kota'!Q253</f>
        <v>25</v>
      </c>
      <c r="Q195" s="131">
        <f>'Stasiun Pontianak Kota'!R253</f>
        <v>0</v>
      </c>
      <c r="R195" s="131">
        <f>'Stasiun Pontianak Kota'!S253</f>
        <v>0</v>
      </c>
      <c r="S195" s="131">
        <f>'Stasiun Pontianak Kota'!T253</f>
        <v>0</v>
      </c>
      <c r="T195" s="131">
        <f>'Stasiun Pontianak Kota'!U253</f>
        <v>0</v>
      </c>
      <c r="U195" s="131">
        <f>'Stasiun Pontianak Kota'!V253</f>
        <v>18</v>
      </c>
      <c r="V195" s="131">
        <f>'Stasiun Pontianak Kota'!W253</f>
        <v>0</v>
      </c>
      <c r="W195" s="131">
        <f>'Stasiun Pontianak Kota'!X253</f>
        <v>29</v>
      </c>
      <c r="X195" s="131">
        <f>'Stasiun Pontianak Kota'!Y253</f>
        <v>0</v>
      </c>
      <c r="Y195" s="131">
        <f>'Stasiun Pontianak Kota'!Z253</f>
        <v>0</v>
      </c>
      <c r="Z195" s="131">
        <f>'Stasiun Pontianak Kota'!AA253</f>
        <v>0</v>
      </c>
      <c r="AA195" s="131">
        <f>'Stasiun Pontianak Kota'!AB253</f>
        <v>0</v>
      </c>
      <c r="AC195" s="130">
        <v>26</v>
      </c>
      <c r="AD195" s="131">
        <f>'Sta. Meteorologi pnk'!B213</f>
        <v>3.3</v>
      </c>
      <c r="AE195" s="131">
        <f>'Sta. Meteorologi pnk'!C213</f>
        <v>1.2</v>
      </c>
      <c r="AF195" s="131">
        <f>'Sta. Meteorologi pnk'!D213</f>
        <v>0</v>
      </c>
      <c r="AG195" s="131">
        <f>'Sta. Meteorologi pnk'!E213</f>
        <v>0</v>
      </c>
      <c r="AH195" s="131">
        <f>'Sta. Meteorologi pnk'!F213</f>
        <v>24.7</v>
      </c>
      <c r="AI195" s="131">
        <f>'Sta. Meteorologi pnk'!G213</f>
        <v>0.7</v>
      </c>
      <c r="AJ195" s="131">
        <f>'Sta. Meteorologi pnk'!H213</f>
        <v>0</v>
      </c>
      <c r="AK195" s="131">
        <f>'Sta. Meteorologi pnk'!I213</f>
        <v>48.5</v>
      </c>
      <c r="AL195" s="131">
        <f>'Sta. Meteorologi pnk'!J213</f>
        <v>0</v>
      </c>
      <c r="AM195" s="131">
        <f>'Sta. Meteorologi pnk'!K213</f>
        <v>0</v>
      </c>
      <c r="AN195" s="131">
        <f>'Sta. Meteorologi pnk'!L213</f>
        <v>0.3</v>
      </c>
      <c r="AO195" s="131">
        <f>'Sta. Meteorologi pnk'!M213</f>
        <v>14.9</v>
      </c>
      <c r="AQ195" s="130">
        <v>26</v>
      </c>
      <c r="AR195" s="131">
        <f t="shared" si="281"/>
        <v>10.326574992697097</v>
      </c>
      <c r="AS195" s="131">
        <f t="shared" si="258"/>
        <v>0.81143364095684245</v>
      </c>
      <c r="AT195" s="131">
        <f t="shared" si="259"/>
        <v>0</v>
      </c>
      <c r="AU195" s="131">
        <f t="shared" si="260"/>
        <v>0</v>
      </c>
      <c r="AV195" s="131">
        <f t="shared" si="261"/>
        <v>16.702009109695009</v>
      </c>
      <c r="AW195" s="131">
        <f t="shared" si="262"/>
        <v>6.30183167620552</v>
      </c>
      <c r="AX195" s="131">
        <f t="shared" si="263"/>
        <v>0</v>
      </c>
      <c r="AY195" s="131">
        <f t="shared" si="264"/>
        <v>42.185796665548686</v>
      </c>
      <c r="AZ195" s="131">
        <f t="shared" si="265"/>
        <v>0</v>
      </c>
      <c r="BA195" s="131">
        <f t="shared" si="266"/>
        <v>0</v>
      </c>
      <c r="BB195" s="131">
        <f t="shared" si="267"/>
        <v>0.20285841023921061</v>
      </c>
      <c r="BC195" s="131">
        <f t="shared" si="268"/>
        <v>10.075301041880794</v>
      </c>
      <c r="BE195" s="130">
        <v>26</v>
      </c>
      <c r="BF195" s="131">
        <f t="shared" si="282"/>
        <v>11.271250834516197</v>
      </c>
      <c r="BG195" s="131">
        <f t="shared" si="269"/>
        <v>0.7591935022387355</v>
      </c>
      <c r="BH195" s="131">
        <f t="shared" si="270"/>
        <v>0</v>
      </c>
      <c r="BI195" s="131">
        <f t="shared" si="271"/>
        <v>0</v>
      </c>
      <c r="BJ195" s="131">
        <f t="shared" si="272"/>
        <v>15.626732921080642</v>
      </c>
      <c r="BK195" s="131">
        <f t="shared" si="273"/>
        <v>7.0549603427248941</v>
      </c>
      <c r="BL195" s="131">
        <f t="shared" si="274"/>
        <v>0</v>
      </c>
      <c r="BM195" s="131">
        <f t="shared" si="275"/>
        <v>41.336894411379454</v>
      </c>
      <c r="BN195" s="131">
        <f t="shared" si="276"/>
        <v>0</v>
      </c>
      <c r="BO195" s="131">
        <f t="shared" si="277"/>
        <v>0</v>
      </c>
      <c r="BP195" s="131">
        <f t="shared" si="278"/>
        <v>0.18979837555968387</v>
      </c>
      <c r="BQ195" s="131">
        <f t="shared" si="279"/>
        <v>9.4266526527976335</v>
      </c>
    </row>
    <row r="196" spans="1:70">
      <c r="A196" s="130">
        <v>27</v>
      </c>
      <c r="B196" s="131">
        <f t="shared" si="280"/>
        <v>2.310048392615645</v>
      </c>
      <c r="C196" s="131">
        <f t="shared" si="247"/>
        <v>0</v>
      </c>
      <c r="D196" s="131">
        <f t="shared" si="248"/>
        <v>25.265370765646129</v>
      </c>
      <c r="E196" s="131">
        <f t="shared" si="249"/>
        <v>0.88708063806559878</v>
      </c>
      <c r="F196" s="131">
        <f t="shared" si="250"/>
        <v>0.26283870757499223</v>
      </c>
      <c r="G196" s="131">
        <f t="shared" si="251"/>
        <v>0.95279031495934674</v>
      </c>
      <c r="H196" s="131">
        <f t="shared" si="252"/>
        <v>0</v>
      </c>
      <c r="I196" s="131">
        <f t="shared" si="253"/>
        <v>0</v>
      </c>
      <c r="J196" s="131">
        <f t="shared" si="254"/>
        <v>0</v>
      </c>
      <c r="K196" s="131">
        <f t="shared" si="255"/>
        <v>0</v>
      </c>
      <c r="L196" s="131">
        <f t="shared" si="256"/>
        <v>0.8542257996187248</v>
      </c>
      <c r="M196" s="131">
        <f t="shared" si="257"/>
        <v>0</v>
      </c>
      <c r="O196" s="130">
        <v>27</v>
      </c>
      <c r="P196" s="131">
        <f>'Stasiun Pontianak Kota'!Q254</f>
        <v>3</v>
      </c>
      <c r="Q196" s="131">
        <f>'Stasiun Pontianak Kota'!R254</f>
        <v>0</v>
      </c>
      <c r="R196" s="131">
        <f>'Stasiun Pontianak Kota'!S254</f>
        <v>0</v>
      </c>
      <c r="S196" s="131">
        <f>'Stasiun Pontianak Kota'!T254</f>
        <v>0</v>
      </c>
      <c r="T196" s="131">
        <f>'Stasiun Pontianak Kota'!U254</f>
        <v>0</v>
      </c>
      <c r="U196" s="131">
        <f>'Stasiun Pontianak Kota'!V254</f>
        <v>0</v>
      </c>
      <c r="V196" s="131">
        <f>'Stasiun Pontianak Kota'!W254</f>
        <v>0</v>
      </c>
      <c r="W196" s="131">
        <f>'Stasiun Pontianak Kota'!X254</f>
        <v>0</v>
      </c>
      <c r="X196" s="131">
        <f>'Stasiun Pontianak Kota'!Y254</f>
        <v>0</v>
      </c>
      <c r="Y196" s="131">
        <f>'Stasiun Pontianak Kota'!Z254</f>
        <v>0</v>
      </c>
      <c r="Z196" s="131">
        <f>'Stasiun Pontianak Kota'!AA254</f>
        <v>0</v>
      </c>
      <c r="AA196" s="131">
        <f>'Stasiun Pontianak Kota'!AB254</f>
        <v>0</v>
      </c>
      <c r="AC196" s="130">
        <v>27</v>
      </c>
      <c r="AD196" s="131">
        <f>'Sta. Meteorologi pnk'!B214</f>
        <v>0.9</v>
      </c>
      <c r="AE196" s="131">
        <f>'Sta. Meteorologi pnk'!C214</f>
        <v>0</v>
      </c>
      <c r="AF196" s="131">
        <f>'Sta. Meteorologi pnk'!D214</f>
        <v>76.900000000000006</v>
      </c>
      <c r="AG196" s="131">
        <f>'Sta. Meteorologi pnk'!E214</f>
        <v>2.7</v>
      </c>
      <c r="AH196" s="131">
        <f>'Sta. Meteorologi pnk'!F214</f>
        <v>0.8</v>
      </c>
      <c r="AI196" s="131">
        <f>'Sta. Meteorologi pnk'!G214</f>
        <v>2.9</v>
      </c>
      <c r="AJ196" s="131">
        <f>'Sta. Meteorologi pnk'!H214</f>
        <v>0</v>
      </c>
      <c r="AK196" s="131">
        <f>'Sta. Meteorologi pnk'!I214</f>
        <v>0</v>
      </c>
      <c r="AL196" s="131">
        <f>'Sta. Meteorologi pnk'!J214</f>
        <v>0</v>
      </c>
      <c r="AM196" s="131">
        <f>'Sta. Meteorologi pnk'!K214</f>
        <v>0</v>
      </c>
      <c r="AN196" s="131">
        <f>'Sta. Meteorologi pnk'!L214</f>
        <v>2.6</v>
      </c>
      <c r="AO196" s="131">
        <f>'Sta. Meteorologi pnk'!M214</f>
        <v>0</v>
      </c>
      <c r="AQ196" s="130">
        <v>27</v>
      </c>
      <c r="AR196" s="131">
        <f t="shared" si="281"/>
        <v>1.5799911283255255</v>
      </c>
      <c r="AS196" s="131">
        <f t="shared" si="258"/>
        <v>0</v>
      </c>
      <c r="AT196" s="131">
        <f t="shared" si="259"/>
        <v>51.999372491317658</v>
      </c>
      <c r="AU196" s="131">
        <f t="shared" si="260"/>
        <v>1.8257256921528955</v>
      </c>
      <c r="AV196" s="131">
        <f t="shared" si="261"/>
        <v>0.54095576063789497</v>
      </c>
      <c r="AW196" s="131">
        <f t="shared" si="262"/>
        <v>1.9609646323123691</v>
      </c>
      <c r="AX196" s="131">
        <f t="shared" si="263"/>
        <v>0</v>
      </c>
      <c r="AY196" s="131">
        <f t="shared" si="264"/>
        <v>0</v>
      </c>
      <c r="AZ196" s="131">
        <f t="shared" si="265"/>
        <v>0</v>
      </c>
      <c r="BA196" s="131">
        <f t="shared" si="266"/>
        <v>0</v>
      </c>
      <c r="BB196" s="131">
        <f t="shared" si="267"/>
        <v>1.7581062220731587</v>
      </c>
      <c r="BC196" s="131">
        <f t="shared" si="268"/>
        <v>0</v>
      </c>
      <c r="BE196" s="130">
        <v>27</v>
      </c>
      <c r="BF196" s="131">
        <f t="shared" si="282"/>
        <v>1.6714113710822127</v>
      </c>
      <c r="BG196" s="131">
        <f t="shared" si="269"/>
        <v>0</v>
      </c>
      <c r="BH196" s="131">
        <f t="shared" si="270"/>
        <v>48.651650268465637</v>
      </c>
      <c r="BI196" s="131">
        <f t="shared" si="271"/>
        <v>1.7081853800371549</v>
      </c>
      <c r="BJ196" s="131">
        <f t="shared" si="272"/>
        <v>0.5061290014924904</v>
      </c>
      <c r="BK196" s="131">
        <f t="shared" si="273"/>
        <v>1.8347176304102775</v>
      </c>
      <c r="BL196" s="131">
        <f t="shared" si="274"/>
        <v>0</v>
      </c>
      <c r="BM196" s="131">
        <f t="shared" si="275"/>
        <v>0</v>
      </c>
      <c r="BN196" s="131">
        <f t="shared" si="276"/>
        <v>0</v>
      </c>
      <c r="BO196" s="131">
        <f t="shared" si="277"/>
        <v>0</v>
      </c>
      <c r="BP196" s="131">
        <f t="shared" si="278"/>
        <v>1.644919254850594</v>
      </c>
      <c r="BQ196" s="131">
        <f t="shared" si="279"/>
        <v>0</v>
      </c>
    </row>
    <row r="197" spans="1:70">
      <c r="A197" s="130">
        <v>28</v>
      </c>
      <c r="B197" s="131">
        <f t="shared" si="280"/>
        <v>14.743225848500154</v>
      </c>
      <c r="C197" s="131">
        <f t="shared" si="247"/>
        <v>0</v>
      </c>
      <c r="D197" s="131">
        <f t="shared" si="248"/>
        <v>77.860290355693863</v>
      </c>
      <c r="E197" s="131">
        <f t="shared" si="249"/>
        <v>3.679741906049891</v>
      </c>
      <c r="F197" s="131">
        <f t="shared" si="250"/>
        <v>20.337144998615024</v>
      </c>
      <c r="G197" s="131">
        <f t="shared" si="251"/>
        <v>0.8542257996187248</v>
      </c>
      <c r="H197" s="131">
        <f t="shared" si="252"/>
        <v>0</v>
      </c>
      <c r="I197" s="131">
        <f t="shared" si="253"/>
        <v>10.827435517246998</v>
      </c>
      <c r="J197" s="131">
        <f t="shared" si="254"/>
        <v>0.13141935378749611</v>
      </c>
      <c r="K197" s="131">
        <f t="shared" si="255"/>
        <v>4.9157903312531568</v>
      </c>
      <c r="L197" s="131">
        <f t="shared" si="256"/>
        <v>6.5709676893748056E-2</v>
      </c>
      <c r="M197" s="131">
        <f t="shared" si="257"/>
        <v>0</v>
      </c>
      <c r="O197" s="130">
        <v>28</v>
      </c>
      <c r="P197" s="131">
        <f>'Stasiun Pontianak Kota'!Q255</f>
        <v>20</v>
      </c>
      <c r="Q197" s="131">
        <f>'Stasiun Pontianak Kota'!R255</f>
        <v>0</v>
      </c>
      <c r="R197" s="131">
        <f>'Stasiun Pontianak Kota'!S255</f>
        <v>82</v>
      </c>
      <c r="S197" s="131">
        <f>'Stasiun Pontianak Kota'!T255</f>
        <v>0</v>
      </c>
      <c r="T197" s="131">
        <f>'Stasiun Pontianak Kota'!U255</f>
        <v>0</v>
      </c>
      <c r="U197" s="131">
        <f>'Stasiun Pontianak Kota'!V255</f>
        <v>0</v>
      </c>
      <c r="V197" s="131">
        <f>'Stasiun Pontianak Kota'!W255</f>
        <v>0</v>
      </c>
      <c r="W197" s="131">
        <f>'Stasiun Pontianak Kota'!X255</f>
        <v>15</v>
      </c>
      <c r="X197" s="131">
        <f>'Stasiun Pontianak Kota'!Y255</f>
        <v>0</v>
      </c>
      <c r="Y197" s="131">
        <f>'Stasiun Pontianak Kota'!Z255</f>
        <v>6</v>
      </c>
      <c r="Z197" s="131">
        <f>'Stasiun Pontianak Kota'!AA255</f>
        <v>0</v>
      </c>
      <c r="AA197" s="131">
        <f>'Stasiun Pontianak Kota'!AB255</f>
        <v>0</v>
      </c>
      <c r="AC197" s="130">
        <v>28</v>
      </c>
      <c r="AD197" s="131">
        <f>'Sta. Meteorologi pnk'!B215</f>
        <v>4</v>
      </c>
      <c r="AE197" s="131">
        <f>'Sta. Meteorologi pnk'!C215</f>
        <v>0</v>
      </c>
      <c r="AF197" s="131">
        <f>'Sta. Meteorologi pnk'!D215</f>
        <v>69.400000000000006</v>
      </c>
      <c r="AG197" s="131">
        <f>'Sta. Meteorologi pnk'!E215</f>
        <v>11.2</v>
      </c>
      <c r="AH197" s="131">
        <f>'Sta. Meteorologi pnk'!F215</f>
        <v>61.9</v>
      </c>
      <c r="AI197" s="131">
        <f>'Sta. Meteorologi pnk'!G215</f>
        <v>2.6</v>
      </c>
      <c r="AJ197" s="131">
        <f>'Sta. Meteorologi pnk'!H215</f>
        <v>0</v>
      </c>
      <c r="AK197" s="131">
        <f>'Sta. Meteorologi pnk'!I215</f>
        <v>2.2999999999999998</v>
      </c>
      <c r="AL197" s="131">
        <f>'Sta. Meteorologi pnk'!J215</f>
        <v>0.4</v>
      </c>
      <c r="AM197" s="131">
        <f>'Sta. Meteorologi pnk'!K215</f>
        <v>2.7</v>
      </c>
      <c r="AN197" s="131">
        <f>'Sta. Meteorologi pnk'!L215</f>
        <v>0.2</v>
      </c>
      <c r="AO197" s="131">
        <f>'Sta. Meteorologi pnk'!M215</f>
        <v>0</v>
      </c>
      <c r="AQ197" s="130">
        <v>28</v>
      </c>
      <c r="AR197" s="131">
        <f t="shared" si="281"/>
        <v>9.180884787242098</v>
      </c>
      <c r="AS197" s="131">
        <f t="shared" si="258"/>
        <v>0</v>
      </c>
      <c r="AT197" s="131">
        <f t="shared" si="259"/>
        <v>73.479946769953159</v>
      </c>
      <c r="AU197" s="131">
        <f t="shared" si="260"/>
        <v>7.5733806489305291</v>
      </c>
      <c r="AV197" s="131">
        <f t="shared" si="261"/>
        <v>41.856451979357125</v>
      </c>
      <c r="AW197" s="131">
        <f t="shared" si="262"/>
        <v>1.7581062220731587</v>
      </c>
      <c r="AX197" s="131">
        <f t="shared" si="263"/>
        <v>0</v>
      </c>
      <c r="AY197" s="131">
        <f t="shared" si="264"/>
        <v>6.4123272998734162</v>
      </c>
      <c r="AZ197" s="131">
        <f t="shared" si="265"/>
        <v>0.27047788031894748</v>
      </c>
      <c r="BA197" s="131">
        <f t="shared" si="266"/>
        <v>3.7685574873686831</v>
      </c>
      <c r="BB197" s="131">
        <f t="shared" si="267"/>
        <v>0.13523894015947374</v>
      </c>
      <c r="BC197" s="131">
        <f t="shared" si="268"/>
        <v>0</v>
      </c>
      <c r="BE197" s="130">
        <v>28</v>
      </c>
      <c r="BF197" s="131">
        <f t="shared" si="282"/>
        <v>9.877419970150191</v>
      </c>
      <c r="BG197" s="131">
        <f t="shared" si="269"/>
        <v>0</v>
      </c>
      <c r="BH197" s="131">
        <f t="shared" si="270"/>
        <v>74.028468226493274</v>
      </c>
      <c r="BI197" s="131">
        <f t="shared" si="271"/>
        <v>7.0858060208948652</v>
      </c>
      <c r="BJ197" s="131">
        <f t="shared" si="272"/>
        <v>39.161731490481444</v>
      </c>
      <c r="BK197" s="131">
        <f t="shared" si="273"/>
        <v>1.644919254850594</v>
      </c>
      <c r="BL197" s="131">
        <f t="shared" si="274"/>
        <v>0</v>
      </c>
      <c r="BM197" s="131">
        <f t="shared" si="275"/>
        <v>6.9652021013067147</v>
      </c>
      <c r="BN197" s="131">
        <f t="shared" si="276"/>
        <v>0.2530645007462452</v>
      </c>
      <c r="BO197" s="131">
        <f t="shared" si="277"/>
        <v>3.9122178688434772</v>
      </c>
      <c r="BP197" s="131">
        <f t="shared" si="278"/>
        <v>0.1265322503731226</v>
      </c>
      <c r="BQ197" s="131">
        <f t="shared" si="279"/>
        <v>0</v>
      </c>
    </row>
    <row r="198" spans="1:70">
      <c r="A198" s="130">
        <v>29</v>
      </c>
      <c r="B198" s="131">
        <f t="shared" si="280"/>
        <v>40.427112899809359</v>
      </c>
      <c r="C198" s="131">
        <f t="shared" si="247"/>
        <v>0</v>
      </c>
      <c r="D198" s="131">
        <f t="shared" si="248"/>
        <v>2.16427419223437</v>
      </c>
      <c r="E198" s="131">
        <f t="shared" si="249"/>
        <v>9.4682580287748674</v>
      </c>
      <c r="F198" s="131">
        <f t="shared" si="250"/>
        <v>45.95440340214752</v>
      </c>
      <c r="G198" s="131">
        <f t="shared" si="251"/>
        <v>21.486451697000309</v>
      </c>
      <c r="H198" s="131">
        <f t="shared" si="252"/>
        <v>0</v>
      </c>
      <c r="I198" s="131">
        <f t="shared" si="253"/>
        <v>44.700161308718819</v>
      </c>
      <c r="J198" s="131">
        <f t="shared" si="254"/>
        <v>0</v>
      </c>
      <c r="K198" s="131">
        <f t="shared" si="255"/>
        <v>0</v>
      </c>
      <c r="L198" s="131">
        <f t="shared" si="256"/>
        <v>1.182774184087465</v>
      </c>
      <c r="M198" s="131">
        <f t="shared" si="257"/>
        <v>0</v>
      </c>
      <c r="O198" s="130">
        <v>29</v>
      </c>
      <c r="P198" s="131">
        <f>'Stasiun Pontianak Kota'!Q256</f>
        <v>40</v>
      </c>
      <c r="Q198" s="131">
        <f>'Stasiun Pontianak Kota'!R256</f>
        <v>0</v>
      </c>
      <c r="R198" s="131">
        <f>'Stasiun Pontianak Kota'!S256</f>
        <v>2</v>
      </c>
      <c r="S198" s="131">
        <f>'Stasiun Pontianak Kota'!T256</f>
        <v>5</v>
      </c>
      <c r="T198" s="131">
        <f>'Stasiun Pontianak Kota'!U256</f>
        <v>68</v>
      </c>
      <c r="U198" s="131">
        <f>'Stasiun Pontianak Kota'!V256</f>
        <v>32</v>
      </c>
      <c r="V198" s="131">
        <f>'Stasiun Pontianak Kota'!W256</f>
        <v>0</v>
      </c>
      <c r="W198" s="131">
        <f>'Stasiun Pontianak Kota'!X256</f>
        <v>47</v>
      </c>
      <c r="X198" s="131">
        <f>'Stasiun Pontianak Kota'!Y256</f>
        <v>0</v>
      </c>
      <c r="Y198" s="131">
        <f>'Stasiun Pontianak Kota'!Z256</f>
        <v>0</v>
      </c>
      <c r="Z198" s="131">
        <f>'Stasiun Pontianak Kota'!AA256</f>
        <v>0</v>
      </c>
      <c r="AA198" s="131">
        <f>'Stasiun Pontianak Kota'!AB256</f>
        <v>0</v>
      </c>
      <c r="AC198" s="130">
        <v>29</v>
      </c>
      <c r="AD198" s="131">
        <f>'Sta. Meteorologi pnk'!B216</f>
        <v>41.3</v>
      </c>
      <c r="AE198" s="131">
        <f>'Sta. Meteorologi pnk'!C216</f>
        <v>0</v>
      </c>
      <c r="AF198" s="131">
        <f>'Sta. Meteorologi pnk'!D216</f>
        <v>2.5</v>
      </c>
      <c r="AG198" s="131">
        <f>'Sta. Meteorologi pnk'!E216</f>
        <v>18.600000000000001</v>
      </c>
      <c r="AH198" s="131">
        <f>'Sta. Meteorologi pnk'!F216</f>
        <v>0.9</v>
      </c>
      <c r="AI198" s="131">
        <f>'Sta. Meteorologi pnk'!G216</f>
        <v>0</v>
      </c>
      <c r="AJ198" s="131">
        <f>'Sta. Meteorologi pnk'!H216</f>
        <v>0</v>
      </c>
      <c r="AK198" s="131">
        <f>'Sta. Meteorologi pnk'!I216</f>
        <v>40</v>
      </c>
      <c r="AL198" s="131">
        <f>'Sta. Meteorologi pnk'!J216</f>
        <v>0</v>
      </c>
      <c r="AM198" s="131">
        <f>'Sta. Meteorologi pnk'!K216</f>
        <v>0</v>
      </c>
      <c r="AN198" s="131">
        <f>'Sta. Meteorologi pnk'!L216</f>
        <v>3.6</v>
      </c>
      <c r="AO198" s="131">
        <f>'Sta. Meteorologi pnk'!M216</f>
        <v>0</v>
      </c>
      <c r="AQ198" s="130">
        <v>29</v>
      </c>
      <c r="AR198" s="131">
        <f t="shared" si="281"/>
        <v>40.879053111036576</v>
      </c>
      <c r="AS198" s="131">
        <f t="shared" si="258"/>
        <v>0</v>
      </c>
      <c r="AT198" s="131">
        <f t="shared" si="259"/>
        <v>2.3380973503986842</v>
      </c>
      <c r="AU198" s="131">
        <f t="shared" si="260"/>
        <v>14.196247930844216</v>
      </c>
      <c r="AV198" s="131">
        <f t="shared" si="261"/>
        <v>22.627335576496552</v>
      </c>
      <c r="AW198" s="131">
        <f t="shared" si="262"/>
        <v>10.3617695744842</v>
      </c>
      <c r="AX198" s="131">
        <f t="shared" si="263"/>
        <v>0</v>
      </c>
      <c r="AY198" s="131">
        <f t="shared" si="264"/>
        <v>42.266637094418414</v>
      </c>
      <c r="AZ198" s="131">
        <f t="shared" si="265"/>
        <v>0</v>
      </c>
      <c r="BA198" s="131">
        <f t="shared" si="266"/>
        <v>0</v>
      </c>
      <c r="BB198" s="131">
        <f t="shared" si="267"/>
        <v>2.4343009228705275</v>
      </c>
      <c r="BC198" s="131">
        <f t="shared" si="268"/>
        <v>0</v>
      </c>
      <c r="BE198" s="130">
        <v>29</v>
      </c>
      <c r="BF198" s="131">
        <f t="shared" si="282"/>
        <v>40.822459627425296</v>
      </c>
      <c r="BG198" s="131">
        <f t="shared" si="269"/>
        <v>0</v>
      </c>
      <c r="BH198" s="131">
        <f t="shared" si="270"/>
        <v>2.3163306259328067</v>
      </c>
      <c r="BI198" s="131">
        <f t="shared" si="271"/>
        <v>13.604193025372338</v>
      </c>
      <c r="BJ198" s="131">
        <f t="shared" si="272"/>
        <v>25.548429999817365</v>
      </c>
      <c r="BK198" s="131">
        <f t="shared" si="273"/>
        <v>11.754839940300384</v>
      </c>
      <c r="BL198" s="131">
        <f t="shared" si="274"/>
        <v>0</v>
      </c>
      <c r="BM198" s="131">
        <f t="shared" si="275"/>
        <v>42.571371236940713</v>
      </c>
      <c r="BN198" s="131">
        <f t="shared" si="276"/>
        <v>0</v>
      </c>
      <c r="BO198" s="131">
        <f t="shared" si="277"/>
        <v>0</v>
      </c>
      <c r="BP198" s="131">
        <f t="shared" si="278"/>
        <v>2.2775805067162072</v>
      </c>
      <c r="BQ198" s="131">
        <f t="shared" si="279"/>
        <v>0</v>
      </c>
    </row>
    <row r="199" spans="1:70">
      <c r="A199" s="130">
        <v>30</v>
      </c>
      <c r="B199" s="131">
        <f t="shared" si="280"/>
        <v>65.203193586756385</v>
      </c>
      <c r="C199" s="131">
        <f t="shared" si="247"/>
        <v>0</v>
      </c>
      <c r="D199" s="131">
        <f t="shared" si="248"/>
        <v>0</v>
      </c>
      <c r="E199" s="131">
        <f t="shared" si="249"/>
        <v>0</v>
      </c>
      <c r="F199" s="131">
        <f t="shared" si="250"/>
        <v>4.7515161390187863</v>
      </c>
      <c r="G199" s="131">
        <f t="shared" si="251"/>
        <v>0.26283870757499223</v>
      </c>
      <c r="H199" s="131">
        <f t="shared" si="252"/>
        <v>0</v>
      </c>
      <c r="I199" s="131">
        <f t="shared" si="253"/>
        <v>20.76172584035325</v>
      </c>
      <c r="J199" s="131">
        <f t="shared" si="254"/>
        <v>40.730790412722207</v>
      </c>
      <c r="K199" s="131">
        <f t="shared" si="255"/>
        <v>6.1068548058592533</v>
      </c>
      <c r="L199" s="131">
        <f t="shared" si="256"/>
        <v>21.291548400762551</v>
      </c>
      <c r="M199" s="131">
        <f t="shared" si="257"/>
        <v>3.9425806136248833</v>
      </c>
      <c r="O199" s="130">
        <v>30</v>
      </c>
      <c r="P199" s="131">
        <f>'Stasiun Pontianak Kota'!Q257</f>
        <v>70</v>
      </c>
      <c r="Q199" s="131">
        <f>'Stasiun Pontianak Kota'!R257</f>
        <v>0</v>
      </c>
      <c r="R199" s="131">
        <f>'Stasiun Pontianak Kota'!S257</f>
        <v>0</v>
      </c>
      <c r="S199" s="131">
        <f>'Stasiun Pontianak Kota'!T257</f>
        <v>0</v>
      </c>
      <c r="T199" s="131">
        <f>'Stasiun Pontianak Kota'!U257</f>
        <v>6</v>
      </c>
      <c r="U199" s="131">
        <f>'Stasiun Pontianak Kota'!V257</f>
        <v>0</v>
      </c>
      <c r="V199" s="131">
        <f>'Stasiun Pontianak Kota'!W257</f>
        <v>0</v>
      </c>
      <c r="W199" s="131">
        <f>'Stasiun Pontianak Kota'!X257</f>
        <v>25</v>
      </c>
      <c r="X199" s="131">
        <f>'Stasiun Pontianak Kota'!Y257</f>
        <v>52</v>
      </c>
      <c r="Y199" s="131">
        <f>'Stasiun Pontianak Kota'!Z257</f>
        <v>2</v>
      </c>
      <c r="Z199" s="131">
        <f>'Stasiun Pontianak Kota'!AA257</f>
        <v>23</v>
      </c>
      <c r="AA199" s="131">
        <f>'Stasiun Pontianak Kota'!AB257</f>
        <v>0</v>
      </c>
      <c r="AC199" s="130">
        <v>30</v>
      </c>
      <c r="AD199" s="131">
        <f>'Sta. Meteorologi pnk'!B217</f>
        <v>55.4</v>
      </c>
      <c r="AE199" s="131">
        <f>'Sta. Meteorologi pnk'!C217</f>
        <v>0</v>
      </c>
      <c r="AF199" s="131">
        <f>'Sta. Meteorologi pnk'!D217</f>
        <v>0</v>
      </c>
      <c r="AG199" s="131">
        <f>'Sta. Meteorologi pnk'!E217</f>
        <v>0</v>
      </c>
      <c r="AH199" s="131">
        <f>'Sta. Meteorologi pnk'!F217</f>
        <v>2.2000000000000002</v>
      </c>
      <c r="AI199" s="131">
        <f>'Sta. Meteorologi pnk'!G217</f>
        <v>0.8</v>
      </c>
      <c r="AJ199" s="131">
        <f>'Sta. Meteorologi pnk'!H217</f>
        <v>0</v>
      </c>
      <c r="AK199" s="131">
        <f>'Sta. Meteorologi pnk'!I217</f>
        <v>12.1</v>
      </c>
      <c r="AL199" s="131">
        <f>'Sta. Meteorologi pnk'!J217</f>
        <v>17.7</v>
      </c>
      <c r="AM199" s="131">
        <f>'Sta. Meteorologi pnk'!K217</f>
        <v>14.5</v>
      </c>
      <c r="AN199" s="131">
        <f>'Sta. Meteorologi pnk'!L217</f>
        <v>17.8</v>
      </c>
      <c r="AO199" s="131">
        <f>'Sta. Meteorologi pnk'!M217</f>
        <v>12</v>
      </c>
      <c r="AQ199" s="130">
        <v>30</v>
      </c>
      <c r="AR199" s="131">
        <f t="shared" si="281"/>
        <v>60.127557368358417</v>
      </c>
      <c r="AS199" s="131">
        <f t="shared" si="258"/>
        <v>0</v>
      </c>
      <c r="AT199" s="131">
        <f t="shared" si="259"/>
        <v>0</v>
      </c>
      <c r="AU199" s="131">
        <f t="shared" si="260"/>
        <v>0</v>
      </c>
      <c r="AV199" s="131">
        <f t="shared" si="261"/>
        <v>3.4304601369699981</v>
      </c>
      <c r="AW199" s="131">
        <f t="shared" si="262"/>
        <v>0.54095576063789497</v>
      </c>
      <c r="AX199" s="131">
        <f t="shared" si="263"/>
        <v>0</v>
      </c>
      <c r="AY199" s="131">
        <f t="shared" si="264"/>
        <v>16.277088359713943</v>
      </c>
      <c r="AZ199" s="131">
        <f t="shared" si="265"/>
        <v>28.806521762650249</v>
      </c>
      <c r="BA199" s="131">
        <f t="shared" si="266"/>
        <v>10.452433759967109</v>
      </c>
      <c r="BB199" s="131">
        <f t="shared" si="267"/>
        <v>19.483787555853681</v>
      </c>
      <c r="BC199" s="131">
        <f t="shared" si="268"/>
        <v>8.1143364095684252</v>
      </c>
      <c r="BE199" s="130">
        <v>30</v>
      </c>
      <c r="BF199" s="131">
        <f t="shared" si="282"/>
        <v>60.76314572276204</v>
      </c>
      <c r="BG199" s="131">
        <f t="shared" si="269"/>
        <v>0</v>
      </c>
      <c r="BH199" s="131">
        <f t="shared" si="270"/>
        <v>0</v>
      </c>
      <c r="BI199" s="131">
        <f t="shared" si="271"/>
        <v>0</v>
      </c>
      <c r="BJ199" s="131">
        <f t="shared" si="272"/>
        <v>3.595887242910671</v>
      </c>
      <c r="BK199" s="131">
        <f t="shared" si="273"/>
        <v>0.5061290014924904</v>
      </c>
      <c r="BL199" s="131">
        <f t="shared" si="274"/>
        <v>0</v>
      </c>
      <c r="BM199" s="131">
        <f t="shared" si="275"/>
        <v>16.838669850933591</v>
      </c>
      <c r="BN199" s="131">
        <f t="shared" si="276"/>
        <v>30.299719061009473</v>
      </c>
      <c r="BO199" s="131">
        <f t="shared" si="277"/>
        <v>9.9082656483201621</v>
      </c>
      <c r="BP199" s="131">
        <f t="shared" si="278"/>
        <v>19.710161490298812</v>
      </c>
      <c r="BQ199" s="131">
        <f t="shared" si="279"/>
        <v>7.5919350223873563</v>
      </c>
    </row>
    <row r="200" spans="1:70" ht="15.75" thickBot="1">
      <c r="A200" s="133">
        <v>31</v>
      </c>
      <c r="B200" s="131">
        <f t="shared" si="280"/>
        <v>0.67145161553125965</v>
      </c>
      <c r="C200" s="131">
        <f t="shared" si="247"/>
        <v>0</v>
      </c>
      <c r="D200" s="131">
        <f t="shared" si="248"/>
        <v>3.2197741677936551</v>
      </c>
      <c r="E200" s="131">
        <f t="shared" si="249"/>
        <v>0</v>
      </c>
      <c r="F200" s="131">
        <f t="shared" si="250"/>
        <v>3.7783064213905133</v>
      </c>
      <c r="G200" s="131">
        <f t="shared" si="251"/>
        <v>0</v>
      </c>
      <c r="H200" s="131">
        <f t="shared" si="252"/>
        <v>10.10462907141577</v>
      </c>
      <c r="I200" s="131">
        <f t="shared" si="253"/>
        <v>9.3307741189122222</v>
      </c>
      <c r="J200" s="131">
        <f t="shared" si="254"/>
        <v>0</v>
      </c>
      <c r="K200" s="131">
        <f t="shared" si="255"/>
        <v>13.521532269890669</v>
      </c>
      <c r="L200" s="131">
        <f t="shared" si="256"/>
        <v>0</v>
      </c>
      <c r="M200" s="131">
        <f t="shared" si="257"/>
        <v>3.679741906049891</v>
      </c>
      <c r="O200" s="133">
        <v>31</v>
      </c>
      <c r="P200" s="131">
        <f>'Stasiun Pontianak Kota'!Q258</f>
        <v>1</v>
      </c>
      <c r="Q200" s="131">
        <f>'Stasiun Pontianak Kota'!R258</f>
        <v>0</v>
      </c>
      <c r="R200" s="131">
        <f>'Stasiun Pontianak Kota'!S258</f>
        <v>0</v>
      </c>
      <c r="S200" s="131">
        <f>'Stasiun Pontianak Kota'!T258</f>
        <v>0</v>
      </c>
      <c r="T200" s="131">
        <f>'Stasiun Pontianak Kota'!U258</f>
        <v>0</v>
      </c>
      <c r="U200" s="131">
        <f>'Stasiun Pontianak Kota'!V258</f>
        <v>0</v>
      </c>
      <c r="V200" s="131">
        <f>'Stasiun Pontianak Kota'!W258</f>
        <v>15</v>
      </c>
      <c r="W200" s="131">
        <f>'Stasiun Pontianak Kota'!X258</f>
        <v>0</v>
      </c>
      <c r="X200" s="131">
        <f>'Stasiun Pontianak Kota'!Y258</f>
        <v>0</v>
      </c>
      <c r="Y200" s="131">
        <f>'Stasiun Pontianak Kota'!Z258</f>
        <v>15</v>
      </c>
      <c r="Z200" s="131">
        <f>'Stasiun Pontianak Kota'!AA258</f>
        <v>0</v>
      </c>
      <c r="AA200" s="131">
        <f>'Stasiun Pontianak Kota'!AB258</f>
        <v>0</v>
      </c>
      <c r="AC200" s="133">
        <v>31</v>
      </c>
      <c r="AD200" s="131">
        <f>'Sta. Meteorologi pnk'!B218</f>
        <v>0</v>
      </c>
      <c r="AE200" s="131">
        <f>'Sta. Meteorologi pnk'!C218</f>
        <v>0</v>
      </c>
      <c r="AF200" s="131">
        <f>'Sta. Meteorologi pnk'!D218</f>
        <v>9.8000000000000007</v>
      </c>
      <c r="AG200" s="131">
        <f>'Sta. Meteorologi pnk'!E218</f>
        <v>0</v>
      </c>
      <c r="AH200" s="131">
        <f>'Sta. Meteorologi pnk'!F218</f>
        <v>11.5</v>
      </c>
      <c r="AI200" s="131">
        <f>'Sta. Meteorologi pnk'!G218</f>
        <v>0</v>
      </c>
      <c r="AJ200" s="131">
        <f>'Sta. Meteorologi pnk'!H218</f>
        <v>0.1</v>
      </c>
      <c r="AK200" s="131">
        <f>'Sta. Meteorologi pnk'!I218</f>
        <v>28.4</v>
      </c>
      <c r="AL200" s="131">
        <f>'Sta. Meteorologi pnk'!J218</f>
        <v>0</v>
      </c>
      <c r="AM200" s="131">
        <f>'Sta. Meteorologi pnk'!K218</f>
        <v>10.5</v>
      </c>
      <c r="AN200" s="131">
        <f>'Sta. Meteorologi pnk'!L218</f>
        <v>0</v>
      </c>
      <c r="AO200" s="131">
        <f>'Sta. Meteorologi pnk'!M218</f>
        <v>11.2</v>
      </c>
      <c r="AQ200" s="133">
        <v>31</v>
      </c>
      <c r="AR200" s="131">
        <f t="shared" si="281"/>
        <v>0.32380529920263124</v>
      </c>
      <c r="AS200" s="131">
        <f t="shared" si="258"/>
        <v>0</v>
      </c>
      <c r="AT200" s="131">
        <f t="shared" si="259"/>
        <v>6.6267080678142145</v>
      </c>
      <c r="AU200" s="131">
        <f t="shared" si="260"/>
        <v>0</v>
      </c>
      <c r="AV200" s="131">
        <f t="shared" si="261"/>
        <v>7.7762390591697397</v>
      </c>
      <c r="AW200" s="131">
        <f t="shared" si="262"/>
        <v>0</v>
      </c>
      <c r="AX200" s="131">
        <f t="shared" si="263"/>
        <v>4.9246989581192047</v>
      </c>
      <c r="AY200" s="131">
        <f t="shared" si="264"/>
        <v>19.203929502645273</v>
      </c>
      <c r="AZ200" s="131">
        <f t="shared" si="265"/>
        <v>0</v>
      </c>
      <c r="BA200" s="131">
        <f t="shared" si="266"/>
        <v>11.957123846411839</v>
      </c>
      <c r="BB200" s="131">
        <f t="shared" si="267"/>
        <v>0</v>
      </c>
      <c r="BC200" s="131">
        <f t="shared" si="268"/>
        <v>7.5733806489305291</v>
      </c>
      <c r="BE200" s="133">
        <v>31</v>
      </c>
      <c r="BF200" s="131">
        <f t="shared" si="282"/>
        <v>0.36733874813438699</v>
      </c>
      <c r="BG200" s="131">
        <f t="shared" si="269"/>
        <v>0</v>
      </c>
      <c r="BH200" s="131">
        <f t="shared" si="270"/>
        <v>6.2000802682830081</v>
      </c>
      <c r="BI200" s="131">
        <f t="shared" si="271"/>
        <v>0</v>
      </c>
      <c r="BJ200" s="131">
        <f t="shared" si="272"/>
        <v>7.2756043964545487</v>
      </c>
      <c r="BK200" s="131">
        <f t="shared" si="273"/>
        <v>0</v>
      </c>
      <c r="BL200" s="131">
        <f t="shared" si="274"/>
        <v>5.5733473472023656</v>
      </c>
      <c r="BM200" s="131">
        <f t="shared" si="275"/>
        <v>17.967579552983409</v>
      </c>
      <c r="BN200" s="131">
        <f t="shared" si="276"/>
        <v>0</v>
      </c>
      <c r="BO200" s="131">
        <f t="shared" si="277"/>
        <v>12.153024366604742</v>
      </c>
      <c r="BP200" s="131">
        <f t="shared" si="278"/>
        <v>0</v>
      </c>
      <c r="BQ200" s="131">
        <f t="shared" si="279"/>
        <v>7.0858060208948652</v>
      </c>
    </row>
    <row r="201" spans="1:70">
      <c r="A201" s="135" t="s">
        <v>28</v>
      </c>
      <c r="B201" s="136">
        <f>SUM(B170:B200)</f>
        <v>164.20925814283152</v>
      </c>
      <c r="C201" s="136">
        <f t="shared" ref="C201:M201" si="283">SUM(C170:C200)</f>
        <v>184.5943069427924</v>
      </c>
      <c r="D201" s="136">
        <f t="shared" si="283"/>
        <v>346.55054828670586</v>
      </c>
      <c r="E201" s="136">
        <f t="shared" si="283"/>
        <v>140.77991950857867</v>
      </c>
      <c r="F201" s="136">
        <f t="shared" si="283"/>
        <v>351.54064490899918</v>
      </c>
      <c r="G201" s="136">
        <f t="shared" si="283"/>
        <v>170.97190295406773</v>
      </c>
      <c r="H201" s="136">
        <f t="shared" si="283"/>
        <v>309.84816124354359</v>
      </c>
      <c r="I201" s="136">
        <f t="shared" si="283"/>
        <v>476.52214491714608</v>
      </c>
      <c r="J201" s="136">
        <f t="shared" si="283"/>
        <v>162.22583872386883</v>
      </c>
      <c r="K201" s="136">
        <f t="shared" si="283"/>
        <v>183.73908070324083</v>
      </c>
      <c r="L201" s="136">
        <f t="shared" si="283"/>
        <v>226.25070959542461</v>
      </c>
      <c r="M201" s="136">
        <f t="shared" si="283"/>
        <v>149.26122562038677</v>
      </c>
      <c r="N201" s="137">
        <f>COUNTIF(B170:M200,"&lt;0,1")-COUNTIF(B170:M200,"&lt;=0")</f>
        <v>-163</v>
      </c>
      <c r="O201" s="135" t="s">
        <v>28</v>
      </c>
      <c r="P201" s="136">
        <f>SUM(P170:P200)</f>
        <v>174</v>
      </c>
      <c r="Q201" s="136">
        <f t="shared" ref="Q201:AA201" si="284">SUM(Q170:Q200)</f>
        <v>246</v>
      </c>
      <c r="R201" s="136">
        <f t="shared" si="284"/>
        <v>334</v>
      </c>
      <c r="S201" s="136">
        <f t="shared" si="284"/>
        <v>160</v>
      </c>
      <c r="T201" s="136">
        <f t="shared" si="284"/>
        <v>320</v>
      </c>
      <c r="U201" s="136">
        <f t="shared" si="284"/>
        <v>137</v>
      </c>
      <c r="V201" s="136">
        <f t="shared" si="284"/>
        <v>304</v>
      </c>
      <c r="W201" s="136">
        <f t="shared" si="284"/>
        <v>446</v>
      </c>
      <c r="X201" s="136">
        <f t="shared" si="284"/>
        <v>164</v>
      </c>
      <c r="Y201" s="136">
        <f t="shared" si="284"/>
        <v>191</v>
      </c>
      <c r="Z201" s="136">
        <f t="shared" si="284"/>
        <v>216</v>
      </c>
      <c r="AA201" s="136">
        <f t="shared" si="284"/>
        <v>126</v>
      </c>
      <c r="AB201" s="137">
        <f>COUNTIF(P170:AA200,"&lt;0,1")-COUNTIF(P170:AA200,"&lt;=0")</f>
        <v>-247</v>
      </c>
      <c r="AC201" s="135" t="s">
        <v>28</v>
      </c>
      <c r="AD201" s="136">
        <f>SUM(AD170:AD200)</f>
        <v>144.19999999999999</v>
      </c>
      <c r="AE201" s="136">
        <f t="shared" ref="AE201:AO201" si="285">SUM(AE170:AE200)</f>
        <v>59.1</v>
      </c>
      <c r="AF201" s="136">
        <f t="shared" si="285"/>
        <v>372.2</v>
      </c>
      <c r="AG201" s="136">
        <f t="shared" si="285"/>
        <v>101.5</v>
      </c>
      <c r="AH201" s="136">
        <f t="shared" si="285"/>
        <v>416</v>
      </c>
      <c r="AI201" s="136">
        <f t="shared" si="285"/>
        <v>240.40000000000003</v>
      </c>
      <c r="AJ201" s="136">
        <f t="shared" si="285"/>
        <v>321.79999999999995</v>
      </c>
      <c r="AK201" s="136">
        <f t="shared" si="285"/>
        <v>538.9</v>
      </c>
      <c r="AL201" s="136">
        <f t="shared" si="285"/>
        <v>158.6</v>
      </c>
      <c r="AM201" s="136">
        <f t="shared" si="285"/>
        <v>168.89999999999998</v>
      </c>
      <c r="AN201" s="136">
        <f t="shared" si="285"/>
        <v>247.19999999999996</v>
      </c>
      <c r="AO201" s="136">
        <f t="shared" si="285"/>
        <v>196.79999999999998</v>
      </c>
      <c r="AP201" s="137">
        <f>COUNTIF(AD170:AO200,"&lt;0,1")-COUNTIF(AD170:AO200,"&lt;=0")</f>
        <v>-173</v>
      </c>
      <c r="AQ201" s="135" t="s">
        <v>28</v>
      </c>
      <c r="AR201" s="136">
        <f>SUM(AR170:AR200)</f>
        <v>153.84939791623842</v>
      </c>
      <c r="AS201" s="136">
        <f t="shared" ref="AS201:BC201" si="286">SUM(AS170:AS200)</f>
        <v>119.6192104209718</v>
      </c>
      <c r="AT201" s="136">
        <f t="shared" si="286"/>
        <v>359.83063757045954</v>
      </c>
      <c r="AU201" s="136">
        <f t="shared" si="286"/>
        <v>120.44261000335391</v>
      </c>
      <c r="AV201" s="136">
        <f t="shared" si="286"/>
        <v>384.91469127654727</v>
      </c>
      <c r="AW201" s="136">
        <f t="shared" si="286"/>
        <v>206.91853206244795</v>
      </c>
      <c r="AX201" s="136">
        <f t="shared" si="286"/>
        <v>316.03626567419326</v>
      </c>
      <c r="AY201" s="136">
        <f t="shared" si="286"/>
        <v>508.81848770407561</v>
      </c>
      <c r="AZ201" s="136">
        <f t="shared" si="286"/>
        <v>160.34854861569417</v>
      </c>
      <c r="BA201" s="136">
        <f t="shared" si="286"/>
        <v>176.05609711237815</v>
      </c>
      <c r="BB201" s="136">
        <f t="shared" si="286"/>
        <v>237.09727466487789</v>
      </c>
      <c r="BC201" s="136">
        <f t="shared" si="286"/>
        <v>173.87458481645371</v>
      </c>
      <c r="BD201" s="137">
        <f>COUNTIF(AR170:BC200,"&lt;0,1")-COUNTIF(AR170:BC200,"&lt;=0")</f>
        <v>-163</v>
      </c>
      <c r="BE201" s="135" t="s">
        <v>28</v>
      </c>
      <c r="BF201" s="136">
        <f>SUM(BF170:BF200)</f>
        <v>155.14669469440472</v>
      </c>
      <c r="BG201" s="136">
        <f t="shared" ref="BG201:BQ201" si="287">SUM(BG170:BG200)</f>
        <v>127.75561202631692</v>
      </c>
      <c r="BH201" s="136">
        <f t="shared" si="287"/>
        <v>358.16765982126645</v>
      </c>
      <c r="BI201" s="136">
        <f t="shared" si="287"/>
        <v>122.98931676586164</v>
      </c>
      <c r="BJ201" s="136">
        <f t="shared" si="287"/>
        <v>380.73548017909877</v>
      </c>
      <c r="BK201" s="136">
        <f t="shared" si="287"/>
        <v>202.41717344290436</v>
      </c>
      <c r="BL201" s="136">
        <f t="shared" si="287"/>
        <v>315.2613702832079</v>
      </c>
      <c r="BM201" s="136">
        <f t="shared" si="287"/>
        <v>504.77423029831539</v>
      </c>
      <c r="BN201" s="136">
        <f t="shared" si="287"/>
        <v>160.58362923992567</v>
      </c>
      <c r="BO201" s="136">
        <f t="shared" si="287"/>
        <v>177.01818633376993</v>
      </c>
      <c r="BP201" s="136">
        <f t="shared" si="287"/>
        <v>235.73903105820716</v>
      </c>
      <c r="BQ201" s="136">
        <f t="shared" si="287"/>
        <v>170.79241663208541</v>
      </c>
      <c r="BR201" s="137">
        <f>COUNTIF(BF170:BQ200,"&lt;0,1")-COUNTIF(BF170:BQ200,"&lt;=0")</f>
        <v>-163</v>
      </c>
    </row>
    <row r="202" spans="1:70">
      <c r="A202" s="138" t="s">
        <v>29</v>
      </c>
      <c r="B202" s="139">
        <f>MAX(B170:B200)</f>
        <v>65.203193586756385</v>
      </c>
      <c r="C202" s="139">
        <f t="shared" ref="C202:M202" si="288">MAX(C170:C200)</f>
        <v>110.78951656265785</v>
      </c>
      <c r="D202" s="139">
        <f t="shared" si="288"/>
        <v>95.492209929447796</v>
      </c>
      <c r="E202" s="139">
        <f t="shared" si="288"/>
        <v>35.60351620419403</v>
      </c>
      <c r="F202" s="139">
        <f t="shared" si="288"/>
        <v>57.556306519153374</v>
      </c>
      <c r="G202" s="139">
        <f t="shared" si="288"/>
        <v>36.665387059456116</v>
      </c>
      <c r="H202" s="139">
        <f t="shared" si="288"/>
        <v>78.499193456405905</v>
      </c>
      <c r="I202" s="139">
        <f t="shared" si="288"/>
        <v>84.133338764603323</v>
      </c>
      <c r="J202" s="139">
        <f t="shared" si="288"/>
        <v>40.730790412722207</v>
      </c>
      <c r="K202" s="139">
        <f t="shared" si="288"/>
        <v>44.492822576703105</v>
      </c>
      <c r="L202" s="139">
        <f t="shared" si="288"/>
        <v>59.244032392094248</v>
      </c>
      <c r="M202" s="139">
        <f t="shared" si="288"/>
        <v>47.001613087188176</v>
      </c>
      <c r="N202" s="129">
        <f>MAX(B202:M202)</f>
        <v>110.78951656265785</v>
      </c>
      <c r="O202" s="138" t="s">
        <v>29</v>
      </c>
      <c r="P202" s="139">
        <f>MAX(P170:P200)</f>
        <v>70</v>
      </c>
      <c r="Q202" s="139">
        <f t="shared" ref="Q202:AA202" si="289">MAX(Q170:Q200)</f>
        <v>165</v>
      </c>
      <c r="R202" s="139">
        <f t="shared" si="289"/>
        <v>127</v>
      </c>
      <c r="S202" s="139">
        <f t="shared" si="289"/>
        <v>48</v>
      </c>
      <c r="T202" s="139">
        <f t="shared" si="289"/>
        <v>68</v>
      </c>
      <c r="U202" s="139">
        <f t="shared" si="289"/>
        <v>32</v>
      </c>
      <c r="V202" s="139">
        <f t="shared" si="289"/>
        <v>78</v>
      </c>
      <c r="W202" s="139">
        <f t="shared" si="289"/>
        <v>91</v>
      </c>
      <c r="X202" s="139">
        <f t="shared" si="289"/>
        <v>52</v>
      </c>
      <c r="Y202" s="139">
        <f t="shared" si="289"/>
        <v>44</v>
      </c>
      <c r="Z202" s="139">
        <f t="shared" si="289"/>
        <v>76</v>
      </c>
      <c r="AA202" s="139">
        <f t="shared" si="289"/>
        <v>70</v>
      </c>
      <c r="AB202" s="129">
        <f>MAX(P202:AA202)</f>
        <v>165</v>
      </c>
      <c r="AC202" s="138" t="s">
        <v>29</v>
      </c>
      <c r="AD202" s="139">
        <f>MAX(AD170:AD200)</f>
        <v>55.4</v>
      </c>
      <c r="AE202" s="139">
        <f t="shared" ref="AE202:AO202" si="290">MAX(AE170:AE200)</f>
        <v>25.5</v>
      </c>
      <c r="AF202" s="139">
        <f t="shared" si="290"/>
        <v>76.900000000000006</v>
      </c>
      <c r="AG202" s="139">
        <f t="shared" si="290"/>
        <v>18.600000000000001</v>
      </c>
      <c r="AH202" s="139">
        <f t="shared" si="290"/>
        <v>61.9</v>
      </c>
      <c r="AI202" s="139">
        <f t="shared" si="290"/>
        <v>46.2</v>
      </c>
      <c r="AJ202" s="139">
        <f t="shared" si="290"/>
        <v>102</v>
      </c>
      <c r="AK202" s="139">
        <f t="shared" si="290"/>
        <v>70.099999999999994</v>
      </c>
      <c r="AL202" s="139">
        <f t="shared" si="290"/>
        <v>45.3</v>
      </c>
      <c r="AM202" s="139">
        <f t="shared" si="290"/>
        <v>45.5</v>
      </c>
      <c r="AN202" s="139">
        <f t="shared" si="290"/>
        <v>39.9</v>
      </c>
      <c r="AO202" s="139">
        <f t="shared" si="290"/>
        <v>65</v>
      </c>
      <c r="AQ202" s="138" t="s">
        <v>29</v>
      </c>
      <c r="AR202" s="139">
        <f>MAX(AR170:AR200)</f>
        <v>60.127557368358417</v>
      </c>
      <c r="AS202" s="139">
        <f t="shared" ref="AS202:BC202" si="291">MAX(AS170:AS200)</f>
        <v>53.427874368434153</v>
      </c>
      <c r="AT202" s="139">
        <f t="shared" si="291"/>
        <v>73.479946769953159</v>
      </c>
      <c r="AU202" s="139">
        <f t="shared" si="291"/>
        <v>25.660831557195252</v>
      </c>
      <c r="AV202" s="139">
        <f t="shared" si="291"/>
        <v>48.62179618950762</v>
      </c>
      <c r="AW202" s="139">
        <f t="shared" si="291"/>
        <v>41.601964751322633</v>
      </c>
      <c r="AX202" s="139">
        <f t="shared" si="291"/>
        <v>90.666814527907903</v>
      </c>
      <c r="AY202" s="139">
        <f t="shared" si="291"/>
        <v>76.867530753334989</v>
      </c>
      <c r="AZ202" s="139">
        <f t="shared" si="291"/>
        <v>38.079141827781314</v>
      </c>
      <c r="BA202" s="139">
        <f t="shared" si="291"/>
        <v>45.014292051196058</v>
      </c>
      <c r="BB202" s="139">
        <f t="shared" si="291"/>
        <v>41.51407025933419</v>
      </c>
      <c r="BC202" s="139">
        <f t="shared" si="291"/>
        <v>44.276460851031594</v>
      </c>
      <c r="BE202" s="138" t="s">
        <v>29</v>
      </c>
      <c r="BF202" s="139">
        <f>MAX(BF170:BF200)</f>
        <v>60.76314572276204</v>
      </c>
      <c r="BG202" s="139">
        <f t="shared" ref="BG202:BQ202" si="292">MAX(BG170:BG200)</f>
        <v>60.610893442173861</v>
      </c>
      <c r="BH202" s="139">
        <f t="shared" si="292"/>
        <v>74.028468226493274</v>
      </c>
      <c r="BI202" s="139">
        <f t="shared" si="292"/>
        <v>26.905888196643463</v>
      </c>
      <c r="BJ202" s="139">
        <f t="shared" si="292"/>
        <v>49.740605827053749</v>
      </c>
      <c r="BK202" s="139">
        <f t="shared" si="292"/>
        <v>40.983789776491712</v>
      </c>
      <c r="BL202" s="139">
        <f t="shared" si="292"/>
        <v>89.143143815296455</v>
      </c>
      <c r="BM202" s="139">
        <f t="shared" si="292"/>
        <v>77.777379836008691</v>
      </c>
      <c r="BN202" s="139">
        <f t="shared" si="292"/>
        <v>37.10834591660317</v>
      </c>
      <c r="BO202" s="139">
        <f t="shared" si="292"/>
        <v>44.948991877798427</v>
      </c>
      <c r="BP202" s="139">
        <f t="shared" si="292"/>
        <v>43.734276154853738</v>
      </c>
      <c r="BQ202" s="139">
        <f t="shared" si="292"/>
        <v>41.490320119399229</v>
      </c>
      <c r="BR202" s="129">
        <f>MAX(BF202:BQ202)</f>
        <v>89.143143815296455</v>
      </c>
    </row>
    <row r="203" spans="1:70">
      <c r="A203" s="130" t="s">
        <v>30</v>
      </c>
      <c r="B203" s="131">
        <f>SUM(B170:B184)</f>
        <v>7.1540644908999065</v>
      </c>
      <c r="C203" s="131">
        <f t="shared" ref="C203:M203" si="293">SUM(C170:C184)</f>
        <v>42.416903198474898</v>
      </c>
      <c r="D203" s="131">
        <f t="shared" si="293"/>
        <v>167.6220161960471</v>
      </c>
      <c r="E203" s="131">
        <f t="shared" si="293"/>
        <v>41.492516253075458</v>
      </c>
      <c r="F203" s="131">
        <f t="shared" si="293"/>
        <v>200.87464520228767</v>
      </c>
      <c r="G203" s="131">
        <f t="shared" si="293"/>
        <v>99.353725579652291</v>
      </c>
      <c r="H203" s="131">
        <f t="shared" si="293"/>
        <v>256.58946768122786</v>
      </c>
      <c r="I203" s="131">
        <f t="shared" si="293"/>
        <v>234.75343554983465</v>
      </c>
      <c r="J203" s="131">
        <f t="shared" si="293"/>
        <v>101.33077411891223</v>
      </c>
      <c r="K203" s="131">
        <f t="shared" si="293"/>
        <v>147.11675818356608</v>
      </c>
      <c r="L203" s="131">
        <f t="shared" si="293"/>
        <v>146.67974190604986</v>
      </c>
      <c r="M203" s="131">
        <f t="shared" si="293"/>
        <v>101.97351604125591</v>
      </c>
      <c r="O203" s="130" t="s">
        <v>30</v>
      </c>
      <c r="P203" s="131">
        <f>SUM(P170:P184)</f>
        <v>4</v>
      </c>
      <c r="Q203" s="131">
        <f t="shared" ref="Q203:AA203" si="294">SUM(Q170:Q184)</f>
        <v>39</v>
      </c>
      <c r="R203" s="131">
        <f t="shared" si="294"/>
        <v>176</v>
      </c>
      <c r="S203" s="131">
        <f t="shared" si="294"/>
        <v>57</v>
      </c>
      <c r="T203" s="131">
        <f t="shared" si="294"/>
        <v>206</v>
      </c>
      <c r="U203" s="131">
        <f t="shared" si="294"/>
        <v>71</v>
      </c>
      <c r="V203" s="131">
        <f t="shared" si="294"/>
        <v>249</v>
      </c>
      <c r="W203" s="131">
        <f t="shared" si="294"/>
        <v>243</v>
      </c>
      <c r="X203" s="131">
        <f t="shared" si="294"/>
        <v>92</v>
      </c>
      <c r="Y203" s="131">
        <f t="shared" si="294"/>
        <v>162</v>
      </c>
      <c r="Z203" s="131">
        <f t="shared" si="294"/>
        <v>143</v>
      </c>
      <c r="AA203" s="131">
        <f t="shared" si="294"/>
        <v>91</v>
      </c>
      <c r="AC203" s="130" t="s">
        <v>30</v>
      </c>
      <c r="AD203" s="131">
        <f>SUM(AD170:AD184)</f>
        <v>13.6</v>
      </c>
      <c r="AE203" s="131">
        <f t="shared" ref="AE203:AO203" si="295">SUM(AE170:AE184)</f>
        <v>49.4</v>
      </c>
      <c r="AF203" s="131">
        <f t="shared" si="295"/>
        <v>150.50000000000003</v>
      </c>
      <c r="AG203" s="131">
        <f t="shared" si="295"/>
        <v>9.8000000000000007</v>
      </c>
      <c r="AH203" s="131">
        <f t="shared" si="295"/>
        <v>190.4</v>
      </c>
      <c r="AI203" s="131">
        <f t="shared" si="295"/>
        <v>157.30000000000001</v>
      </c>
      <c r="AJ203" s="131">
        <f t="shared" si="295"/>
        <v>272.09999999999997</v>
      </c>
      <c r="AK203" s="131">
        <f t="shared" si="295"/>
        <v>217.89999999999998</v>
      </c>
      <c r="AL203" s="131">
        <f t="shared" si="295"/>
        <v>120.39999999999999</v>
      </c>
      <c r="AM203" s="131">
        <f t="shared" si="295"/>
        <v>116.7</v>
      </c>
      <c r="AN203" s="131">
        <f t="shared" si="295"/>
        <v>154.19999999999999</v>
      </c>
      <c r="AO203" s="131">
        <f t="shared" si="295"/>
        <v>124.4</v>
      </c>
      <c r="AQ203" s="130" t="s">
        <v>30</v>
      </c>
      <c r="AR203" s="131">
        <f>SUM(AR170:AR184)</f>
        <v>10.491469127654739</v>
      </c>
      <c r="AS203" s="131">
        <f t="shared" ref="AS203:BC203" si="296">SUM(AS170:AS184)</f>
        <v>46.032424888292631</v>
      </c>
      <c r="AT203" s="131">
        <f t="shared" si="296"/>
        <v>158.75703512966712</v>
      </c>
      <c r="AU203" s="131">
        <f t="shared" si="296"/>
        <v>25.083610122364192</v>
      </c>
      <c r="AV203" s="131">
        <f t="shared" si="296"/>
        <v>195.45136266756103</v>
      </c>
      <c r="AW203" s="131">
        <f t="shared" si="296"/>
        <v>129.35560267881291</v>
      </c>
      <c r="AX203" s="131">
        <f t="shared" si="296"/>
        <v>264.6200975884193</v>
      </c>
      <c r="AY203" s="131">
        <f t="shared" si="296"/>
        <v>226.02751300998605</v>
      </c>
      <c r="AZ203" s="131">
        <f t="shared" si="296"/>
        <v>111.20392950264525</v>
      </c>
      <c r="BA203" s="131">
        <f t="shared" si="296"/>
        <v>131.36838005387921</v>
      </c>
      <c r="BB203" s="131">
        <f t="shared" si="296"/>
        <v>150.57338064893051</v>
      </c>
      <c r="BC203" s="131">
        <f t="shared" si="296"/>
        <v>113.58490300663209</v>
      </c>
      <c r="BE203" s="130" t="s">
        <v>30</v>
      </c>
      <c r="BF203" s="131">
        <f>SUM(BF170:BF184)</f>
        <v>10.073548017909884</v>
      </c>
      <c r="BG203" s="131">
        <f t="shared" ref="BG203:BQ203" si="297">SUM(BG170:BG184)</f>
        <v>45.579677019402375</v>
      </c>
      <c r="BH203" s="131">
        <f t="shared" si="297"/>
        <v>159.86713807742689</v>
      </c>
      <c r="BI203" s="131">
        <f t="shared" si="297"/>
        <v>27.138388911943068</v>
      </c>
      <c r="BJ203" s="131">
        <f t="shared" si="297"/>
        <v>196.13048447089645</v>
      </c>
      <c r="BK203" s="131">
        <f t="shared" si="297"/>
        <v>125.59866603600241</v>
      </c>
      <c r="BL203" s="131">
        <f t="shared" si="297"/>
        <v>263.61447491809571</v>
      </c>
      <c r="BM203" s="131">
        <f t="shared" si="297"/>
        <v>227.12020257817312</v>
      </c>
      <c r="BN203" s="131">
        <f t="shared" si="297"/>
        <v>109.96757955298339</v>
      </c>
      <c r="BO203" s="131">
        <f t="shared" si="297"/>
        <v>133.34044529048771</v>
      </c>
      <c r="BP203" s="131">
        <f t="shared" si="297"/>
        <v>150.08580602089486</v>
      </c>
      <c r="BQ203" s="131">
        <f t="shared" si="297"/>
        <v>112.13088581231148</v>
      </c>
    </row>
    <row r="204" spans="1:70">
      <c r="A204" s="140" t="s">
        <v>31</v>
      </c>
      <c r="B204" s="141">
        <f>SUM(B185:B200)</f>
        <v>157.0551936519316</v>
      </c>
      <c r="C204" s="141">
        <f t="shared" ref="C204:M204" si="298">SUM(C185:C200)</f>
        <v>142.17740374431753</v>
      </c>
      <c r="D204" s="141">
        <f t="shared" si="298"/>
        <v>178.92853209065871</v>
      </c>
      <c r="E204" s="141">
        <f t="shared" si="298"/>
        <v>99.287403255503222</v>
      </c>
      <c r="F204" s="141">
        <f t="shared" si="298"/>
        <v>150.66599970671137</v>
      </c>
      <c r="G204" s="141">
        <f t="shared" si="298"/>
        <v>71.618177374415438</v>
      </c>
      <c r="H204" s="141">
        <f t="shared" si="298"/>
        <v>53.258693562315678</v>
      </c>
      <c r="I204" s="141">
        <f t="shared" si="298"/>
        <v>241.76870936731137</v>
      </c>
      <c r="J204" s="141">
        <f t="shared" si="298"/>
        <v>60.895064604956573</v>
      </c>
      <c r="K204" s="141">
        <f t="shared" si="298"/>
        <v>36.622322519674775</v>
      </c>
      <c r="L204" s="141">
        <f t="shared" si="298"/>
        <v>79.570967689374797</v>
      </c>
      <c r="M204" s="141">
        <f t="shared" si="298"/>
        <v>47.287709579130883</v>
      </c>
      <c r="O204" s="140" t="s">
        <v>31</v>
      </c>
      <c r="P204" s="141">
        <f>SUM(P185:P200)</f>
        <v>170</v>
      </c>
      <c r="Q204" s="141">
        <f t="shared" ref="Q204:AA204" si="299">SUM(Q185:Q200)</f>
        <v>207</v>
      </c>
      <c r="R204" s="141">
        <f t="shared" si="299"/>
        <v>158</v>
      </c>
      <c r="S204" s="141">
        <f t="shared" si="299"/>
        <v>103</v>
      </c>
      <c r="T204" s="141">
        <f t="shared" si="299"/>
        <v>114</v>
      </c>
      <c r="U204" s="141">
        <f t="shared" si="299"/>
        <v>66</v>
      </c>
      <c r="V204" s="141">
        <f t="shared" si="299"/>
        <v>55</v>
      </c>
      <c r="W204" s="141">
        <f t="shared" si="299"/>
        <v>203</v>
      </c>
      <c r="X204" s="141">
        <f t="shared" si="299"/>
        <v>72</v>
      </c>
      <c r="Y204" s="141">
        <f t="shared" si="299"/>
        <v>29</v>
      </c>
      <c r="Z204" s="141">
        <f t="shared" si="299"/>
        <v>73</v>
      </c>
      <c r="AA204" s="141">
        <f t="shared" si="299"/>
        <v>35</v>
      </c>
      <c r="AC204" s="140" t="s">
        <v>31</v>
      </c>
      <c r="AD204" s="141">
        <f>SUM(AD185:AD200)</f>
        <v>130.6</v>
      </c>
      <c r="AE204" s="141">
        <f t="shared" ref="AE204:AO204" si="300">SUM(AE185:AE200)</f>
        <v>9.6999999999999993</v>
      </c>
      <c r="AF204" s="141">
        <f t="shared" si="300"/>
        <v>221.70000000000002</v>
      </c>
      <c r="AG204" s="141">
        <f t="shared" si="300"/>
        <v>91.699999999999989</v>
      </c>
      <c r="AH204" s="141">
        <f t="shared" si="300"/>
        <v>225.6</v>
      </c>
      <c r="AI204" s="141">
        <f t="shared" si="300"/>
        <v>83.1</v>
      </c>
      <c r="AJ204" s="141">
        <f t="shared" si="300"/>
        <v>49.699999999999996</v>
      </c>
      <c r="AK204" s="141">
        <f t="shared" si="300"/>
        <v>321</v>
      </c>
      <c r="AL204" s="141">
        <f t="shared" si="300"/>
        <v>38.200000000000003</v>
      </c>
      <c r="AM204" s="141">
        <f t="shared" si="300"/>
        <v>52.2</v>
      </c>
      <c r="AN204" s="141">
        <f t="shared" si="300"/>
        <v>92.999999999999986</v>
      </c>
      <c r="AO204" s="141">
        <f t="shared" si="300"/>
        <v>72.399999999999991</v>
      </c>
      <c r="AQ204" s="140" t="s">
        <v>31</v>
      </c>
      <c r="AR204" s="141">
        <f>SUM(AR185:AR200)</f>
        <v>143.35792878858368</v>
      </c>
      <c r="AS204" s="141">
        <f t="shared" ref="AS204:BC204" si="301">SUM(AS185:AS200)</f>
        <v>73.586785532679144</v>
      </c>
      <c r="AT204" s="141">
        <f t="shared" si="301"/>
        <v>201.0736024407924</v>
      </c>
      <c r="AU204" s="141">
        <f t="shared" si="301"/>
        <v>95.358999880989728</v>
      </c>
      <c r="AV204" s="141">
        <f t="shared" si="301"/>
        <v>189.46332860898636</v>
      </c>
      <c r="AW204" s="141">
        <f t="shared" si="301"/>
        <v>77.562929383635009</v>
      </c>
      <c r="AX204" s="141">
        <f t="shared" si="301"/>
        <v>51.416168085773947</v>
      </c>
      <c r="AY204" s="141">
        <f t="shared" si="301"/>
        <v>282.79097469408953</v>
      </c>
      <c r="AZ204" s="141">
        <f t="shared" si="301"/>
        <v>49.144619113048932</v>
      </c>
      <c r="BA204" s="141">
        <f t="shared" si="301"/>
        <v>44.687717058498947</v>
      </c>
      <c r="BB204" s="141">
        <f t="shared" si="301"/>
        <v>86.523894015947363</v>
      </c>
      <c r="BC204" s="141">
        <f t="shared" si="301"/>
        <v>60.28968180982158</v>
      </c>
      <c r="BE204" s="140" t="s">
        <v>31</v>
      </c>
      <c r="BF204" s="141">
        <f>SUM(BF185:BF200)</f>
        <v>145.07314667649484</v>
      </c>
      <c r="BG204" s="141">
        <f t="shared" ref="BG204:BQ204" si="302">SUM(BG185:BG200)</f>
        <v>82.175935006914543</v>
      </c>
      <c r="BH204" s="141">
        <f t="shared" si="302"/>
        <v>198.30052174383957</v>
      </c>
      <c r="BI204" s="141">
        <f t="shared" si="302"/>
        <v>95.850927853918563</v>
      </c>
      <c r="BJ204" s="141">
        <f t="shared" si="302"/>
        <v>184.60499570820241</v>
      </c>
      <c r="BK204" s="141">
        <f t="shared" si="302"/>
        <v>76.818507406901986</v>
      </c>
      <c r="BL204" s="141">
        <f t="shared" si="302"/>
        <v>51.64689536511225</v>
      </c>
      <c r="BM204" s="141">
        <f t="shared" si="302"/>
        <v>277.65402772014232</v>
      </c>
      <c r="BN204" s="141">
        <f t="shared" si="302"/>
        <v>50.616049686942276</v>
      </c>
      <c r="BO204" s="141">
        <f t="shared" si="302"/>
        <v>43.677741043282218</v>
      </c>
      <c r="BP204" s="141">
        <f t="shared" si="302"/>
        <v>85.653225037312268</v>
      </c>
      <c r="BQ204" s="141">
        <f t="shared" si="302"/>
        <v>58.661530819773922</v>
      </c>
    </row>
    <row r="205" spans="1:70" ht="15.75" thickBot="1">
      <c r="A205" s="133" t="s">
        <v>32</v>
      </c>
      <c r="B205" s="134">
        <f>COUNTIF(B172:B202,"&gt;0")</f>
        <v>16</v>
      </c>
      <c r="C205" s="134">
        <f t="shared" ref="C205:M205" si="303">COUNTIF(C172:C202,"&gt;0")</f>
        <v>11</v>
      </c>
      <c r="D205" s="134">
        <f t="shared" si="303"/>
        <v>19</v>
      </c>
      <c r="E205" s="134">
        <f t="shared" si="303"/>
        <v>16</v>
      </c>
      <c r="F205" s="134">
        <f t="shared" si="303"/>
        <v>24</v>
      </c>
      <c r="G205" s="134">
        <f t="shared" si="303"/>
        <v>18</v>
      </c>
      <c r="H205" s="134">
        <f t="shared" si="303"/>
        <v>15</v>
      </c>
      <c r="I205" s="134">
        <f t="shared" si="303"/>
        <v>22</v>
      </c>
      <c r="J205" s="134">
        <f t="shared" si="303"/>
        <v>19</v>
      </c>
      <c r="K205" s="134">
        <f t="shared" si="303"/>
        <v>19</v>
      </c>
      <c r="L205" s="134">
        <f t="shared" si="303"/>
        <v>21</v>
      </c>
      <c r="M205" s="134">
        <f t="shared" si="303"/>
        <v>18</v>
      </c>
      <c r="O205" s="133" t="s">
        <v>32</v>
      </c>
      <c r="P205" s="134">
        <f>COUNTIF(P170:P200,"&gt;0")</f>
        <v>11</v>
      </c>
      <c r="Q205" s="134">
        <f t="shared" ref="Q205:AA205" si="304">COUNTIF(Q170:Q200,"&gt;0")</f>
        <v>8</v>
      </c>
      <c r="R205" s="134">
        <f t="shared" si="304"/>
        <v>12</v>
      </c>
      <c r="S205" s="134">
        <f t="shared" si="304"/>
        <v>8</v>
      </c>
      <c r="T205" s="134">
        <f t="shared" si="304"/>
        <v>14</v>
      </c>
      <c r="U205" s="134">
        <f t="shared" si="304"/>
        <v>10</v>
      </c>
      <c r="V205" s="134">
        <f t="shared" si="304"/>
        <v>9</v>
      </c>
      <c r="W205" s="134">
        <f t="shared" si="304"/>
        <v>15</v>
      </c>
      <c r="X205" s="134">
        <f t="shared" si="304"/>
        <v>9</v>
      </c>
      <c r="Y205" s="134">
        <f t="shared" si="304"/>
        <v>11</v>
      </c>
      <c r="Z205" s="134">
        <f t="shared" si="304"/>
        <v>11</v>
      </c>
      <c r="AA205" s="134">
        <f t="shared" si="304"/>
        <v>7</v>
      </c>
      <c r="AC205" s="133" t="s">
        <v>32</v>
      </c>
      <c r="AD205" s="134">
        <f>COUNTIF(AD170:AD200,"&gt;0")</f>
        <v>13</v>
      </c>
      <c r="AE205" s="134">
        <f t="shared" ref="AE205:AO205" si="305">COUNTIF(AE170:AE200,"&gt;0")</f>
        <v>7</v>
      </c>
      <c r="AF205" s="134">
        <f t="shared" si="305"/>
        <v>19</v>
      </c>
      <c r="AG205" s="134">
        <f t="shared" si="305"/>
        <v>14</v>
      </c>
      <c r="AH205" s="134">
        <f t="shared" si="305"/>
        <v>23</v>
      </c>
      <c r="AI205" s="134">
        <f t="shared" si="305"/>
        <v>17</v>
      </c>
      <c r="AJ205" s="134">
        <f t="shared" si="305"/>
        <v>14</v>
      </c>
      <c r="AK205" s="134">
        <f t="shared" si="305"/>
        <v>20</v>
      </c>
      <c r="AL205" s="134">
        <f t="shared" si="305"/>
        <v>17</v>
      </c>
      <c r="AM205" s="134">
        <f t="shared" si="305"/>
        <v>19</v>
      </c>
      <c r="AN205" s="134">
        <f t="shared" si="305"/>
        <v>21</v>
      </c>
      <c r="AO205" s="134">
        <f t="shared" si="305"/>
        <v>15</v>
      </c>
      <c r="AQ205" s="133" t="s">
        <v>32</v>
      </c>
      <c r="AR205" s="134">
        <f>COUNTIF(AR170:AR200,"&gt;0")</f>
        <v>14</v>
      </c>
      <c r="AS205" s="134">
        <f t="shared" ref="AS205:BC205" si="306">COUNTIF(AS170:AS200,"&gt;0")</f>
        <v>11</v>
      </c>
      <c r="AT205" s="134">
        <f t="shared" si="306"/>
        <v>19</v>
      </c>
      <c r="AU205" s="134">
        <f t="shared" si="306"/>
        <v>14</v>
      </c>
      <c r="AV205" s="134">
        <f t="shared" si="306"/>
        <v>24</v>
      </c>
      <c r="AW205" s="134">
        <f t="shared" si="306"/>
        <v>18</v>
      </c>
      <c r="AX205" s="134">
        <f t="shared" si="306"/>
        <v>14</v>
      </c>
      <c r="AY205" s="134">
        <f t="shared" si="306"/>
        <v>20</v>
      </c>
      <c r="AZ205" s="134">
        <f t="shared" si="306"/>
        <v>18</v>
      </c>
      <c r="BA205" s="134">
        <f t="shared" si="306"/>
        <v>19</v>
      </c>
      <c r="BB205" s="134">
        <f t="shared" si="306"/>
        <v>21</v>
      </c>
      <c r="BC205" s="134">
        <f t="shared" si="306"/>
        <v>17</v>
      </c>
      <c r="BE205" s="133" t="s">
        <v>32</v>
      </c>
      <c r="BF205" s="134">
        <f>COUNTIF(BF170:BF200,"&gt;0")</f>
        <v>14</v>
      </c>
      <c r="BG205" s="134">
        <f t="shared" ref="BG205:BQ205" si="307">COUNTIF(BG170:BG200,"&gt;0")</f>
        <v>11</v>
      </c>
      <c r="BH205" s="134">
        <f t="shared" si="307"/>
        <v>19</v>
      </c>
      <c r="BI205" s="134">
        <f t="shared" si="307"/>
        <v>14</v>
      </c>
      <c r="BJ205" s="134">
        <f t="shared" si="307"/>
        <v>24</v>
      </c>
      <c r="BK205" s="134">
        <f t="shared" si="307"/>
        <v>18</v>
      </c>
      <c r="BL205" s="134">
        <f t="shared" si="307"/>
        <v>14</v>
      </c>
      <c r="BM205" s="134">
        <f t="shared" si="307"/>
        <v>20</v>
      </c>
      <c r="BN205" s="134">
        <f t="shared" si="307"/>
        <v>18</v>
      </c>
      <c r="BO205" s="134">
        <f t="shared" si="307"/>
        <v>19</v>
      </c>
      <c r="BP205" s="134">
        <f t="shared" si="307"/>
        <v>21</v>
      </c>
      <c r="BQ205" s="134">
        <f t="shared" si="307"/>
        <v>17</v>
      </c>
    </row>
    <row r="206" spans="1:70" ht="15.75" thickBot="1"/>
    <row r="207" spans="1:70" s="142" customFormat="1">
      <c r="A207" s="147" t="s">
        <v>37</v>
      </c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9"/>
      <c r="N207" s="129"/>
      <c r="O207" s="147" t="s">
        <v>37</v>
      </c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  <c r="AA207" s="149"/>
      <c r="AB207" s="129"/>
      <c r="AC207" s="147" t="s">
        <v>37</v>
      </c>
      <c r="AD207" s="148"/>
      <c r="AE207" s="148"/>
      <c r="AF207" s="148"/>
      <c r="AG207" s="148"/>
      <c r="AH207" s="148"/>
      <c r="AI207" s="148"/>
      <c r="AJ207" s="148"/>
      <c r="AK207" s="148"/>
      <c r="AL207" s="148"/>
      <c r="AM207" s="148"/>
      <c r="AN207" s="148"/>
      <c r="AO207" s="149"/>
      <c r="AP207" s="129"/>
      <c r="AQ207" s="147" t="s">
        <v>37</v>
      </c>
      <c r="AR207" s="148"/>
      <c r="AS207" s="148"/>
      <c r="AT207" s="148"/>
      <c r="AU207" s="148"/>
      <c r="AV207" s="148"/>
      <c r="AW207" s="148"/>
      <c r="AX207" s="148"/>
      <c r="AY207" s="148"/>
      <c r="AZ207" s="148"/>
      <c r="BA207" s="148"/>
      <c r="BB207" s="148"/>
      <c r="BC207" s="149"/>
      <c r="BD207" s="129"/>
      <c r="BE207" s="147" t="s">
        <v>33</v>
      </c>
      <c r="BF207" s="148"/>
      <c r="BG207" s="148"/>
      <c r="BH207" s="148"/>
      <c r="BI207" s="148"/>
      <c r="BJ207" s="148"/>
      <c r="BK207" s="148"/>
      <c r="BL207" s="148"/>
      <c r="BM207" s="148"/>
      <c r="BN207" s="148"/>
      <c r="BO207" s="148"/>
      <c r="BP207" s="148"/>
      <c r="BQ207" s="149"/>
      <c r="BR207" s="129"/>
    </row>
    <row r="208" spans="1:70">
      <c r="A208" s="144"/>
      <c r="B208" s="145" t="s">
        <v>15</v>
      </c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6"/>
      <c r="O208" s="144"/>
      <c r="P208" s="145" t="s">
        <v>15</v>
      </c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  <c r="AA208" s="146"/>
      <c r="AC208" s="144"/>
      <c r="AD208" s="145" t="s">
        <v>15</v>
      </c>
      <c r="AE208" s="145"/>
      <c r="AF208" s="145"/>
      <c r="AG208" s="145"/>
      <c r="AH208" s="145"/>
      <c r="AI208" s="145"/>
      <c r="AJ208" s="145"/>
      <c r="AK208" s="145"/>
      <c r="AL208" s="145"/>
      <c r="AM208" s="145"/>
      <c r="AN208" s="145"/>
      <c r="AO208" s="146"/>
      <c r="AQ208" s="144"/>
      <c r="AR208" s="145" t="s">
        <v>15</v>
      </c>
      <c r="AS208" s="145"/>
      <c r="AT208" s="145"/>
      <c r="AU208" s="145"/>
      <c r="AV208" s="145"/>
      <c r="AW208" s="145"/>
      <c r="AX208" s="145"/>
      <c r="AY208" s="145"/>
      <c r="AZ208" s="145"/>
      <c r="BA208" s="145"/>
      <c r="BB208" s="145"/>
      <c r="BC208" s="146"/>
      <c r="BE208" s="144"/>
      <c r="BF208" s="145" t="s">
        <v>15</v>
      </c>
      <c r="BG208" s="145"/>
      <c r="BH208" s="145"/>
      <c r="BI208" s="145"/>
      <c r="BJ208" s="145"/>
      <c r="BK208" s="145"/>
      <c r="BL208" s="145"/>
      <c r="BM208" s="145"/>
      <c r="BN208" s="145"/>
      <c r="BO208" s="145"/>
      <c r="BP208" s="145"/>
      <c r="BQ208" s="146"/>
    </row>
    <row r="209" spans="1:69">
      <c r="A209" s="144"/>
      <c r="B209" s="131" t="s">
        <v>16</v>
      </c>
      <c r="C209" s="131" t="s">
        <v>17</v>
      </c>
      <c r="D209" s="131" t="s">
        <v>18</v>
      </c>
      <c r="E209" s="131" t="s">
        <v>19</v>
      </c>
      <c r="F209" s="131" t="s">
        <v>20</v>
      </c>
      <c r="G209" s="131" t="s">
        <v>21</v>
      </c>
      <c r="H209" s="131" t="s">
        <v>22</v>
      </c>
      <c r="I209" s="131" t="s">
        <v>23</v>
      </c>
      <c r="J209" s="131" t="s">
        <v>24</v>
      </c>
      <c r="K209" s="131" t="s">
        <v>25</v>
      </c>
      <c r="L209" s="131" t="s">
        <v>26</v>
      </c>
      <c r="M209" s="132" t="s">
        <v>27</v>
      </c>
      <c r="O209" s="144"/>
      <c r="P209" s="131" t="s">
        <v>16</v>
      </c>
      <c r="Q209" s="131" t="s">
        <v>17</v>
      </c>
      <c r="R209" s="131" t="s">
        <v>18</v>
      </c>
      <c r="S209" s="131" t="s">
        <v>19</v>
      </c>
      <c r="T209" s="131" t="s">
        <v>20</v>
      </c>
      <c r="U209" s="131" t="s">
        <v>21</v>
      </c>
      <c r="V209" s="131" t="s">
        <v>22</v>
      </c>
      <c r="W209" s="131" t="s">
        <v>23</v>
      </c>
      <c r="X209" s="131" t="s">
        <v>24</v>
      </c>
      <c r="Y209" s="131" t="s">
        <v>25</v>
      </c>
      <c r="Z209" s="131" t="s">
        <v>26</v>
      </c>
      <c r="AA209" s="132" t="s">
        <v>27</v>
      </c>
      <c r="AC209" s="144"/>
      <c r="AD209" s="131" t="s">
        <v>16</v>
      </c>
      <c r="AE209" s="131" t="s">
        <v>17</v>
      </c>
      <c r="AF209" s="131" t="s">
        <v>18</v>
      </c>
      <c r="AG209" s="131" t="s">
        <v>19</v>
      </c>
      <c r="AH209" s="131" t="s">
        <v>20</v>
      </c>
      <c r="AI209" s="131" t="s">
        <v>21</v>
      </c>
      <c r="AJ209" s="131" t="s">
        <v>22</v>
      </c>
      <c r="AK209" s="131" t="s">
        <v>23</v>
      </c>
      <c r="AL209" s="131" t="s">
        <v>24</v>
      </c>
      <c r="AM209" s="131" t="s">
        <v>25</v>
      </c>
      <c r="AN209" s="131" t="s">
        <v>26</v>
      </c>
      <c r="AO209" s="132" t="s">
        <v>27</v>
      </c>
      <c r="AQ209" s="144"/>
      <c r="AR209" s="131" t="s">
        <v>16</v>
      </c>
      <c r="AS209" s="131" t="s">
        <v>17</v>
      </c>
      <c r="AT209" s="131" t="s">
        <v>18</v>
      </c>
      <c r="AU209" s="131" t="s">
        <v>19</v>
      </c>
      <c r="AV209" s="131" t="s">
        <v>20</v>
      </c>
      <c r="AW209" s="131" t="s">
        <v>21</v>
      </c>
      <c r="AX209" s="131" t="s">
        <v>22</v>
      </c>
      <c r="AY209" s="131" t="s">
        <v>23</v>
      </c>
      <c r="AZ209" s="131" t="s">
        <v>24</v>
      </c>
      <c r="BA209" s="131" t="s">
        <v>25</v>
      </c>
      <c r="BB209" s="131" t="s">
        <v>26</v>
      </c>
      <c r="BC209" s="132" t="s">
        <v>27</v>
      </c>
      <c r="BE209" s="144"/>
      <c r="BF209" s="131" t="s">
        <v>16</v>
      </c>
      <c r="BG209" s="131" t="s">
        <v>17</v>
      </c>
      <c r="BH209" s="131" t="s">
        <v>18</v>
      </c>
      <c r="BI209" s="131" t="s">
        <v>19</v>
      </c>
      <c r="BJ209" s="131" t="s">
        <v>20</v>
      </c>
      <c r="BK209" s="131" t="s">
        <v>21</v>
      </c>
      <c r="BL209" s="131" t="s">
        <v>22</v>
      </c>
      <c r="BM209" s="131" t="s">
        <v>23</v>
      </c>
      <c r="BN209" s="131" t="s">
        <v>24</v>
      </c>
      <c r="BO209" s="131" t="s">
        <v>25</v>
      </c>
      <c r="BP209" s="131" t="s">
        <v>26</v>
      </c>
      <c r="BQ209" s="132" t="s">
        <v>27</v>
      </c>
    </row>
    <row r="210" spans="1:69">
      <c r="A210" s="130">
        <v>1</v>
      </c>
      <c r="B210" s="131">
        <f>((P210/($F$1^2))+(AD210/($F$2^2)))/((1/($F$1^2))+(1/($F$2^2)))</f>
        <v>17.413064376843238</v>
      </c>
      <c r="C210" s="131">
        <f t="shared" ref="C210:C240" si="308">((Q210/($F$1^2))+(AE210/($F$2^2)))/((1/($F$1^2))+(1/($F$2^2)))</f>
        <v>0</v>
      </c>
      <c r="D210" s="131">
        <f t="shared" ref="D210:D240" si="309">((R210/($F$1^2))+(AF210/($F$2^2)))/((1/($F$1^2))+(1/($F$2^2)))</f>
        <v>0</v>
      </c>
      <c r="E210" s="131">
        <f t="shared" ref="E210:E240" si="310">((S210/($F$1^2))+(AG210/($F$2^2)))/((1/($F$1^2))+(1/($F$2^2)))</f>
        <v>0</v>
      </c>
      <c r="F210" s="131">
        <f t="shared" ref="F210:F240" si="311">((T210/($F$1^2))+(AH210/($F$2^2)))/((1/($F$1^2))+(1/($F$2^2)))</f>
        <v>35.363322633731443</v>
      </c>
      <c r="G210" s="131">
        <f t="shared" ref="G210:G240" si="312">((U210/($F$1^2))+(AI210/($F$2^2)))/((1/($F$1^2))+(1/($F$2^2)))</f>
        <v>0</v>
      </c>
      <c r="H210" s="131" t="s">
        <v>73</v>
      </c>
      <c r="I210" s="131">
        <f t="shared" ref="I210:I240" si="313">((W210/($F$1^2))+(AK210/($F$2^2)))/((1/($F$1^2))+(1/($F$2^2)))</f>
        <v>1.7741612761311976</v>
      </c>
      <c r="J210" s="131">
        <f t="shared" ref="J210:J240" si="314">((X210/($F$1^2))+(AL210/($F$2^2)))/((1/($F$1^2))+(1/($F$2^2)))</f>
        <v>20.534274029296267</v>
      </c>
      <c r="K210" s="131">
        <f t="shared" ref="K210:K240" si="315">((Y210/($F$1^2))+(AM210/($F$2^2)))/((1/($F$1^2))+(1/($F$2^2)))</f>
        <v>54.847548596288277</v>
      </c>
      <c r="L210" s="131">
        <f t="shared" ref="L210:L240" si="316">((Z210/($F$1^2))+(AN210/($F$2^2)))/((1/($F$1^2))+(1/($F$2^2)))</f>
        <v>8.4765483192934994</v>
      </c>
      <c r="M210" s="131">
        <f t="shared" ref="M210:M240" si="317">((AA210/($F$1^2))+(AO210/($F$2^2)))/((1/($F$1^2))+(1/($F$2^2)))</f>
        <v>0</v>
      </c>
      <c r="O210" s="130">
        <v>1</v>
      </c>
      <c r="P210" s="131">
        <f>'Stasiun Pontianak Kota'!Q272</f>
        <v>0</v>
      </c>
      <c r="Q210" s="131">
        <f>'Stasiun Pontianak Kota'!R272</f>
        <v>0</v>
      </c>
      <c r="R210" s="131">
        <f>'Stasiun Pontianak Kota'!S272</f>
        <v>0</v>
      </c>
      <c r="S210" s="131">
        <f>'Stasiun Pontianak Kota'!T272</f>
        <v>0</v>
      </c>
      <c r="T210" s="131">
        <f>'Stasiun Pontianak Kota'!U272</f>
        <v>42</v>
      </c>
      <c r="U210" s="131">
        <f>'Stasiun Pontianak Kota'!V272</f>
        <v>0</v>
      </c>
      <c r="V210" s="131" t="str">
        <f>'Stasiun Pontianak Kota'!W272</f>
        <v>-</v>
      </c>
      <c r="W210" s="131">
        <f>'Stasiun Pontianak Kota'!X272</f>
        <v>0</v>
      </c>
      <c r="X210" s="131">
        <f>'Stasiun Pontianak Kota'!Y272</f>
        <v>0</v>
      </c>
      <c r="Y210" s="131">
        <f>'Stasiun Pontianak Kota'!Z272</f>
        <v>81</v>
      </c>
      <c r="Z210" s="131">
        <f>'Stasiun Pontianak Kota'!AA272</f>
        <v>0</v>
      </c>
      <c r="AA210" s="131">
        <f>'Stasiun Pontianak Kota'!AB272</f>
        <v>0</v>
      </c>
      <c r="AC210" s="130">
        <v>1</v>
      </c>
      <c r="AD210" s="131">
        <f>'Sta. Meteorologi pnk'!B233</f>
        <v>53</v>
      </c>
      <c r="AE210" s="131">
        <f>'Sta. Meteorologi pnk'!C233</f>
        <v>0</v>
      </c>
      <c r="AF210" s="131">
        <f>'Sta. Meteorologi pnk'!D233</f>
        <v>0</v>
      </c>
      <c r="AG210" s="131">
        <f>'Sta. Meteorologi pnk'!E233</f>
        <v>0</v>
      </c>
      <c r="AH210" s="131">
        <f>'Sta. Meteorologi pnk'!F233</f>
        <v>21.8</v>
      </c>
      <c r="AI210" s="131">
        <f>'Sta. Meteorologi pnk'!G233</f>
        <v>0</v>
      </c>
      <c r="AJ210" s="131">
        <f>'Sta. Meteorologi pnk'!H233</f>
        <v>6.7</v>
      </c>
      <c r="AK210" s="131">
        <f>'Sta. Meteorologi pnk'!I233</f>
        <v>5.4</v>
      </c>
      <c r="AL210" s="131">
        <f>'Sta. Meteorologi pnk'!J233</f>
        <v>62.5</v>
      </c>
      <c r="AM210" s="131">
        <f>'Sta. Meteorologi pnk'!K233</f>
        <v>1.4</v>
      </c>
      <c r="AN210" s="131">
        <f>'Sta. Meteorologi pnk'!L233</f>
        <v>25.8</v>
      </c>
      <c r="AO210" s="131">
        <f>'Sta. Meteorologi pnk'!M233</f>
        <v>0</v>
      </c>
      <c r="AQ210" s="130">
        <v>1</v>
      </c>
      <c r="AR210" s="131">
        <f>((P210/($AV$1^2))+(AD210/($AV$2^2)))/((1/($AV$1^2))+(1/($AV$2^2)))</f>
        <v>35.838319142260538</v>
      </c>
      <c r="AS210" s="131">
        <f t="shared" ref="AS210:AS240" si="318">((Q210/($AV$1^2))+(AE210/($AV$2^2)))/((1/($AV$1^2))+(1/($AV$2^2)))</f>
        <v>0</v>
      </c>
      <c r="AT210" s="131">
        <f t="shared" ref="AT210:AT240" si="319">((R210/($AV$1^2))+(AF210/($AV$2^2)))/((1/($AV$1^2))+(1/($AV$2^2)))</f>
        <v>0</v>
      </c>
      <c r="AU210" s="131">
        <f t="shared" ref="AU210:AU240" si="320">((S210/($AV$1^2))+(AG210/($AV$2^2)))/((1/($AV$1^2))+(1/($AV$2^2)))</f>
        <v>0</v>
      </c>
      <c r="AV210" s="131">
        <f t="shared" ref="AV210:AV240" si="321">((T210/($AV$1^2))+(AH210/($AV$2^2)))/((1/($AV$1^2))+(1/($AV$2^2)))</f>
        <v>28.340867043893144</v>
      </c>
      <c r="AW210" s="131">
        <f t="shared" ref="AW210:AW240" si="322">((U210/($AV$1^2))+(AI210/($AV$2^2)))/((1/($AV$1^2))+(1/($AV$2^2)))</f>
        <v>0</v>
      </c>
      <c r="AX210" s="131" t="e">
        <f t="shared" ref="AX210:AX240" si="323">((V210/($AV$1^2))+(AJ210/($AV$2^2)))/((1/($AV$1^2))+(1/($AV$2^2)))</f>
        <v>#VALUE!</v>
      </c>
      <c r="AY210" s="131">
        <f t="shared" ref="AY210:AY240" si="324">((W210/($AV$1^2))+(AK210/($AV$2^2)))/((1/($AV$1^2))+(1/($AV$2^2)))</f>
        <v>3.651451384305791</v>
      </c>
      <c r="AZ210" s="131">
        <f t="shared" ref="AZ210:AZ240" si="325">((X210/($AV$1^2))+(AL210/($AV$2^2)))/((1/($AV$1^2))+(1/($AV$2^2)))</f>
        <v>42.262168799835543</v>
      </c>
      <c r="BA210" s="131">
        <f t="shared" ref="BA210:BA240" si="326">((Y210/($AV$1^2))+(AM210/($AV$2^2)))/((1/($AV$1^2))+(1/($AV$2^2)))</f>
        <v>27.174901816529442</v>
      </c>
      <c r="BB210" s="131">
        <f t="shared" ref="BB210:BB240" si="327">((Z210/($AV$1^2))+(AN210/($AV$2^2)))/((1/($AV$1^2))+(1/($AV$2^2)))</f>
        <v>17.445823280572114</v>
      </c>
      <c r="BC210" s="131">
        <f t="shared" ref="BC210:BC240" si="328">((AA210/($AV$1^2))+(AO210/($AV$2^2)))/((1/($AV$1^2))+(1/($AV$2^2)))</f>
        <v>0</v>
      </c>
      <c r="BE210" s="130">
        <v>1</v>
      </c>
      <c r="BF210" s="131">
        <f>((B210/($BI$1^2))+(P210/($AV$1^2))+(AD210/($AV$2^2)))/((1/($BI$1^2))+(1/($AV$1^2))+(1/($AV$2^2)))</f>
        <v>33.531046348877489</v>
      </c>
      <c r="BG210" s="131">
        <f t="shared" ref="BG210:BG240" si="329">((C210/($BI$1^2))+(Q210/($AV$1^2))+(AE210/($AV$2^2)))/((1/($BI$1^2))+(1/($AV$1^2))+(1/($AV$2^2)))</f>
        <v>0</v>
      </c>
      <c r="BH210" s="131">
        <f t="shared" ref="BH210:BH240" si="330">((D210/($BI$1^2))+(R210/($AV$1^2))+(AF210/($AV$2^2)))/((1/($BI$1^2))+(1/($AV$1^2))+(1/($AV$2^2)))</f>
        <v>0</v>
      </c>
      <c r="BI210" s="131">
        <f t="shared" ref="BI210:BI240" si="331">((E210/($BI$1^2))+(S210/($AV$1^2))+(AG210/($AV$2^2)))/((1/($BI$1^2))+(1/($AV$1^2))+(1/($AV$2^2)))</f>
        <v>0</v>
      </c>
      <c r="BJ210" s="131">
        <f t="shared" ref="BJ210:BJ240" si="332">((F210/($BI$1^2))+(T210/($AV$1^2))+(AH210/($AV$2^2)))/((1/($BI$1^2))+(1/($AV$1^2))+(1/($AV$2^2)))</f>
        <v>29.220242712314619</v>
      </c>
      <c r="BK210" s="131">
        <f t="shared" ref="BK210:BK240" si="333">((G210/($BI$1^2))+(U210/($AV$1^2))+(AI210/($AV$2^2)))/((1/($BI$1^2))+(1/($AV$1^2))+(1/($AV$2^2)))</f>
        <v>0</v>
      </c>
      <c r="BL210" s="131" t="s">
        <v>73</v>
      </c>
      <c r="BM210" s="131">
        <f t="shared" ref="BM210:BM240" si="334">((I210/($BI$1^2))+(W210/($AV$1^2))+(AK210/($AV$2^2)))/((1/($BI$1^2))+(1/($AV$1^2))+(1/($AV$2^2)))</f>
        <v>3.4163707600743098</v>
      </c>
      <c r="BN210" s="131">
        <f t="shared" ref="BN210:BN240" si="335">((J210/($BI$1^2))+(X210/($AV$1^2))+(AL210/($AV$2^2)))/((1/($BI$1^2))+(1/($AV$1^2))+(1/($AV$2^2)))</f>
        <v>39.541328241600816</v>
      </c>
      <c r="BO210" s="131">
        <f t="shared" ref="BO210:BO240" si="336">((K210/($BI$1^2))+(Y210/($AV$1^2))+(AM210/($AV$2^2)))/((1/($BI$1^2))+(1/($AV$1^2))+(1/($AV$2^2)))</f>
        <v>30.640164351497202</v>
      </c>
      <c r="BP210" s="131">
        <f t="shared" ref="BP210:BP240" si="337">((L210/($BI$1^2))+(Z210/($AV$1^2))+(AN210/($AV$2^2)))/((1/($BI$1^2))+(1/($AV$1^2))+(1/($AV$2^2)))</f>
        <v>16.322660298132813</v>
      </c>
      <c r="BQ210" s="131">
        <f t="shared" ref="BQ210:BQ240" si="338">((M210/($BI$1^2))+(AA210/($AV$1^2))+(AO210/($AV$2^2)))/((1/($BI$1^2))+(1/($AV$1^2))+(1/($AV$2^2)))</f>
        <v>0</v>
      </c>
    </row>
    <row r="211" spans="1:69">
      <c r="A211" s="130">
        <v>2</v>
      </c>
      <c r="B211" s="131">
        <f t="shared" ref="B211:B240" si="339">((P211/($F$1^2))+(AD211/($F$2^2)))/((1/($F$1^2))+(1/($F$2^2)))</f>
        <v>2.5626773988561742</v>
      </c>
      <c r="C211" s="131">
        <f t="shared" si="308"/>
        <v>0</v>
      </c>
      <c r="D211" s="131">
        <f t="shared" si="309"/>
        <v>6.5709676893748057</v>
      </c>
      <c r="E211" s="131">
        <f t="shared" si="310"/>
        <v>0</v>
      </c>
      <c r="F211" s="131">
        <f t="shared" si="311"/>
        <v>15.803177292946408</v>
      </c>
      <c r="G211" s="131">
        <f t="shared" si="312"/>
        <v>12.597451648118879</v>
      </c>
      <c r="H211" s="131" t="s">
        <v>73</v>
      </c>
      <c r="I211" s="131">
        <f t="shared" si="313"/>
        <v>0.32854838446874024</v>
      </c>
      <c r="J211" s="131">
        <f t="shared" si="314"/>
        <v>21.716435566128428</v>
      </c>
      <c r="K211" s="131">
        <f t="shared" si="315"/>
        <v>6.5709676893748056E-2</v>
      </c>
      <c r="L211" s="131">
        <f t="shared" si="316"/>
        <v>1.7741612761311976</v>
      </c>
      <c r="M211" s="131">
        <f t="shared" si="317"/>
        <v>15.934596646733903</v>
      </c>
      <c r="O211" s="130">
        <v>2</v>
      </c>
      <c r="P211" s="131">
        <f>'Stasiun Pontianak Kota'!Q273</f>
        <v>0</v>
      </c>
      <c r="Q211" s="131">
        <f>'Stasiun Pontianak Kota'!R273</f>
        <v>0</v>
      </c>
      <c r="R211" s="131">
        <f>'Stasiun Pontianak Kota'!S273</f>
        <v>0</v>
      </c>
      <c r="S211" s="131">
        <f>'Stasiun Pontianak Kota'!T273</f>
        <v>0</v>
      </c>
      <c r="T211" s="131">
        <f>'Stasiun Pontianak Kota'!U273</f>
        <v>0</v>
      </c>
      <c r="U211" s="131">
        <f>'Stasiun Pontianak Kota'!V273</f>
        <v>17</v>
      </c>
      <c r="V211" s="131" t="str">
        <f>'Stasiun Pontianak Kota'!W273</f>
        <v>-</v>
      </c>
      <c r="W211" s="131">
        <f>'Stasiun Pontianak Kota'!X273</f>
        <v>0</v>
      </c>
      <c r="X211" s="131">
        <f>'Stasiun Pontianak Kota'!Y273</f>
        <v>32</v>
      </c>
      <c r="Y211" s="131">
        <f>'Stasiun Pontianak Kota'!Z273</f>
        <v>0</v>
      </c>
      <c r="Z211" s="131">
        <f>'Stasiun Pontianak Kota'!AA273</f>
        <v>0</v>
      </c>
      <c r="AA211" s="131">
        <f>'Stasiun Pontianak Kota'!AB273</f>
        <v>0</v>
      </c>
      <c r="AC211" s="130">
        <v>2</v>
      </c>
      <c r="AD211" s="131">
        <f>'Sta. Meteorologi pnk'!B234</f>
        <v>7.8</v>
      </c>
      <c r="AE211" s="131">
        <f>'Sta. Meteorologi pnk'!C234</f>
        <v>0</v>
      </c>
      <c r="AF211" s="131">
        <f>'Sta. Meteorologi pnk'!D234</f>
        <v>20</v>
      </c>
      <c r="AG211" s="131">
        <f>'Sta. Meteorologi pnk'!E234</f>
        <v>0</v>
      </c>
      <c r="AH211" s="131">
        <f>'Sta. Meteorologi pnk'!F234</f>
        <v>48.1</v>
      </c>
      <c r="AI211" s="131">
        <f>'Sta. Meteorologi pnk'!G234</f>
        <v>3.6</v>
      </c>
      <c r="AJ211" s="131">
        <f>'Sta. Meteorologi pnk'!H234</f>
        <v>0</v>
      </c>
      <c r="AK211" s="131">
        <f>'Sta. Meteorologi pnk'!I234</f>
        <v>1</v>
      </c>
      <c r="AL211" s="131">
        <f>'Sta. Meteorologi pnk'!J234</f>
        <v>0.7</v>
      </c>
      <c r="AM211" s="131">
        <f>'Sta. Meteorologi pnk'!K234</f>
        <v>0.2</v>
      </c>
      <c r="AN211" s="131">
        <f>'Sta. Meteorologi pnk'!L234</f>
        <v>5.4</v>
      </c>
      <c r="AO211" s="131">
        <f>'Sta. Meteorologi pnk'!M234</f>
        <v>48.5</v>
      </c>
      <c r="AQ211" s="130">
        <v>2</v>
      </c>
      <c r="AR211" s="131">
        <f t="shared" ref="AR211:AR240" si="340">((P211/($AV$1^2))+(AD211/($AV$2^2)))/((1/($AV$1^2))+(1/($AV$2^2)))</f>
        <v>5.2743186662194752</v>
      </c>
      <c r="AS211" s="131">
        <f t="shared" si="318"/>
        <v>0</v>
      </c>
      <c r="AT211" s="131">
        <f t="shared" si="319"/>
        <v>13.523894015947375</v>
      </c>
      <c r="AU211" s="131">
        <f t="shared" si="320"/>
        <v>0</v>
      </c>
      <c r="AV211" s="131">
        <f t="shared" si="321"/>
        <v>32.524965108353435</v>
      </c>
      <c r="AW211" s="131">
        <f t="shared" si="322"/>
        <v>7.9389910093152585</v>
      </c>
      <c r="AX211" s="131" t="e">
        <f t="shared" si="323"/>
        <v>#VALUE!</v>
      </c>
      <c r="AY211" s="131">
        <f t="shared" si="324"/>
        <v>0.67619470079736876</v>
      </c>
      <c r="AZ211" s="131">
        <f t="shared" si="325"/>
        <v>10.835105865042356</v>
      </c>
      <c r="BA211" s="131">
        <f t="shared" si="326"/>
        <v>0.13523894015947374</v>
      </c>
      <c r="BB211" s="131">
        <f t="shared" si="327"/>
        <v>3.651451384305791</v>
      </c>
      <c r="BC211" s="131">
        <f t="shared" si="328"/>
        <v>32.795442988672384</v>
      </c>
      <c r="BE211" s="130">
        <v>2</v>
      </c>
      <c r="BF211" s="131">
        <f t="shared" ref="BF211:BF240" si="341">((B211/($BI$1^2))+(P211/($AV$1^2))+(AD211/($AV$2^2)))/((1/($BI$1^2))+(1/($AV$1^2))+(1/($AV$2^2)))</f>
        <v>4.9347577645517813</v>
      </c>
      <c r="BG211" s="131">
        <f t="shared" si="329"/>
        <v>0</v>
      </c>
      <c r="BH211" s="131">
        <f t="shared" si="330"/>
        <v>12.653225037312261</v>
      </c>
      <c r="BI211" s="131">
        <f t="shared" si="331"/>
        <v>0</v>
      </c>
      <c r="BJ211" s="131">
        <f t="shared" si="332"/>
        <v>30.431006214735984</v>
      </c>
      <c r="BK211" s="131">
        <f t="shared" si="333"/>
        <v>8.5223392250007848</v>
      </c>
      <c r="BL211" s="131" t="s">
        <v>73</v>
      </c>
      <c r="BM211" s="131">
        <f t="shared" si="334"/>
        <v>0.63266125186561295</v>
      </c>
      <c r="BN211" s="131">
        <f t="shared" si="335"/>
        <v>12.197702816606313</v>
      </c>
      <c r="BO211" s="131">
        <f t="shared" si="336"/>
        <v>0.1265322503731226</v>
      </c>
      <c r="BP211" s="131">
        <f t="shared" si="337"/>
        <v>3.4163707600743098</v>
      </c>
      <c r="BQ211" s="131">
        <f t="shared" si="338"/>
        <v>30.684070715482232</v>
      </c>
    </row>
    <row r="212" spans="1:69">
      <c r="A212" s="130">
        <v>3</v>
      </c>
      <c r="B212" s="131">
        <f t="shared" si="339"/>
        <v>12.747677317387122</v>
      </c>
      <c r="C212" s="131">
        <f t="shared" si="308"/>
        <v>4.1397096443061274</v>
      </c>
      <c r="D212" s="131">
        <f t="shared" si="309"/>
        <v>0</v>
      </c>
      <c r="E212" s="131">
        <f t="shared" si="310"/>
        <v>0</v>
      </c>
      <c r="F212" s="131">
        <f t="shared" si="311"/>
        <v>0.65709676893748048</v>
      </c>
      <c r="G212" s="131">
        <f t="shared" si="312"/>
        <v>2.9569354602186624</v>
      </c>
      <c r="H212" s="131" t="s">
        <v>73</v>
      </c>
      <c r="I212" s="131">
        <f t="shared" si="313"/>
        <v>0</v>
      </c>
      <c r="J212" s="131">
        <f t="shared" si="314"/>
        <v>0</v>
      </c>
      <c r="K212" s="131">
        <f t="shared" si="315"/>
        <v>31.295693546021862</v>
      </c>
      <c r="L212" s="131">
        <f t="shared" si="316"/>
        <v>4.2711289980936229</v>
      </c>
      <c r="M212" s="131">
        <f t="shared" si="317"/>
        <v>53.576725921822295</v>
      </c>
      <c r="O212" s="130">
        <v>3</v>
      </c>
      <c r="P212" s="131">
        <f>'Stasiun Pontianak Kota'!Q274</f>
        <v>0</v>
      </c>
      <c r="Q212" s="131">
        <f>'Stasiun Pontianak Kota'!R274</f>
        <v>0</v>
      </c>
      <c r="R212" s="131">
        <f>'Stasiun Pontianak Kota'!S274</f>
        <v>0</v>
      </c>
      <c r="S212" s="131">
        <f>'Stasiun Pontianak Kota'!T274</f>
        <v>0</v>
      </c>
      <c r="T212" s="131">
        <f>'Stasiun Pontianak Kota'!U274</f>
        <v>0</v>
      </c>
      <c r="U212" s="131">
        <f>'Stasiun Pontianak Kota'!V274</f>
        <v>0</v>
      </c>
      <c r="V212" s="131" t="str">
        <f>'Stasiun Pontianak Kota'!W274</f>
        <v>-</v>
      </c>
      <c r="W212" s="131">
        <f>'Stasiun Pontianak Kota'!X274</f>
        <v>0</v>
      </c>
      <c r="X212" s="131">
        <f>'Stasiun Pontianak Kota'!Y274</f>
        <v>0</v>
      </c>
      <c r="Y212" s="131">
        <f>'Stasiun Pontianak Kota'!Z274</f>
        <v>31</v>
      </c>
      <c r="Z212" s="131">
        <f>'Stasiun Pontianak Kota'!AA274</f>
        <v>0</v>
      </c>
      <c r="AA212" s="131">
        <f>'Stasiun Pontianak Kota'!AB274</f>
        <v>68</v>
      </c>
      <c r="AC212" s="130">
        <v>3</v>
      </c>
      <c r="AD212" s="131">
        <f>'Sta. Meteorologi pnk'!B235</f>
        <v>38.799999999999997</v>
      </c>
      <c r="AE212" s="131">
        <f>'Sta. Meteorologi pnk'!C235</f>
        <v>12.6</v>
      </c>
      <c r="AF212" s="131">
        <f>'Sta. Meteorologi pnk'!D235</f>
        <v>0</v>
      </c>
      <c r="AG212" s="131">
        <f>'Sta. Meteorologi pnk'!E235</f>
        <v>0</v>
      </c>
      <c r="AH212" s="131">
        <f>'Sta. Meteorologi pnk'!F235</f>
        <v>2</v>
      </c>
      <c r="AI212" s="131">
        <f>'Sta. Meteorologi pnk'!G235</f>
        <v>9</v>
      </c>
      <c r="AJ212" s="131">
        <f>'Sta. Meteorologi pnk'!H235</f>
        <v>24.8</v>
      </c>
      <c r="AK212" s="131">
        <f>'Sta. Meteorologi pnk'!I235</f>
        <v>0</v>
      </c>
      <c r="AL212" s="131">
        <f>'Sta. Meteorologi pnk'!J235</f>
        <v>0</v>
      </c>
      <c r="AM212" s="131">
        <f>'Sta. Meteorologi pnk'!K235</f>
        <v>31.9</v>
      </c>
      <c r="AN212" s="131">
        <f>'Sta. Meteorologi pnk'!L235</f>
        <v>13</v>
      </c>
      <c r="AO212" s="131">
        <f>'Sta. Meteorologi pnk'!M235</f>
        <v>24.1</v>
      </c>
      <c r="AQ212" s="130">
        <v>3</v>
      </c>
      <c r="AR212" s="131">
        <f t="shared" si="340"/>
        <v>26.236354390937905</v>
      </c>
      <c r="AS212" s="131">
        <f t="shared" si="318"/>
        <v>8.5200532300468463</v>
      </c>
      <c r="AT212" s="131">
        <f t="shared" si="319"/>
        <v>0</v>
      </c>
      <c r="AU212" s="131">
        <f t="shared" si="320"/>
        <v>0</v>
      </c>
      <c r="AV212" s="131">
        <f t="shared" si="321"/>
        <v>1.3523894015947375</v>
      </c>
      <c r="AW212" s="131">
        <f t="shared" si="322"/>
        <v>6.0857523071763184</v>
      </c>
      <c r="AX212" s="131" t="e">
        <f t="shared" si="323"/>
        <v>#VALUE!</v>
      </c>
      <c r="AY212" s="131">
        <f t="shared" si="324"/>
        <v>0</v>
      </c>
      <c r="AZ212" s="131">
        <f t="shared" si="325"/>
        <v>0</v>
      </c>
      <c r="BA212" s="131">
        <f t="shared" si="326"/>
        <v>31.60857523071763</v>
      </c>
      <c r="BB212" s="131">
        <f t="shared" si="327"/>
        <v>8.7905311103657926</v>
      </c>
      <c r="BC212" s="131">
        <f t="shared" si="328"/>
        <v>38.31505263499551</v>
      </c>
      <c r="BE212" s="130">
        <v>3</v>
      </c>
      <c r="BF212" s="131">
        <f t="shared" si="341"/>
        <v>24.547256572385781</v>
      </c>
      <c r="BG212" s="131">
        <f t="shared" si="329"/>
        <v>7.9715317735067242</v>
      </c>
      <c r="BH212" s="131">
        <f t="shared" si="330"/>
        <v>0</v>
      </c>
      <c r="BI212" s="131">
        <f t="shared" si="331"/>
        <v>0</v>
      </c>
      <c r="BJ212" s="131">
        <f t="shared" si="332"/>
        <v>1.2653225037312259</v>
      </c>
      <c r="BK212" s="131">
        <f t="shared" si="333"/>
        <v>5.693951266790517</v>
      </c>
      <c r="BL212" s="131" t="s">
        <v>73</v>
      </c>
      <c r="BM212" s="131">
        <f t="shared" si="334"/>
        <v>0</v>
      </c>
      <c r="BN212" s="131">
        <f t="shared" si="335"/>
        <v>0</v>
      </c>
      <c r="BO212" s="131">
        <f t="shared" si="336"/>
        <v>31.569395126679051</v>
      </c>
      <c r="BP212" s="131">
        <f t="shared" si="337"/>
        <v>8.2245962742529688</v>
      </c>
      <c r="BQ212" s="131">
        <f t="shared" si="338"/>
        <v>40.22617104309959</v>
      </c>
    </row>
    <row r="213" spans="1:69">
      <c r="A213" s="130">
        <v>4</v>
      </c>
      <c r="B213" s="131">
        <f t="shared" si="339"/>
        <v>0</v>
      </c>
      <c r="C213" s="131">
        <f t="shared" si="308"/>
        <v>4.6057419386375118</v>
      </c>
      <c r="D213" s="131">
        <f t="shared" si="309"/>
        <v>0</v>
      </c>
      <c r="E213" s="131">
        <f t="shared" si="310"/>
        <v>0</v>
      </c>
      <c r="F213" s="131">
        <f t="shared" si="311"/>
        <v>7.7208870350153962</v>
      </c>
      <c r="G213" s="131">
        <f t="shared" si="312"/>
        <v>6.5709676893748056E-2</v>
      </c>
      <c r="H213" s="131" t="s">
        <v>73</v>
      </c>
      <c r="I213" s="131">
        <f t="shared" si="313"/>
        <v>0</v>
      </c>
      <c r="J213" s="131">
        <f t="shared" si="314"/>
        <v>0</v>
      </c>
      <c r="K213" s="131">
        <f t="shared" si="315"/>
        <v>4.7371612924250073</v>
      </c>
      <c r="L213" s="131">
        <f t="shared" si="316"/>
        <v>13.722806445831228</v>
      </c>
      <c r="M213" s="131">
        <f t="shared" si="317"/>
        <v>0.78851612272497662</v>
      </c>
      <c r="O213" s="130">
        <v>4</v>
      </c>
      <c r="P213" s="131">
        <f>'Stasiun Pontianak Kota'!Q275</f>
        <v>0</v>
      </c>
      <c r="Q213" s="131">
        <f>'Stasiun Pontianak Kota'!R275</f>
        <v>5</v>
      </c>
      <c r="R213" s="131">
        <f>'Stasiun Pontianak Kota'!S275</f>
        <v>0</v>
      </c>
      <c r="S213" s="131">
        <f>'Stasiun Pontianak Kota'!T275</f>
        <v>0</v>
      </c>
      <c r="T213" s="131">
        <f>'Stasiun Pontianak Kota'!U275</f>
        <v>0</v>
      </c>
      <c r="U213" s="131">
        <f>'Stasiun Pontianak Kota'!V275</f>
        <v>0</v>
      </c>
      <c r="V213" s="131" t="str">
        <f>'Stasiun Pontianak Kota'!W275</f>
        <v>-</v>
      </c>
      <c r="W213" s="131">
        <f>'Stasiun Pontianak Kota'!X275</f>
        <v>0</v>
      </c>
      <c r="X213" s="131">
        <f>'Stasiun Pontianak Kota'!Y275</f>
        <v>0</v>
      </c>
      <c r="Y213" s="131">
        <f>'Stasiun Pontianak Kota'!Z275</f>
        <v>5</v>
      </c>
      <c r="Z213" s="131">
        <f>'Stasiun Pontianak Kota'!AA275</f>
        <v>13</v>
      </c>
      <c r="AA213" s="131">
        <f>'Stasiun Pontianak Kota'!AB275</f>
        <v>0</v>
      </c>
      <c r="AC213" s="130">
        <v>4</v>
      </c>
      <c r="AD213" s="131">
        <f>'Sta. Meteorologi pnk'!B236</f>
        <v>0</v>
      </c>
      <c r="AE213" s="131">
        <f>'Sta. Meteorologi pnk'!C236</f>
        <v>3.8</v>
      </c>
      <c r="AF213" s="131">
        <f>'Sta. Meteorologi pnk'!D236</f>
        <v>0</v>
      </c>
      <c r="AG213" s="131">
        <f>'Sta. Meteorologi pnk'!E236</f>
        <v>0</v>
      </c>
      <c r="AH213" s="131">
        <f>'Sta. Meteorologi pnk'!F236</f>
        <v>23.5</v>
      </c>
      <c r="AI213" s="131">
        <f>'Sta. Meteorologi pnk'!G236</f>
        <v>0.2</v>
      </c>
      <c r="AJ213" s="131">
        <f>'Sta. Meteorologi pnk'!H236</f>
        <v>1.5</v>
      </c>
      <c r="AK213" s="131">
        <f>'Sta. Meteorologi pnk'!I236</f>
        <v>0</v>
      </c>
      <c r="AL213" s="131">
        <f>'Sta. Meteorologi pnk'!J236</f>
        <v>0</v>
      </c>
      <c r="AM213" s="131">
        <f>'Sta. Meteorologi pnk'!K236</f>
        <v>4.2</v>
      </c>
      <c r="AN213" s="131">
        <f>'Sta. Meteorologi pnk'!L236</f>
        <v>15.2</v>
      </c>
      <c r="AO213" s="131">
        <f>'Sta. Meteorologi pnk'!M236</f>
        <v>2.4</v>
      </c>
      <c r="AQ213" s="130">
        <v>4</v>
      </c>
      <c r="AR213" s="131">
        <f t="shared" si="340"/>
        <v>0</v>
      </c>
      <c r="AS213" s="131">
        <f t="shared" si="318"/>
        <v>4.1885663590431568</v>
      </c>
      <c r="AT213" s="131">
        <f t="shared" si="319"/>
        <v>0</v>
      </c>
      <c r="AU213" s="131">
        <f t="shared" si="320"/>
        <v>0</v>
      </c>
      <c r="AV213" s="131">
        <f t="shared" si="321"/>
        <v>15.890575468738167</v>
      </c>
      <c r="AW213" s="131">
        <f t="shared" si="322"/>
        <v>0.13523894015947374</v>
      </c>
      <c r="AX213" s="131" t="e">
        <f t="shared" si="323"/>
        <v>#VALUE!</v>
      </c>
      <c r="AY213" s="131">
        <f t="shared" si="324"/>
        <v>0</v>
      </c>
      <c r="AZ213" s="131">
        <f t="shared" si="325"/>
        <v>0</v>
      </c>
      <c r="BA213" s="131">
        <f t="shared" si="326"/>
        <v>4.4590442393621048</v>
      </c>
      <c r="BB213" s="131">
        <f t="shared" si="327"/>
        <v>14.48762834175421</v>
      </c>
      <c r="BC213" s="131">
        <f t="shared" si="328"/>
        <v>1.6228672819136849</v>
      </c>
      <c r="BE213" s="130">
        <v>4</v>
      </c>
      <c r="BF213" s="131">
        <f t="shared" si="341"/>
        <v>0</v>
      </c>
      <c r="BG213" s="131">
        <f t="shared" si="329"/>
        <v>4.2408064977612643</v>
      </c>
      <c r="BH213" s="131">
        <f t="shared" si="330"/>
        <v>0</v>
      </c>
      <c r="BI213" s="131">
        <f t="shared" si="331"/>
        <v>0</v>
      </c>
      <c r="BJ213" s="131">
        <f t="shared" si="332"/>
        <v>14.867539418841908</v>
      </c>
      <c r="BK213" s="131">
        <f t="shared" si="333"/>
        <v>0.1265322503731226</v>
      </c>
      <c r="BL213" s="131" t="s">
        <v>73</v>
      </c>
      <c r="BM213" s="131">
        <f t="shared" si="334"/>
        <v>0</v>
      </c>
      <c r="BN213" s="131">
        <f t="shared" si="335"/>
        <v>0</v>
      </c>
      <c r="BO213" s="131">
        <f t="shared" si="336"/>
        <v>4.4938709985075098</v>
      </c>
      <c r="BP213" s="131">
        <f t="shared" si="337"/>
        <v>14.391854754104346</v>
      </c>
      <c r="BQ213" s="131">
        <f t="shared" si="338"/>
        <v>1.518387004477471</v>
      </c>
    </row>
    <row r="214" spans="1:69">
      <c r="A214" s="130">
        <v>5</v>
      </c>
      <c r="B214" s="131">
        <f t="shared" si="339"/>
        <v>6.8028709693187555</v>
      </c>
      <c r="C214" s="131">
        <f t="shared" si="308"/>
        <v>3.8768709367311356</v>
      </c>
      <c r="D214" s="131">
        <f t="shared" si="309"/>
        <v>0</v>
      </c>
      <c r="E214" s="131">
        <f t="shared" si="310"/>
        <v>25.928225767031101</v>
      </c>
      <c r="F214" s="131">
        <f t="shared" si="311"/>
        <v>0</v>
      </c>
      <c r="G214" s="131">
        <f t="shared" si="312"/>
        <v>0</v>
      </c>
      <c r="H214" s="131" t="s">
        <v>73</v>
      </c>
      <c r="I214" s="131">
        <f t="shared" si="313"/>
        <v>0</v>
      </c>
      <c r="J214" s="131">
        <f t="shared" si="314"/>
        <v>0</v>
      </c>
      <c r="K214" s="131">
        <f t="shared" si="315"/>
        <v>0</v>
      </c>
      <c r="L214" s="131">
        <f t="shared" si="316"/>
        <v>17.443387157218972</v>
      </c>
      <c r="M214" s="131">
        <f t="shared" si="317"/>
        <v>85.381822625584533</v>
      </c>
      <c r="O214" s="130">
        <v>5</v>
      </c>
      <c r="P214" s="131">
        <f>'Stasiun Pontianak Kota'!Q276</f>
        <v>7</v>
      </c>
      <c r="Q214" s="131">
        <f>'Stasiun Pontianak Kota'!R276</f>
        <v>0</v>
      </c>
      <c r="R214" s="131">
        <f>'Stasiun Pontianak Kota'!S276</f>
        <v>0</v>
      </c>
      <c r="S214" s="131">
        <f>'Stasiun Pontianak Kota'!T276</f>
        <v>21</v>
      </c>
      <c r="T214" s="131">
        <f>'Stasiun Pontianak Kota'!U276</f>
        <v>0</v>
      </c>
      <c r="U214" s="131">
        <f>'Stasiun Pontianak Kota'!V276</f>
        <v>0</v>
      </c>
      <c r="V214" s="131" t="str">
        <f>'Stasiun Pontianak Kota'!W276</f>
        <v>-</v>
      </c>
      <c r="W214" s="131">
        <f>'Stasiun Pontianak Kota'!X276</f>
        <v>0</v>
      </c>
      <c r="X214" s="131">
        <f>'Stasiun Pontianak Kota'!Y276</f>
        <v>0</v>
      </c>
      <c r="Y214" s="131">
        <f>'Stasiun Pontianak Kota'!Z276</f>
        <v>0</v>
      </c>
      <c r="Z214" s="131">
        <f>'Stasiun Pontianak Kota'!AA276</f>
        <v>25</v>
      </c>
      <c r="AA214" s="131">
        <f>'Stasiun Pontianak Kota'!AB276</f>
        <v>91</v>
      </c>
      <c r="AC214" s="130">
        <v>5</v>
      </c>
      <c r="AD214" s="131">
        <f>'Sta. Meteorologi pnk'!B237</f>
        <v>6.4</v>
      </c>
      <c r="AE214" s="131">
        <f>'Sta. Meteorologi pnk'!C237</f>
        <v>11.8</v>
      </c>
      <c r="AF214" s="131">
        <f>'Sta. Meteorologi pnk'!D237</f>
        <v>0</v>
      </c>
      <c r="AG214" s="131">
        <f>'Sta. Meteorologi pnk'!E237</f>
        <v>36</v>
      </c>
      <c r="AH214" s="131">
        <f>'Sta. Meteorologi pnk'!F237</f>
        <v>0</v>
      </c>
      <c r="AI214" s="131">
        <f>'Sta. Meteorologi pnk'!G237</f>
        <v>0</v>
      </c>
      <c r="AJ214" s="131">
        <f>'Sta. Meteorologi pnk'!H237</f>
        <v>0</v>
      </c>
      <c r="AK214" s="131">
        <f>'Sta. Meteorologi pnk'!I237</f>
        <v>0</v>
      </c>
      <c r="AL214" s="131">
        <f>'Sta. Meteorologi pnk'!J237</f>
        <v>0</v>
      </c>
      <c r="AM214" s="131">
        <f>'Sta. Meteorologi pnk'!K237</f>
        <v>0</v>
      </c>
      <c r="AN214" s="131">
        <f>'Sta. Meteorologi pnk'!L237</f>
        <v>2</v>
      </c>
      <c r="AO214" s="131">
        <f>'Sta. Meteorologi pnk'!M237</f>
        <v>73.900000000000006</v>
      </c>
      <c r="AQ214" s="130">
        <v>5</v>
      </c>
      <c r="AR214" s="131">
        <f t="shared" si="340"/>
        <v>6.5942831795215779</v>
      </c>
      <c r="AS214" s="131">
        <f t="shared" si="318"/>
        <v>7.979097469408952</v>
      </c>
      <c r="AT214" s="131">
        <f t="shared" si="319"/>
        <v>0</v>
      </c>
      <c r="AU214" s="131">
        <f t="shared" si="320"/>
        <v>31.142920511960529</v>
      </c>
      <c r="AV214" s="131">
        <f t="shared" si="321"/>
        <v>0</v>
      </c>
      <c r="AW214" s="131">
        <f t="shared" si="322"/>
        <v>0</v>
      </c>
      <c r="AX214" s="131" t="e">
        <f t="shared" si="323"/>
        <v>#VALUE!</v>
      </c>
      <c r="AY214" s="131">
        <f t="shared" si="324"/>
        <v>0</v>
      </c>
      <c r="AZ214" s="131">
        <f t="shared" si="325"/>
        <v>0</v>
      </c>
      <c r="BA214" s="131">
        <f t="shared" si="326"/>
        <v>0</v>
      </c>
      <c r="BB214" s="131">
        <f t="shared" si="327"/>
        <v>9.4475218816605171</v>
      </c>
      <c r="BC214" s="131">
        <f t="shared" si="328"/>
        <v>79.437070616364991</v>
      </c>
      <c r="BE214" s="130">
        <v>5</v>
      </c>
      <c r="BF214" s="131">
        <f t="shared" si="341"/>
        <v>6.620403248880633</v>
      </c>
      <c r="BG214" s="131">
        <f t="shared" si="329"/>
        <v>7.465402772014234</v>
      </c>
      <c r="BH214" s="131">
        <f t="shared" si="330"/>
        <v>0</v>
      </c>
      <c r="BI214" s="131">
        <f t="shared" si="331"/>
        <v>30.489918777984194</v>
      </c>
      <c r="BJ214" s="131">
        <f t="shared" si="332"/>
        <v>0</v>
      </c>
      <c r="BK214" s="131">
        <f t="shared" si="333"/>
        <v>0</v>
      </c>
      <c r="BL214" s="131" t="s">
        <v>73</v>
      </c>
      <c r="BM214" s="131">
        <f t="shared" si="334"/>
        <v>0</v>
      </c>
      <c r="BN214" s="131">
        <f t="shared" si="335"/>
        <v>0</v>
      </c>
      <c r="BO214" s="131">
        <f t="shared" si="336"/>
        <v>0</v>
      </c>
      <c r="BP214" s="131">
        <f t="shared" si="337"/>
        <v>10.448791207090901</v>
      </c>
      <c r="BQ214" s="131">
        <f t="shared" si="338"/>
        <v>80.181492593098014</v>
      </c>
    </row>
    <row r="215" spans="1:69">
      <c r="A215" s="130">
        <v>6</v>
      </c>
      <c r="B215" s="131">
        <f t="shared" si="339"/>
        <v>1.9342903231062518</v>
      </c>
      <c r="C215" s="131">
        <f t="shared" si="308"/>
        <v>23.375758069509395</v>
      </c>
      <c r="D215" s="131">
        <f t="shared" si="309"/>
        <v>0.13141935378749611</v>
      </c>
      <c r="E215" s="131">
        <f t="shared" si="310"/>
        <v>29.543871083375429</v>
      </c>
      <c r="F215" s="131">
        <f t="shared" si="311"/>
        <v>0</v>
      </c>
      <c r="G215" s="131">
        <f t="shared" si="312"/>
        <v>0</v>
      </c>
      <c r="H215" s="131" t="s">
        <v>73</v>
      </c>
      <c r="I215" s="131">
        <f t="shared" si="313"/>
        <v>0</v>
      </c>
      <c r="J215" s="131">
        <f t="shared" si="314"/>
        <v>4.1068548058592533</v>
      </c>
      <c r="K215" s="131">
        <f t="shared" si="315"/>
        <v>0</v>
      </c>
      <c r="L215" s="131">
        <f t="shared" si="316"/>
        <v>32.225838723868797</v>
      </c>
      <c r="M215" s="131">
        <f t="shared" si="317"/>
        <v>0</v>
      </c>
      <c r="O215" s="130">
        <v>6</v>
      </c>
      <c r="P215" s="131">
        <f>'Stasiun Pontianak Kota'!Q277</f>
        <v>2</v>
      </c>
      <c r="Q215" s="131">
        <f>'Stasiun Pontianak Kota'!R277</f>
        <v>24</v>
      </c>
      <c r="R215" s="131">
        <f>'Stasiun Pontianak Kota'!S277</f>
        <v>0</v>
      </c>
      <c r="S215" s="131">
        <f>'Stasiun Pontianak Kota'!T277</f>
        <v>44</v>
      </c>
      <c r="T215" s="131">
        <f>'Stasiun Pontianak Kota'!U277</f>
        <v>0</v>
      </c>
      <c r="U215" s="131">
        <f>'Stasiun Pontianak Kota'!V277</f>
        <v>0</v>
      </c>
      <c r="V215" s="131" t="str">
        <f>'Stasiun Pontianak Kota'!W277</f>
        <v>-</v>
      </c>
      <c r="W215" s="131">
        <f>'Stasiun Pontianak Kota'!X277</f>
        <v>0</v>
      </c>
      <c r="X215" s="131">
        <f>'Stasiun Pontianak Kota'!Y277</f>
        <v>0</v>
      </c>
      <c r="Y215" s="131">
        <f>'Stasiun Pontianak Kota'!Z277</f>
        <v>0</v>
      </c>
      <c r="Z215" s="131">
        <f>'Stasiun Pontianak Kota'!AA277</f>
        <v>34</v>
      </c>
      <c r="AA215" s="131">
        <f>'Stasiun Pontianak Kota'!AB277</f>
        <v>0</v>
      </c>
      <c r="AC215" s="130">
        <v>6</v>
      </c>
      <c r="AD215" s="131">
        <f>'Sta. Meteorologi pnk'!B238</f>
        <v>1.8</v>
      </c>
      <c r="AE215" s="131">
        <f>'Sta. Meteorologi pnk'!C238</f>
        <v>22.1</v>
      </c>
      <c r="AF215" s="131">
        <f>'Sta. Meteorologi pnk'!D238</f>
        <v>0.4</v>
      </c>
      <c r="AG215" s="131">
        <f>'Sta. Meteorologi pnk'!E238</f>
        <v>0</v>
      </c>
      <c r="AH215" s="131">
        <f>'Sta. Meteorologi pnk'!F238</f>
        <v>0</v>
      </c>
      <c r="AI215" s="131">
        <f>'Sta. Meteorologi pnk'!G238</f>
        <v>0</v>
      </c>
      <c r="AJ215" s="131">
        <f>'Sta. Meteorologi pnk'!H238</f>
        <v>9.1</v>
      </c>
      <c r="AK215" s="131">
        <f>'Sta. Meteorologi pnk'!I238</f>
        <v>0</v>
      </c>
      <c r="AL215" s="131">
        <f>'Sta. Meteorologi pnk'!J238</f>
        <v>12.5</v>
      </c>
      <c r="AM215" s="131">
        <f>'Sta. Meteorologi pnk'!K238</f>
        <v>0</v>
      </c>
      <c r="AN215" s="131">
        <f>'Sta. Meteorologi pnk'!L238</f>
        <v>28.6</v>
      </c>
      <c r="AO215" s="131">
        <f>'Sta. Meteorologi pnk'!M238</f>
        <v>0</v>
      </c>
      <c r="AQ215" s="130">
        <v>6</v>
      </c>
      <c r="AR215" s="131">
        <f t="shared" si="340"/>
        <v>1.864761059840526</v>
      </c>
      <c r="AS215" s="131">
        <f t="shared" si="318"/>
        <v>22.715230068484999</v>
      </c>
      <c r="AT215" s="131">
        <f t="shared" si="319"/>
        <v>0.27047788031894748</v>
      </c>
      <c r="AU215" s="131">
        <f t="shared" si="320"/>
        <v>14.247433164915774</v>
      </c>
      <c r="AV215" s="131">
        <f t="shared" si="321"/>
        <v>0</v>
      </c>
      <c r="AW215" s="131">
        <f t="shared" si="322"/>
        <v>0</v>
      </c>
      <c r="AX215" s="131" t="e">
        <f t="shared" si="323"/>
        <v>#VALUE!</v>
      </c>
      <c r="AY215" s="131">
        <f t="shared" si="324"/>
        <v>0</v>
      </c>
      <c r="AZ215" s="131">
        <f t="shared" si="325"/>
        <v>8.4524337599671089</v>
      </c>
      <c r="BA215" s="131">
        <f t="shared" si="326"/>
        <v>0</v>
      </c>
      <c r="BB215" s="131">
        <f t="shared" si="327"/>
        <v>30.348548615694206</v>
      </c>
      <c r="BC215" s="131">
        <f t="shared" si="328"/>
        <v>0</v>
      </c>
      <c r="BE215" s="130">
        <v>6</v>
      </c>
      <c r="BF215" s="131">
        <f t="shared" si="341"/>
        <v>1.8734677496268775</v>
      </c>
      <c r="BG215" s="131">
        <f t="shared" si="329"/>
        <v>22.797943621455335</v>
      </c>
      <c r="BH215" s="131">
        <f t="shared" si="330"/>
        <v>0.2530645007462452</v>
      </c>
      <c r="BI215" s="131">
        <f t="shared" si="331"/>
        <v>16.162904917913028</v>
      </c>
      <c r="BJ215" s="131">
        <f t="shared" si="332"/>
        <v>0</v>
      </c>
      <c r="BK215" s="131">
        <f t="shared" si="333"/>
        <v>0</v>
      </c>
      <c r="BL215" s="131" t="s">
        <v>73</v>
      </c>
      <c r="BM215" s="131">
        <f t="shared" si="334"/>
        <v>0</v>
      </c>
      <c r="BN215" s="131">
        <f t="shared" si="335"/>
        <v>7.908265648320163</v>
      </c>
      <c r="BO215" s="131">
        <f t="shared" si="336"/>
        <v>0</v>
      </c>
      <c r="BP215" s="131">
        <f t="shared" si="337"/>
        <v>30.583629239925692</v>
      </c>
      <c r="BQ215" s="131">
        <f t="shared" si="338"/>
        <v>0</v>
      </c>
    </row>
    <row r="216" spans="1:69">
      <c r="A216" s="130">
        <v>7</v>
      </c>
      <c r="B216" s="131">
        <f t="shared" si="339"/>
        <v>34.872725791471815</v>
      </c>
      <c r="C216" s="131">
        <f t="shared" si="308"/>
        <v>0</v>
      </c>
      <c r="D216" s="131">
        <f t="shared" si="309"/>
        <v>18.318338683134279</v>
      </c>
      <c r="E216" s="131">
        <f t="shared" si="310"/>
        <v>0</v>
      </c>
      <c r="F216" s="131">
        <f t="shared" si="311"/>
        <v>3.2854838446874028E-2</v>
      </c>
      <c r="G216" s="131">
        <f t="shared" si="312"/>
        <v>4.5996773825623638</v>
      </c>
      <c r="H216" s="131" t="s">
        <v>73</v>
      </c>
      <c r="I216" s="131">
        <f t="shared" si="313"/>
        <v>0</v>
      </c>
      <c r="J216" s="131">
        <f t="shared" si="314"/>
        <v>0</v>
      </c>
      <c r="K216" s="131">
        <f t="shared" si="315"/>
        <v>1.0842096687468428</v>
      </c>
      <c r="L216" s="131">
        <f t="shared" si="316"/>
        <v>67.285483844687406</v>
      </c>
      <c r="M216" s="131">
        <f t="shared" si="317"/>
        <v>5.322483828393592</v>
      </c>
      <c r="O216" s="130">
        <v>7</v>
      </c>
      <c r="P216" s="131">
        <f>'Stasiun Pontianak Kota'!Q278</f>
        <v>33</v>
      </c>
      <c r="Q216" s="131">
        <f>'Stasiun Pontianak Kota'!R278</f>
        <v>0</v>
      </c>
      <c r="R216" s="131">
        <f>'Stasiun Pontianak Kota'!S278</f>
        <v>15</v>
      </c>
      <c r="S216" s="131">
        <f>'Stasiun Pontianak Kota'!T278</f>
        <v>0</v>
      </c>
      <c r="T216" s="131">
        <f>'Stasiun Pontianak Kota'!U278</f>
        <v>0</v>
      </c>
      <c r="U216" s="131">
        <f>'Stasiun Pontianak Kota'!V278</f>
        <v>0</v>
      </c>
      <c r="V216" s="131" t="str">
        <f>'Stasiun Pontianak Kota'!W278</f>
        <v>-</v>
      </c>
      <c r="W216" s="131">
        <f>'Stasiun Pontianak Kota'!X278</f>
        <v>0</v>
      </c>
      <c r="X216" s="131">
        <f>'Stasiun Pontianak Kota'!Y278</f>
        <v>0</v>
      </c>
      <c r="Y216" s="131">
        <f>'Stasiun Pontianak Kota'!Z278</f>
        <v>0</v>
      </c>
      <c r="Z216" s="131">
        <f>'Stasiun Pontianak Kota'!AA278</f>
        <v>64</v>
      </c>
      <c r="AA216" s="131">
        <f>'Stasiun Pontianak Kota'!AB278</f>
        <v>0</v>
      </c>
      <c r="AC216" s="130">
        <v>7</v>
      </c>
      <c r="AD216" s="131">
        <f>'Sta. Meteorologi pnk'!B239</f>
        <v>38.700000000000003</v>
      </c>
      <c r="AE216" s="131">
        <f>'Sta. Meteorologi pnk'!C239</f>
        <v>0</v>
      </c>
      <c r="AF216" s="131">
        <f>'Sta. Meteorologi pnk'!D239</f>
        <v>25.1</v>
      </c>
      <c r="AG216" s="131">
        <f>'Sta. Meteorologi pnk'!E239</f>
        <v>0</v>
      </c>
      <c r="AH216" s="131">
        <f>'Sta. Meteorologi pnk'!F239</f>
        <v>0.1</v>
      </c>
      <c r="AI216" s="131">
        <f>'Sta. Meteorologi pnk'!G239</f>
        <v>14</v>
      </c>
      <c r="AJ216" s="131">
        <f>'Sta. Meteorologi pnk'!H239</f>
        <v>0</v>
      </c>
      <c r="AK216" s="131">
        <f>'Sta. Meteorologi pnk'!I239</f>
        <v>0</v>
      </c>
      <c r="AL216" s="131">
        <f>'Sta. Meteorologi pnk'!J239</f>
        <v>0</v>
      </c>
      <c r="AM216" s="131">
        <f>'Sta. Meteorologi pnk'!K239</f>
        <v>3.3</v>
      </c>
      <c r="AN216" s="131">
        <f>'Sta. Meteorologi pnk'!L239</f>
        <v>74</v>
      </c>
      <c r="AO216" s="131">
        <f>'Sta. Meteorologi pnk'!M239</f>
        <v>16.2</v>
      </c>
      <c r="AQ216" s="130">
        <v>7</v>
      </c>
      <c r="AR216" s="131">
        <f t="shared" si="340"/>
        <v>36.854309794544996</v>
      </c>
      <c r="AS216" s="131">
        <f t="shared" si="318"/>
        <v>0</v>
      </c>
      <c r="AT216" s="131">
        <f t="shared" si="319"/>
        <v>21.829566478053422</v>
      </c>
      <c r="AU216" s="131">
        <f t="shared" si="320"/>
        <v>0</v>
      </c>
      <c r="AV216" s="131">
        <f t="shared" si="321"/>
        <v>6.7619470079736871E-2</v>
      </c>
      <c r="AW216" s="131">
        <f t="shared" si="322"/>
        <v>9.4667258111631618</v>
      </c>
      <c r="AX216" s="131" t="e">
        <f t="shared" si="323"/>
        <v>#VALUE!</v>
      </c>
      <c r="AY216" s="131">
        <f t="shared" si="324"/>
        <v>0</v>
      </c>
      <c r="AZ216" s="131">
        <f t="shared" si="325"/>
        <v>0</v>
      </c>
      <c r="BA216" s="131">
        <f t="shared" si="326"/>
        <v>2.2314425126313169</v>
      </c>
      <c r="BB216" s="131">
        <f t="shared" si="327"/>
        <v>70.761947007973674</v>
      </c>
      <c r="BC216" s="131">
        <f t="shared" si="328"/>
        <v>10.954354152917373</v>
      </c>
      <c r="BE216" s="130">
        <v>7</v>
      </c>
      <c r="BF216" s="131">
        <f t="shared" si="341"/>
        <v>36.606169135633998</v>
      </c>
      <c r="BG216" s="131">
        <f t="shared" si="329"/>
        <v>0</v>
      </c>
      <c r="BH216" s="131">
        <f t="shared" si="330"/>
        <v>21.389878643842692</v>
      </c>
      <c r="BI216" s="131">
        <f t="shared" si="331"/>
        <v>0</v>
      </c>
      <c r="BJ216" s="131">
        <f t="shared" si="332"/>
        <v>6.3266125186561301E-2</v>
      </c>
      <c r="BK216" s="131">
        <f t="shared" si="333"/>
        <v>8.8572575261185822</v>
      </c>
      <c r="BL216" s="131" t="s">
        <v>73</v>
      </c>
      <c r="BM216" s="131">
        <f t="shared" si="334"/>
        <v>0</v>
      </c>
      <c r="BN216" s="131">
        <f t="shared" si="335"/>
        <v>0</v>
      </c>
      <c r="BO216" s="131">
        <f t="shared" si="336"/>
        <v>2.0877821311565228</v>
      </c>
      <c r="BP216" s="131">
        <f t="shared" si="337"/>
        <v>70.326612518656134</v>
      </c>
      <c r="BQ216" s="131">
        <f t="shared" si="338"/>
        <v>10.249112280222931</v>
      </c>
    </row>
    <row r="217" spans="1:69">
      <c r="A217" s="130">
        <v>8</v>
      </c>
      <c r="B217" s="131">
        <f t="shared" si="339"/>
        <v>0</v>
      </c>
      <c r="C217" s="131">
        <f t="shared" si="308"/>
        <v>0</v>
      </c>
      <c r="D217" s="131">
        <f t="shared" si="309"/>
        <v>15.907500040734524</v>
      </c>
      <c r="E217" s="131">
        <f t="shared" si="310"/>
        <v>4.8357258077656287</v>
      </c>
      <c r="F217" s="131">
        <f t="shared" si="311"/>
        <v>22.232209603571604</v>
      </c>
      <c r="G217" s="131">
        <f t="shared" si="312"/>
        <v>26.455822592996917</v>
      </c>
      <c r="H217" s="131" t="s">
        <v>73</v>
      </c>
      <c r="I217" s="131">
        <f t="shared" si="313"/>
        <v>0</v>
      </c>
      <c r="J217" s="131">
        <f t="shared" si="314"/>
        <v>1.0513548302999689</v>
      </c>
      <c r="K217" s="131">
        <f t="shared" si="315"/>
        <v>8.0657096768937464</v>
      </c>
      <c r="L217" s="131">
        <f t="shared" si="316"/>
        <v>0.49282257670311042</v>
      </c>
      <c r="M217" s="131">
        <f t="shared" si="317"/>
        <v>6.5709676893748056E-2</v>
      </c>
      <c r="O217" s="130">
        <v>8</v>
      </c>
      <c r="P217" s="131">
        <f>'Stasiun Pontianak Kota'!Q279</f>
        <v>0</v>
      </c>
      <c r="Q217" s="131">
        <f>'Stasiun Pontianak Kota'!R279</f>
        <v>0</v>
      </c>
      <c r="R217" s="131">
        <f>'Stasiun Pontianak Kota'!S279</f>
        <v>21</v>
      </c>
      <c r="S217" s="131">
        <f>'Stasiun Pontianak Kota'!T279</f>
        <v>5</v>
      </c>
      <c r="T217" s="131">
        <f>'Stasiun Pontianak Kota'!U279</f>
        <v>13</v>
      </c>
      <c r="U217" s="131">
        <f>'Stasiun Pontianak Kota'!V279</f>
        <v>28</v>
      </c>
      <c r="V217" s="131" t="str">
        <f>'Stasiun Pontianak Kota'!W279</f>
        <v>-</v>
      </c>
      <c r="W217" s="131">
        <f>'Stasiun Pontianak Kota'!X279</f>
        <v>0</v>
      </c>
      <c r="X217" s="131">
        <f>'Stasiun Pontianak Kota'!Y279</f>
        <v>0</v>
      </c>
      <c r="Y217" s="131">
        <f>'Stasiun Pontianak Kota'!Z279</f>
        <v>8</v>
      </c>
      <c r="Z217" s="131">
        <f>'Stasiun Pontianak Kota'!AA279</f>
        <v>0</v>
      </c>
      <c r="AA217" s="131">
        <f>'Stasiun Pontianak Kota'!AB279</f>
        <v>0</v>
      </c>
      <c r="AC217" s="130">
        <v>8</v>
      </c>
      <c r="AD217" s="131">
        <f>'Sta. Meteorologi pnk'!B240</f>
        <v>0</v>
      </c>
      <c r="AE217" s="131">
        <f>'Sta. Meteorologi pnk'!C240</f>
        <v>0</v>
      </c>
      <c r="AF217" s="131">
        <f>'Sta. Meteorologi pnk'!D240</f>
        <v>5.5</v>
      </c>
      <c r="AG217" s="131">
        <f>'Sta. Meteorologi pnk'!E240</f>
        <v>4.5</v>
      </c>
      <c r="AH217" s="131">
        <f>'Sta. Meteorologi pnk'!F240</f>
        <v>41.1</v>
      </c>
      <c r="AI217" s="131">
        <f>'Sta. Meteorologi pnk'!G240</f>
        <v>23.3</v>
      </c>
      <c r="AJ217" s="131">
        <f>'Sta. Meteorologi pnk'!H240</f>
        <v>0</v>
      </c>
      <c r="AK217" s="131">
        <f>'Sta. Meteorologi pnk'!I240</f>
        <v>0</v>
      </c>
      <c r="AL217" s="131">
        <f>'Sta. Meteorologi pnk'!J240</f>
        <v>3.2</v>
      </c>
      <c r="AM217" s="131">
        <f>'Sta. Meteorologi pnk'!K240</f>
        <v>8.1999999999999993</v>
      </c>
      <c r="AN217" s="131">
        <f>'Sta. Meteorologi pnk'!L240</f>
        <v>1.5</v>
      </c>
      <c r="AO217" s="131">
        <f>'Sta. Meteorologi pnk'!M240</f>
        <v>0.2</v>
      </c>
      <c r="AQ217" s="130">
        <v>8</v>
      </c>
      <c r="AR217" s="131">
        <f t="shared" si="340"/>
        <v>0</v>
      </c>
      <c r="AS217" s="131">
        <f t="shared" si="318"/>
        <v>0</v>
      </c>
      <c r="AT217" s="131">
        <f t="shared" si="319"/>
        <v>10.518982137640783</v>
      </c>
      <c r="AU217" s="131">
        <f t="shared" si="320"/>
        <v>4.6619026496013154</v>
      </c>
      <c r="AV217" s="131">
        <f t="shared" si="321"/>
        <v>32.001071092406065</v>
      </c>
      <c r="AW217" s="131">
        <f t="shared" si="322"/>
        <v>24.821884906252368</v>
      </c>
      <c r="AX217" s="131" t="e">
        <f t="shared" si="323"/>
        <v>#VALUE!</v>
      </c>
      <c r="AY217" s="131">
        <f t="shared" si="324"/>
        <v>0</v>
      </c>
      <c r="AZ217" s="131">
        <f t="shared" si="325"/>
        <v>2.1638230425515799</v>
      </c>
      <c r="BA217" s="131">
        <f t="shared" si="326"/>
        <v>8.1352389401594714</v>
      </c>
      <c r="BB217" s="131">
        <f t="shared" si="327"/>
        <v>1.0142920511960531</v>
      </c>
      <c r="BC217" s="131">
        <f t="shared" si="328"/>
        <v>0.13523894015947374</v>
      </c>
      <c r="BE217" s="130">
        <v>8</v>
      </c>
      <c r="BF217" s="131">
        <f t="shared" si="341"/>
        <v>0</v>
      </c>
      <c r="BG217" s="131">
        <f t="shared" si="329"/>
        <v>0</v>
      </c>
      <c r="BH217" s="131">
        <f t="shared" si="330"/>
        <v>11.193750596082998</v>
      </c>
      <c r="BI217" s="131">
        <f t="shared" si="331"/>
        <v>4.6836693740671933</v>
      </c>
      <c r="BJ217" s="131">
        <f t="shared" si="332"/>
        <v>30.777781177423723</v>
      </c>
      <c r="BK217" s="131">
        <f t="shared" si="333"/>
        <v>25.026492116231619</v>
      </c>
      <c r="BL217" s="131" t="s">
        <v>73</v>
      </c>
      <c r="BM217" s="131">
        <f t="shared" si="334"/>
        <v>0</v>
      </c>
      <c r="BN217" s="131">
        <f t="shared" si="335"/>
        <v>2.0245160059699616</v>
      </c>
      <c r="BO217" s="131">
        <f t="shared" si="336"/>
        <v>8.1265322503731223</v>
      </c>
      <c r="BP217" s="131">
        <f t="shared" si="337"/>
        <v>0.94899187779841954</v>
      </c>
      <c r="BQ217" s="131">
        <f t="shared" si="338"/>
        <v>0.1265322503731226</v>
      </c>
    </row>
    <row r="218" spans="1:69">
      <c r="A218" s="130">
        <v>9</v>
      </c>
      <c r="B218" s="131">
        <f t="shared" si="339"/>
        <v>0</v>
      </c>
      <c r="C218" s="131">
        <f t="shared" si="308"/>
        <v>0</v>
      </c>
      <c r="D218" s="131">
        <f t="shared" si="309"/>
        <v>0.32854838446874024</v>
      </c>
      <c r="E218" s="131">
        <f t="shared" si="310"/>
        <v>68.030629104003381</v>
      </c>
      <c r="F218" s="131">
        <f t="shared" si="311"/>
        <v>1.9712903068124417</v>
      </c>
      <c r="G218" s="131">
        <f t="shared" si="312"/>
        <v>15.606048262265164</v>
      </c>
      <c r="H218" s="131" t="s">
        <v>73</v>
      </c>
      <c r="I218" s="131">
        <f t="shared" si="313"/>
        <v>1.9384354683655678</v>
      </c>
      <c r="J218" s="131">
        <f t="shared" si="314"/>
        <v>24.219774167793656</v>
      </c>
      <c r="K218" s="131">
        <f t="shared" si="315"/>
        <v>0</v>
      </c>
      <c r="L218" s="131">
        <f t="shared" si="316"/>
        <v>0</v>
      </c>
      <c r="M218" s="131">
        <f t="shared" si="317"/>
        <v>84.051354830299971</v>
      </c>
      <c r="O218" s="130">
        <v>9</v>
      </c>
      <c r="P218" s="131">
        <f>'Stasiun Pontianak Kota'!Q280</f>
        <v>0</v>
      </c>
      <c r="Q218" s="131">
        <f>'Stasiun Pontianak Kota'!R280</f>
        <v>0</v>
      </c>
      <c r="R218" s="131">
        <f>'Stasiun Pontianak Kota'!S280</f>
        <v>0</v>
      </c>
      <c r="S218" s="131">
        <f>'Stasiun Pontianak Kota'!T280</f>
        <v>77</v>
      </c>
      <c r="T218" s="131">
        <f>'Stasiun Pontianak Kota'!U280</f>
        <v>0</v>
      </c>
      <c r="U218" s="131">
        <f>'Stasiun Pontianak Kota'!V280</f>
        <v>0</v>
      </c>
      <c r="V218" s="131" t="str">
        <f>'Stasiun Pontianak Kota'!W280</f>
        <v>-</v>
      </c>
      <c r="W218" s="131">
        <f>'Stasiun Pontianak Kota'!X280</f>
        <v>0</v>
      </c>
      <c r="X218" s="131">
        <f>'Stasiun Pontianak Kota'!Y280</f>
        <v>21</v>
      </c>
      <c r="Y218" s="131">
        <f>'Stasiun Pontianak Kota'!Z280</f>
        <v>0</v>
      </c>
      <c r="Z218" s="131">
        <f>'Stasiun Pontianak Kota'!AA280</f>
        <v>0</v>
      </c>
      <c r="AA218" s="131">
        <f>'Stasiun Pontianak Kota'!AB280</f>
        <v>83</v>
      </c>
      <c r="AC218" s="130">
        <v>9</v>
      </c>
      <c r="AD218" s="131">
        <f>'Sta. Meteorologi pnk'!B241</f>
        <v>0</v>
      </c>
      <c r="AE218" s="131">
        <f>'Sta. Meteorologi pnk'!C241</f>
        <v>0</v>
      </c>
      <c r="AF218" s="131">
        <f>'Sta. Meteorologi pnk'!D241</f>
        <v>1</v>
      </c>
      <c r="AG218" s="131">
        <f>'Sta. Meteorologi pnk'!E241</f>
        <v>49.7</v>
      </c>
      <c r="AH218" s="131">
        <f>'Sta. Meteorologi pnk'!F241</f>
        <v>6</v>
      </c>
      <c r="AI218" s="131">
        <f>'Sta. Meteorologi pnk'!G241</f>
        <v>47.5</v>
      </c>
      <c r="AJ218" s="131">
        <f>'Sta. Meteorologi pnk'!H241</f>
        <v>0</v>
      </c>
      <c r="AK218" s="131">
        <f>'Sta. Meteorologi pnk'!I241</f>
        <v>5.9</v>
      </c>
      <c r="AL218" s="131">
        <f>'Sta. Meteorologi pnk'!J241</f>
        <v>30.8</v>
      </c>
      <c r="AM218" s="131">
        <f>'Sta. Meteorologi pnk'!K241</f>
        <v>0</v>
      </c>
      <c r="AN218" s="131">
        <f>'Sta. Meteorologi pnk'!L241</f>
        <v>0</v>
      </c>
      <c r="AO218" s="131">
        <f>'Sta. Meteorologi pnk'!M241</f>
        <v>86.2</v>
      </c>
      <c r="AQ218" s="130">
        <v>9</v>
      </c>
      <c r="AR218" s="131">
        <f t="shared" si="340"/>
        <v>0</v>
      </c>
      <c r="AS218" s="131">
        <f t="shared" si="318"/>
        <v>0</v>
      </c>
      <c r="AT218" s="131">
        <f t="shared" si="319"/>
        <v>0.67619470079736876</v>
      </c>
      <c r="AU218" s="131">
        <f t="shared" si="320"/>
        <v>58.539884668231828</v>
      </c>
      <c r="AV218" s="131">
        <f t="shared" si="321"/>
        <v>4.0571682047842126</v>
      </c>
      <c r="AW218" s="131">
        <f t="shared" si="322"/>
        <v>32.119248287875017</v>
      </c>
      <c r="AX218" s="131" t="e">
        <f t="shared" si="323"/>
        <v>#VALUE!</v>
      </c>
      <c r="AY218" s="131">
        <f t="shared" si="324"/>
        <v>3.989548734704476</v>
      </c>
      <c r="AZ218" s="131">
        <f t="shared" si="325"/>
        <v>27.626708067814214</v>
      </c>
      <c r="BA218" s="131">
        <f t="shared" si="326"/>
        <v>0</v>
      </c>
      <c r="BB218" s="131">
        <f t="shared" si="327"/>
        <v>0</v>
      </c>
      <c r="BC218" s="131">
        <f t="shared" si="328"/>
        <v>85.163823042551584</v>
      </c>
      <c r="BE218" s="130">
        <v>9</v>
      </c>
      <c r="BF218" s="131">
        <f t="shared" si="341"/>
        <v>0</v>
      </c>
      <c r="BG218" s="131">
        <f t="shared" si="329"/>
        <v>0</v>
      </c>
      <c r="BH218" s="131">
        <f t="shared" si="330"/>
        <v>0.63266125186561295</v>
      </c>
      <c r="BI218" s="131">
        <f t="shared" si="331"/>
        <v>59.72834782406877</v>
      </c>
      <c r="BJ218" s="131">
        <f t="shared" si="332"/>
        <v>3.7959675111936781</v>
      </c>
      <c r="BK218" s="131">
        <f t="shared" si="333"/>
        <v>30.051409463616618</v>
      </c>
      <c r="BL218" s="131" t="s">
        <v>73</v>
      </c>
      <c r="BM218" s="131">
        <f t="shared" si="334"/>
        <v>3.732701386007117</v>
      </c>
      <c r="BN218" s="131">
        <f t="shared" si="335"/>
        <v>27.20008026828301</v>
      </c>
      <c r="BO218" s="131">
        <f t="shared" si="336"/>
        <v>0</v>
      </c>
      <c r="BP218" s="131">
        <f t="shared" si="337"/>
        <v>0</v>
      </c>
      <c r="BQ218" s="131">
        <f t="shared" si="338"/>
        <v>85.024516005969971</v>
      </c>
    </row>
    <row r="219" spans="1:69">
      <c r="A219" s="130">
        <v>10</v>
      </c>
      <c r="B219" s="131">
        <f t="shared" si="339"/>
        <v>0</v>
      </c>
      <c r="C219" s="131">
        <f t="shared" si="308"/>
        <v>0</v>
      </c>
      <c r="D219" s="131">
        <f t="shared" si="309"/>
        <v>0</v>
      </c>
      <c r="E219" s="131">
        <f t="shared" si="310"/>
        <v>33.24211298127841</v>
      </c>
      <c r="F219" s="131">
        <f t="shared" si="311"/>
        <v>19.08866113763381</v>
      </c>
      <c r="G219" s="131">
        <f t="shared" si="312"/>
        <v>1.3470483763218351</v>
      </c>
      <c r="H219" s="131" t="s">
        <v>73</v>
      </c>
      <c r="I219" s="131">
        <f t="shared" si="313"/>
        <v>0</v>
      </c>
      <c r="J219" s="131">
        <f t="shared" si="314"/>
        <v>3.6858064621250386</v>
      </c>
      <c r="K219" s="131">
        <f t="shared" si="315"/>
        <v>4.8625160901373556</v>
      </c>
      <c r="L219" s="131">
        <f t="shared" si="316"/>
        <v>10.154064490899906</v>
      </c>
      <c r="M219" s="131">
        <f t="shared" si="317"/>
        <v>0</v>
      </c>
      <c r="O219" s="130">
        <v>10</v>
      </c>
      <c r="P219" s="131">
        <f>'Stasiun Pontianak Kota'!Q281</f>
        <v>0</v>
      </c>
      <c r="Q219" s="131">
        <f>'Stasiun Pontianak Kota'!R281</f>
        <v>0</v>
      </c>
      <c r="R219" s="131">
        <f>'Stasiun Pontianak Kota'!S281</f>
        <v>0</v>
      </c>
      <c r="S219" s="131">
        <f>'Stasiun Pontianak Kota'!T281</f>
        <v>43</v>
      </c>
      <c r="T219" s="131">
        <f>'Stasiun Pontianak Kota'!U281</f>
        <v>0</v>
      </c>
      <c r="U219" s="131">
        <f>'Stasiun Pontianak Kota'!V281</f>
        <v>0</v>
      </c>
      <c r="V219" s="131" t="str">
        <f>'Stasiun Pontianak Kota'!W281</f>
        <v>-</v>
      </c>
      <c r="W219" s="131">
        <f>'Stasiun Pontianak Kota'!X281</f>
        <v>0</v>
      </c>
      <c r="X219" s="131">
        <f>'Stasiun Pontianak Kota'!Y281</f>
        <v>5</v>
      </c>
      <c r="Y219" s="131">
        <f>'Stasiun Pontianak Kota'!Z281</f>
        <v>0</v>
      </c>
      <c r="Z219" s="131">
        <f>'Stasiun Pontianak Kota'!AA281</f>
        <v>7</v>
      </c>
      <c r="AA219" s="131">
        <f>'Stasiun Pontianak Kota'!AB281</f>
        <v>0</v>
      </c>
      <c r="AC219" s="130">
        <v>10</v>
      </c>
      <c r="AD219" s="131">
        <f>'Sta. Meteorologi pnk'!B242</f>
        <v>0</v>
      </c>
      <c r="AE219" s="131">
        <f>'Sta. Meteorologi pnk'!C242</f>
        <v>0</v>
      </c>
      <c r="AF219" s="131">
        <f>'Sta. Meteorologi pnk'!D242</f>
        <v>0</v>
      </c>
      <c r="AG219" s="131">
        <f>'Sta. Meteorologi pnk'!E242</f>
        <v>13.3</v>
      </c>
      <c r="AH219" s="131">
        <f>'Sta. Meteorologi pnk'!F242</f>
        <v>58.1</v>
      </c>
      <c r="AI219" s="131">
        <f>'Sta. Meteorologi pnk'!G242</f>
        <v>4.0999999999999996</v>
      </c>
      <c r="AJ219" s="131">
        <f>'Sta. Meteorologi pnk'!H242</f>
        <v>0</v>
      </c>
      <c r="AK219" s="131">
        <f>'Sta. Meteorologi pnk'!I242</f>
        <v>0</v>
      </c>
      <c r="AL219" s="131">
        <f>'Sta. Meteorologi pnk'!J242</f>
        <v>1</v>
      </c>
      <c r="AM219" s="131">
        <f>'Sta. Meteorologi pnk'!K242</f>
        <v>14.8</v>
      </c>
      <c r="AN219" s="131">
        <f>'Sta. Meteorologi pnk'!L242</f>
        <v>16.600000000000001</v>
      </c>
      <c r="AO219" s="131">
        <f>'Sta. Meteorologi pnk'!M242</f>
        <v>0</v>
      </c>
      <c r="AQ219" s="130">
        <v>10</v>
      </c>
      <c r="AR219" s="131">
        <f t="shared" si="340"/>
        <v>0</v>
      </c>
      <c r="AS219" s="131">
        <f t="shared" si="318"/>
        <v>0</v>
      </c>
      <c r="AT219" s="131">
        <f t="shared" si="319"/>
        <v>0</v>
      </c>
      <c r="AU219" s="131">
        <f t="shared" si="320"/>
        <v>22.917017386318147</v>
      </c>
      <c r="AV219" s="131">
        <f t="shared" si="321"/>
        <v>39.286912116327123</v>
      </c>
      <c r="AW219" s="131">
        <f t="shared" si="322"/>
        <v>2.7723982732692116</v>
      </c>
      <c r="AX219" s="131" t="e">
        <f t="shared" si="323"/>
        <v>#VALUE!</v>
      </c>
      <c r="AY219" s="131">
        <f t="shared" si="324"/>
        <v>0</v>
      </c>
      <c r="AZ219" s="131">
        <f t="shared" si="325"/>
        <v>2.2952211968105245</v>
      </c>
      <c r="BA219" s="131">
        <f t="shared" si="326"/>
        <v>10.007681571801058</v>
      </c>
      <c r="BB219" s="131">
        <f t="shared" si="327"/>
        <v>13.49146912765474</v>
      </c>
      <c r="BC219" s="131">
        <f t="shared" si="328"/>
        <v>0</v>
      </c>
      <c r="BE219" s="130">
        <v>10</v>
      </c>
      <c r="BF219" s="131">
        <f t="shared" si="341"/>
        <v>0</v>
      </c>
      <c r="BG219" s="131">
        <f t="shared" si="329"/>
        <v>0</v>
      </c>
      <c r="BH219" s="131">
        <f t="shared" si="330"/>
        <v>0</v>
      </c>
      <c r="BI219" s="131">
        <f t="shared" si="331"/>
        <v>24.209960819591299</v>
      </c>
      <c r="BJ219" s="131">
        <f t="shared" si="332"/>
        <v>36.757618733392121</v>
      </c>
      <c r="BK219" s="131">
        <f t="shared" si="333"/>
        <v>2.593911132649013</v>
      </c>
      <c r="BL219" s="131" t="s">
        <v>73</v>
      </c>
      <c r="BM219" s="131">
        <f t="shared" si="334"/>
        <v>0</v>
      </c>
      <c r="BN219" s="131">
        <f t="shared" si="335"/>
        <v>2.4693549925375478</v>
      </c>
      <c r="BO219" s="131">
        <f t="shared" si="336"/>
        <v>9.3633865276110733</v>
      </c>
      <c r="BP219" s="131">
        <f t="shared" si="337"/>
        <v>13.073548017909888</v>
      </c>
      <c r="BQ219" s="131">
        <f t="shared" si="338"/>
        <v>0</v>
      </c>
    </row>
    <row r="220" spans="1:69">
      <c r="A220" s="130">
        <v>11</v>
      </c>
      <c r="B220" s="131">
        <f t="shared" si="339"/>
        <v>3.6242419304906064</v>
      </c>
      <c r="C220" s="131">
        <f t="shared" si="308"/>
        <v>0</v>
      </c>
      <c r="D220" s="131">
        <f t="shared" si="309"/>
        <v>3.3840483600280251</v>
      </c>
      <c r="E220" s="131">
        <f t="shared" si="310"/>
        <v>2.4414677464031413</v>
      </c>
      <c r="F220" s="131">
        <f t="shared" si="311"/>
        <v>36.258387238688023</v>
      </c>
      <c r="G220" s="131">
        <f t="shared" si="312"/>
        <v>0</v>
      </c>
      <c r="H220" s="131" t="s">
        <v>73</v>
      </c>
      <c r="I220" s="131">
        <f t="shared" si="313"/>
        <v>0</v>
      </c>
      <c r="J220" s="131">
        <f t="shared" si="314"/>
        <v>27.729483649161679</v>
      </c>
      <c r="K220" s="131">
        <f t="shared" si="315"/>
        <v>1.1170645071937169</v>
      </c>
      <c r="L220" s="131">
        <f t="shared" si="316"/>
        <v>5.1027096605999382</v>
      </c>
      <c r="M220" s="131">
        <f t="shared" si="317"/>
        <v>0</v>
      </c>
      <c r="O220" s="130">
        <v>11</v>
      </c>
      <c r="P220" s="131">
        <f>'Stasiun Pontianak Kota'!Q282</f>
        <v>3</v>
      </c>
      <c r="Q220" s="131">
        <f>'Stasiun Pontianak Kota'!R282</f>
        <v>0</v>
      </c>
      <c r="R220" s="131">
        <f>'Stasiun Pontianak Kota'!S282</f>
        <v>0</v>
      </c>
      <c r="S220" s="131">
        <f>'Stasiun Pontianak Kota'!T282</f>
        <v>3</v>
      </c>
      <c r="T220" s="131">
        <f>'Stasiun Pontianak Kota'!U282</f>
        <v>54</v>
      </c>
      <c r="U220" s="131">
        <f>'Stasiun Pontianak Kota'!V282</f>
        <v>0</v>
      </c>
      <c r="V220" s="131" t="str">
        <f>'Stasiun Pontianak Kota'!W282</f>
        <v>-</v>
      </c>
      <c r="W220" s="131">
        <f>'Stasiun Pontianak Kota'!X282</f>
        <v>0</v>
      </c>
      <c r="X220" s="131">
        <f>'Stasiun Pontianak Kota'!Y282</f>
        <v>0</v>
      </c>
      <c r="Y220" s="131">
        <f>'Stasiun Pontianak Kota'!Z282</f>
        <v>0</v>
      </c>
      <c r="Z220" s="131">
        <f>'Stasiun Pontianak Kota'!AA282</f>
        <v>3</v>
      </c>
      <c r="AA220" s="131">
        <f>'Stasiun Pontianak Kota'!AB282</f>
        <v>0</v>
      </c>
      <c r="AC220" s="130">
        <v>11</v>
      </c>
      <c r="AD220" s="131">
        <f>'Sta. Meteorologi pnk'!B243</f>
        <v>4.9000000000000004</v>
      </c>
      <c r="AE220" s="131">
        <f>'Sta. Meteorologi pnk'!C243</f>
        <v>0</v>
      </c>
      <c r="AF220" s="131">
        <f>'Sta. Meteorologi pnk'!D243</f>
        <v>10.3</v>
      </c>
      <c r="AG220" s="131">
        <f>'Sta. Meteorologi pnk'!E243</f>
        <v>1.3</v>
      </c>
      <c r="AH220" s="131">
        <f>'Sta. Meteorologi pnk'!F243</f>
        <v>0</v>
      </c>
      <c r="AI220" s="131">
        <f>'Sta. Meteorologi pnk'!G243</f>
        <v>0</v>
      </c>
      <c r="AJ220" s="131">
        <f>'Sta. Meteorologi pnk'!H243</f>
        <v>0</v>
      </c>
      <c r="AK220" s="131">
        <f>'Sta. Meteorologi pnk'!I243</f>
        <v>0</v>
      </c>
      <c r="AL220" s="131">
        <f>'Sta. Meteorologi pnk'!J243</f>
        <v>84.4</v>
      </c>
      <c r="AM220" s="131">
        <f>'Sta. Meteorologi pnk'!K243</f>
        <v>3.4</v>
      </c>
      <c r="AN220" s="131">
        <f>'Sta. Meteorologi pnk'!L243</f>
        <v>9.4</v>
      </c>
      <c r="AO220" s="131">
        <f>'Sta. Meteorologi pnk'!M243</f>
        <v>0</v>
      </c>
      <c r="AQ220" s="130">
        <v>11</v>
      </c>
      <c r="AR220" s="131">
        <f t="shared" si="340"/>
        <v>4.2847699315150001</v>
      </c>
      <c r="AS220" s="131">
        <f t="shared" si="318"/>
        <v>0</v>
      </c>
      <c r="AT220" s="131">
        <f t="shared" si="319"/>
        <v>6.9648054182128982</v>
      </c>
      <c r="AU220" s="131">
        <f t="shared" si="320"/>
        <v>1.8504690086444731</v>
      </c>
      <c r="AV220" s="131">
        <f t="shared" si="321"/>
        <v>17.485486156942084</v>
      </c>
      <c r="AW220" s="131">
        <f t="shared" si="322"/>
        <v>0</v>
      </c>
      <c r="AX220" s="131" t="e">
        <f t="shared" si="323"/>
        <v>#VALUE!</v>
      </c>
      <c r="AY220" s="131">
        <f t="shared" si="324"/>
        <v>0</v>
      </c>
      <c r="AZ220" s="131">
        <f t="shared" si="325"/>
        <v>57.070832747297921</v>
      </c>
      <c r="BA220" s="131">
        <f t="shared" si="326"/>
        <v>2.2990619827110534</v>
      </c>
      <c r="BB220" s="131">
        <f t="shared" si="327"/>
        <v>7.3276460851031588</v>
      </c>
      <c r="BC220" s="131">
        <f t="shared" si="328"/>
        <v>0</v>
      </c>
      <c r="BE220" s="130">
        <v>11</v>
      </c>
      <c r="BF220" s="131">
        <f t="shared" si="341"/>
        <v>4.2020563785446647</v>
      </c>
      <c r="BG220" s="131">
        <f t="shared" si="329"/>
        <v>0</v>
      </c>
      <c r="BH220" s="131">
        <f t="shared" si="330"/>
        <v>6.5164108942158148</v>
      </c>
      <c r="BI220" s="131">
        <f t="shared" si="331"/>
        <v>1.924475871828458</v>
      </c>
      <c r="BJ220" s="131">
        <f t="shared" si="332"/>
        <v>19.836292399256898</v>
      </c>
      <c r="BK220" s="131">
        <f t="shared" si="333"/>
        <v>0</v>
      </c>
      <c r="BL220" s="131" t="s">
        <v>73</v>
      </c>
      <c r="BM220" s="131">
        <f t="shared" si="334"/>
        <v>0</v>
      </c>
      <c r="BN220" s="131">
        <f t="shared" si="335"/>
        <v>53.396609657457731</v>
      </c>
      <c r="BO220" s="131">
        <f t="shared" si="336"/>
        <v>2.1510482563430839</v>
      </c>
      <c r="BP220" s="131">
        <f t="shared" si="337"/>
        <v>7.0490320119399232</v>
      </c>
      <c r="BQ220" s="131">
        <f t="shared" si="338"/>
        <v>0</v>
      </c>
    </row>
    <row r="221" spans="1:69">
      <c r="A221" s="130">
        <v>12</v>
      </c>
      <c r="B221" s="131">
        <f t="shared" si="339"/>
        <v>74.24848386098121</v>
      </c>
      <c r="C221" s="131">
        <f t="shared" si="308"/>
        <v>0</v>
      </c>
      <c r="D221" s="131">
        <f t="shared" si="309"/>
        <v>5.2567741514998438</v>
      </c>
      <c r="E221" s="131">
        <f t="shared" si="310"/>
        <v>3.0226451371124101</v>
      </c>
      <c r="F221" s="131">
        <f t="shared" si="311"/>
        <v>0</v>
      </c>
      <c r="G221" s="131">
        <f t="shared" si="312"/>
        <v>2.2012741759405596</v>
      </c>
      <c r="H221" s="131" t="s">
        <v>73</v>
      </c>
      <c r="I221" s="131">
        <f t="shared" si="313"/>
        <v>0</v>
      </c>
      <c r="J221" s="131">
        <f t="shared" si="314"/>
        <v>0</v>
      </c>
      <c r="K221" s="131">
        <f t="shared" si="315"/>
        <v>101.18277418408746</v>
      </c>
      <c r="L221" s="131">
        <f t="shared" si="316"/>
        <v>6.5709676893748056E-2</v>
      </c>
      <c r="M221" s="131">
        <f t="shared" si="317"/>
        <v>6.6038225278216807</v>
      </c>
      <c r="O221" s="130">
        <v>12</v>
      </c>
      <c r="P221" s="131">
        <f>'Stasiun Pontianak Kota'!Q283</f>
        <v>73</v>
      </c>
      <c r="Q221" s="131">
        <f>'Stasiun Pontianak Kota'!R283</f>
        <v>0</v>
      </c>
      <c r="R221" s="131">
        <f>'Stasiun Pontianak Kota'!S283</f>
        <v>0</v>
      </c>
      <c r="S221" s="131">
        <f>'Stasiun Pontianak Kota'!T283</f>
        <v>0</v>
      </c>
      <c r="T221" s="131">
        <f>'Stasiun Pontianak Kota'!U283</f>
        <v>0</v>
      </c>
      <c r="U221" s="131">
        <f>'Stasiun Pontianak Kota'!V283</f>
        <v>0</v>
      </c>
      <c r="V221" s="131" t="str">
        <f>'Stasiun Pontianak Kota'!W283</f>
        <v>-</v>
      </c>
      <c r="W221" s="131">
        <f>'Stasiun Pontianak Kota'!X283</f>
        <v>0</v>
      </c>
      <c r="X221" s="131">
        <f>'Stasiun Pontianak Kota'!Y283</f>
        <v>0</v>
      </c>
      <c r="Y221" s="131">
        <f>'Stasiun Pontianak Kota'!Z283</f>
        <v>100</v>
      </c>
      <c r="Z221" s="131">
        <f>'Stasiun Pontianak Kota'!AA283</f>
        <v>0</v>
      </c>
      <c r="AA221" s="131">
        <f>'Stasiun Pontianak Kota'!AB283</f>
        <v>0</v>
      </c>
      <c r="AC221" s="130">
        <v>12</v>
      </c>
      <c r="AD221" s="131">
        <f>'Sta. Meteorologi pnk'!B244</f>
        <v>76.8</v>
      </c>
      <c r="AE221" s="131">
        <f>'Sta. Meteorologi pnk'!C244</f>
        <v>0</v>
      </c>
      <c r="AF221" s="131">
        <f>'Sta. Meteorologi pnk'!D244</f>
        <v>16</v>
      </c>
      <c r="AG221" s="131">
        <f>'Sta. Meteorologi pnk'!E244</f>
        <v>9.1999999999999993</v>
      </c>
      <c r="AH221" s="131">
        <f>'Sta. Meteorologi pnk'!F244</f>
        <v>0</v>
      </c>
      <c r="AI221" s="131">
        <f>'Sta. Meteorologi pnk'!G244</f>
        <v>6.7</v>
      </c>
      <c r="AJ221" s="131">
        <f>'Sta. Meteorologi pnk'!H244</f>
        <v>0</v>
      </c>
      <c r="AK221" s="131">
        <f>'Sta. Meteorologi pnk'!I244</f>
        <v>0</v>
      </c>
      <c r="AL221" s="131">
        <f>'Sta. Meteorologi pnk'!J244</f>
        <v>0</v>
      </c>
      <c r="AM221" s="131">
        <f>'Sta. Meteorologi pnk'!K244</f>
        <v>103.6</v>
      </c>
      <c r="AN221" s="131">
        <f>'Sta. Meteorologi pnk'!L244</f>
        <v>0.2</v>
      </c>
      <c r="AO221" s="131">
        <f>'Sta. Meteorologi pnk'!M244</f>
        <v>20.100000000000001</v>
      </c>
      <c r="AQ221" s="130">
        <v>12</v>
      </c>
      <c r="AR221" s="131">
        <f t="shared" si="340"/>
        <v>75.569539863030002</v>
      </c>
      <c r="AS221" s="131">
        <f t="shared" si="318"/>
        <v>0</v>
      </c>
      <c r="AT221" s="131">
        <f t="shared" si="319"/>
        <v>10.8191152127579</v>
      </c>
      <c r="AU221" s="131">
        <f t="shared" si="320"/>
        <v>6.2209912473357925</v>
      </c>
      <c r="AV221" s="131">
        <f t="shared" si="321"/>
        <v>0</v>
      </c>
      <c r="AW221" s="131">
        <f t="shared" si="322"/>
        <v>4.5305044953423712</v>
      </c>
      <c r="AX221" s="131" t="e">
        <f t="shared" si="323"/>
        <v>#VALUE!</v>
      </c>
      <c r="AY221" s="131">
        <f t="shared" si="324"/>
        <v>0</v>
      </c>
      <c r="AZ221" s="131">
        <f t="shared" si="325"/>
        <v>0</v>
      </c>
      <c r="BA221" s="131">
        <f t="shared" si="326"/>
        <v>102.43430092287052</v>
      </c>
      <c r="BB221" s="131">
        <f t="shared" si="327"/>
        <v>0.13523894015947374</v>
      </c>
      <c r="BC221" s="131">
        <f t="shared" si="328"/>
        <v>13.591513486027113</v>
      </c>
      <c r="BE221" s="130">
        <v>12</v>
      </c>
      <c r="BF221" s="131">
        <f t="shared" si="341"/>
        <v>75.404112757089322</v>
      </c>
      <c r="BG221" s="131">
        <f t="shared" si="329"/>
        <v>0</v>
      </c>
      <c r="BH221" s="131">
        <f t="shared" si="330"/>
        <v>10.122580029849807</v>
      </c>
      <c r="BI221" s="131">
        <f t="shared" si="331"/>
        <v>5.8204835171636402</v>
      </c>
      <c r="BJ221" s="131">
        <f t="shared" si="332"/>
        <v>0</v>
      </c>
      <c r="BK221" s="131">
        <f t="shared" si="333"/>
        <v>4.2388303874996076</v>
      </c>
      <c r="BL221" s="131" t="s">
        <v>73</v>
      </c>
      <c r="BM221" s="131">
        <f t="shared" si="334"/>
        <v>0</v>
      </c>
      <c r="BN221" s="131">
        <f t="shared" si="335"/>
        <v>0</v>
      </c>
      <c r="BO221" s="131">
        <f t="shared" si="336"/>
        <v>102.27758050671622</v>
      </c>
      <c r="BP221" s="131">
        <f t="shared" si="337"/>
        <v>0.1265322503731226</v>
      </c>
      <c r="BQ221" s="131">
        <f t="shared" si="338"/>
        <v>12.716491162498823</v>
      </c>
    </row>
    <row r="222" spans="1:69">
      <c r="A222" s="130">
        <v>13</v>
      </c>
      <c r="B222" s="131">
        <f t="shared" si="339"/>
        <v>111.55853225359687</v>
      </c>
      <c r="C222" s="131">
        <f t="shared" si="308"/>
        <v>0</v>
      </c>
      <c r="D222" s="131">
        <f t="shared" si="309"/>
        <v>10.677822495234059</v>
      </c>
      <c r="E222" s="131">
        <f t="shared" si="310"/>
        <v>14.100483926156452</v>
      </c>
      <c r="F222" s="131">
        <f t="shared" si="311"/>
        <v>26.026790282371724</v>
      </c>
      <c r="G222" s="131">
        <f t="shared" si="312"/>
        <v>1.314193537874961</v>
      </c>
      <c r="H222" s="131" t="s">
        <v>73</v>
      </c>
      <c r="I222" s="131">
        <f t="shared" si="313"/>
        <v>0</v>
      </c>
      <c r="J222" s="131">
        <f t="shared" si="314"/>
        <v>0.26283870757499223</v>
      </c>
      <c r="K222" s="131">
        <f t="shared" si="315"/>
        <v>9.8213709611718514</v>
      </c>
      <c r="L222" s="131">
        <f t="shared" si="316"/>
        <v>0</v>
      </c>
      <c r="M222" s="131">
        <f t="shared" si="317"/>
        <v>6.5709676893748056E-2</v>
      </c>
      <c r="O222" s="130">
        <v>13</v>
      </c>
      <c r="P222" s="131">
        <f>'Stasiun Pontianak Kota'!Q284</f>
        <v>111</v>
      </c>
      <c r="Q222" s="131">
        <f>'Stasiun Pontianak Kota'!R284</f>
        <v>0</v>
      </c>
      <c r="R222" s="131">
        <f>'Stasiun Pontianak Kota'!S284</f>
        <v>0</v>
      </c>
      <c r="S222" s="131">
        <f>'Stasiun Pontianak Kota'!T284</f>
        <v>21</v>
      </c>
      <c r="T222" s="131">
        <f>'Stasiun Pontianak Kota'!U284</f>
        <v>21</v>
      </c>
      <c r="U222" s="131">
        <f>'Stasiun Pontianak Kota'!V284</f>
        <v>0</v>
      </c>
      <c r="V222" s="131" t="str">
        <f>'Stasiun Pontianak Kota'!W284</f>
        <v>-</v>
      </c>
      <c r="W222" s="131">
        <f>'Stasiun Pontianak Kota'!X284</f>
        <v>0</v>
      </c>
      <c r="X222" s="131">
        <f>'Stasiun Pontianak Kota'!Y284</f>
        <v>0</v>
      </c>
      <c r="Y222" s="131">
        <f>'Stasiun Pontianak Kota'!Z284</f>
        <v>9</v>
      </c>
      <c r="Z222" s="131">
        <f>'Stasiun Pontianak Kota'!AA284</f>
        <v>0</v>
      </c>
      <c r="AA222" s="131">
        <f>'Stasiun Pontianak Kota'!AB284</f>
        <v>0</v>
      </c>
      <c r="AC222" s="130">
        <v>13</v>
      </c>
      <c r="AD222" s="131">
        <f>'Sta. Meteorologi pnk'!B245</f>
        <v>112.7</v>
      </c>
      <c r="AE222" s="131">
        <f>'Sta. Meteorologi pnk'!C245</f>
        <v>0</v>
      </c>
      <c r="AF222" s="131">
        <f>'Sta. Meteorologi pnk'!D245</f>
        <v>32.5</v>
      </c>
      <c r="AG222" s="131">
        <f>'Sta. Meteorologi pnk'!E245</f>
        <v>0</v>
      </c>
      <c r="AH222" s="131">
        <f>'Sta. Meteorologi pnk'!F245</f>
        <v>36.299999999999997</v>
      </c>
      <c r="AI222" s="131">
        <f>'Sta. Meteorologi pnk'!G245</f>
        <v>4</v>
      </c>
      <c r="AJ222" s="131">
        <f>'Sta. Meteorologi pnk'!H245</f>
        <v>0</v>
      </c>
      <c r="AK222" s="131">
        <f>'Sta. Meteorologi pnk'!I245</f>
        <v>0</v>
      </c>
      <c r="AL222" s="131">
        <f>'Sta. Meteorologi pnk'!J245</f>
        <v>0.8</v>
      </c>
      <c r="AM222" s="131">
        <f>'Sta. Meteorologi pnk'!K245</f>
        <v>11.5</v>
      </c>
      <c r="AN222" s="131">
        <f>'Sta. Meteorologi pnk'!L245</f>
        <v>0</v>
      </c>
      <c r="AO222" s="131">
        <f>'Sta. Meteorologi pnk'!M245</f>
        <v>0.2</v>
      </c>
      <c r="AQ222" s="130">
        <v>13</v>
      </c>
      <c r="AR222" s="131">
        <f t="shared" si="340"/>
        <v>112.14953099135552</v>
      </c>
      <c r="AS222" s="131">
        <f t="shared" si="318"/>
        <v>0</v>
      </c>
      <c r="AT222" s="131">
        <f t="shared" si="319"/>
        <v>21.976327775914484</v>
      </c>
      <c r="AU222" s="131">
        <f t="shared" si="320"/>
        <v>6.7999112832552546</v>
      </c>
      <c r="AV222" s="131">
        <f t="shared" si="321"/>
        <v>31.345778922199734</v>
      </c>
      <c r="AW222" s="131">
        <f t="shared" si="322"/>
        <v>2.7047788031894751</v>
      </c>
      <c r="AX222" s="131" t="e">
        <f t="shared" si="323"/>
        <v>#VALUE!</v>
      </c>
      <c r="AY222" s="131">
        <f t="shared" si="324"/>
        <v>0</v>
      </c>
      <c r="AZ222" s="131">
        <f t="shared" si="325"/>
        <v>0.54095576063789497</v>
      </c>
      <c r="BA222" s="131">
        <f t="shared" si="326"/>
        <v>10.69048675199342</v>
      </c>
      <c r="BB222" s="131">
        <f t="shared" si="327"/>
        <v>0</v>
      </c>
      <c r="BC222" s="131">
        <f t="shared" si="328"/>
        <v>0.13523894015947374</v>
      </c>
      <c r="BE222" s="130">
        <v>13</v>
      </c>
      <c r="BF222" s="131">
        <f t="shared" si="341"/>
        <v>112.07552412817155</v>
      </c>
      <c r="BG222" s="131">
        <f t="shared" si="329"/>
        <v>0</v>
      </c>
      <c r="BH222" s="131">
        <f t="shared" si="330"/>
        <v>20.561490685632421</v>
      </c>
      <c r="BI222" s="131">
        <f t="shared" si="331"/>
        <v>7.7141137108221267</v>
      </c>
      <c r="BJ222" s="131">
        <f t="shared" si="332"/>
        <v>30.679717153543876</v>
      </c>
      <c r="BK222" s="131">
        <f t="shared" si="333"/>
        <v>2.5306450074624518</v>
      </c>
      <c r="BL222" s="131" t="s">
        <v>73</v>
      </c>
      <c r="BM222" s="131">
        <f t="shared" si="334"/>
        <v>0</v>
      </c>
      <c r="BN222" s="131">
        <f t="shared" si="335"/>
        <v>0.5061290014924904</v>
      </c>
      <c r="BO222" s="131">
        <f t="shared" si="336"/>
        <v>10.581653129664032</v>
      </c>
      <c r="BP222" s="131">
        <f t="shared" si="337"/>
        <v>0</v>
      </c>
      <c r="BQ222" s="131">
        <f t="shared" si="338"/>
        <v>0.1265322503731226</v>
      </c>
    </row>
    <row r="223" spans="1:69">
      <c r="A223" s="130">
        <v>14</v>
      </c>
      <c r="B223" s="131">
        <f t="shared" si="339"/>
        <v>75.946725758884199</v>
      </c>
      <c r="C223" s="131">
        <f t="shared" si="308"/>
        <v>0</v>
      </c>
      <c r="D223" s="131">
        <f t="shared" si="309"/>
        <v>3.2854838446874028E-2</v>
      </c>
      <c r="E223" s="131">
        <f t="shared" si="310"/>
        <v>11.030935427631041</v>
      </c>
      <c r="F223" s="131">
        <f t="shared" si="311"/>
        <v>9.8564515340622078E-2</v>
      </c>
      <c r="G223" s="131">
        <f t="shared" si="312"/>
        <v>0</v>
      </c>
      <c r="H223" s="131" t="s">
        <v>73</v>
      </c>
      <c r="I223" s="131">
        <f t="shared" si="313"/>
        <v>0</v>
      </c>
      <c r="J223" s="131">
        <f t="shared" si="314"/>
        <v>0</v>
      </c>
      <c r="K223" s="131">
        <f t="shared" si="315"/>
        <v>116.21562902253433</v>
      </c>
      <c r="L223" s="131">
        <f t="shared" si="316"/>
        <v>6.8500806543594086</v>
      </c>
      <c r="M223" s="131">
        <f t="shared" si="317"/>
        <v>0.26283870757499223</v>
      </c>
      <c r="O223" s="130">
        <v>14</v>
      </c>
      <c r="P223" s="131">
        <f>'Stasiun Pontianak Kota'!Q285</f>
        <v>70</v>
      </c>
      <c r="Q223" s="131">
        <f>'Stasiun Pontianak Kota'!R285</f>
        <v>0</v>
      </c>
      <c r="R223" s="131">
        <f>'Stasiun Pontianak Kota'!S285</f>
        <v>0</v>
      </c>
      <c r="S223" s="131">
        <f>'Stasiun Pontianak Kota'!T285</f>
        <v>4</v>
      </c>
      <c r="T223" s="131">
        <f>'Stasiun Pontianak Kota'!U285</f>
        <v>0</v>
      </c>
      <c r="U223" s="131">
        <f>'Stasiun Pontianak Kota'!V285</f>
        <v>0</v>
      </c>
      <c r="V223" s="131" t="str">
        <f>'Stasiun Pontianak Kota'!W285</f>
        <v>-</v>
      </c>
      <c r="W223" s="131">
        <f>'Stasiun Pontianak Kota'!X285</f>
        <v>0</v>
      </c>
      <c r="X223" s="131">
        <f>'Stasiun Pontianak Kota'!Y285</f>
        <v>0</v>
      </c>
      <c r="Y223" s="131">
        <f>'Stasiun Pontianak Kota'!Z285</f>
        <v>115</v>
      </c>
      <c r="Z223" s="131">
        <f>'Stasiun Pontianak Kota'!AA285</f>
        <v>8</v>
      </c>
      <c r="AA223" s="131">
        <f>'Stasiun Pontianak Kota'!AB285</f>
        <v>0</v>
      </c>
      <c r="AC223" s="130">
        <v>14</v>
      </c>
      <c r="AD223" s="131">
        <f>'Sta. Meteorologi pnk'!B246</f>
        <v>88.1</v>
      </c>
      <c r="AE223" s="131">
        <f>'Sta. Meteorologi pnk'!C246</f>
        <v>0</v>
      </c>
      <c r="AF223" s="131">
        <f>'Sta. Meteorologi pnk'!D246</f>
        <v>0.1</v>
      </c>
      <c r="AG223" s="131">
        <f>'Sta. Meteorologi pnk'!E246</f>
        <v>25.4</v>
      </c>
      <c r="AH223" s="131">
        <f>'Sta. Meteorologi pnk'!F246</f>
        <v>0.3</v>
      </c>
      <c r="AI223" s="131">
        <f>'Sta. Meteorologi pnk'!G246</f>
        <v>0</v>
      </c>
      <c r="AJ223" s="131">
        <f>'Sta. Meteorologi pnk'!H246</f>
        <v>0</v>
      </c>
      <c r="AK223" s="131">
        <f>'Sta. Meteorologi pnk'!I246</f>
        <v>0</v>
      </c>
      <c r="AL223" s="131">
        <f>'Sta. Meteorologi pnk'!J246</f>
        <v>0</v>
      </c>
      <c r="AM223" s="131">
        <f>'Sta. Meteorologi pnk'!K246</f>
        <v>118.7</v>
      </c>
      <c r="AN223" s="131">
        <f>'Sta. Meteorologi pnk'!L246</f>
        <v>4.5</v>
      </c>
      <c r="AO223" s="131">
        <f>'Sta. Meteorologi pnk'!M246</f>
        <v>0.8</v>
      </c>
      <c r="AQ223" s="130">
        <v>14</v>
      </c>
      <c r="AR223" s="131">
        <f t="shared" si="340"/>
        <v>82.239124084432362</v>
      </c>
      <c r="AS223" s="131">
        <f t="shared" si="318"/>
        <v>0</v>
      </c>
      <c r="AT223" s="131">
        <f t="shared" si="319"/>
        <v>6.7619470079736871E-2</v>
      </c>
      <c r="AU223" s="131">
        <f t="shared" si="320"/>
        <v>18.470566597063691</v>
      </c>
      <c r="AV223" s="131">
        <f t="shared" si="321"/>
        <v>0.20285841023921061</v>
      </c>
      <c r="AW223" s="131">
        <f t="shared" si="322"/>
        <v>0</v>
      </c>
      <c r="AX223" s="131" t="e">
        <f t="shared" si="323"/>
        <v>#VALUE!</v>
      </c>
      <c r="AY223" s="131">
        <f t="shared" si="324"/>
        <v>0</v>
      </c>
      <c r="AZ223" s="131">
        <f t="shared" si="325"/>
        <v>0</v>
      </c>
      <c r="BA223" s="131">
        <f t="shared" si="326"/>
        <v>117.50192039295025</v>
      </c>
      <c r="BB223" s="131">
        <f t="shared" si="327"/>
        <v>5.6333185472092095</v>
      </c>
      <c r="BC223" s="131">
        <f t="shared" si="328"/>
        <v>0.54095576063789497</v>
      </c>
      <c r="BE223" s="130">
        <v>14</v>
      </c>
      <c r="BF223" s="131">
        <f t="shared" si="341"/>
        <v>81.451168658767585</v>
      </c>
      <c r="BG223" s="131">
        <f t="shared" si="329"/>
        <v>0</v>
      </c>
      <c r="BH223" s="131">
        <f t="shared" si="330"/>
        <v>6.3266125186561301E-2</v>
      </c>
      <c r="BI223" s="131">
        <f t="shared" si="331"/>
        <v>17.538950789924119</v>
      </c>
      <c r="BJ223" s="131">
        <f t="shared" si="332"/>
        <v>0.18979837555968387</v>
      </c>
      <c r="BK223" s="131">
        <f t="shared" si="333"/>
        <v>0</v>
      </c>
      <c r="BL223" s="131" t="s">
        <v>73</v>
      </c>
      <c r="BM223" s="131">
        <f t="shared" si="334"/>
        <v>0</v>
      </c>
      <c r="BN223" s="131">
        <f t="shared" si="335"/>
        <v>0</v>
      </c>
      <c r="BO223" s="131">
        <f t="shared" si="336"/>
        <v>117.34084663190275</v>
      </c>
      <c r="BP223" s="131">
        <f t="shared" si="337"/>
        <v>5.785685618470354</v>
      </c>
      <c r="BQ223" s="131">
        <f t="shared" si="338"/>
        <v>0.5061290014924904</v>
      </c>
    </row>
    <row r="224" spans="1:69">
      <c r="A224" s="130">
        <v>15</v>
      </c>
      <c r="B224" s="131">
        <f t="shared" si="339"/>
        <v>4.0143548465937791</v>
      </c>
      <c r="C224" s="131">
        <f t="shared" si="308"/>
        <v>0</v>
      </c>
      <c r="D224" s="131">
        <f t="shared" si="309"/>
        <v>6.8995160738435457</v>
      </c>
      <c r="E224" s="131">
        <f t="shared" si="310"/>
        <v>9.8870806380655978</v>
      </c>
      <c r="F224" s="131">
        <f t="shared" si="311"/>
        <v>4.6653870594561111</v>
      </c>
      <c r="G224" s="131">
        <f t="shared" si="312"/>
        <v>5.322483828393592</v>
      </c>
      <c r="H224" s="131" t="s">
        <v>73</v>
      </c>
      <c r="I224" s="131">
        <f t="shared" si="313"/>
        <v>0</v>
      </c>
      <c r="J224" s="131">
        <f t="shared" si="314"/>
        <v>0</v>
      </c>
      <c r="K224" s="131">
        <f t="shared" si="315"/>
        <v>0</v>
      </c>
      <c r="L224" s="131">
        <f t="shared" si="316"/>
        <v>0.98564515340622083</v>
      </c>
      <c r="M224" s="131">
        <f t="shared" si="317"/>
        <v>13.601903117005847</v>
      </c>
      <c r="O224" s="130">
        <v>15</v>
      </c>
      <c r="P224" s="131">
        <f>'Stasiun Pontianak Kota'!Q286</f>
        <v>5</v>
      </c>
      <c r="Q224" s="131">
        <f>'Stasiun Pontianak Kota'!R286</f>
        <v>0</v>
      </c>
      <c r="R224" s="131">
        <f>'Stasiun Pontianak Kota'!S286</f>
        <v>0</v>
      </c>
      <c r="S224" s="131">
        <f>'Stasiun Pontianak Kota'!T286</f>
        <v>9</v>
      </c>
      <c r="T224" s="131">
        <f>'Stasiun Pontianak Kota'!U286</f>
        <v>0</v>
      </c>
      <c r="U224" s="131">
        <f>'Stasiun Pontianak Kota'!V286</f>
        <v>0</v>
      </c>
      <c r="V224" s="131" t="str">
        <f>'Stasiun Pontianak Kota'!W286</f>
        <v>-</v>
      </c>
      <c r="W224" s="131">
        <f>'Stasiun Pontianak Kota'!X286</f>
        <v>0</v>
      </c>
      <c r="X224" s="131">
        <f>'Stasiun Pontianak Kota'!Y286</f>
        <v>0</v>
      </c>
      <c r="Y224" s="131">
        <f>'Stasiun Pontianak Kota'!Z286</f>
        <v>0</v>
      </c>
      <c r="Z224" s="131">
        <f>'Stasiun Pontianak Kota'!AA286</f>
        <v>0</v>
      </c>
      <c r="AA224" s="131">
        <f>'Stasiun Pontianak Kota'!AB286</f>
        <v>0</v>
      </c>
      <c r="AC224" s="130">
        <v>15</v>
      </c>
      <c r="AD224" s="131">
        <f>'Sta. Meteorologi pnk'!B247</f>
        <v>2</v>
      </c>
      <c r="AE224" s="131">
        <f>'Sta. Meteorologi pnk'!C247</f>
        <v>0</v>
      </c>
      <c r="AF224" s="131">
        <f>'Sta. Meteorologi pnk'!D247</f>
        <v>21</v>
      </c>
      <c r="AG224" s="131">
        <f>'Sta. Meteorologi pnk'!E247</f>
        <v>11.7</v>
      </c>
      <c r="AH224" s="131">
        <f>'Sta. Meteorologi pnk'!F247</f>
        <v>14.2</v>
      </c>
      <c r="AI224" s="131">
        <f>'Sta. Meteorologi pnk'!G247</f>
        <v>16.2</v>
      </c>
      <c r="AJ224" s="131">
        <f>'Sta. Meteorologi pnk'!H247</f>
        <v>0</v>
      </c>
      <c r="AK224" s="131">
        <f>'Sta. Meteorologi pnk'!I247</f>
        <v>0</v>
      </c>
      <c r="AL224" s="131">
        <f>'Sta. Meteorologi pnk'!J247</f>
        <v>0</v>
      </c>
      <c r="AM224" s="131">
        <f>'Sta. Meteorologi pnk'!K247</f>
        <v>0</v>
      </c>
      <c r="AN224" s="131">
        <f>'Sta. Meteorologi pnk'!L247</f>
        <v>3</v>
      </c>
      <c r="AO224" s="131">
        <f>'Sta. Meteorologi pnk'!M247</f>
        <v>41.4</v>
      </c>
      <c r="AQ224" s="130">
        <v>15</v>
      </c>
      <c r="AR224" s="131">
        <f t="shared" si="340"/>
        <v>2.9714158976078933</v>
      </c>
      <c r="AS224" s="131">
        <f t="shared" si="318"/>
        <v>0</v>
      </c>
      <c r="AT224" s="131">
        <f t="shared" si="319"/>
        <v>14.200088716744744</v>
      </c>
      <c r="AU224" s="131">
        <f t="shared" si="320"/>
        <v>10.825725692152893</v>
      </c>
      <c r="AV224" s="131">
        <f t="shared" si="321"/>
        <v>9.6019647513226367</v>
      </c>
      <c r="AW224" s="131">
        <f t="shared" si="322"/>
        <v>10.954354152917373</v>
      </c>
      <c r="AX224" s="131" t="e">
        <f t="shared" si="323"/>
        <v>#VALUE!</v>
      </c>
      <c r="AY224" s="131">
        <f t="shared" si="324"/>
        <v>0</v>
      </c>
      <c r="AZ224" s="131">
        <f t="shared" si="325"/>
        <v>0</v>
      </c>
      <c r="BA224" s="131">
        <f t="shared" si="326"/>
        <v>0</v>
      </c>
      <c r="BB224" s="131">
        <f t="shared" si="327"/>
        <v>2.0285841023921063</v>
      </c>
      <c r="BC224" s="131">
        <f t="shared" si="328"/>
        <v>27.994460613011068</v>
      </c>
      <c r="BE224" s="130">
        <v>15</v>
      </c>
      <c r="BF224" s="131">
        <f t="shared" si="341"/>
        <v>3.1020162444031611</v>
      </c>
      <c r="BG224" s="131">
        <f t="shared" si="329"/>
        <v>0</v>
      </c>
      <c r="BH224" s="131">
        <f t="shared" si="330"/>
        <v>13.285886289177872</v>
      </c>
      <c r="BI224" s="131">
        <f t="shared" si="331"/>
        <v>10.708185380037154</v>
      </c>
      <c r="BJ224" s="131">
        <f t="shared" si="332"/>
        <v>8.9837897764917045</v>
      </c>
      <c r="BK224" s="131">
        <f t="shared" si="333"/>
        <v>10.249112280222931</v>
      </c>
      <c r="BL224" s="131" t="s">
        <v>73</v>
      </c>
      <c r="BM224" s="131">
        <f t="shared" si="334"/>
        <v>0</v>
      </c>
      <c r="BN224" s="131">
        <f t="shared" si="335"/>
        <v>0</v>
      </c>
      <c r="BO224" s="131">
        <f t="shared" si="336"/>
        <v>0</v>
      </c>
      <c r="BP224" s="131">
        <f t="shared" si="337"/>
        <v>1.8979837555968391</v>
      </c>
      <c r="BQ224" s="131">
        <f t="shared" si="338"/>
        <v>26.19217582723638</v>
      </c>
    </row>
    <row r="225" spans="1:69">
      <c r="A225" s="130">
        <v>16</v>
      </c>
      <c r="B225" s="131">
        <f t="shared" si="339"/>
        <v>0.16427419223437012</v>
      </c>
      <c r="C225" s="131">
        <f t="shared" si="308"/>
        <v>0</v>
      </c>
      <c r="D225" s="131">
        <f t="shared" si="309"/>
        <v>0</v>
      </c>
      <c r="E225" s="131">
        <f t="shared" si="310"/>
        <v>13.246564450165383</v>
      </c>
      <c r="F225" s="131">
        <f t="shared" si="311"/>
        <v>90.287403255503222</v>
      </c>
      <c r="G225" s="131">
        <f t="shared" si="312"/>
        <v>2.0698548221530637</v>
      </c>
      <c r="H225" s="131" t="s">
        <v>73</v>
      </c>
      <c r="I225" s="131">
        <f t="shared" si="313"/>
        <v>0</v>
      </c>
      <c r="J225" s="131">
        <f t="shared" si="314"/>
        <v>0</v>
      </c>
      <c r="K225" s="131">
        <f t="shared" si="315"/>
        <v>8.8708063806559885</v>
      </c>
      <c r="L225" s="131">
        <f t="shared" si="316"/>
        <v>15.443387157218973</v>
      </c>
      <c r="M225" s="131">
        <f t="shared" si="317"/>
        <v>0.45996773825623638</v>
      </c>
      <c r="O225" s="130">
        <v>16</v>
      </c>
      <c r="P225" s="131">
        <f>'Stasiun Pontianak Kota'!Q287</f>
        <v>0</v>
      </c>
      <c r="Q225" s="131">
        <f>'Stasiun Pontianak Kota'!R287</f>
        <v>0</v>
      </c>
      <c r="R225" s="131">
        <f>'Stasiun Pontianak Kota'!S287</f>
        <v>0</v>
      </c>
      <c r="S225" s="131">
        <f>'Stasiun Pontianak Kota'!T287</f>
        <v>5</v>
      </c>
      <c r="T225" s="131">
        <f>'Stasiun Pontianak Kota'!U287</f>
        <v>94</v>
      </c>
      <c r="U225" s="131">
        <f>'Stasiun Pontianak Kota'!V287</f>
        <v>0</v>
      </c>
      <c r="V225" s="131" t="str">
        <f>'Stasiun Pontianak Kota'!W287</f>
        <v>-</v>
      </c>
      <c r="W225" s="131">
        <f>'Stasiun Pontianak Kota'!X287</f>
        <v>0</v>
      </c>
      <c r="X225" s="131">
        <f>'Stasiun Pontianak Kota'!Y287</f>
        <v>0</v>
      </c>
      <c r="Y225" s="131">
        <f>'Stasiun Pontianak Kota'!Z287</f>
        <v>0</v>
      </c>
      <c r="Z225" s="131">
        <f>'Stasiun Pontianak Kota'!AA287</f>
        <v>23</v>
      </c>
      <c r="AA225" s="131">
        <f>'Stasiun Pontianak Kota'!AB287</f>
        <v>0</v>
      </c>
      <c r="AC225" s="130">
        <v>16</v>
      </c>
      <c r="AD225" s="131">
        <f>'Sta. Meteorologi pnk'!B248</f>
        <v>0.5</v>
      </c>
      <c r="AE225" s="131">
        <f>'Sta. Meteorologi pnk'!C248</f>
        <v>0</v>
      </c>
      <c r="AF225" s="131">
        <f>'Sta. Meteorologi pnk'!D248</f>
        <v>0</v>
      </c>
      <c r="AG225" s="131">
        <f>'Sta. Meteorologi pnk'!E248</f>
        <v>30.1</v>
      </c>
      <c r="AH225" s="131">
        <f>'Sta. Meteorologi pnk'!F248</f>
        <v>82.7</v>
      </c>
      <c r="AI225" s="131">
        <f>'Sta. Meteorologi pnk'!G248</f>
        <v>6.3</v>
      </c>
      <c r="AJ225" s="131">
        <f>'Sta. Meteorologi pnk'!H248</f>
        <v>0</v>
      </c>
      <c r="AK225" s="131">
        <f>'Sta. Meteorologi pnk'!I248</f>
        <v>0</v>
      </c>
      <c r="AL225" s="131">
        <f>'Sta. Meteorologi pnk'!J248</f>
        <v>0</v>
      </c>
      <c r="AM225" s="131">
        <f>'Sta. Meteorologi pnk'!K248</f>
        <v>27</v>
      </c>
      <c r="AN225" s="131">
        <f>'Sta. Meteorologi pnk'!L248</f>
        <v>0</v>
      </c>
      <c r="AO225" s="131">
        <f>'Sta. Meteorologi pnk'!M248</f>
        <v>1.4</v>
      </c>
      <c r="AQ225" s="130">
        <v>16</v>
      </c>
      <c r="AR225" s="131">
        <f t="shared" si="340"/>
        <v>0.33809735039868438</v>
      </c>
      <c r="AS225" s="131">
        <f t="shared" si="318"/>
        <v>0</v>
      </c>
      <c r="AT225" s="131">
        <f t="shared" si="319"/>
        <v>0</v>
      </c>
      <c r="AU225" s="131">
        <f t="shared" si="320"/>
        <v>21.972486990013959</v>
      </c>
      <c r="AV225" s="131">
        <f t="shared" si="321"/>
        <v>86.358999880989742</v>
      </c>
      <c r="AW225" s="131">
        <f t="shared" si="322"/>
        <v>4.2600266150234232</v>
      </c>
      <c r="AX225" s="131" t="e">
        <f t="shared" si="323"/>
        <v>#VALUE!</v>
      </c>
      <c r="AY225" s="131">
        <f t="shared" si="324"/>
        <v>0</v>
      </c>
      <c r="AZ225" s="131">
        <f t="shared" si="325"/>
        <v>0</v>
      </c>
      <c r="BA225" s="131">
        <f t="shared" si="326"/>
        <v>18.257256921528953</v>
      </c>
      <c r="BB225" s="131">
        <f t="shared" si="327"/>
        <v>7.4475218816605171</v>
      </c>
      <c r="BC225" s="131">
        <f t="shared" si="328"/>
        <v>0.94667258111631614</v>
      </c>
      <c r="BE225" s="130">
        <v>16</v>
      </c>
      <c r="BF225" s="131">
        <f t="shared" si="341"/>
        <v>0.31633062593280648</v>
      </c>
      <c r="BG225" s="131">
        <f t="shared" si="329"/>
        <v>0</v>
      </c>
      <c r="BH225" s="131">
        <f t="shared" si="330"/>
        <v>0</v>
      </c>
      <c r="BI225" s="131">
        <f t="shared" si="331"/>
        <v>20.87979742182689</v>
      </c>
      <c r="BJ225" s="131">
        <f t="shared" si="332"/>
        <v>86.850927853918577</v>
      </c>
      <c r="BK225" s="131">
        <f t="shared" si="333"/>
        <v>3.9857658867533621</v>
      </c>
      <c r="BL225" s="131" t="s">
        <v>73</v>
      </c>
      <c r="BM225" s="131">
        <f t="shared" si="334"/>
        <v>0</v>
      </c>
      <c r="BN225" s="131">
        <f t="shared" si="335"/>
        <v>0</v>
      </c>
      <c r="BO225" s="131">
        <f t="shared" si="336"/>
        <v>17.081853800371547</v>
      </c>
      <c r="BP225" s="131">
        <f t="shared" si="337"/>
        <v>8.4487912070909008</v>
      </c>
      <c r="BQ225" s="131">
        <f t="shared" si="338"/>
        <v>0.88572575261185815</v>
      </c>
    </row>
    <row r="226" spans="1:69">
      <c r="A226" s="130">
        <v>17</v>
      </c>
      <c r="B226" s="131">
        <f t="shared" si="339"/>
        <v>0</v>
      </c>
      <c r="C226" s="131">
        <f t="shared" si="308"/>
        <v>0</v>
      </c>
      <c r="D226" s="131">
        <f t="shared" si="309"/>
        <v>0</v>
      </c>
      <c r="E226" s="131">
        <f t="shared" si="310"/>
        <v>8.5913870920437319</v>
      </c>
      <c r="F226" s="131">
        <f t="shared" si="311"/>
        <v>0.16427419223437012</v>
      </c>
      <c r="G226" s="131">
        <f t="shared" si="312"/>
        <v>0</v>
      </c>
      <c r="H226" s="131" t="s">
        <v>73</v>
      </c>
      <c r="I226" s="131">
        <f t="shared" si="313"/>
        <v>0</v>
      </c>
      <c r="J226" s="131">
        <f t="shared" si="314"/>
        <v>0</v>
      </c>
      <c r="K226" s="131">
        <f t="shared" si="315"/>
        <v>9.7578870187215845</v>
      </c>
      <c r="L226" s="131">
        <f t="shared" si="316"/>
        <v>6.9652257507372939</v>
      </c>
      <c r="M226" s="131">
        <f t="shared" si="317"/>
        <v>6.5709676893748056E-2</v>
      </c>
      <c r="O226" s="130">
        <v>17</v>
      </c>
      <c r="P226" s="131">
        <f>'Stasiun Pontianak Kota'!Q288</f>
        <v>0</v>
      </c>
      <c r="Q226" s="131">
        <f>'Stasiun Pontianak Kota'!R288</f>
        <v>0</v>
      </c>
      <c r="R226" s="131">
        <f>'Stasiun Pontianak Kota'!S288</f>
        <v>0</v>
      </c>
      <c r="S226" s="131">
        <f>'Stasiun Pontianak Kota'!T288</f>
        <v>8</v>
      </c>
      <c r="T226" s="131">
        <f>'Stasiun Pontianak Kota'!U288</f>
        <v>0</v>
      </c>
      <c r="U226" s="131">
        <f>'Stasiun Pontianak Kota'!V288</f>
        <v>0</v>
      </c>
      <c r="V226" s="131" t="str">
        <f>'Stasiun Pontianak Kota'!W288</f>
        <v>-</v>
      </c>
      <c r="W226" s="131">
        <f>'Stasiun Pontianak Kota'!X288</f>
        <v>0</v>
      </c>
      <c r="X226" s="131">
        <f>'Stasiun Pontianak Kota'!Y288</f>
        <v>0</v>
      </c>
      <c r="Y226" s="131">
        <f>'Stasiun Pontianak Kota'!Z288</f>
        <v>0</v>
      </c>
      <c r="Z226" s="131">
        <f>'Stasiun Pontianak Kota'!AA288</f>
        <v>0</v>
      </c>
      <c r="AA226" s="131">
        <f>'Stasiun Pontianak Kota'!AB288</f>
        <v>0</v>
      </c>
      <c r="AC226" s="130">
        <v>17</v>
      </c>
      <c r="AD226" s="131">
        <f>'Sta. Meteorologi pnk'!B249</f>
        <v>0</v>
      </c>
      <c r="AE226" s="131">
        <f>'Sta. Meteorologi pnk'!C249</f>
        <v>0</v>
      </c>
      <c r="AF226" s="131">
        <f>'Sta. Meteorologi pnk'!D249</f>
        <v>0</v>
      </c>
      <c r="AG226" s="131">
        <f>'Sta. Meteorologi pnk'!E249</f>
        <v>9.8000000000000007</v>
      </c>
      <c r="AH226" s="131">
        <f>'Sta. Meteorologi pnk'!F249</f>
        <v>0.5</v>
      </c>
      <c r="AI226" s="131">
        <f>'Sta. Meteorologi pnk'!G249</f>
        <v>0</v>
      </c>
      <c r="AJ226" s="131">
        <f>'Sta. Meteorologi pnk'!H249</f>
        <v>0</v>
      </c>
      <c r="AK226" s="131">
        <f>'Sta. Meteorologi pnk'!I249</f>
        <v>0</v>
      </c>
      <c r="AL226" s="131">
        <f>'Sta. Meteorologi pnk'!J249</f>
        <v>0</v>
      </c>
      <c r="AM226" s="131">
        <f>'Sta. Meteorologi pnk'!K249</f>
        <v>29.7</v>
      </c>
      <c r="AN226" s="131">
        <f>'Sta. Meteorologi pnk'!L249</f>
        <v>21.2</v>
      </c>
      <c r="AO226" s="131">
        <f>'Sta. Meteorologi pnk'!M249</f>
        <v>0.2</v>
      </c>
      <c r="AQ226" s="130">
        <v>17</v>
      </c>
      <c r="AR226" s="131">
        <f t="shared" si="340"/>
        <v>0</v>
      </c>
      <c r="AS226" s="131">
        <f t="shared" si="318"/>
        <v>0</v>
      </c>
      <c r="AT226" s="131">
        <f t="shared" si="319"/>
        <v>0</v>
      </c>
      <c r="AU226" s="131">
        <f t="shared" si="320"/>
        <v>9.2171504614352635</v>
      </c>
      <c r="AV226" s="131">
        <f t="shared" si="321"/>
        <v>0.33809735039868438</v>
      </c>
      <c r="AW226" s="131">
        <f t="shared" si="322"/>
        <v>0</v>
      </c>
      <c r="AX226" s="131" t="e">
        <f t="shared" si="323"/>
        <v>#VALUE!</v>
      </c>
      <c r="AY226" s="131">
        <f t="shared" si="324"/>
        <v>0</v>
      </c>
      <c r="AZ226" s="131">
        <f t="shared" si="325"/>
        <v>0</v>
      </c>
      <c r="BA226" s="131">
        <f t="shared" si="326"/>
        <v>20.08298261368185</v>
      </c>
      <c r="BB226" s="131">
        <f t="shared" si="327"/>
        <v>14.335327656904218</v>
      </c>
      <c r="BC226" s="131">
        <f t="shared" si="328"/>
        <v>0.13523894015947374</v>
      </c>
      <c r="BE226" s="130">
        <v>17</v>
      </c>
      <c r="BF226" s="131">
        <f t="shared" si="341"/>
        <v>0</v>
      </c>
      <c r="BG226" s="131">
        <f t="shared" si="329"/>
        <v>0</v>
      </c>
      <c r="BH226" s="131">
        <f t="shared" si="330"/>
        <v>0</v>
      </c>
      <c r="BI226" s="131">
        <f t="shared" si="331"/>
        <v>9.1387902533581045</v>
      </c>
      <c r="BJ226" s="131">
        <f t="shared" si="332"/>
        <v>0.31633062593280648</v>
      </c>
      <c r="BK226" s="131">
        <f t="shared" si="333"/>
        <v>0</v>
      </c>
      <c r="BL226" s="131" t="s">
        <v>73</v>
      </c>
      <c r="BM226" s="131">
        <f t="shared" si="334"/>
        <v>0</v>
      </c>
      <c r="BN226" s="131">
        <f t="shared" si="335"/>
        <v>0</v>
      </c>
      <c r="BO226" s="131">
        <f t="shared" si="336"/>
        <v>18.790039180408705</v>
      </c>
      <c r="BP226" s="131">
        <f t="shared" si="337"/>
        <v>13.412418539550996</v>
      </c>
      <c r="BQ226" s="131">
        <f t="shared" si="338"/>
        <v>0.1265322503731226</v>
      </c>
    </row>
    <row r="227" spans="1:69">
      <c r="A227" s="130">
        <v>18</v>
      </c>
      <c r="B227" s="131">
        <f t="shared" si="339"/>
        <v>0</v>
      </c>
      <c r="C227" s="131">
        <f t="shared" si="308"/>
        <v>0</v>
      </c>
      <c r="D227" s="131">
        <f t="shared" si="309"/>
        <v>0</v>
      </c>
      <c r="E227" s="131">
        <f t="shared" si="310"/>
        <v>2.4312580450686778</v>
      </c>
      <c r="F227" s="131">
        <f t="shared" si="311"/>
        <v>3.2854838446874028E-2</v>
      </c>
      <c r="G227" s="131">
        <f t="shared" si="312"/>
        <v>0</v>
      </c>
      <c r="H227" s="131" t="s">
        <v>73</v>
      </c>
      <c r="I227" s="131">
        <f t="shared" si="313"/>
        <v>0</v>
      </c>
      <c r="J227" s="131">
        <f t="shared" si="314"/>
        <v>0.65709676893748048</v>
      </c>
      <c r="K227" s="131">
        <f t="shared" si="315"/>
        <v>15.663161325012627</v>
      </c>
      <c r="L227" s="131">
        <f t="shared" si="316"/>
        <v>0.29569354602186626</v>
      </c>
      <c r="M227" s="131">
        <f t="shared" si="317"/>
        <v>3.2854838446874028E-2</v>
      </c>
      <c r="O227" s="130">
        <v>18</v>
      </c>
      <c r="P227" s="131">
        <f>'Stasiun Pontianak Kota'!Q289</f>
        <v>0</v>
      </c>
      <c r="Q227" s="131">
        <f>'Stasiun Pontianak Kota'!R289</f>
        <v>0</v>
      </c>
      <c r="R227" s="131">
        <f>'Stasiun Pontianak Kota'!S289</f>
        <v>0</v>
      </c>
      <c r="S227" s="131">
        <f>'Stasiun Pontianak Kota'!T289</f>
        <v>0</v>
      </c>
      <c r="T227" s="131">
        <f>'Stasiun Pontianak Kota'!U289</f>
        <v>0</v>
      </c>
      <c r="U227" s="131">
        <f>'Stasiun Pontianak Kota'!V289</f>
        <v>0</v>
      </c>
      <c r="V227" s="131" t="str">
        <f>'Stasiun Pontianak Kota'!W289</f>
        <v>-</v>
      </c>
      <c r="W227" s="131">
        <f>'Stasiun Pontianak Kota'!X289</f>
        <v>0</v>
      </c>
      <c r="X227" s="131">
        <f>'Stasiun Pontianak Kota'!Y289</f>
        <v>0</v>
      </c>
      <c r="Y227" s="131">
        <f>'Stasiun Pontianak Kota'!Z289</f>
        <v>20</v>
      </c>
      <c r="Z227" s="131">
        <f>'Stasiun Pontianak Kota'!AA289</f>
        <v>0</v>
      </c>
      <c r="AA227" s="131">
        <f>'Stasiun Pontianak Kota'!AB289</f>
        <v>0</v>
      </c>
      <c r="AC227" s="130">
        <v>18</v>
      </c>
      <c r="AD227" s="131">
        <f>'Sta. Meteorologi pnk'!B250</f>
        <v>0</v>
      </c>
      <c r="AE227" s="131">
        <f>'Sta. Meteorologi pnk'!C250</f>
        <v>0</v>
      </c>
      <c r="AF227" s="131">
        <f>'Sta. Meteorologi pnk'!D250</f>
        <v>0</v>
      </c>
      <c r="AG227" s="131">
        <f>'Sta. Meteorologi pnk'!E250</f>
        <v>7.4</v>
      </c>
      <c r="AH227" s="131">
        <f>'Sta. Meteorologi pnk'!F250</f>
        <v>0.1</v>
      </c>
      <c r="AI227" s="131">
        <f>'Sta. Meteorologi pnk'!G250</f>
        <v>0</v>
      </c>
      <c r="AJ227" s="131">
        <f>'Sta. Meteorologi pnk'!H250</f>
        <v>0</v>
      </c>
      <c r="AK227" s="131">
        <f>'Sta. Meteorologi pnk'!I250</f>
        <v>0</v>
      </c>
      <c r="AL227" s="131">
        <f>'Sta. Meteorologi pnk'!J250</f>
        <v>2</v>
      </c>
      <c r="AM227" s="131">
        <f>'Sta. Meteorologi pnk'!K250</f>
        <v>6.8</v>
      </c>
      <c r="AN227" s="131">
        <f>'Sta. Meteorologi pnk'!L250</f>
        <v>0.9</v>
      </c>
      <c r="AO227" s="131">
        <f>'Sta. Meteorologi pnk'!M250</f>
        <v>0.1</v>
      </c>
      <c r="AQ227" s="130">
        <v>18</v>
      </c>
      <c r="AR227" s="131">
        <f t="shared" si="340"/>
        <v>0</v>
      </c>
      <c r="AS227" s="131">
        <f t="shared" si="318"/>
        <v>0</v>
      </c>
      <c r="AT227" s="131">
        <f t="shared" si="319"/>
        <v>0</v>
      </c>
      <c r="AU227" s="131">
        <f t="shared" si="320"/>
        <v>5.0038407859005289</v>
      </c>
      <c r="AV227" s="131">
        <f t="shared" si="321"/>
        <v>6.7619470079736871E-2</v>
      </c>
      <c r="AW227" s="131">
        <f t="shared" si="322"/>
        <v>0</v>
      </c>
      <c r="AX227" s="131" t="e">
        <f t="shared" si="323"/>
        <v>#VALUE!</v>
      </c>
      <c r="AY227" s="131">
        <f t="shared" si="324"/>
        <v>0</v>
      </c>
      <c r="AZ227" s="131">
        <f t="shared" si="325"/>
        <v>1.3523894015947375</v>
      </c>
      <c r="BA227" s="131">
        <f t="shared" si="326"/>
        <v>11.074229949474732</v>
      </c>
      <c r="BB227" s="131">
        <f t="shared" si="327"/>
        <v>0.60857523071763187</v>
      </c>
      <c r="BC227" s="131">
        <f t="shared" si="328"/>
        <v>6.7619470079736871E-2</v>
      </c>
      <c r="BE227" s="130">
        <v>18</v>
      </c>
      <c r="BF227" s="131">
        <f t="shared" si="341"/>
        <v>0</v>
      </c>
      <c r="BG227" s="131">
        <f t="shared" si="329"/>
        <v>0</v>
      </c>
      <c r="BH227" s="131">
        <f t="shared" si="330"/>
        <v>0</v>
      </c>
      <c r="BI227" s="131">
        <f t="shared" si="331"/>
        <v>4.6816932638055366</v>
      </c>
      <c r="BJ227" s="131">
        <f t="shared" si="332"/>
        <v>6.3266125186561301E-2</v>
      </c>
      <c r="BK227" s="131">
        <f t="shared" si="333"/>
        <v>0</v>
      </c>
      <c r="BL227" s="131" t="s">
        <v>73</v>
      </c>
      <c r="BM227" s="131">
        <f t="shared" si="334"/>
        <v>0</v>
      </c>
      <c r="BN227" s="131">
        <f t="shared" si="335"/>
        <v>1.2653225037312259</v>
      </c>
      <c r="BO227" s="131">
        <f t="shared" si="336"/>
        <v>11.648871475373907</v>
      </c>
      <c r="BP227" s="131">
        <f t="shared" si="337"/>
        <v>0.56939512667905179</v>
      </c>
      <c r="BQ227" s="131">
        <f t="shared" si="338"/>
        <v>6.3266125186561301E-2</v>
      </c>
    </row>
    <row r="228" spans="1:69">
      <c r="A228" s="130">
        <v>19</v>
      </c>
      <c r="B228" s="131">
        <f t="shared" si="339"/>
        <v>0</v>
      </c>
      <c r="C228" s="131">
        <f t="shared" si="308"/>
        <v>0</v>
      </c>
      <c r="D228" s="131">
        <f t="shared" si="309"/>
        <v>0</v>
      </c>
      <c r="E228" s="131">
        <f t="shared" si="310"/>
        <v>0</v>
      </c>
      <c r="F228" s="131">
        <f t="shared" si="311"/>
        <v>17.084515992374492</v>
      </c>
      <c r="G228" s="131">
        <f t="shared" si="312"/>
        <v>0</v>
      </c>
      <c r="H228" s="131" t="s">
        <v>73</v>
      </c>
      <c r="I228" s="131">
        <f t="shared" si="313"/>
        <v>0</v>
      </c>
      <c r="J228" s="131">
        <f t="shared" si="314"/>
        <v>21.638596777084384</v>
      </c>
      <c r="K228" s="131">
        <f t="shared" si="315"/>
        <v>14.724725856647058</v>
      </c>
      <c r="L228" s="131">
        <f t="shared" si="316"/>
        <v>38.77638701057468</v>
      </c>
      <c r="M228" s="131">
        <f t="shared" si="317"/>
        <v>0</v>
      </c>
      <c r="O228" s="130">
        <v>19</v>
      </c>
      <c r="P228" s="131">
        <f>'Stasiun Pontianak Kota'!Q290</f>
        <v>0</v>
      </c>
      <c r="Q228" s="131">
        <f>'Stasiun Pontianak Kota'!R290</f>
        <v>0</v>
      </c>
      <c r="R228" s="131">
        <f>'Stasiun Pontianak Kota'!S290</f>
        <v>0</v>
      </c>
      <c r="S228" s="131">
        <f>'Stasiun Pontianak Kota'!T290</f>
        <v>0</v>
      </c>
      <c r="T228" s="131">
        <f>'Stasiun Pontianak Kota'!U290</f>
        <v>0</v>
      </c>
      <c r="U228" s="131">
        <f>'Stasiun Pontianak Kota'!V290</f>
        <v>0</v>
      </c>
      <c r="V228" s="131" t="str">
        <f>'Stasiun Pontianak Kota'!W290</f>
        <v>-</v>
      </c>
      <c r="W228" s="131">
        <f>'Stasiun Pontianak Kota'!X290</f>
        <v>0</v>
      </c>
      <c r="X228" s="131">
        <f>'Stasiun Pontianak Kota'!Y290</f>
        <v>22</v>
      </c>
      <c r="Y228" s="131">
        <f>'Stasiun Pontianak Kota'!Z290</f>
        <v>21</v>
      </c>
      <c r="Z228" s="131">
        <f>'Stasiun Pontianak Kota'!AA290</f>
        <v>28</v>
      </c>
      <c r="AA228" s="131">
        <f>'Stasiun Pontianak Kota'!AB290</f>
        <v>0</v>
      </c>
      <c r="AC228" s="130">
        <v>19</v>
      </c>
      <c r="AD228" s="131">
        <f>'Sta. Meteorologi pnk'!B251</f>
        <v>0</v>
      </c>
      <c r="AE228" s="131">
        <f>'Sta. Meteorologi pnk'!C251</f>
        <v>0</v>
      </c>
      <c r="AF228" s="131">
        <f>'Sta. Meteorologi pnk'!D251</f>
        <v>0</v>
      </c>
      <c r="AG228" s="131">
        <f>'Sta. Meteorologi pnk'!E251</f>
        <v>0</v>
      </c>
      <c r="AH228" s="131">
        <f>'Sta. Meteorologi pnk'!F251</f>
        <v>52</v>
      </c>
      <c r="AI228" s="131">
        <f>'Sta. Meteorologi pnk'!G251</f>
        <v>0</v>
      </c>
      <c r="AJ228" s="131">
        <f>'Sta. Meteorologi pnk'!H251</f>
        <v>0</v>
      </c>
      <c r="AK228" s="131">
        <f>'Sta. Meteorologi pnk'!I251</f>
        <v>0</v>
      </c>
      <c r="AL228" s="131">
        <f>'Sta. Meteorologi pnk'!J251</f>
        <v>20.9</v>
      </c>
      <c r="AM228" s="131">
        <f>'Sta. Meteorologi pnk'!K251</f>
        <v>1.9</v>
      </c>
      <c r="AN228" s="131">
        <f>'Sta. Meteorologi pnk'!L251</f>
        <v>60.8</v>
      </c>
      <c r="AO228" s="131">
        <f>'Sta. Meteorologi pnk'!M251</f>
        <v>0</v>
      </c>
      <c r="AQ228" s="130">
        <v>19</v>
      </c>
      <c r="AR228" s="131">
        <f t="shared" si="340"/>
        <v>0</v>
      </c>
      <c r="AS228" s="131">
        <f t="shared" si="318"/>
        <v>0</v>
      </c>
      <c r="AT228" s="131">
        <f t="shared" si="319"/>
        <v>0</v>
      </c>
      <c r="AU228" s="131">
        <f t="shared" si="320"/>
        <v>0</v>
      </c>
      <c r="AV228" s="131">
        <f t="shared" si="321"/>
        <v>35.16212444146317</v>
      </c>
      <c r="AW228" s="131">
        <f t="shared" si="322"/>
        <v>0</v>
      </c>
      <c r="AX228" s="131" t="e">
        <f t="shared" si="323"/>
        <v>#VALUE!</v>
      </c>
      <c r="AY228" s="131">
        <f t="shared" si="324"/>
        <v>0</v>
      </c>
      <c r="AZ228" s="131">
        <f t="shared" si="325"/>
        <v>21.256185829122892</v>
      </c>
      <c r="BA228" s="131">
        <f t="shared" si="326"/>
        <v>8.0846812147702547</v>
      </c>
      <c r="BB228" s="131">
        <f t="shared" si="327"/>
        <v>50.179186186153693</v>
      </c>
      <c r="BC228" s="131">
        <f t="shared" si="328"/>
        <v>0</v>
      </c>
      <c r="BE228" s="130">
        <v>19</v>
      </c>
      <c r="BF228" s="131">
        <f t="shared" si="341"/>
        <v>0</v>
      </c>
      <c r="BG228" s="131">
        <f t="shared" si="329"/>
        <v>0</v>
      </c>
      <c r="BH228" s="131">
        <f t="shared" si="330"/>
        <v>0</v>
      </c>
      <c r="BI228" s="131">
        <f t="shared" si="331"/>
        <v>0</v>
      </c>
      <c r="BJ228" s="131">
        <f t="shared" si="332"/>
        <v>32.898385097011875</v>
      </c>
      <c r="BK228" s="131">
        <f t="shared" si="333"/>
        <v>0</v>
      </c>
      <c r="BL228" s="131" t="s">
        <v>73</v>
      </c>
      <c r="BM228" s="131">
        <f t="shared" si="334"/>
        <v>0</v>
      </c>
      <c r="BN228" s="131">
        <f t="shared" si="335"/>
        <v>21.304072622947825</v>
      </c>
      <c r="BO228" s="131">
        <f t="shared" si="336"/>
        <v>8.9161700893667906</v>
      </c>
      <c r="BP228" s="131">
        <f t="shared" si="337"/>
        <v>48.751289061192104</v>
      </c>
      <c r="BQ228" s="131">
        <f t="shared" si="338"/>
        <v>0</v>
      </c>
    </row>
    <row r="229" spans="1:69">
      <c r="A229" s="130">
        <v>20</v>
      </c>
      <c r="B229" s="131">
        <f t="shared" si="339"/>
        <v>4.5913870920437327</v>
      </c>
      <c r="C229" s="131">
        <f t="shared" si="308"/>
        <v>6.5709676893748056E-2</v>
      </c>
      <c r="D229" s="131">
        <f t="shared" si="309"/>
        <v>0</v>
      </c>
      <c r="E229" s="131">
        <f t="shared" si="310"/>
        <v>9.599677382562362</v>
      </c>
      <c r="F229" s="131">
        <f t="shared" si="311"/>
        <v>0.16427419223437012</v>
      </c>
      <c r="G229" s="131">
        <f t="shared" si="312"/>
        <v>16.098870838968274</v>
      </c>
      <c r="H229" s="131" t="s">
        <v>73</v>
      </c>
      <c r="I229" s="131">
        <f t="shared" si="313"/>
        <v>0</v>
      </c>
      <c r="J229" s="131">
        <f t="shared" si="314"/>
        <v>0.19712903068124416</v>
      </c>
      <c r="K229" s="131">
        <f t="shared" si="315"/>
        <v>3.2854838446874028E-2</v>
      </c>
      <c r="L229" s="131">
        <f t="shared" si="316"/>
        <v>5.3881935052873402</v>
      </c>
      <c r="M229" s="131">
        <f t="shared" si="317"/>
        <v>19.712903068124415</v>
      </c>
      <c r="O229" s="130">
        <v>20</v>
      </c>
      <c r="P229" s="131">
        <f>'Stasiun Pontianak Kota'!Q291</f>
        <v>4</v>
      </c>
      <c r="Q229" s="131">
        <f>'Stasiun Pontianak Kota'!R291</f>
        <v>0</v>
      </c>
      <c r="R229" s="131">
        <f>'Stasiun Pontianak Kota'!S291</f>
        <v>0</v>
      </c>
      <c r="S229" s="131">
        <f>'Stasiun Pontianak Kota'!T291</f>
        <v>5</v>
      </c>
      <c r="T229" s="131">
        <f>'Stasiun Pontianak Kota'!U291</f>
        <v>0</v>
      </c>
      <c r="U229" s="131">
        <f>'Stasiun Pontianak Kota'!V291</f>
        <v>0</v>
      </c>
      <c r="V229" s="131" t="str">
        <f>'Stasiun Pontianak Kota'!W291</f>
        <v>-</v>
      </c>
      <c r="W229" s="131">
        <f>'Stasiun Pontianak Kota'!X291</f>
        <v>0</v>
      </c>
      <c r="X229" s="131">
        <f>'Stasiun Pontianak Kota'!Y291</f>
        <v>0</v>
      </c>
      <c r="Y229" s="131">
        <f>'Stasiun Pontianak Kota'!Z291</f>
        <v>0</v>
      </c>
      <c r="Z229" s="131">
        <f>'Stasiun Pontianak Kota'!AA291</f>
        <v>0</v>
      </c>
      <c r="AA229" s="131">
        <f>'Stasiun Pontianak Kota'!AB291</f>
        <v>0</v>
      </c>
      <c r="AC229" s="130">
        <v>20</v>
      </c>
      <c r="AD229" s="131">
        <f>'Sta. Meteorologi pnk'!B252</f>
        <v>5.8</v>
      </c>
      <c r="AE229" s="131">
        <f>'Sta. Meteorologi pnk'!C252</f>
        <v>0.2</v>
      </c>
      <c r="AF229" s="131">
        <f>'Sta. Meteorologi pnk'!D252</f>
        <v>0</v>
      </c>
      <c r="AG229" s="131">
        <f>'Sta. Meteorologi pnk'!E252</f>
        <v>19</v>
      </c>
      <c r="AH229" s="131">
        <f>'Sta. Meteorologi pnk'!F252</f>
        <v>0.5</v>
      </c>
      <c r="AI229" s="131">
        <f>'Sta. Meteorologi pnk'!G252</f>
        <v>49</v>
      </c>
      <c r="AJ229" s="131">
        <f>'Sta. Meteorologi pnk'!H252</f>
        <v>0</v>
      </c>
      <c r="AK229" s="131">
        <f>'Sta. Meteorologi pnk'!I252</f>
        <v>0</v>
      </c>
      <c r="AL229" s="131">
        <f>'Sta. Meteorologi pnk'!J252</f>
        <v>0.6</v>
      </c>
      <c r="AM229" s="131">
        <f>'Sta. Meteorologi pnk'!K252</f>
        <v>0.1</v>
      </c>
      <c r="AN229" s="131">
        <f>'Sta. Meteorologi pnk'!L252</f>
        <v>16.399999999999999</v>
      </c>
      <c r="AO229" s="131">
        <f>'Sta. Meteorologi pnk'!M252</f>
        <v>60</v>
      </c>
      <c r="AQ229" s="130">
        <v>20</v>
      </c>
      <c r="AR229" s="131">
        <f t="shared" si="340"/>
        <v>5.2171504614352626</v>
      </c>
      <c r="AS229" s="131">
        <f t="shared" si="318"/>
        <v>0.13523894015947374</v>
      </c>
      <c r="AT229" s="131">
        <f t="shared" si="319"/>
        <v>0</v>
      </c>
      <c r="AU229" s="131">
        <f t="shared" si="320"/>
        <v>14.46672581116316</v>
      </c>
      <c r="AV229" s="131">
        <f t="shared" si="321"/>
        <v>0.33809735039868438</v>
      </c>
      <c r="AW229" s="131">
        <f t="shared" si="322"/>
        <v>33.133540339071068</v>
      </c>
      <c r="AX229" s="131" t="e">
        <f t="shared" si="323"/>
        <v>#VALUE!</v>
      </c>
      <c r="AY229" s="131">
        <f t="shared" si="324"/>
        <v>0</v>
      </c>
      <c r="AZ229" s="131">
        <f t="shared" si="325"/>
        <v>0.40571682047842123</v>
      </c>
      <c r="BA229" s="131">
        <f t="shared" si="326"/>
        <v>6.7619470079736871E-2</v>
      </c>
      <c r="BB229" s="131">
        <f t="shared" si="327"/>
        <v>11.089593093076846</v>
      </c>
      <c r="BC229" s="131">
        <f t="shared" si="328"/>
        <v>40.571682047842124</v>
      </c>
      <c r="BE229" s="130">
        <v>20</v>
      </c>
      <c r="BF229" s="131">
        <f t="shared" si="341"/>
        <v>5.1387902533581036</v>
      </c>
      <c r="BG229" s="131">
        <f t="shared" si="329"/>
        <v>0.1265322503731226</v>
      </c>
      <c r="BH229" s="131">
        <f t="shared" si="330"/>
        <v>0</v>
      </c>
      <c r="BI229" s="131">
        <f t="shared" si="331"/>
        <v>13.857257526118582</v>
      </c>
      <c r="BJ229" s="131">
        <f t="shared" si="332"/>
        <v>0.31633062593280648</v>
      </c>
      <c r="BK229" s="131">
        <f t="shared" si="333"/>
        <v>31.000401341415039</v>
      </c>
      <c r="BL229" s="131" t="s">
        <v>73</v>
      </c>
      <c r="BM229" s="131">
        <f t="shared" si="334"/>
        <v>0</v>
      </c>
      <c r="BN229" s="131">
        <f t="shared" si="335"/>
        <v>0.37959675111936775</v>
      </c>
      <c r="BO229" s="131">
        <f t="shared" si="336"/>
        <v>6.3266125186561301E-2</v>
      </c>
      <c r="BP229" s="131">
        <f t="shared" si="337"/>
        <v>10.375644530596052</v>
      </c>
      <c r="BQ229" s="131">
        <f t="shared" si="338"/>
        <v>37.959675111936782</v>
      </c>
    </row>
    <row r="230" spans="1:69">
      <c r="A230" s="130">
        <v>21</v>
      </c>
      <c r="B230" s="131">
        <f t="shared" si="339"/>
        <v>0</v>
      </c>
      <c r="C230" s="131">
        <f t="shared" si="308"/>
        <v>0</v>
      </c>
      <c r="D230" s="131">
        <f t="shared" si="309"/>
        <v>0</v>
      </c>
      <c r="E230" s="131">
        <f t="shared" si="310"/>
        <v>9.5913870920437319</v>
      </c>
      <c r="F230" s="131">
        <f t="shared" si="311"/>
        <v>55.605435615009853</v>
      </c>
      <c r="G230" s="131">
        <f t="shared" si="312"/>
        <v>0</v>
      </c>
      <c r="H230" s="131" t="s">
        <v>73</v>
      </c>
      <c r="I230" s="131">
        <f t="shared" si="313"/>
        <v>0</v>
      </c>
      <c r="J230" s="131">
        <f t="shared" si="314"/>
        <v>1.7741612761311976</v>
      </c>
      <c r="K230" s="131">
        <f t="shared" si="315"/>
        <v>25.125354797712347</v>
      </c>
      <c r="L230" s="131">
        <f t="shared" si="316"/>
        <v>0</v>
      </c>
      <c r="M230" s="131">
        <f t="shared" si="317"/>
        <v>0</v>
      </c>
      <c r="O230" s="130">
        <v>21</v>
      </c>
      <c r="P230" s="131">
        <f>'Stasiun Pontianak Kota'!Q292</f>
        <v>0</v>
      </c>
      <c r="Q230" s="131">
        <f>'Stasiun Pontianak Kota'!R292</f>
        <v>0</v>
      </c>
      <c r="R230" s="131">
        <f>'Stasiun Pontianak Kota'!S292</f>
        <v>0</v>
      </c>
      <c r="S230" s="131">
        <f>'Stasiun Pontianak Kota'!T292</f>
        <v>9</v>
      </c>
      <c r="T230" s="131">
        <f>'Stasiun Pontianak Kota'!U292</f>
        <v>72</v>
      </c>
      <c r="U230" s="131">
        <f>'Stasiun Pontianak Kota'!V292</f>
        <v>0</v>
      </c>
      <c r="V230" s="131" t="str">
        <f>'Stasiun Pontianak Kota'!W292</f>
        <v>-</v>
      </c>
      <c r="W230" s="131">
        <f>'Stasiun Pontianak Kota'!X292</f>
        <v>0</v>
      </c>
      <c r="X230" s="131">
        <f>'Stasiun Pontianak Kota'!Y292</f>
        <v>0</v>
      </c>
      <c r="Y230" s="131">
        <f>'Stasiun Pontianak Kota'!Z292</f>
        <v>20</v>
      </c>
      <c r="Z230" s="131">
        <f>'Stasiun Pontianak Kota'!AA292</f>
        <v>0</v>
      </c>
      <c r="AA230" s="131">
        <f>'Stasiun Pontianak Kota'!AB292</f>
        <v>0</v>
      </c>
      <c r="AC230" s="130">
        <v>21</v>
      </c>
      <c r="AD230" s="131">
        <f>'Sta. Meteorologi pnk'!B253</f>
        <v>0</v>
      </c>
      <c r="AE230" s="131">
        <f>'Sta. Meteorologi pnk'!C253</f>
        <v>0</v>
      </c>
      <c r="AF230" s="131">
        <f>'Sta. Meteorologi pnk'!D253</f>
        <v>0</v>
      </c>
      <c r="AG230" s="131">
        <f>'Sta. Meteorologi pnk'!E253</f>
        <v>10.8</v>
      </c>
      <c r="AH230" s="131">
        <f>'Sta. Meteorologi pnk'!F253</f>
        <v>22.1</v>
      </c>
      <c r="AI230" s="131">
        <f>'Sta. Meteorologi pnk'!G253</f>
        <v>0</v>
      </c>
      <c r="AJ230" s="131">
        <f>'Sta. Meteorologi pnk'!H253</f>
        <v>0</v>
      </c>
      <c r="AK230" s="131">
        <f>'Sta. Meteorologi pnk'!I253</f>
        <v>0</v>
      </c>
      <c r="AL230" s="131">
        <f>'Sta. Meteorologi pnk'!J253</f>
        <v>5.4</v>
      </c>
      <c r="AM230" s="131">
        <f>'Sta. Meteorologi pnk'!K253</f>
        <v>35.6</v>
      </c>
      <c r="AN230" s="131">
        <f>'Sta. Meteorologi pnk'!L253</f>
        <v>0</v>
      </c>
      <c r="AO230" s="131">
        <f>'Sta. Meteorologi pnk'!M253</f>
        <v>0</v>
      </c>
      <c r="AQ230" s="130">
        <v>21</v>
      </c>
      <c r="AR230" s="131">
        <f t="shared" si="340"/>
        <v>0</v>
      </c>
      <c r="AS230" s="131">
        <f t="shared" si="318"/>
        <v>0</v>
      </c>
      <c r="AT230" s="131">
        <f t="shared" si="319"/>
        <v>0</v>
      </c>
      <c r="AU230" s="131">
        <f t="shared" si="320"/>
        <v>10.217150461435262</v>
      </c>
      <c r="AV230" s="131">
        <f t="shared" si="321"/>
        <v>38.257884430211291</v>
      </c>
      <c r="AW230" s="131">
        <f t="shared" si="322"/>
        <v>0</v>
      </c>
      <c r="AX230" s="131" t="e">
        <f t="shared" si="323"/>
        <v>#VALUE!</v>
      </c>
      <c r="AY230" s="131">
        <f t="shared" si="324"/>
        <v>0</v>
      </c>
      <c r="AZ230" s="131">
        <f t="shared" si="325"/>
        <v>3.651451384305791</v>
      </c>
      <c r="BA230" s="131">
        <f t="shared" si="326"/>
        <v>30.54863733243895</v>
      </c>
      <c r="BB230" s="131">
        <f t="shared" si="327"/>
        <v>0</v>
      </c>
      <c r="BC230" s="131">
        <f t="shared" si="328"/>
        <v>0</v>
      </c>
      <c r="BE230" s="130">
        <v>21</v>
      </c>
      <c r="BF230" s="131">
        <f t="shared" si="341"/>
        <v>0</v>
      </c>
      <c r="BG230" s="131">
        <f t="shared" si="329"/>
        <v>0</v>
      </c>
      <c r="BH230" s="131">
        <f t="shared" si="330"/>
        <v>0</v>
      </c>
      <c r="BI230" s="131">
        <f t="shared" si="331"/>
        <v>10.138790253358104</v>
      </c>
      <c r="BJ230" s="131">
        <f t="shared" si="332"/>
        <v>40.43020353190591</v>
      </c>
      <c r="BK230" s="131">
        <f t="shared" si="333"/>
        <v>0</v>
      </c>
      <c r="BL230" s="131" t="s">
        <v>73</v>
      </c>
      <c r="BM230" s="131">
        <f t="shared" si="334"/>
        <v>0</v>
      </c>
      <c r="BN230" s="131">
        <f t="shared" si="335"/>
        <v>3.4163707600743098</v>
      </c>
      <c r="BO230" s="131">
        <f t="shared" si="336"/>
        <v>29.869515529103563</v>
      </c>
      <c r="BP230" s="131">
        <f t="shared" si="337"/>
        <v>0</v>
      </c>
      <c r="BQ230" s="131">
        <f t="shared" si="338"/>
        <v>0</v>
      </c>
    </row>
    <row r="231" spans="1:69">
      <c r="A231" s="130">
        <v>22</v>
      </c>
      <c r="B231" s="131">
        <f t="shared" si="339"/>
        <v>0</v>
      </c>
      <c r="C231" s="131">
        <f t="shared" si="308"/>
        <v>0</v>
      </c>
      <c r="D231" s="131">
        <f t="shared" si="309"/>
        <v>0</v>
      </c>
      <c r="E231" s="131">
        <f t="shared" si="310"/>
        <v>3.2114838772750232</v>
      </c>
      <c r="F231" s="131">
        <f t="shared" si="311"/>
        <v>30.350887197953501</v>
      </c>
      <c r="G231" s="131">
        <f t="shared" si="312"/>
        <v>0</v>
      </c>
      <c r="H231" s="131" t="s">
        <v>73</v>
      </c>
      <c r="I231" s="131">
        <f t="shared" si="313"/>
        <v>5.4210483437342152</v>
      </c>
      <c r="J231" s="131">
        <f t="shared" si="314"/>
        <v>0</v>
      </c>
      <c r="K231" s="131">
        <f t="shared" si="315"/>
        <v>0</v>
      </c>
      <c r="L231" s="131">
        <f t="shared" si="316"/>
        <v>0.68995160738435457</v>
      </c>
      <c r="M231" s="131">
        <f t="shared" si="317"/>
        <v>0</v>
      </c>
      <c r="O231" s="130">
        <v>22</v>
      </c>
      <c r="P231" s="131">
        <f>'Stasiun Pontianak Kota'!Q293</f>
        <v>0</v>
      </c>
      <c r="Q231" s="131">
        <f>'Stasiun Pontianak Kota'!R293</f>
        <v>0</v>
      </c>
      <c r="R231" s="131">
        <f>'Stasiun Pontianak Kota'!S293</f>
        <v>0</v>
      </c>
      <c r="S231" s="131">
        <f>'Stasiun Pontianak Kota'!T293</f>
        <v>4</v>
      </c>
      <c r="T231" s="131">
        <f>'Stasiun Pontianak Kota'!U293</f>
        <v>43</v>
      </c>
      <c r="U231" s="131">
        <f>'Stasiun Pontianak Kota'!V293</f>
        <v>0</v>
      </c>
      <c r="V231" s="131" t="str">
        <f>'Stasiun Pontianak Kota'!W293</f>
        <v>-</v>
      </c>
      <c r="W231" s="131">
        <f>'Stasiun Pontianak Kota'!X293</f>
        <v>0</v>
      </c>
      <c r="X231" s="131">
        <f>'Stasiun Pontianak Kota'!Y293</f>
        <v>0</v>
      </c>
      <c r="Y231" s="131">
        <f>'Stasiun Pontianak Kota'!Z293</f>
        <v>0</v>
      </c>
      <c r="Z231" s="131">
        <f>'Stasiun Pontianak Kota'!AA293</f>
        <v>0</v>
      </c>
      <c r="AA231" s="131">
        <f>'Stasiun Pontianak Kota'!AB293</f>
        <v>0</v>
      </c>
      <c r="AC231" s="130">
        <v>22</v>
      </c>
      <c r="AD231" s="131">
        <f>'Sta. Meteorologi pnk'!B254</f>
        <v>0</v>
      </c>
      <c r="AE231" s="131">
        <f>'Sta. Meteorologi pnk'!C254</f>
        <v>0</v>
      </c>
      <c r="AF231" s="131">
        <f>'Sta. Meteorologi pnk'!D254</f>
        <v>0</v>
      </c>
      <c r="AG231" s="131">
        <f>'Sta. Meteorologi pnk'!E254</f>
        <v>1.6</v>
      </c>
      <c r="AH231" s="131">
        <f>'Sta. Meteorologi pnk'!F254</f>
        <v>4.5</v>
      </c>
      <c r="AI231" s="131">
        <f>'Sta. Meteorologi pnk'!G254</f>
        <v>0</v>
      </c>
      <c r="AJ231" s="131">
        <f>'Sta. Meteorologi pnk'!H254</f>
        <v>0</v>
      </c>
      <c r="AK231" s="131">
        <f>'Sta. Meteorologi pnk'!I254</f>
        <v>16.5</v>
      </c>
      <c r="AL231" s="131">
        <f>'Sta. Meteorologi pnk'!J254</f>
        <v>0</v>
      </c>
      <c r="AM231" s="131">
        <f>'Sta. Meteorologi pnk'!K254</f>
        <v>0</v>
      </c>
      <c r="AN231" s="131">
        <f>'Sta. Meteorologi pnk'!L254</f>
        <v>2.1</v>
      </c>
      <c r="AO231" s="131">
        <f>'Sta. Meteorologi pnk'!M254</f>
        <v>0</v>
      </c>
      <c r="AQ231" s="130">
        <v>22</v>
      </c>
      <c r="AR231" s="131">
        <f t="shared" si="340"/>
        <v>0</v>
      </c>
      <c r="AS231" s="131">
        <f t="shared" si="318"/>
        <v>0</v>
      </c>
      <c r="AT231" s="131">
        <f t="shared" si="319"/>
        <v>0</v>
      </c>
      <c r="AU231" s="131">
        <f t="shared" si="320"/>
        <v>2.3771327180863149</v>
      </c>
      <c r="AV231" s="131">
        <f t="shared" si="321"/>
        <v>16.966504019301301</v>
      </c>
      <c r="AW231" s="131">
        <f t="shared" si="322"/>
        <v>0</v>
      </c>
      <c r="AX231" s="131" t="e">
        <f t="shared" si="323"/>
        <v>#VALUE!</v>
      </c>
      <c r="AY231" s="131">
        <f t="shared" si="324"/>
        <v>11.157212563156584</v>
      </c>
      <c r="AZ231" s="131">
        <f t="shared" si="325"/>
        <v>0</v>
      </c>
      <c r="BA231" s="131">
        <f t="shared" si="326"/>
        <v>0</v>
      </c>
      <c r="BB231" s="131">
        <f t="shared" si="327"/>
        <v>1.4200088716744745</v>
      </c>
      <c r="BC231" s="131">
        <f t="shared" si="328"/>
        <v>0</v>
      </c>
      <c r="BE231" s="130">
        <v>22</v>
      </c>
      <c r="BF231" s="131">
        <f t="shared" si="341"/>
        <v>0</v>
      </c>
      <c r="BG231" s="131">
        <f t="shared" si="329"/>
        <v>0</v>
      </c>
      <c r="BH231" s="131">
        <f t="shared" si="330"/>
        <v>0</v>
      </c>
      <c r="BI231" s="131">
        <f t="shared" si="331"/>
        <v>2.481612995522529</v>
      </c>
      <c r="BJ231" s="131">
        <f t="shared" si="332"/>
        <v>18.642541803173899</v>
      </c>
      <c r="BK231" s="131">
        <f t="shared" si="333"/>
        <v>0</v>
      </c>
      <c r="BL231" s="131" t="s">
        <v>73</v>
      </c>
      <c r="BM231" s="131">
        <f t="shared" si="334"/>
        <v>10.438910655782614</v>
      </c>
      <c r="BN231" s="131">
        <f t="shared" si="335"/>
        <v>0</v>
      </c>
      <c r="BO231" s="131">
        <f t="shared" si="336"/>
        <v>0</v>
      </c>
      <c r="BP231" s="131">
        <f t="shared" si="337"/>
        <v>1.3285886289177873</v>
      </c>
      <c r="BQ231" s="131">
        <f t="shared" si="338"/>
        <v>0</v>
      </c>
    </row>
    <row r="232" spans="1:69">
      <c r="A232" s="130">
        <v>23</v>
      </c>
      <c r="B232" s="131">
        <f t="shared" si="339"/>
        <v>0</v>
      </c>
      <c r="C232" s="131">
        <f t="shared" si="308"/>
        <v>3.3757580695093932</v>
      </c>
      <c r="D232" s="131">
        <f t="shared" si="309"/>
        <v>0.98564515340622083</v>
      </c>
      <c r="E232" s="131">
        <f t="shared" si="310"/>
        <v>3.3901129161031722</v>
      </c>
      <c r="F232" s="131">
        <f t="shared" si="311"/>
        <v>1.4784677301093312</v>
      </c>
      <c r="G232" s="131">
        <f t="shared" si="312"/>
        <v>72.933677675850944</v>
      </c>
      <c r="H232" s="131" t="s">
        <v>73</v>
      </c>
      <c r="I232" s="131">
        <f t="shared" si="313"/>
        <v>0</v>
      </c>
      <c r="J232" s="131">
        <f t="shared" si="314"/>
        <v>0</v>
      </c>
      <c r="K232" s="131">
        <f t="shared" si="315"/>
        <v>3.1540644908999065</v>
      </c>
      <c r="L232" s="131">
        <f t="shared" si="316"/>
        <v>4.0287096931875581</v>
      </c>
      <c r="M232" s="131">
        <f t="shared" si="317"/>
        <v>0</v>
      </c>
      <c r="O232" s="130">
        <v>23</v>
      </c>
      <c r="P232" s="131">
        <f>'Stasiun Pontianak Kota'!Q294</f>
        <v>0</v>
      </c>
      <c r="Q232" s="131">
        <f>'Stasiun Pontianak Kota'!R294</f>
        <v>4</v>
      </c>
      <c r="R232" s="131">
        <f>'Stasiun Pontianak Kota'!S294</f>
        <v>0</v>
      </c>
      <c r="S232" s="131">
        <f>'Stasiun Pontianak Kota'!T294</f>
        <v>5</v>
      </c>
      <c r="T232" s="131">
        <f>'Stasiun Pontianak Kota'!U294</f>
        <v>0</v>
      </c>
      <c r="U232" s="131">
        <f>'Stasiun Pontianak Kota'!V294</f>
        <v>105</v>
      </c>
      <c r="V232" s="131" t="str">
        <f>'Stasiun Pontianak Kota'!W294</f>
        <v>-</v>
      </c>
      <c r="W232" s="131">
        <f>'Stasiun Pontianak Kota'!X294</f>
        <v>0</v>
      </c>
      <c r="X232" s="131">
        <f>'Stasiun Pontianak Kota'!Y294</f>
        <v>0</v>
      </c>
      <c r="Y232" s="131">
        <f>'Stasiun Pontianak Kota'!Z294</f>
        <v>0</v>
      </c>
      <c r="Z232" s="131">
        <f>'Stasiun Pontianak Kota'!AA294</f>
        <v>6</v>
      </c>
      <c r="AA232" s="131">
        <f>'Stasiun Pontianak Kota'!AB294</f>
        <v>0</v>
      </c>
      <c r="AC232" s="130">
        <v>23</v>
      </c>
      <c r="AD232" s="131">
        <f>'Sta. Meteorologi pnk'!B255</f>
        <v>0</v>
      </c>
      <c r="AE232" s="131">
        <f>'Sta. Meteorologi pnk'!C255</f>
        <v>2.1</v>
      </c>
      <c r="AF232" s="131">
        <f>'Sta. Meteorologi pnk'!D255</f>
        <v>3</v>
      </c>
      <c r="AG232" s="131">
        <f>'Sta. Meteorologi pnk'!E255</f>
        <v>0.1</v>
      </c>
      <c r="AH232" s="131">
        <f>'Sta. Meteorologi pnk'!F255</f>
        <v>4.5</v>
      </c>
      <c r="AI232" s="131">
        <f>'Sta. Meteorologi pnk'!G255</f>
        <v>7.4</v>
      </c>
      <c r="AJ232" s="131">
        <f>'Sta. Meteorologi pnk'!H255</f>
        <v>0</v>
      </c>
      <c r="AK232" s="131">
        <f>'Sta. Meteorologi pnk'!I255</f>
        <v>0</v>
      </c>
      <c r="AL232" s="131">
        <f>'Sta. Meteorologi pnk'!J255</f>
        <v>0</v>
      </c>
      <c r="AM232" s="131">
        <f>'Sta. Meteorologi pnk'!K255</f>
        <v>9.6</v>
      </c>
      <c r="AN232" s="131">
        <f>'Sta. Meteorologi pnk'!L255</f>
        <v>0</v>
      </c>
      <c r="AO232" s="131">
        <f>'Sta. Meteorologi pnk'!M255</f>
        <v>0</v>
      </c>
      <c r="AQ232" s="130">
        <v>23</v>
      </c>
      <c r="AR232" s="131">
        <f t="shared" si="340"/>
        <v>0</v>
      </c>
      <c r="AS232" s="131">
        <f t="shared" si="318"/>
        <v>2.7152300684849995</v>
      </c>
      <c r="AT232" s="131">
        <f t="shared" si="319"/>
        <v>2.0285841023921063</v>
      </c>
      <c r="AU232" s="131">
        <f t="shared" si="320"/>
        <v>1.6866459660928927</v>
      </c>
      <c r="AV232" s="131">
        <f t="shared" si="321"/>
        <v>3.0428761535881592</v>
      </c>
      <c r="AW232" s="131">
        <f t="shared" si="322"/>
        <v>39.003397202176807</v>
      </c>
      <c r="AX232" s="131" t="e">
        <f t="shared" si="323"/>
        <v>#VALUE!</v>
      </c>
      <c r="AY232" s="131">
        <f t="shared" si="324"/>
        <v>0</v>
      </c>
      <c r="AZ232" s="131">
        <f t="shared" si="325"/>
        <v>0</v>
      </c>
      <c r="BA232" s="131">
        <f t="shared" si="326"/>
        <v>6.4914691276547396</v>
      </c>
      <c r="BB232" s="131">
        <f t="shared" si="327"/>
        <v>1.942831795215787</v>
      </c>
      <c r="BC232" s="131">
        <f t="shared" si="328"/>
        <v>0</v>
      </c>
      <c r="BE232" s="130">
        <v>23</v>
      </c>
      <c r="BF232" s="131">
        <f t="shared" si="341"/>
        <v>0</v>
      </c>
      <c r="BG232" s="131">
        <f t="shared" si="329"/>
        <v>2.7979436214553357</v>
      </c>
      <c r="BH232" s="131">
        <f t="shared" si="330"/>
        <v>1.8979837555968391</v>
      </c>
      <c r="BI232" s="131">
        <f t="shared" si="331"/>
        <v>1.8999598658584962</v>
      </c>
      <c r="BJ232" s="131">
        <f t="shared" si="332"/>
        <v>2.8469756333952585</v>
      </c>
      <c r="BK232" s="131">
        <f t="shared" si="333"/>
        <v>43.252261817916171</v>
      </c>
      <c r="BL232" s="131" t="s">
        <v>73</v>
      </c>
      <c r="BM232" s="131">
        <f t="shared" si="334"/>
        <v>0</v>
      </c>
      <c r="BN232" s="131">
        <f t="shared" si="335"/>
        <v>0</v>
      </c>
      <c r="BO232" s="131">
        <f t="shared" si="336"/>
        <v>6.073548017909884</v>
      </c>
      <c r="BP232" s="131">
        <f t="shared" si="337"/>
        <v>2.2040324888063219</v>
      </c>
      <c r="BQ232" s="131">
        <f t="shared" si="338"/>
        <v>0</v>
      </c>
    </row>
    <row r="233" spans="1:69">
      <c r="A233" s="130">
        <v>24</v>
      </c>
      <c r="B233" s="131">
        <f t="shared" si="339"/>
        <v>0</v>
      </c>
      <c r="C233" s="131">
        <f t="shared" si="308"/>
        <v>11.342903231062518</v>
      </c>
      <c r="D233" s="131">
        <f t="shared" si="309"/>
        <v>7.326628973652908</v>
      </c>
      <c r="E233" s="131">
        <f t="shared" si="310"/>
        <v>1.314193537874961</v>
      </c>
      <c r="F233" s="131">
        <f t="shared" si="311"/>
        <v>11.334919264171539</v>
      </c>
      <c r="G233" s="131">
        <f t="shared" si="312"/>
        <v>46.287096931875581</v>
      </c>
      <c r="H233" s="131" t="s">
        <v>73</v>
      </c>
      <c r="I233" s="131">
        <f t="shared" si="313"/>
        <v>0</v>
      </c>
      <c r="J233" s="131">
        <f t="shared" si="314"/>
        <v>22.15790331253157</v>
      </c>
      <c r="K233" s="131">
        <f t="shared" si="315"/>
        <v>0</v>
      </c>
      <c r="L233" s="131">
        <f t="shared" si="316"/>
        <v>2.1355644990468114</v>
      </c>
      <c r="M233" s="131">
        <f t="shared" si="317"/>
        <v>0</v>
      </c>
      <c r="O233" s="130">
        <v>24</v>
      </c>
      <c r="P233" s="131">
        <f>'Stasiun Pontianak Kota'!Q295</f>
        <v>0</v>
      </c>
      <c r="Q233" s="131">
        <f>'Stasiun Pontianak Kota'!R295</f>
        <v>12</v>
      </c>
      <c r="R233" s="131">
        <f>'Stasiun Pontianak Kota'!S295</f>
        <v>0</v>
      </c>
      <c r="S233" s="131">
        <f>'Stasiun Pontianak Kota'!T295</f>
        <v>0</v>
      </c>
      <c r="T233" s="131">
        <f>'Stasiun Pontianak Kota'!U295</f>
        <v>0</v>
      </c>
      <c r="U233" s="131">
        <f>'Stasiun Pontianak Kota'!V295</f>
        <v>66</v>
      </c>
      <c r="V233" s="131" t="str">
        <f>'Stasiun Pontianak Kota'!W295</f>
        <v>-</v>
      </c>
      <c r="W233" s="131">
        <f>'Stasiun Pontianak Kota'!X295</f>
        <v>0</v>
      </c>
      <c r="X233" s="131">
        <f>'Stasiun Pontianak Kota'!Y295</f>
        <v>33</v>
      </c>
      <c r="Y233" s="131">
        <f>'Stasiun Pontianak Kota'!Z295</f>
        <v>0</v>
      </c>
      <c r="Z233" s="131">
        <f>'Stasiun Pontianak Kota'!AA295</f>
        <v>0</v>
      </c>
      <c r="AA233" s="131">
        <f>'Stasiun Pontianak Kota'!AB295</f>
        <v>0</v>
      </c>
      <c r="AC233" s="130">
        <v>24</v>
      </c>
      <c r="AD233" s="131">
        <f>'Sta. Meteorologi pnk'!B256</f>
        <v>0</v>
      </c>
      <c r="AE233" s="131">
        <f>'Sta. Meteorologi pnk'!C256</f>
        <v>10</v>
      </c>
      <c r="AF233" s="131">
        <f>'Sta. Meteorologi pnk'!D256</f>
        <v>22.3</v>
      </c>
      <c r="AG233" s="131">
        <f>'Sta. Meteorologi pnk'!E256</f>
        <v>4</v>
      </c>
      <c r="AH233" s="131">
        <f>'Sta. Meteorologi pnk'!F256</f>
        <v>34.5</v>
      </c>
      <c r="AI233" s="131">
        <f>'Sta. Meteorologi pnk'!G256</f>
        <v>6</v>
      </c>
      <c r="AJ233" s="131">
        <f>'Sta. Meteorologi pnk'!H256</f>
        <v>0</v>
      </c>
      <c r="AK233" s="131">
        <f>'Sta. Meteorologi pnk'!I256</f>
        <v>0</v>
      </c>
      <c r="AL233" s="131">
        <f>'Sta. Meteorologi pnk'!J256</f>
        <v>0</v>
      </c>
      <c r="AM233" s="131">
        <f>'Sta. Meteorologi pnk'!K256</f>
        <v>0</v>
      </c>
      <c r="AN233" s="131">
        <f>'Sta. Meteorologi pnk'!L256</f>
        <v>6.5</v>
      </c>
      <c r="AO233" s="131">
        <f>'Sta. Meteorologi pnk'!M256</f>
        <v>0</v>
      </c>
      <c r="AQ233" s="130">
        <v>24</v>
      </c>
      <c r="AR233" s="131">
        <f t="shared" si="340"/>
        <v>0</v>
      </c>
      <c r="AS233" s="131">
        <f t="shared" si="318"/>
        <v>10.647610598405262</v>
      </c>
      <c r="AT233" s="131">
        <f t="shared" si="319"/>
        <v>15.079141827781323</v>
      </c>
      <c r="AU233" s="131">
        <f t="shared" si="320"/>
        <v>2.7047788031894751</v>
      </c>
      <c r="AV233" s="131">
        <f t="shared" si="321"/>
        <v>23.328717177509223</v>
      </c>
      <c r="AW233" s="131">
        <f t="shared" si="322"/>
        <v>25.428317952157872</v>
      </c>
      <c r="AX233" s="131" t="e">
        <f t="shared" si="323"/>
        <v>#VALUE!</v>
      </c>
      <c r="AY233" s="131">
        <f t="shared" si="324"/>
        <v>0</v>
      </c>
      <c r="AZ233" s="131">
        <f t="shared" si="325"/>
        <v>10.68557487368683</v>
      </c>
      <c r="BA233" s="131">
        <f t="shared" si="326"/>
        <v>0</v>
      </c>
      <c r="BB233" s="131">
        <f t="shared" si="327"/>
        <v>4.3952655551828963</v>
      </c>
      <c r="BC233" s="131">
        <f t="shared" si="328"/>
        <v>0</v>
      </c>
      <c r="BE233" s="130">
        <v>24</v>
      </c>
      <c r="BF233" s="131">
        <f t="shared" si="341"/>
        <v>0</v>
      </c>
      <c r="BG233" s="131">
        <f t="shared" si="329"/>
        <v>10.734677496268773</v>
      </c>
      <c r="BH233" s="131">
        <f t="shared" si="330"/>
        <v>14.10834591660317</v>
      </c>
      <c r="BI233" s="131">
        <f t="shared" si="331"/>
        <v>2.5306450074624518</v>
      </c>
      <c r="BJ233" s="131">
        <f t="shared" si="332"/>
        <v>21.826813189363651</v>
      </c>
      <c r="BK233" s="131">
        <f t="shared" si="333"/>
        <v>28.040324888063221</v>
      </c>
      <c r="BL233" s="131" t="s">
        <v>73</v>
      </c>
      <c r="BM233" s="131">
        <f t="shared" si="334"/>
        <v>0</v>
      </c>
      <c r="BN233" s="131">
        <f t="shared" si="335"/>
        <v>12.12217868843477</v>
      </c>
      <c r="BO233" s="131">
        <f t="shared" si="336"/>
        <v>0</v>
      </c>
      <c r="BP233" s="131">
        <f t="shared" si="337"/>
        <v>4.1122981371264844</v>
      </c>
      <c r="BQ233" s="131">
        <f t="shared" si="338"/>
        <v>0</v>
      </c>
    </row>
    <row r="234" spans="1:69">
      <c r="A234" s="130">
        <v>25</v>
      </c>
      <c r="B234" s="131">
        <f t="shared" si="339"/>
        <v>0.26283870757499223</v>
      </c>
      <c r="C234" s="131">
        <f t="shared" si="308"/>
        <v>3.4497580369217729</v>
      </c>
      <c r="D234" s="131">
        <f t="shared" si="309"/>
        <v>0.88708063806559878</v>
      </c>
      <c r="E234" s="131">
        <f t="shared" si="310"/>
        <v>0.45996773825623638</v>
      </c>
      <c r="F234" s="131">
        <f t="shared" si="311"/>
        <v>0.98564515340622083</v>
      </c>
      <c r="G234" s="131">
        <f t="shared" si="312"/>
        <v>75.334612940543892</v>
      </c>
      <c r="H234" s="131" t="s">
        <v>73</v>
      </c>
      <c r="I234" s="131">
        <f t="shared" si="313"/>
        <v>3.2854838446874028E-2</v>
      </c>
      <c r="J234" s="131">
        <f t="shared" si="314"/>
        <v>1.0842096687468428</v>
      </c>
      <c r="K234" s="131">
        <f t="shared" si="315"/>
        <v>32.523758004334155</v>
      </c>
      <c r="L234" s="131">
        <f t="shared" si="316"/>
        <v>30.591387092043735</v>
      </c>
      <c r="M234" s="131">
        <f t="shared" si="317"/>
        <v>0</v>
      </c>
      <c r="O234" s="130">
        <v>25</v>
      </c>
      <c r="P234" s="131">
        <f>'Stasiun Pontianak Kota'!Q296</f>
        <v>0</v>
      </c>
      <c r="Q234" s="131">
        <f>'Stasiun Pontianak Kota'!R296</f>
        <v>0</v>
      </c>
      <c r="R234" s="131">
        <f>'Stasiun Pontianak Kota'!S296</f>
        <v>0</v>
      </c>
      <c r="S234" s="131">
        <f>'Stasiun Pontianak Kota'!T296</f>
        <v>0</v>
      </c>
      <c r="T234" s="131">
        <f>'Stasiun Pontianak Kota'!U296</f>
        <v>0</v>
      </c>
      <c r="U234" s="131">
        <f>'Stasiun Pontianak Kota'!V296</f>
        <v>80</v>
      </c>
      <c r="V234" s="131" t="str">
        <f>'Stasiun Pontianak Kota'!W296</f>
        <v>-</v>
      </c>
      <c r="W234" s="131">
        <f>'Stasiun Pontianak Kota'!X296</f>
        <v>0</v>
      </c>
      <c r="X234" s="131">
        <f>'Stasiun Pontianak Kota'!Y296</f>
        <v>0</v>
      </c>
      <c r="Y234" s="131">
        <f>'Stasiun Pontianak Kota'!Z296</f>
        <v>25</v>
      </c>
      <c r="Z234" s="131">
        <f>'Stasiun Pontianak Kota'!AA296</f>
        <v>30</v>
      </c>
      <c r="AA234" s="131">
        <f>'Stasiun Pontianak Kota'!AB296</f>
        <v>0</v>
      </c>
      <c r="AC234" s="130">
        <v>25</v>
      </c>
      <c r="AD234" s="131">
        <f>'Sta. Meteorologi pnk'!B257</f>
        <v>0.8</v>
      </c>
      <c r="AE234" s="131">
        <f>'Sta. Meteorologi pnk'!C257</f>
        <v>10.5</v>
      </c>
      <c r="AF234" s="131">
        <f>'Sta. Meteorologi pnk'!D257</f>
        <v>2.7</v>
      </c>
      <c r="AG234" s="131">
        <f>'Sta. Meteorologi pnk'!E257</f>
        <v>1.4</v>
      </c>
      <c r="AH234" s="131">
        <f>'Sta. Meteorologi pnk'!F257</f>
        <v>3</v>
      </c>
      <c r="AI234" s="131">
        <f>'Sta. Meteorologi pnk'!G257</f>
        <v>65.8</v>
      </c>
      <c r="AJ234" s="131">
        <f>'Sta. Meteorologi pnk'!H257</f>
        <v>0</v>
      </c>
      <c r="AK234" s="131">
        <f>'Sta. Meteorologi pnk'!I257</f>
        <v>0.1</v>
      </c>
      <c r="AL234" s="131">
        <f>'Sta. Meteorologi pnk'!J257</f>
        <v>3.3</v>
      </c>
      <c r="AM234" s="131">
        <f>'Sta. Meteorologi pnk'!K257</f>
        <v>47.9</v>
      </c>
      <c r="AN234" s="131">
        <f>'Sta. Meteorologi pnk'!L257</f>
        <v>31.8</v>
      </c>
      <c r="AO234" s="131">
        <f>'Sta. Meteorologi pnk'!M257</f>
        <v>0</v>
      </c>
      <c r="AQ234" s="130">
        <v>25</v>
      </c>
      <c r="AR234" s="131">
        <f t="shared" si="340"/>
        <v>0.54095576063789497</v>
      </c>
      <c r="AS234" s="131">
        <f t="shared" si="318"/>
        <v>7.1000443583723722</v>
      </c>
      <c r="AT234" s="131">
        <f t="shared" si="319"/>
        <v>1.8257256921528955</v>
      </c>
      <c r="AU234" s="131">
        <f t="shared" si="320"/>
        <v>0.94667258111631614</v>
      </c>
      <c r="AV234" s="131">
        <f t="shared" si="321"/>
        <v>2.0285841023921063</v>
      </c>
      <c r="AW234" s="131">
        <f t="shared" si="322"/>
        <v>70.39803524867736</v>
      </c>
      <c r="AX234" s="131" t="e">
        <f t="shared" si="323"/>
        <v>#VALUE!</v>
      </c>
      <c r="AY234" s="131">
        <f t="shared" si="324"/>
        <v>6.7619470079736871E-2</v>
      </c>
      <c r="AZ234" s="131">
        <f t="shared" si="325"/>
        <v>2.2314425126313169</v>
      </c>
      <c r="BA234" s="131">
        <f t="shared" si="326"/>
        <v>40.484858648259745</v>
      </c>
      <c r="BB234" s="131">
        <f t="shared" si="327"/>
        <v>31.217150461435264</v>
      </c>
      <c r="BC234" s="131">
        <f t="shared" si="328"/>
        <v>0</v>
      </c>
      <c r="BE234" s="130">
        <v>25</v>
      </c>
      <c r="BF234" s="131">
        <f t="shared" si="341"/>
        <v>0.5061290014924904</v>
      </c>
      <c r="BG234" s="131">
        <f t="shared" si="329"/>
        <v>6.6429431445889362</v>
      </c>
      <c r="BH234" s="131">
        <f t="shared" si="330"/>
        <v>1.7081853800371549</v>
      </c>
      <c r="BI234" s="131">
        <f t="shared" si="331"/>
        <v>0.88572575261185815</v>
      </c>
      <c r="BJ234" s="131">
        <f t="shared" si="332"/>
        <v>1.8979837555968391</v>
      </c>
      <c r="BK234" s="131">
        <f t="shared" si="333"/>
        <v>71.016210223508295</v>
      </c>
      <c r="BL234" s="131" t="s">
        <v>73</v>
      </c>
      <c r="BM234" s="131">
        <f t="shared" si="334"/>
        <v>6.3266125186561301E-2</v>
      </c>
      <c r="BN234" s="131">
        <f t="shared" si="335"/>
        <v>2.0877821311565228</v>
      </c>
      <c r="BO234" s="131">
        <f t="shared" si="336"/>
        <v>39.487942667722535</v>
      </c>
      <c r="BP234" s="131">
        <f t="shared" si="337"/>
        <v>31.138790253358106</v>
      </c>
      <c r="BQ234" s="131">
        <f t="shared" si="338"/>
        <v>0</v>
      </c>
    </row>
    <row r="235" spans="1:69">
      <c r="A235" s="130">
        <v>26</v>
      </c>
      <c r="B235" s="131">
        <f t="shared" si="339"/>
        <v>8.6899516073843532</v>
      </c>
      <c r="C235" s="131">
        <f t="shared" si="308"/>
        <v>0.75566128427810253</v>
      </c>
      <c r="D235" s="131">
        <f t="shared" si="309"/>
        <v>9.8564515340622078E-2</v>
      </c>
      <c r="E235" s="131">
        <f t="shared" si="310"/>
        <v>5.4867580206279625</v>
      </c>
      <c r="F235" s="131">
        <f t="shared" si="311"/>
        <v>17.577338569077604</v>
      </c>
      <c r="G235" s="131">
        <f t="shared" si="312"/>
        <v>41.068241734964879</v>
      </c>
      <c r="H235" s="131" t="s">
        <v>73</v>
      </c>
      <c r="I235" s="131">
        <f t="shared" si="313"/>
        <v>0</v>
      </c>
      <c r="J235" s="131">
        <f t="shared" si="314"/>
        <v>19.242419304906065</v>
      </c>
      <c r="K235" s="131">
        <f t="shared" si="315"/>
        <v>4.4312580450686783</v>
      </c>
      <c r="L235" s="131">
        <f t="shared" si="316"/>
        <v>0.82137096117185071</v>
      </c>
      <c r="M235" s="131">
        <f t="shared" si="317"/>
        <v>0</v>
      </c>
      <c r="O235" s="130">
        <v>26</v>
      </c>
      <c r="P235" s="131">
        <f>'Stasiun Pontianak Kota'!Q297</f>
        <v>8</v>
      </c>
      <c r="Q235" s="131">
        <f>'Stasiun Pontianak Kota'!R297</f>
        <v>0</v>
      </c>
      <c r="R235" s="131">
        <f>'Stasiun Pontianak Kota'!S297</f>
        <v>0</v>
      </c>
      <c r="S235" s="131">
        <f>'Stasiun Pontianak Kota'!T297</f>
        <v>0</v>
      </c>
      <c r="T235" s="131">
        <f>'Stasiun Pontianak Kota'!U297</f>
        <v>0</v>
      </c>
      <c r="U235" s="131">
        <f>'Stasiun Pontianak Kota'!V297</f>
        <v>16</v>
      </c>
      <c r="V235" s="131" t="str">
        <f>'Stasiun Pontianak Kota'!W297</f>
        <v>-</v>
      </c>
      <c r="W235" s="131">
        <f>'Stasiun Pontianak Kota'!X297</f>
        <v>0</v>
      </c>
      <c r="X235" s="131">
        <f>'Stasiun Pontianak Kota'!Y297</f>
        <v>13</v>
      </c>
      <c r="Y235" s="131">
        <f>'Stasiun Pontianak Kota'!Z297</f>
        <v>2</v>
      </c>
      <c r="Z235" s="131">
        <f>'Stasiun Pontianak Kota'!AA297</f>
        <v>0</v>
      </c>
      <c r="AA235" s="131">
        <f>'Stasiun Pontianak Kota'!AB297</f>
        <v>0</v>
      </c>
      <c r="AC235" s="130">
        <v>26</v>
      </c>
      <c r="AD235" s="131">
        <f>'Sta. Meteorologi pnk'!B258</f>
        <v>10.1</v>
      </c>
      <c r="AE235" s="131">
        <f>'Sta. Meteorologi pnk'!C258</f>
        <v>2.2999999999999998</v>
      </c>
      <c r="AF235" s="131">
        <f>'Sta. Meteorologi pnk'!D258</f>
        <v>0.3</v>
      </c>
      <c r="AG235" s="131">
        <f>'Sta. Meteorologi pnk'!E258</f>
        <v>16.7</v>
      </c>
      <c r="AH235" s="131">
        <f>'Sta. Meteorologi pnk'!F258</f>
        <v>53.5</v>
      </c>
      <c r="AI235" s="131">
        <f>'Sta. Meteorologi pnk'!G258</f>
        <v>92.3</v>
      </c>
      <c r="AJ235" s="131">
        <f>'Sta. Meteorologi pnk'!H258</f>
        <v>1.6</v>
      </c>
      <c r="AK235" s="131">
        <f>'Sta. Meteorologi pnk'!I258</f>
        <v>0</v>
      </c>
      <c r="AL235" s="131">
        <f>'Sta. Meteorologi pnk'!J258</f>
        <v>32</v>
      </c>
      <c r="AM235" s="131">
        <f>'Sta. Meteorologi pnk'!K258</f>
        <v>9.4</v>
      </c>
      <c r="AN235" s="131">
        <f>'Sta. Meteorologi pnk'!L258</f>
        <v>2.5</v>
      </c>
      <c r="AO235" s="131">
        <f>'Sta. Meteorologi pnk'!M258</f>
        <v>0</v>
      </c>
      <c r="AQ235" s="130">
        <v>26</v>
      </c>
      <c r="AR235" s="131">
        <f t="shared" si="340"/>
        <v>9.4200088716744723</v>
      </c>
      <c r="AS235" s="131">
        <f t="shared" si="318"/>
        <v>1.5552478118339481</v>
      </c>
      <c r="AT235" s="131">
        <f t="shared" si="319"/>
        <v>0.20285841023921061</v>
      </c>
      <c r="AU235" s="131">
        <f t="shared" si="320"/>
        <v>11.292451503316057</v>
      </c>
      <c r="AV235" s="131">
        <f t="shared" si="321"/>
        <v>36.176416492659229</v>
      </c>
      <c r="AW235" s="131">
        <f t="shared" si="322"/>
        <v>67.59365567083924</v>
      </c>
      <c r="AX235" s="131" t="e">
        <f t="shared" si="323"/>
        <v>#VALUE!</v>
      </c>
      <c r="AY235" s="131">
        <f t="shared" si="324"/>
        <v>0</v>
      </c>
      <c r="AZ235" s="131">
        <f t="shared" si="325"/>
        <v>25.847699315150006</v>
      </c>
      <c r="BA235" s="131">
        <f t="shared" si="326"/>
        <v>7.0038407859005281</v>
      </c>
      <c r="BB235" s="131">
        <f t="shared" si="327"/>
        <v>1.6904867519934219</v>
      </c>
      <c r="BC235" s="131">
        <f t="shared" si="328"/>
        <v>0</v>
      </c>
      <c r="BE235" s="130">
        <v>26</v>
      </c>
      <c r="BF235" s="131">
        <f t="shared" si="341"/>
        <v>9.3285886289177871</v>
      </c>
      <c r="BG235" s="131">
        <f t="shared" si="329"/>
        <v>1.4551208792909101</v>
      </c>
      <c r="BH235" s="131">
        <f t="shared" si="330"/>
        <v>0.18979837555968387</v>
      </c>
      <c r="BI235" s="131">
        <f t="shared" si="331"/>
        <v>10.565442906155736</v>
      </c>
      <c r="BJ235" s="131">
        <f t="shared" si="332"/>
        <v>33.847376974810295</v>
      </c>
      <c r="BK235" s="131">
        <f t="shared" si="333"/>
        <v>64.272053517346279</v>
      </c>
      <c r="BL235" s="131" t="s">
        <v>73</v>
      </c>
      <c r="BM235" s="131">
        <f t="shared" si="334"/>
        <v>0</v>
      </c>
      <c r="BN235" s="131">
        <f t="shared" si="335"/>
        <v>25.020563785446647</v>
      </c>
      <c r="BO235" s="131">
        <f t="shared" si="336"/>
        <v>6.6816932638055357</v>
      </c>
      <c r="BP235" s="131">
        <f t="shared" si="337"/>
        <v>1.5816531296640326</v>
      </c>
      <c r="BQ235" s="131">
        <f t="shared" si="338"/>
        <v>0</v>
      </c>
    </row>
    <row r="236" spans="1:69">
      <c r="A236" s="130">
        <v>27</v>
      </c>
      <c r="B236" s="131">
        <f t="shared" si="339"/>
        <v>0</v>
      </c>
      <c r="C236" s="131">
        <f t="shared" si="308"/>
        <v>27.443387157218972</v>
      </c>
      <c r="D236" s="131">
        <f t="shared" si="309"/>
        <v>9.7250321802747113</v>
      </c>
      <c r="E236" s="131">
        <f t="shared" si="310"/>
        <v>0</v>
      </c>
      <c r="F236" s="131">
        <f t="shared" si="311"/>
        <v>37.47401626122236</v>
      </c>
      <c r="G236" s="131">
        <f t="shared" si="312"/>
        <v>0</v>
      </c>
      <c r="H236" s="131" t="s">
        <v>73</v>
      </c>
      <c r="I236" s="131">
        <f t="shared" si="313"/>
        <v>0.13141935378749611</v>
      </c>
      <c r="J236" s="131">
        <f t="shared" si="314"/>
        <v>0</v>
      </c>
      <c r="K236" s="131">
        <f t="shared" si="315"/>
        <v>6.8995160738435457</v>
      </c>
      <c r="L236" s="131">
        <f t="shared" si="316"/>
        <v>0</v>
      </c>
      <c r="M236" s="131">
        <f t="shared" si="317"/>
        <v>0.22998386912811819</v>
      </c>
      <c r="O236" s="130">
        <v>27</v>
      </c>
      <c r="P236" s="131">
        <f>'Stasiun Pontianak Kota'!Q298</f>
        <v>0</v>
      </c>
      <c r="Q236" s="131">
        <f>'Stasiun Pontianak Kota'!R298</f>
        <v>35</v>
      </c>
      <c r="R236" s="131">
        <f>'Stasiun Pontianak Kota'!S298</f>
        <v>0</v>
      </c>
      <c r="S236" s="131">
        <f>'Stasiun Pontianak Kota'!T298</f>
        <v>0</v>
      </c>
      <c r="T236" s="131">
        <f>'Stasiun Pontianak Kota'!U298</f>
        <v>54</v>
      </c>
      <c r="U236" s="131">
        <f>'Stasiun Pontianak Kota'!V298</f>
        <v>0</v>
      </c>
      <c r="V236" s="131" t="str">
        <f>'Stasiun Pontianak Kota'!W298</f>
        <v>-</v>
      </c>
      <c r="W236" s="131">
        <f>'Stasiun Pontianak Kota'!X298</f>
        <v>0</v>
      </c>
      <c r="X236" s="131">
        <f>'Stasiun Pontianak Kota'!Y298</f>
        <v>0</v>
      </c>
      <c r="Y236" s="131">
        <f>'Stasiun Pontianak Kota'!Z298</f>
        <v>0</v>
      </c>
      <c r="Z236" s="131">
        <f>'Stasiun Pontianak Kota'!AA298</f>
        <v>0</v>
      </c>
      <c r="AA236" s="131">
        <f>'Stasiun Pontianak Kota'!AB298</f>
        <v>0</v>
      </c>
      <c r="AC236" s="130">
        <v>27</v>
      </c>
      <c r="AD236" s="131">
        <f>'Sta. Meteorologi pnk'!B259</f>
        <v>0</v>
      </c>
      <c r="AE236" s="131">
        <f>'Sta. Meteorologi pnk'!C259</f>
        <v>12</v>
      </c>
      <c r="AF236" s="131">
        <f>'Sta. Meteorologi pnk'!D259</f>
        <v>29.6</v>
      </c>
      <c r="AG236" s="131">
        <f>'Sta. Meteorologi pnk'!E259</f>
        <v>0</v>
      </c>
      <c r="AH236" s="131">
        <f>'Sta. Meteorologi pnk'!F259</f>
        <v>3.7</v>
      </c>
      <c r="AI236" s="131">
        <f>'Sta. Meteorologi pnk'!G259</f>
        <v>0</v>
      </c>
      <c r="AJ236" s="131">
        <f>'Sta. Meteorologi pnk'!H259</f>
        <v>9</v>
      </c>
      <c r="AK236" s="131">
        <f>'Sta. Meteorologi pnk'!I259</f>
        <v>0.4</v>
      </c>
      <c r="AL236" s="131">
        <f>'Sta. Meteorologi pnk'!J259</f>
        <v>0</v>
      </c>
      <c r="AM236" s="131">
        <f>'Sta. Meteorologi pnk'!K259</f>
        <v>21</v>
      </c>
      <c r="AN236" s="131">
        <f>'Sta. Meteorologi pnk'!L259</f>
        <v>0</v>
      </c>
      <c r="AO236" s="131">
        <f>'Sta. Meteorologi pnk'!M259</f>
        <v>0.7</v>
      </c>
      <c r="AQ236" s="130">
        <v>27</v>
      </c>
      <c r="AR236" s="131">
        <f t="shared" si="340"/>
        <v>0</v>
      </c>
      <c r="AS236" s="131">
        <f t="shared" si="318"/>
        <v>19.447521881660517</v>
      </c>
      <c r="AT236" s="131">
        <f t="shared" si="319"/>
        <v>20.015363143602116</v>
      </c>
      <c r="AU236" s="131">
        <f t="shared" si="320"/>
        <v>0</v>
      </c>
      <c r="AV236" s="131">
        <f t="shared" si="321"/>
        <v>19.987406549892349</v>
      </c>
      <c r="AW236" s="131">
        <f t="shared" si="322"/>
        <v>0</v>
      </c>
      <c r="AX236" s="131" t="e">
        <f t="shared" si="323"/>
        <v>#VALUE!</v>
      </c>
      <c r="AY236" s="131">
        <f t="shared" si="324"/>
        <v>0.27047788031894748</v>
      </c>
      <c r="AZ236" s="131">
        <f t="shared" si="325"/>
        <v>0</v>
      </c>
      <c r="BA236" s="131">
        <f t="shared" si="326"/>
        <v>14.200088716744744</v>
      </c>
      <c r="BB236" s="131">
        <f t="shared" si="327"/>
        <v>0</v>
      </c>
      <c r="BC236" s="131">
        <f t="shared" si="328"/>
        <v>0.47333629055815807</v>
      </c>
      <c r="BE236" s="130">
        <v>27</v>
      </c>
      <c r="BF236" s="131">
        <f t="shared" si="341"/>
        <v>0</v>
      </c>
      <c r="BG236" s="131">
        <f t="shared" si="329"/>
        <v>20.448791207090899</v>
      </c>
      <c r="BH236" s="131">
        <f t="shared" si="330"/>
        <v>18.726773055222147</v>
      </c>
      <c r="BI236" s="131">
        <f t="shared" si="331"/>
        <v>0</v>
      </c>
      <c r="BJ236" s="131">
        <f t="shared" si="332"/>
        <v>22.177139031159669</v>
      </c>
      <c r="BK236" s="131">
        <f t="shared" si="333"/>
        <v>0</v>
      </c>
      <c r="BL236" s="131" t="s">
        <v>73</v>
      </c>
      <c r="BM236" s="131">
        <f t="shared" si="334"/>
        <v>0.2530645007462452</v>
      </c>
      <c r="BN236" s="131">
        <f t="shared" si="335"/>
        <v>0</v>
      </c>
      <c r="BO236" s="131">
        <f t="shared" si="336"/>
        <v>13.285886289177872</v>
      </c>
      <c r="BP236" s="131">
        <f t="shared" si="337"/>
        <v>0</v>
      </c>
      <c r="BQ236" s="131">
        <f t="shared" si="338"/>
        <v>0.44286287630592908</v>
      </c>
    </row>
    <row r="237" spans="1:69">
      <c r="A237" s="130">
        <v>28</v>
      </c>
      <c r="B237" s="131">
        <f t="shared" si="339"/>
        <v>0</v>
      </c>
      <c r="C237" s="131">
        <f t="shared" si="308"/>
        <v>10.661241914196797</v>
      </c>
      <c r="D237" s="131">
        <f t="shared" si="309"/>
        <v>14.554693431965195</v>
      </c>
      <c r="E237" s="131">
        <f t="shared" si="310"/>
        <v>3.6529516236781645</v>
      </c>
      <c r="F237" s="131">
        <f t="shared" si="311"/>
        <v>3.3511935215811506</v>
      </c>
      <c r="G237" s="131">
        <f t="shared" si="312"/>
        <v>3.2854838446874028E-2</v>
      </c>
      <c r="H237" s="131" t="s">
        <v>73</v>
      </c>
      <c r="I237" s="131">
        <f t="shared" si="313"/>
        <v>11.872725791471819</v>
      </c>
      <c r="J237" s="131">
        <f t="shared" si="314"/>
        <v>1.6755967607905753</v>
      </c>
      <c r="K237" s="131">
        <f t="shared" si="315"/>
        <v>8.0574193863751162</v>
      </c>
      <c r="L237" s="131">
        <f t="shared" si="316"/>
        <v>0</v>
      </c>
      <c r="M237" s="131">
        <f t="shared" si="317"/>
        <v>3.2854838446874028</v>
      </c>
      <c r="O237" s="130">
        <v>28</v>
      </c>
      <c r="P237" s="131">
        <f>'Stasiun Pontianak Kota'!Q299</f>
        <v>0</v>
      </c>
      <c r="Q237" s="131">
        <f>'Stasiun Pontianak Kota'!R299</f>
        <v>8</v>
      </c>
      <c r="R237" s="131">
        <f>'Stasiun Pontianak Kota'!S299</f>
        <v>0</v>
      </c>
      <c r="S237" s="131">
        <f>'Stasiun Pontianak Kota'!T299</f>
        <v>5</v>
      </c>
      <c r="T237" s="131">
        <f>'Stasiun Pontianak Kota'!U299</f>
        <v>0</v>
      </c>
      <c r="U237" s="131">
        <f>'Stasiun Pontianak Kota'!V299</f>
        <v>0</v>
      </c>
      <c r="V237" s="131" t="str">
        <f>'Stasiun Pontianak Kota'!W299</f>
        <v>-</v>
      </c>
      <c r="W237" s="131">
        <f>'Stasiun Pontianak Kota'!X299</f>
        <v>10</v>
      </c>
      <c r="X237" s="131">
        <f>'Stasiun Pontianak Kota'!Y299</f>
        <v>0</v>
      </c>
      <c r="Y237" s="131">
        <f>'Stasiun Pontianak Kota'!Z299</f>
        <v>12</v>
      </c>
      <c r="Z237" s="131">
        <f>'Stasiun Pontianak Kota'!AA299</f>
        <v>0</v>
      </c>
      <c r="AA237" s="131">
        <f>'Stasiun Pontianak Kota'!AB299</f>
        <v>0</v>
      </c>
      <c r="AC237" s="130">
        <v>28</v>
      </c>
      <c r="AD237" s="131">
        <f>'Sta. Meteorologi pnk'!B260</f>
        <v>0</v>
      </c>
      <c r="AE237" s="131">
        <f>'Sta. Meteorologi pnk'!C260</f>
        <v>16.100000000000001</v>
      </c>
      <c r="AF237" s="131">
        <f>'Sta. Meteorologi pnk'!D260</f>
        <v>44.3</v>
      </c>
      <c r="AG237" s="131">
        <f>'Sta. Meteorologi pnk'!E260</f>
        <v>0.9</v>
      </c>
      <c r="AH237" s="131">
        <f>'Sta. Meteorologi pnk'!F260</f>
        <v>10.199999999999999</v>
      </c>
      <c r="AI237" s="131">
        <f>'Sta. Meteorologi pnk'!G260</f>
        <v>0.1</v>
      </c>
      <c r="AJ237" s="131">
        <f>'Sta. Meteorologi pnk'!H260</f>
        <v>0.1</v>
      </c>
      <c r="AK237" s="131">
        <f>'Sta. Meteorologi pnk'!I260</f>
        <v>15.7</v>
      </c>
      <c r="AL237" s="131">
        <f>'Sta. Meteorologi pnk'!J260</f>
        <v>5.0999999999999996</v>
      </c>
      <c r="AM237" s="131">
        <f>'Sta. Meteorologi pnk'!K260</f>
        <v>0</v>
      </c>
      <c r="AN237" s="131">
        <f>'Sta. Meteorologi pnk'!L260</f>
        <v>0</v>
      </c>
      <c r="AO237" s="131">
        <f>'Sta. Meteorologi pnk'!M260</f>
        <v>10</v>
      </c>
      <c r="AQ237" s="130">
        <v>28</v>
      </c>
      <c r="AR237" s="131">
        <f t="shared" si="340"/>
        <v>0</v>
      </c>
      <c r="AS237" s="131">
        <f t="shared" si="318"/>
        <v>13.477177076458689</v>
      </c>
      <c r="AT237" s="131">
        <f t="shared" si="319"/>
        <v>29.955425245323433</v>
      </c>
      <c r="AU237" s="131">
        <f t="shared" si="320"/>
        <v>2.2276017267307879</v>
      </c>
      <c r="AV237" s="131">
        <f t="shared" si="321"/>
        <v>6.8971859481331599</v>
      </c>
      <c r="AW237" s="131">
        <f t="shared" si="322"/>
        <v>6.7619470079736871E-2</v>
      </c>
      <c r="AX237" s="131" t="e">
        <f t="shared" si="323"/>
        <v>#VALUE!</v>
      </c>
      <c r="AY237" s="131">
        <f t="shared" si="324"/>
        <v>13.854309794544999</v>
      </c>
      <c r="AZ237" s="131">
        <f t="shared" si="325"/>
        <v>3.4485929740665799</v>
      </c>
      <c r="BA237" s="131">
        <f t="shared" si="326"/>
        <v>3.8856635904315739</v>
      </c>
      <c r="BB237" s="131">
        <f t="shared" si="327"/>
        <v>0</v>
      </c>
      <c r="BC237" s="131">
        <f t="shared" si="328"/>
        <v>6.7619470079736876</v>
      </c>
      <c r="BE237" s="130">
        <v>28</v>
      </c>
      <c r="BF237" s="131">
        <f t="shared" si="341"/>
        <v>0</v>
      </c>
      <c r="BG237" s="131">
        <f t="shared" si="329"/>
        <v>13.124556140111466</v>
      </c>
      <c r="BH237" s="131">
        <f t="shared" si="330"/>
        <v>28.026893457646654</v>
      </c>
      <c r="BI237" s="131">
        <f t="shared" si="331"/>
        <v>2.406088867350987</v>
      </c>
      <c r="BJ237" s="131">
        <f t="shared" si="332"/>
        <v>6.4531447690292518</v>
      </c>
      <c r="BK237" s="131">
        <f t="shared" si="333"/>
        <v>6.3266125186561301E-2</v>
      </c>
      <c r="BL237" s="131" t="s">
        <v>73</v>
      </c>
      <c r="BM237" s="131">
        <f t="shared" si="334"/>
        <v>13.606169135633992</v>
      </c>
      <c r="BN237" s="131">
        <f t="shared" si="335"/>
        <v>3.2265723845146259</v>
      </c>
      <c r="BO237" s="131">
        <f t="shared" si="336"/>
        <v>4.4080649776126437</v>
      </c>
      <c r="BP237" s="131">
        <f t="shared" si="337"/>
        <v>0</v>
      </c>
      <c r="BQ237" s="131">
        <f t="shared" si="338"/>
        <v>6.3266125186561304</v>
      </c>
    </row>
    <row r="238" spans="1:69">
      <c r="A238" s="130">
        <v>29</v>
      </c>
      <c r="B238" s="131">
        <f t="shared" si="339"/>
        <v>0</v>
      </c>
      <c r="C238" s="131">
        <f t="shared" si="308"/>
        <v>0</v>
      </c>
      <c r="D238" s="131">
        <f t="shared" si="309"/>
        <v>0</v>
      </c>
      <c r="E238" s="131">
        <f t="shared" si="310"/>
        <v>3.3572580776562981</v>
      </c>
      <c r="F238" s="131">
        <f t="shared" si="311"/>
        <v>31.558225929969204</v>
      </c>
      <c r="G238" s="131">
        <f t="shared" si="312"/>
        <v>53.94611311162889</v>
      </c>
      <c r="H238" s="131" t="s">
        <v>73</v>
      </c>
      <c r="I238" s="131">
        <f t="shared" si="313"/>
        <v>15.942580613624884</v>
      </c>
      <c r="J238" s="131">
        <f t="shared" si="314"/>
        <v>22.15790331253157</v>
      </c>
      <c r="K238" s="131">
        <f t="shared" si="315"/>
        <v>0</v>
      </c>
      <c r="L238" s="131">
        <f t="shared" si="316"/>
        <v>64.25677415149984</v>
      </c>
      <c r="M238" s="131">
        <f t="shared" si="317"/>
        <v>5.4210483437342152</v>
      </c>
      <c r="O238" s="130">
        <v>29</v>
      </c>
      <c r="P238" s="131">
        <f>'Stasiun Pontianak Kota'!Q300</f>
        <v>0</v>
      </c>
      <c r="Q238" s="131">
        <f>'Stasiun Pontianak Kota'!R300</f>
        <v>0</v>
      </c>
      <c r="R238" s="131">
        <f>'Stasiun Pontianak Kota'!S300</f>
        <v>0</v>
      </c>
      <c r="S238" s="131">
        <f>'Stasiun Pontianak Kota'!T300</f>
        <v>5</v>
      </c>
      <c r="T238" s="131">
        <f>'Stasiun Pontianak Kota'!U300</f>
        <v>47</v>
      </c>
      <c r="U238" s="131">
        <f>'Stasiun Pontianak Kota'!V300</f>
        <v>80</v>
      </c>
      <c r="V238" s="131" t="str">
        <f>'Stasiun Pontianak Kota'!W300</f>
        <v>-</v>
      </c>
      <c r="W238" s="131">
        <f>'Stasiun Pontianak Kota'!X300</f>
        <v>12</v>
      </c>
      <c r="X238" s="131">
        <f>'Stasiun Pontianak Kota'!Y300</f>
        <v>33</v>
      </c>
      <c r="Y238" s="131">
        <f>'Stasiun Pontianak Kota'!Z300</f>
        <v>0</v>
      </c>
      <c r="Z238" s="131">
        <f>'Stasiun Pontianak Kota'!AA300</f>
        <v>59</v>
      </c>
      <c r="AA238" s="131">
        <f>'Stasiun Pontianak Kota'!AB300</f>
        <v>0</v>
      </c>
      <c r="AC238" s="130">
        <v>29</v>
      </c>
      <c r="AD238" s="131">
        <f>'Sta. Meteorologi pnk'!B261</f>
        <v>0</v>
      </c>
      <c r="AE238" s="131">
        <f>'Sta. Meteorologi pnk'!C261</f>
        <v>0</v>
      </c>
      <c r="AF238" s="131">
        <f>'Sta. Meteorologi pnk'!D261</f>
        <v>0</v>
      </c>
      <c r="AG238" s="131">
        <f>'Sta. Meteorologi pnk'!E261</f>
        <v>0</v>
      </c>
      <c r="AH238" s="131">
        <f>'Sta. Meteorologi pnk'!F261</f>
        <v>0</v>
      </c>
      <c r="AI238" s="131">
        <f>'Sta. Meteorologi pnk'!G261</f>
        <v>0.7</v>
      </c>
      <c r="AJ238" s="131">
        <f>'Sta. Meteorologi pnk'!H261</f>
        <v>0</v>
      </c>
      <c r="AK238" s="131">
        <f>'Sta. Meteorologi pnk'!I261</f>
        <v>24</v>
      </c>
      <c r="AL238" s="131">
        <f>'Sta. Meteorologi pnk'!J261</f>
        <v>0</v>
      </c>
      <c r="AM238" s="131">
        <f>'Sta. Meteorologi pnk'!K261</f>
        <v>0</v>
      </c>
      <c r="AN238" s="131">
        <f>'Sta. Meteorologi pnk'!L261</f>
        <v>75</v>
      </c>
      <c r="AO238" s="131">
        <f>'Sta. Meteorologi pnk'!M261</f>
        <v>16.5</v>
      </c>
      <c r="AQ238" s="130">
        <v>29</v>
      </c>
      <c r="AR238" s="131">
        <f t="shared" si="340"/>
        <v>0</v>
      </c>
      <c r="AS238" s="131">
        <f t="shared" si="318"/>
        <v>0</v>
      </c>
      <c r="AT238" s="131">
        <f t="shared" si="319"/>
        <v>0</v>
      </c>
      <c r="AU238" s="131">
        <f t="shared" si="320"/>
        <v>1.619026496013156</v>
      </c>
      <c r="AV238" s="131">
        <f t="shared" si="321"/>
        <v>15.218849062523667</v>
      </c>
      <c r="AW238" s="131">
        <f t="shared" si="322"/>
        <v>26.377760226768658</v>
      </c>
      <c r="AX238" s="131" t="e">
        <f t="shared" si="323"/>
        <v>#VALUE!</v>
      </c>
      <c r="AY238" s="131">
        <f t="shared" si="324"/>
        <v>20.114336409568423</v>
      </c>
      <c r="AZ238" s="131">
        <f t="shared" si="325"/>
        <v>10.68557487368683</v>
      </c>
      <c r="BA238" s="131">
        <f t="shared" si="326"/>
        <v>0</v>
      </c>
      <c r="BB238" s="131">
        <f t="shared" si="327"/>
        <v>69.819115212757893</v>
      </c>
      <c r="BC238" s="131">
        <f t="shared" si="328"/>
        <v>11.157212563156584</v>
      </c>
      <c r="BE238" s="130">
        <v>29</v>
      </c>
      <c r="BF238" s="131">
        <f t="shared" si="341"/>
        <v>0</v>
      </c>
      <c r="BG238" s="131">
        <f t="shared" si="329"/>
        <v>0</v>
      </c>
      <c r="BH238" s="131">
        <f t="shared" si="330"/>
        <v>0</v>
      </c>
      <c r="BI238" s="131">
        <f t="shared" si="331"/>
        <v>1.8366937406719348</v>
      </c>
      <c r="BJ238" s="131">
        <f t="shared" si="332"/>
        <v>17.264921162316188</v>
      </c>
      <c r="BK238" s="131">
        <f t="shared" si="333"/>
        <v>29.829962727056888</v>
      </c>
      <c r="BL238" s="131" t="s">
        <v>73</v>
      </c>
      <c r="BM238" s="131">
        <f t="shared" si="334"/>
        <v>19.591935022387357</v>
      </c>
      <c r="BN238" s="131">
        <f t="shared" si="335"/>
        <v>12.12217868843477</v>
      </c>
      <c r="BO238" s="131">
        <f t="shared" si="336"/>
        <v>0</v>
      </c>
      <c r="BP238" s="131">
        <f t="shared" si="337"/>
        <v>69.122580029849814</v>
      </c>
      <c r="BQ238" s="131">
        <f t="shared" si="338"/>
        <v>10.438910655782614</v>
      </c>
    </row>
    <row r="239" spans="1:69">
      <c r="A239" s="130">
        <v>30</v>
      </c>
      <c r="B239" s="131">
        <f t="shared" si="339"/>
        <v>22.377677480325225</v>
      </c>
      <c r="C239" s="131">
        <f t="shared" si="308"/>
        <v>0</v>
      </c>
      <c r="D239" s="131">
        <f t="shared" si="309"/>
        <v>0</v>
      </c>
      <c r="E239" s="131">
        <f t="shared" si="310"/>
        <v>4.7001613087188172</v>
      </c>
      <c r="F239" s="131">
        <f t="shared" si="311"/>
        <v>0.59138709204373252</v>
      </c>
      <c r="G239" s="131">
        <f t="shared" si="312"/>
        <v>70.252322682612871</v>
      </c>
      <c r="H239" s="131" t="s">
        <v>73</v>
      </c>
      <c r="I239" s="131">
        <f t="shared" si="313"/>
        <v>31.15790331253157</v>
      </c>
      <c r="J239" s="131">
        <f t="shared" si="314"/>
        <v>17.741612761311977</v>
      </c>
      <c r="K239" s="131">
        <f t="shared" si="315"/>
        <v>0</v>
      </c>
      <c r="L239" s="131">
        <f t="shared" si="316"/>
        <v>6.0883548140061592</v>
      </c>
      <c r="M239" s="131">
        <f t="shared" si="317"/>
        <v>15.047516008668303</v>
      </c>
      <c r="O239" s="130">
        <v>30</v>
      </c>
      <c r="P239" s="131">
        <f>'Stasiun Pontianak Kota'!Q301</f>
        <v>30</v>
      </c>
      <c r="Q239" s="131">
        <f>'Stasiun Pontianak Kota'!R301</f>
        <v>0</v>
      </c>
      <c r="R239" s="131">
        <f>'Stasiun Pontianak Kota'!S301</f>
        <v>0</v>
      </c>
      <c r="S239" s="131">
        <f>'Stasiun Pontianak Kota'!T301</f>
        <v>7</v>
      </c>
      <c r="T239" s="131">
        <f>'Stasiun Pontianak Kota'!U301</f>
        <v>0</v>
      </c>
      <c r="U239" s="131">
        <f>'Stasiun Pontianak Kota'!V301</f>
        <v>83</v>
      </c>
      <c r="V239" s="131" t="str">
        <f>'Stasiun Pontianak Kota'!W301</f>
        <v>-</v>
      </c>
      <c r="W239" s="131">
        <f>'Stasiun Pontianak Kota'!X301</f>
        <v>42</v>
      </c>
      <c r="X239" s="131">
        <f>'Stasiun Pontianak Kota'!Y301</f>
        <v>0</v>
      </c>
      <c r="Y239" s="131">
        <f>'Stasiun Pontianak Kota'!Z301</f>
        <v>0</v>
      </c>
      <c r="Z239" s="131">
        <f>'Stasiun Pontianak Kota'!AA301</f>
        <v>3</v>
      </c>
      <c r="AA239" s="131">
        <f>'Stasiun Pontianak Kota'!AB301</f>
        <v>0</v>
      </c>
      <c r="AC239" s="130">
        <v>30</v>
      </c>
      <c r="AD239" s="131">
        <f>'Sta. Meteorologi pnk'!B262</f>
        <v>6.8</v>
      </c>
      <c r="AE239" s="131">
        <f>'Sta. Meteorologi pnk'!C262</f>
        <v>0</v>
      </c>
      <c r="AF239" s="131">
        <f>'Sta. Meteorologi pnk'!D262</f>
        <v>0</v>
      </c>
      <c r="AG239" s="131">
        <f>'Sta. Meteorologi pnk'!E262</f>
        <v>0</v>
      </c>
      <c r="AH239" s="131">
        <f>'Sta. Meteorologi pnk'!F262</f>
        <v>1.8</v>
      </c>
      <c r="AI239" s="131">
        <f>'Sta. Meteorologi pnk'!G262</f>
        <v>44.2</v>
      </c>
      <c r="AJ239" s="131">
        <f>'Sta. Meteorologi pnk'!H262</f>
        <v>1.1000000000000001</v>
      </c>
      <c r="AK239" s="131">
        <f>'Sta. Meteorologi pnk'!I262</f>
        <v>9</v>
      </c>
      <c r="AL239" s="131">
        <f>'Sta. Meteorologi pnk'!J262</f>
        <v>54</v>
      </c>
      <c r="AM239" s="131">
        <f>'Sta. Meteorologi pnk'!K262</f>
        <v>0</v>
      </c>
      <c r="AN239" s="131">
        <f>'Sta. Meteorologi pnk'!L262</f>
        <v>12.4</v>
      </c>
      <c r="AO239" s="131">
        <f>'Sta. Meteorologi pnk'!M262</f>
        <v>45.8</v>
      </c>
      <c r="AQ239" s="130">
        <v>30</v>
      </c>
      <c r="AR239" s="131">
        <f t="shared" si="340"/>
        <v>14.312282941501044</v>
      </c>
      <c r="AS239" s="131">
        <f t="shared" si="318"/>
        <v>0</v>
      </c>
      <c r="AT239" s="131">
        <f t="shared" si="319"/>
        <v>0</v>
      </c>
      <c r="AU239" s="131">
        <f t="shared" si="320"/>
        <v>2.2666370944184182</v>
      </c>
      <c r="AV239" s="131">
        <f t="shared" si="321"/>
        <v>1.2171504614352637</v>
      </c>
      <c r="AW239" s="131">
        <f t="shared" si="322"/>
        <v>56.763645609062088</v>
      </c>
      <c r="AX239" s="131" t="e">
        <f t="shared" si="323"/>
        <v>#VALUE!</v>
      </c>
      <c r="AY239" s="131">
        <f t="shared" si="324"/>
        <v>19.685574873686829</v>
      </c>
      <c r="AZ239" s="131">
        <f t="shared" si="325"/>
        <v>36.514513843057905</v>
      </c>
      <c r="BA239" s="131">
        <f t="shared" si="326"/>
        <v>0</v>
      </c>
      <c r="BB239" s="131">
        <f t="shared" si="327"/>
        <v>9.3562301874952656</v>
      </c>
      <c r="BC239" s="131">
        <f t="shared" si="328"/>
        <v>30.969717296519487</v>
      </c>
      <c r="BE239" s="130">
        <v>30</v>
      </c>
      <c r="BF239" s="131">
        <f t="shared" si="341"/>
        <v>15.322258956717778</v>
      </c>
      <c r="BG239" s="131">
        <f t="shared" si="329"/>
        <v>0</v>
      </c>
      <c r="BH239" s="131">
        <f t="shared" si="330"/>
        <v>0</v>
      </c>
      <c r="BI239" s="131">
        <f t="shared" si="331"/>
        <v>2.5713712369407089</v>
      </c>
      <c r="BJ239" s="131">
        <f t="shared" si="332"/>
        <v>1.1387902533581036</v>
      </c>
      <c r="BK239" s="131">
        <f t="shared" si="333"/>
        <v>58.452743427614216</v>
      </c>
      <c r="BL239" s="131" t="s">
        <v>73</v>
      </c>
      <c r="BM239" s="131">
        <f t="shared" si="334"/>
        <v>21.122178688434769</v>
      </c>
      <c r="BN239" s="131">
        <f t="shared" si="335"/>
        <v>34.163707600743095</v>
      </c>
      <c r="BO239" s="131">
        <f t="shared" si="336"/>
        <v>0</v>
      </c>
      <c r="BP239" s="131">
        <f t="shared" si="337"/>
        <v>8.9470157675367616</v>
      </c>
      <c r="BQ239" s="131">
        <f t="shared" si="338"/>
        <v>28.975885335445074</v>
      </c>
    </row>
    <row r="240" spans="1:69" ht="15.75" thickBot="1">
      <c r="A240" s="133">
        <v>31</v>
      </c>
      <c r="B240" s="131">
        <f t="shared" si="339"/>
        <v>0</v>
      </c>
      <c r="C240" s="131">
        <f t="shared" si="308"/>
        <v>0</v>
      </c>
      <c r="D240" s="131">
        <f t="shared" si="309"/>
        <v>0</v>
      </c>
      <c r="E240" s="131">
        <f t="shared" si="310"/>
        <v>0</v>
      </c>
      <c r="F240" s="131">
        <f t="shared" si="311"/>
        <v>8.1151450963778853</v>
      </c>
      <c r="G240" s="131">
        <f t="shared" si="312"/>
        <v>0</v>
      </c>
      <c r="H240" s="131" t="s">
        <v>73</v>
      </c>
      <c r="I240" s="131">
        <f t="shared" si="313"/>
        <v>0</v>
      </c>
      <c r="J240" s="131">
        <f t="shared" si="314"/>
        <v>0</v>
      </c>
      <c r="K240" s="131">
        <f t="shared" si="315"/>
        <v>70.184387271275654</v>
      </c>
      <c r="L240" s="131">
        <f t="shared" si="316"/>
        <v>0</v>
      </c>
      <c r="M240" s="131">
        <f t="shared" si="317"/>
        <v>0.19712903068124416</v>
      </c>
      <c r="O240" s="133">
        <v>31</v>
      </c>
      <c r="P240" s="131">
        <f>'Stasiun Pontianak Kota'!Q302</f>
        <v>0</v>
      </c>
      <c r="Q240" s="131">
        <f>'Stasiun Pontianak Kota'!R302</f>
        <v>0</v>
      </c>
      <c r="R240" s="131">
        <f>'Stasiun Pontianak Kota'!S302</f>
        <v>0</v>
      </c>
      <c r="S240" s="131">
        <f>'Stasiun Pontianak Kota'!T302</f>
        <v>0</v>
      </c>
      <c r="T240" s="131">
        <f>'Stasiun Pontianak Kota'!U302</f>
        <v>0</v>
      </c>
      <c r="U240" s="131">
        <f>'Stasiun Pontianak Kota'!V302</f>
        <v>0</v>
      </c>
      <c r="V240" s="131" t="str">
        <f>'Stasiun Pontianak Kota'!W302</f>
        <v>-</v>
      </c>
      <c r="W240" s="131">
        <f>'Stasiun Pontianak Kota'!X302</f>
        <v>0</v>
      </c>
      <c r="X240" s="131">
        <f>'Stasiun Pontianak Kota'!Y302</f>
        <v>0</v>
      </c>
      <c r="Y240" s="131">
        <f>'Stasiun Pontianak Kota'!Z302</f>
        <v>92</v>
      </c>
      <c r="Z240" s="131">
        <f>'Stasiun Pontianak Kota'!AA302</f>
        <v>0</v>
      </c>
      <c r="AA240" s="131">
        <f>'Stasiun Pontianak Kota'!AB302</f>
        <v>0</v>
      </c>
      <c r="AC240" s="133">
        <v>31</v>
      </c>
      <c r="AD240" s="131">
        <f>'Sta. Meteorologi pnk'!B263</f>
        <v>0</v>
      </c>
      <c r="AE240" s="131">
        <f>'Sta. Meteorologi pnk'!C263</f>
        <v>0</v>
      </c>
      <c r="AF240" s="131">
        <f>'Sta. Meteorologi pnk'!D263</f>
        <v>0</v>
      </c>
      <c r="AG240" s="131">
        <f>'Sta. Meteorologi pnk'!E263</f>
        <v>0</v>
      </c>
      <c r="AH240" s="131">
        <f>'Sta. Meteorologi pnk'!F263</f>
        <v>24.7</v>
      </c>
      <c r="AI240" s="131">
        <f>'Sta. Meteorologi pnk'!G263</f>
        <v>0</v>
      </c>
      <c r="AJ240" s="131">
        <f>'Sta. Meteorologi pnk'!H263</f>
        <v>2.6</v>
      </c>
      <c r="AK240" s="131">
        <f>'Sta. Meteorologi pnk'!I263</f>
        <v>0</v>
      </c>
      <c r="AL240" s="131">
        <f>'Sta. Meteorologi pnk'!J263</f>
        <v>0</v>
      </c>
      <c r="AM240" s="131">
        <f>'Sta. Meteorologi pnk'!K263</f>
        <v>25.6</v>
      </c>
      <c r="AN240" s="131">
        <f>'Sta. Meteorologi pnk'!L263</f>
        <v>0</v>
      </c>
      <c r="AO240" s="131">
        <f>'Sta. Meteorologi pnk'!M263</f>
        <v>0.6</v>
      </c>
      <c r="AQ240" s="133">
        <v>31</v>
      </c>
      <c r="AR240" s="131">
        <f t="shared" si="340"/>
        <v>0</v>
      </c>
      <c r="AS240" s="131">
        <f t="shared" si="318"/>
        <v>0</v>
      </c>
      <c r="AT240" s="131">
        <f t="shared" si="319"/>
        <v>0</v>
      </c>
      <c r="AU240" s="131">
        <f t="shared" si="320"/>
        <v>0</v>
      </c>
      <c r="AV240" s="131">
        <f t="shared" si="321"/>
        <v>16.702009109695009</v>
      </c>
      <c r="AW240" s="131">
        <f t="shared" si="322"/>
        <v>0</v>
      </c>
      <c r="AX240" s="131" t="e">
        <f t="shared" si="323"/>
        <v>#VALUE!</v>
      </c>
      <c r="AY240" s="131">
        <f t="shared" si="324"/>
        <v>0</v>
      </c>
      <c r="AZ240" s="131">
        <f t="shared" si="325"/>
        <v>0</v>
      </c>
      <c r="BA240" s="131">
        <f t="shared" si="326"/>
        <v>47.100671867054714</v>
      </c>
      <c r="BB240" s="131">
        <f t="shared" si="327"/>
        <v>0</v>
      </c>
      <c r="BC240" s="131">
        <f t="shared" si="328"/>
        <v>0.40571682047842123</v>
      </c>
      <c r="BE240" s="133">
        <v>31</v>
      </c>
      <c r="BF240" s="131">
        <f t="shared" si="341"/>
        <v>0</v>
      </c>
      <c r="BG240" s="131">
        <f t="shared" si="329"/>
        <v>0</v>
      </c>
      <c r="BH240" s="131">
        <f t="shared" si="330"/>
        <v>0</v>
      </c>
      <c r="BI240" s="131">
        <f t="shared" si="331"/>
        <v>0</v>
      </c>
      <c r="BJ240" s="131">
        <f t="shared" si="332"/>
        <v>15.626732921080642</v>
      </c>
      <c r="BK240" s="131">
        <f t="shared" si="333"/>
        <v>0</v>
      </c>
      <c r="BL240" s="131" t="s">
        <v>73</v>
      </c>
      <c r="BM240" s="131">
        <f t="shared" si="334"/>
        <v>0</v>
      </c>
      <c r="BN240" s="131">
        <f t="shared" si="335"/>
        <v>0</v>
      </c>
      <c r="BO240" s="131">
        <f t="shared" si="336"/>
        <v>49.991292876123296</v>
      </c>
      <c r="BP240" s="131">
        <f t="shared" si="337"/>
        <v>0</v>
      </c>
      <c r="BQ240" s="131">
        <f t="shared" si="338"/>
        <v>0.37959675111936775</v>
      </c>
    </row>
    <row r="241" spans="1:70">
      <c r="A241" s="135" t="s">
        <v>28</v>
      </c>
      <c r="B241" s="136">
        <f>SUM(B210:B240)</f>
        <v>381.81177390709274</v>
      </c>
      <c r="C241" s="136">
        <f t="shared" ref="C241:M241" si="342">SUM(C210:C240)</f>
        <v>93.092499959265467</v>
      </c>
      <c r="D241" s="136">
        <f t="shared" si="342"/>
        <v>101.08543496325744</v>
      </c>
      <c r="E241" s="136">
        <f t="shared" si="342"/>
        <v>271.0963387808971</v>
      </c>
      <c r="F241" s="136">
        <f t="shared" si="342"/>
        <v>476.07461261466761</v>
      </c>
      <c r="G241" s="136">
        <f t="shared" si="342"/>
        <v>450.49029051863198</v>
      </c>
      <c r="H241" s="136">
        <f t="shared" si="342"/>
        <v>0</v>
      </c>
      <c r="I241" s="136">
        <f t="shared" si="342"/>
        <v>68.599677382562362</v>
      </c>
      <c r="J241" s="136">
        <f t="shared" si="342"/>
        <v>211.63345119189219</v>
      </c>
      <c r="K241" s="136">
        <f t="shared" si="342"/>
        <v>532.72058071138781</v>
      </c>
      <c r="L241" s="136">
        <f t="shared" si="342"/>
        <v>344.3313867661675</v>
      </c>
      <c r="M241" s="136">
        <f t="shared" si="342"/>
        <v>310.10808010036988</v>
      </c>
      <c r="N241" s="137">
        <f>COUNTIF(B210:M240,"&lt;0,1")-COUNTIF(B210:M240,"&lt;=0")</f>
        <v>-102</v>
      </c>
      <c r="O241" s="135" t="s">
        <v>28</v>
      </c>
      <c r="P241" s="136">
        <f>SUM(P210:P240)</f>
        <v>346</v>
      </c>
      <c r="Q241" s="136">
        <f t="shared" ref="Q241:AA241" si="343">SUM(Q210:Q240)</f>
        <v>88</v>
      </c>
      <c r="R241" s="136">
        <f t="shared" si="343"/>
        <v>36</v>
      </c>
      <c r="S241" s="136">
        <f t="shared" si="343"/>
        <v>280</v>
      </c>
      <c r="T241" s="136">
        <f t="shared" si="343"/>
        <v>440</v>
      </c>
      <c r="U241" s="136">
        <f t="shared" si="343"/>
        <v>475</v>
      </c>
      <c r="V241" s="136">
        <f t="shared" si="343"/>
        <v>0</v>
      </c>
      <c r="W241" s="136">
        <f t="shared" si="343"/>
        <v>64</v>
      </c>
      <c r="X241" s="136">
        <f t="shared" si="343"/>
        <v>159</v>
      </c>
      <c r="Y241" s="136">
        <f t="shared" si="343"/>
        <v>541</v>
      </c>
      <c r="Z241" s="136">
        <f t="shared" si="343"/>
        <v>303</v>
      </c>
      <c r="AA241" s="136">
        <f t="shared" si="343"/>
        <v>242</v>
      </c>
      <c r="AB241" s="137">
        <f>COUNTIF(P210:AA240,"&lt;0,1")-COUNTIF(P210:AA240,"&lt;=0")</f>
        <v>-216</v>
      </c>
      <c r="AC241" s="135" t="s">
        <v>28</v>
      </c>
      <c r="AD241" s="136">
        <f>SUM(AD210:AD240)</f>
        <v>455.00000000000006</v>
      </c>
      <c r="AE241" s="136">
        <f t="shared" ref="AE241:AO241" si="344">SUM(AE210:AE240)</f>
        <v>103.5</v>
      </c>
      <c r="AF241" s="136">
        <f t="shared" si="344"/>
        <v>234.09999999999997</v>
      </c>
      <c r="AG241" s="136">
        <f t="shared" si="344"/>
        <v>252.9</v>
      </c>
      <c r="AH241" s="136">
        <f t="shared" si="344"/>
        <v>549.80000000000007</v>
      </c>
      <c r="AI241" s="136">
        <f t="shared" si="344"/>
        <v>400.40000000000003</v>
      </c>
      <c r="AJ241" s="136">
        <f t="shared" si="344"/>
        <v>56.500000000000007</v>
      </c>
      <c r="AK241" s="136">
        <f t="shared" si="344"/>
        <v>78</v>
      </c>
      <c r="AL241" s="136">
        <f t="shared" si="344"/>
        <v>319.20000000000005</v>
      </c>
      <c r="AM241" s="136">
        <f t="shared" si="344"/>
        <v>515.79999999999995</v>
      </c>
      <c r="AN241" s="136">
        <f t="shared" si="344"/>
        <v>428.79999999999995</v>
      </c>
      <c r="AO241" s="136">
        <f t="shared" si="344"/>
        <v>449.3</v>
      </c>
      <c r="AP241" s="137">
        <f>COUNTIF(AD210:AO240,"&lt;0,1")-COUNTIF(AD210:AO240,"&lt;=0")</f>
        <v>-166</v>
      </c>
      <c r="AQ241" s="135" t="s">
        <v>28</v>
      </c>
      <c r="AR241" s="136">
        <f>SUM(AR210:AR240)</f>
        <v>419.70522238691319</v>
      </c>
      <c r="AS241" s="136">
        <f t="shared" ref="AS241:BC241" si="345">SUM(AS210:AS240)</f>
        <v>98.481017862359224</v>
      </c>
      <c r="AT241" s="136">
        <f t="shared" si="345"/>
        <v>169.95417022795874</v>
      </c>
      <c r="AU241" s="136">
        <f t="shared" si="345"/>
        <v>261.67512360839123</v>
      </c>
      <c r="AV241" s="136">
        <f t="shared" si="345"/>
        <v>514.24617814755106</v>
      </c>
      <c r="AW241" s="136">
        <f t="shared" si="345"/>
        <v>424.55587532051635</v>
      </c>
      <c r="AX241" s="136" t="e">
        <f t="shared" si="345"/>
        <v>#VALUE!</v>
      </c>
      <c r="AY241" s="136">
        <f t="shared" si="345"/>
        <v>73.466725811163158</v>
      </c>
      <c r="AZ241" s="136">
        <f t="shared" si="345"/>
        <v>267.32639106773843</v>
      </c>
      <c r="BA241" s="136">
        <f t="shared" si="345"/>
        <v>523.95989353990626</v>
      </c>
      <c r="BB241" s="136">
        <f t="shared" si="345"/>
        <v>388.06529336030906</v>
      </c>
      <c r="BC241" s="136">
        <f t="shared" si="345"/>
        <v>382.17516147529449</v>
      </c>
      <c r="BD241" s="137">
        <f>COUNTIF(AR210:BC240,"&lt;0,1")-COUNTIF(AR210:BC240,"&lt;=0")</f>
        <v>-133</v>
      </c>
      <c r="BE241" s="135" t="s">
        <v>28</v>
      </c>
      <c r="BF241" s="136">
        <f>SUM(BF210:BF240)</f>
        <v>414.96007645335175</v>
      </c>
      <c r="BG241" s="136">
        <f t="shared" ref="BG241:BQ241" si="346">SUM(BG210:BG240)</f>
        <v>97.806249403916993</v>
      </c>
      <c r="BH241" s="136">
        <f t="shared" si="346"/>
        <v>161.33019399457794</v>
      </c>
      <c r="BI241" s="136">
        <f t="shared" si="346"/>
        <v>262.85488007444189</v>
      </c>
      <c r="BJ241" s="136">
        <f t="shared" si="346"/>
        <v>509.46620545484427</v>
      </c>
      <c r="BK241" s="136">
        <f t="shared" si="346"/>
        <v>427.80347061082529</v>
      </c>
      <c r="BL241" s="136">
        <f t="shared" si="346"/>
        <v>0</v>
      </c>
      <c r="BM241" s="136">
        <f t="shared" si="346"/>
        <v>72.857257526118588</v>
      </c>
      <c r="BN241" s="136">
        <f t="shared" si="346"/>
        <v>260.35233254887123</v>
      </c>
      <c r="BO241" s="136">
        <f t="shared" si="346"/>
        <v>525.05693645298652</v>
      </c>
      <c r="BP241" s="136">
        <f t="shared" si="346"/>
        <v>382.58878548469403</v>
      </c>
      <c r="BQ241" s="136">
        <f t="shared" si="346"/>
        <v>373.15067751174161</v>
      </c>
      <c r="BR241" s="137">
        <f>COUNTIF(BF210:BQ240,"&lt;0,1")-COUNTIF(BF210:BQ240,"&lt;=0")</f>
        <v>-102</v>
      </c>
    </row>
    <row r="242" spans="1:70">
      <c r="A242" s="138" t="s">
        <v>29</v>
      </c>
      <c r="B242" s="139">
        <f>MAX(B210:B240)</f>
        <v>111.55853225359687</v>
      </c>
      <c r="C242" s="139">
        <f t="shared" ref="C242:M242" si="347">MAX(C210:C240)</f>
        <v>27.443387157218972</v>
      </c>
      <c r="D242" s="139">
        <f t="shared" si="347"/>
        <v>18.318338683134279</v>
      </c>
      <c r="E242" s="139">
        <f t="shared" si="347"/>
        <v>68.030629104003381</v>
      </c>
      <c r="F242" s="139">
        <f t="shared" si="347"/>
        <v>90.287403255503222</v>
      </c>
      <c r="G242" s="139">
        <f t="shared" si="347"/>
        <v>75.334612940543892</v>
      </c>
      <c r="H242" s="139">
        <f t="shared" si="347"/>
        <v>0</v>
      </c>
      <c r="I242" s="139">
        <f t="shared" si="347"/>
        <v>31.15790331253157</v>
      </c>
      <c r="J242" s="139">
        <f t="shared" si="347"/>
        <v>27.729483649161679</v>
      </c>
      <c r="K242" s="139">
        <f t="shared" si="347"/>
        <v>116.21562902253433</v>
      </c>
      <c r="L242" s="139">
        <f t="shared" si="347"/>
        <v>67.285483844687406</v>
      </c>
      <c r="M242" s="139">
        <f t="shared" si="347"/>
        <v>85.381822625584533</v>
      </c>
      <c r="N242" s="129">
        <f>MAX(B242:M242)</f>
        <v>116.21562902253433</v>
      </c>
      <c r="O242" s="138" t="s">
        <v>29</v>
      </c>
      <c r="P242" s="139">
        <f>MAX(P210:P240)</f>
        <v>111</v>
      </c>
      <c r="Q242" s="139">
        <f t="shared" ref="Q242:AA242" si="348">MAX(Q210:Q240)</f>
        <v>35</v>
      </c>
      <c r="R242" s="139">
        <f t="shared" si="348"/>
        <v>21</v>
      </c>
      <c r="S242" s="139">
        <f t="shared" si="348"/>
        <v>77</v>
      </c>
      <c r="T242" s="139">
        <f t="shared" si="348"/>
        <v>94</v>
      </c>
      <c r="U242" s="139">
        <f t="shared" si="348"/>
        <v>105</v>
      </c>
      <c r="V242" s="139">
        <f t="shared" si="348"/>
        <v>0</v>
      </c>
      <c r="W242" s="139">
        <f t="shared" si="348"/>
        <v>42</v>
      </c>
      <c r="X242" s="139">
        <f t="shared" si="348"/>
        <v>33</v>
      </c>
      <c r="Y242" s="139">
        <f t="shared" si="348"/>
        <v>115</v>
      </c>
      <c r="Z242" s="139">
        <f t="shared" si="348"/>
        <v>64</v>
      </c>
      <c r="AA242" s="139">
        <f t="shared" si="348"/>
        <v>91</v>
      </c>
      <c r="AB242" s="129">
        <f>MAX(P242:AA242)</f>
        <v>115</v>
      </c>
      <c r="AC242" s="138" t="s">
        <v>29</v>
      </c>
      <c r="AD242" s="139">
        <f>MAX(AD210:AD240)</f>
        <v>112.7</v>
      </c>
      <c r="AE242" s="139">
        <f t="shared" ref="AE242:AO242" si="349">MAX(AE210:AE240)</f>
        <v>22.1</v>
      </c>
      <c r="AF242" s="139">
        <f t="shared" si="349"/>
        <v>44.3</v>
      </c>
      <c r="AG242" s="139">
        <f t="shared" si="349"/>
        <v>49.7</v>
      </c>
      <c r="AH242" s="139">
        <f t="shared" si="349"/>
        <v>82.7</v>
      </c>
      <c r="AI242" s="139">
        <f t="shared" si="349"/>
        <v>92.3</v>
      </c>
      <c r="AJ242" s="139">
        <f t="shared" si="349"/>
        <v>24.8</v>
      </c>
      <c r="AK242" s="139">
        <f t="shared" si="349"/>
        <v>24</v>
      </c>
      <c r="AL242" s="139">
        <f t="shared" si="349"/>
        <v>84.4</v>
      </c>
      <c r="AM242" s="139">
        <f t="shared" si="349"/>
        <v>118.7</v>
      </c>
      <c r="AN242" s="139">
        <f t="shared" si="349"/>
        <v>75</v>
      </c>
      <c r="AO242" s="139">
        <f t="shared" si="349"/>
        <v>86.2</v>
      </c>
      <c r="AQ242" s="138" t="s">
        <v>29</v>
      </c>
      <c r="AR242" s="139">
        <f>MAX(AR210:AR240)</f>
        <v>112.14953099135552</v>
      </c>
      <c r="AS242" s="139">
        <f t="shared" ref="AS242:BC242" si="350">MAX(AS210:AS240)</f>
        <v>22.715230068484999</v>
      </c>
      <c r="AT242" s="139">
        <f t="shared" si="350"/>
        <v>29.955425245323433</v>
      </c>
      <c r="AU242" s="139">
        <f t="shared" si="350"/>
        <v>58.539884668231828</v>
      </c>
      <c r="AV242" s="139">
        <f t="shared" si="350"/>
        <v>86.358999880989742</v>
      </c>
      <c r="AW242" s="139">
        <f t="shared" si="350"/>
        <v>70.39803524867736</v>
      </c>
      <c r="AX242" s="139" t="e">
        <f t="shared" si="350"/>
        <v>#VALUE!</v>
      </c>
      <c r="AY242" s="139">
        <f t="shared" si="350"/>
        <v>20.114336409568423</v>
      </c>
      <c r="AZ242" s="139">
        <f t="shared" si="350"/>
        <v>57.070832747297921</v>
      </c>
      <c r="BA242" s="139">
        <f t="shared" si="350"/>
        <v>117.50192039295025</v>
      </c>
      <c r="BB242" s="139">
        <f t="shared" si="350"/>
        <v>70.761947007973674</v>
      </c>
      <c r="BC242" s="139">
        <f t="shared" si="350"/>
        <v>85.163823042551584</v>
      </c>
      <c r="BE242" s="138" t="s">
        <v>29</v>
      </c>
      <c r="BF242" s="139">
        <f>MAX(BF210:BF240)</f>
        <v>112.07552412817155</v>
      </c>
      <c r="BG242" s="139">
        <f t="shared" ref="BG242:BQ242" si="351">MAX(BG210:BG240)</f>
        <v>22.797943621455335</v>
      </c>
      <c r="BH242" s="139">
        <f t="shared" si="351"/>
        <v>28.026893457646654</v>
      </c>
      <c r="BI242" s="139">
        <f t="shared" si="351"/>
        <v>59.72834782406877</v>
      </c>
      <c r="BJ242" s="139">
        <f t="shared" si="351"/>
        <v>86.850927853918577</v>
      </c>
      <c r="BK242" s="139">
        <f t="shared" si="351"/>
        <v>71.016210223508295</v>
      </c>
      <c r="BL242" s="139">
        <f t="shared" si="351"/>
        <v>0</v>
      </c>
      <c r="BM242" s="139">
        <f t="shared" si="351"/>
        <v>21.122178688434769</v>
      </c>
      <c r="BN242" s="139">
        <f t="shared" si="351"/>
        <v>53.396609657457731</v>
      </c>
      <c r="BO242" s="139">
        <f t="shared" si="351"/>
        <v>117.34084663190275</v>
      </c>
      <c r="BP242" s="139">
        <f t="shared" si="351"/>
        <v>70.326612518656134</v>
      </c>
      <c r="BQ242" s="139">
        <f t="shared" si="351"/>
        <v>85.024516005969971</v>
      </c>
      <c r="BR242" s="129">
        <f>MAX(BF242:BQ242)</f>
        <v>117.34084663190275</v>
      </c>
    </row>
    <row r="243" spans="1:70">
      <c r="A243" s="130" t="s">
        <v>30</v>
      </c>
      <c r="B243" s="131">
        <f>SUM(B210:B224)</f>
        <v>345.72564482753006</v>
      </c>
      <c r="C243" s="131">
        <f t="shared" ref="C243:M243" si="352">SUM(C210:C224)</f>
        <v>35.99808058918417</v>
      </c>
      <c r="D243" s="131">
        <f t="shared" si="352"/>
        <v>67.50779007055219</v>
      </c>
      <c r="E243" s="131">
        <f t="shared" si="352"/>
        <v>202.06317761882258</v>
      </c>
      <c r="F243" s="131">
        <f t="shared" si="352"/>
        <v>169.91862871295194</v>
      </c>
      <c r="G243" s="131">
        <f t="shared" si="352"/>
        <v>72.466644941586665</v>
      </c>
      <c r="H243" s="131">
        <f t="shared" si="352"/>
        <v>0</v>
      </c>
      <c r="I243" s="131">
        <f t="shared" si="352"/>
        <v>4.0411451289655052</v>
      </c>
      <c r="J243" s="131">
        <f t="shared" si="352"/>
        <v>103.30682221823929</v>
      </c>
      <c r="K243" s="131">
        <f t="shared" si="352"/>
        <v>333.2953872223942</v>
      </c>
      <c r="L243" s="131">
        <f t="shared" si="352"/>
        <v>168.85038697798706</v>
      </c>
      <c r="M243" s="131">
        <f t="shared" si="352"/>
        <v>265.65548368174927</v>
      </c>
      <c r="O243" s="130" t="s">
        <v>30</v>
      </c>
      <c r="P243" s="131">
        <f>SUM(P210:P224)</f>
        <v>304</v>
      </c>
      <c r="Q243" s="131">
        <f t="shared" ref="Q243:AA243" si="353">SUM(Q210:Q224)</f>
        <v>29</v>
      </c>
      <c r="R243" s="131">
        <f t="shared" si="353"/>
        <v>36</v>
      </c>
      <c r="S243" s="131">
        <f t="shared" si="353"/>
        <v>227</v>
      </c>
      <c r="T243" s="131">
        <f t="shared" si="353"/>
        <v>130</v>
      </c>
      <c r="U243" s="131">
        <f t="shared" si="353"/>
        <v>45</v>
      </c>
      <c r="V243" s="131">
        <f t="shared" si="353"/>
        <v>0</v>
      </c>
      <c r="W243" s="131">
        <f t="shared" si="353"/>
        <v>0</v>
      </c>
      <c r="X243" s="131">
        <f t="shared" si="353"/>
        <v>58</v>
      </c>
      <c r="Y243" s="131">
        <f t="shared" si="353"/>
        <v>349</v>
      </c>
      <c r="Z243" s="131">
        <f t="shared" si="353"/>
        <v>154</v>
      </c>
      <c r="AA243" s="131">
        <f t="shared" si="353"/>
        <v>242</v>
      </c>
      <c r="AC243" s="130" t="s">
        <v>30</v>
      </c>
      <c r="AD243" s="131">
        <f>SUM(AD210:AD224)</f>
        <v>431</v>
      </c>
      <c r="AE243" s="131">
        <f t="shared" ref="AE243:AO243" si="354">SUM(AE210:AE224)</f>
        <v>50.3</v>
      </c>
      <c r="AF243" s="131">
        <f t="shared" si="354"/>
        <v>131.89999999999998</v>
      </c>
      <c r="AG243" s="131">
        <f t="shared" si="354"/>
        <v>151.1</v>
      </c>
      <c r="AH243" s="131">
        <f t="shared" si="354"/>
        <v>251.5</v>
      </c>
      <c r="AI243" s="131">
        <f t="shared" si="354"/>
        <v>128.6</v>
      </c>
      <c r="AJ243" s="131">
        <f t="shared" si="354"/>
        <v>42.1</v>
      </c>
      <c r="AK243" s="131">
        <f t="shared" si="354"/>
        <v>12.3</v>
      </c>
      <c r="AL243" s="131">
        <f t="shared" si="354"/>
        <v>195.90000000000003</v>
      </c>
      <c r="AM243" s="131">
        <f t="shared" si="354"/>
        <v>301.2</v>
      </c>
      <c r="AN243" s="131">
        <f t="shared" si="354"/>
        <v>199.2</v>
      </c>
      <c r="AO243" s="131">
        <f t="shared" si="354"/>
        <v>314</v>
      </c>
      <c r="AQ243" s="130" t="s">
        <v>30</v>
      </c>
      <c r="AR243" s="131">
        <f>SUM(AR210:AR224)</f>
        <v>389.87672700126581</v>
      </c>
      <c r="AS243" s="131">
        <f t="shared" ref="AS243:BC243" si="355">SUM(AS210:AS224)</f>
        <v>43.402947126983953</v>
      </c>
      <c r="AT243" s="131">
        <f t="shared" si="355"/>
        <v>100.84707180646765</v>
      </c>
      <c r="AU243" s="131">
        <f t="shared" si="355"/>
        <v>175.6768222094797</v>
      </c>
      <c r="AV243" s="131">
        <f t="shared" si="355"/>
        <v>212.15765614688027</v>
      </c>
      <c r="AW243" s="131">
        <f t="shared" si="355"/>
        <v>101.52987698666003</v>
      </c>
      <c r="AX243" s="131" t="e">
        <f t="shared" si="355"/>
        <v>#VALUE!</v>
      </c>
      <c r="AY243" s="131">
        <f t="shared" si="355"/>
        <v>8.3171948198076358</v>
      </c>
      <c r="AZ243" s="131">
        <f t="shared" si="355"/>
        <v>151.24724923995714</v>
      </c>
      <c r="BA243" s="131">
        <f t="shared" si="355"/>
        <v>316.67789330188572</v>
      </c>
      <c r="BB243" s="131">
        <f t="shared" si="355"/>
        <v>184.56400047604106</v>
      </c>
      <c r="BC243" s="131">
        <f t="shared" si="355"/>
        <v>290.68601845741051</v>
      </c>
      <c r="BE243" s="130" t="s">
        <v>30</v>
      </c>
      <c r="BF243" s="131">
        <f>SUM(BF210:BF224)</f>
        <v>384.34797898693284</v>
      </c>
      <c r="BG243" s="131">
        <f t="shared" ref="BG243:BQ243" si="356">SUM(BG210:BG224)</f>
        <v>42.475684664737557</v>
      </c>
      <c r="BH243" s="131">
        <f t="shared" si="356"/>
        <v>96.672214053912285</v>
      </c>
      <c r="BI243" s="131">
        <f t="shared" si="356"/>
        <v>178.98101098339995</v>
      </c>
      <c r="BJ243" s="131">
        <f t="shared" si="356"/>
        <v>206.86834210167197</v>
      </c>
      <c r="BK243" s="131">
        <f t="shared" si="356"/>
        <v>97.890480655965249</v>
      </c>
      <c r="BL243" s="131">
        <f t="shared" si="356"/>
        <v>0</v>
      </c>
      <c r="BM243" s="131">
        <f t="shared" si="356"/>
        <v>7.7817333979470398</v>
      </c>
      <c r="BN243" s="131">
        <f t="shared" si="356"/>
        <v>145.24398663226805</v>
      </c>
      <c r="BO243" s="131">
        <f t="shared" si="356"/>
        <v>318.7587921608237</v>
      </c>
      <c r="BP243" s="131">
        <f t="shared" si="356"/>
        <v>182.59628858432572</v>
      </c>
      <c r="BQ243" s="131">
        <f t="shared" si="356"/>
        <v>287.55161013432416</v>
      </c>
    </row>
    <row r="244" spans="1:70">
      <c r="A244" s="140" t="s">
        <v>31</v>
      </c>
      <c r="B244" s="141">
        <f>SUM(B225:B240)</f>
        <v>36.086129079562674</v>
      </c>
      <c r="C244" s="141">
        <f t="shared" ref="C244:M244" si="357">SUM(C225:C240)</f>
        <v>57.094419370081297</v>
      </c>
      <c r="D244" s="141">
        <f t="shared" si="357"/>
        <v>33.577644892705251</v>
      </c>
      <c r="E244" s="141">
        <f t="shared" si="357"/>
        <v>69.033161162074521</v>
      </c>
      <c r="F244" s="141">
        <f t="shared" si="357"/>
        <v>306.15598390171573</v>
      </c>
      <c r="G244" s="141">
        <f t="shared" si="357"/>
        <v>378.02364557704527</v>
      </c>
      <c r="H244" s="141">
        <f t="shared" si="357"/>
        <v>0</v>
      </c>
      <c r="I244" s="141">
        <f t="shared" si="357"/>
        <v>64.558532253596866</v>
      </c>
      <c r="J244" s="141">
        <f t="shared" si="357"/>
        <v>108.3266289736529</v>
      </c>
      <c r="K244" s="141">
        <f t="shared" si="357"/>
        <v>199.42519348899353</v>
      </c>
      <c r="L244" s="141">
        <f t="shared" si="357"/>
        <v>175.48099978818044</v>
      </c>
      <c r="M244" s="141">
        <f t="shared" si="357"/>
        <v>44.452596418620558</v>
      </c>
      <c r="O244" s="140" t="s">
        <v>31</v>
      </c>
      <c r="P244" s="141">
        <f>SUM(P225:P240)</f>
        <v>42</v>
      </c>
      <c r="Q244" s="141">
        <f t="shared" ref="Q244:AA244" si="358">SUM(Q225:Q240)</f>
        <v>59</v>
      </c>
      <c r="R244" s="141">
        <f t="shared" si="358"/>
        <v>0</v>
      </c>
      <c r="S244" s="141">
        <f t="shared" si="358"/>
        <v>53</v>
      </c>
      <c r="T244" s="141">
        <f t="shared" si="358"/>
        <v>310</v>
      </c>
      <c r="U244" s="141">
        <f t="shared" si="358"/>
        <v>430</v>
      </c>
      <c r="V244" s="141">
        <f t="shared" si="358"/>
        <v>0</v>
      </c>
      <c r="W244" s="141">
        <f t="shared" si="358"/>
        <v>64</v>
      </c>
      <c r="X244" s="141">
        <f t="shared" si="358"/>
        <v>101</v>
      </c>
      <c r="Y244" s="141">
        <f t="shared" si="358"/>
        <v>192</v>
      </c>
      <c r="Z244" s="141">
        <f t="shared" si="358"/>
        <v>149</v>
      </c>
      <c r="AA244" s="141">
        <f t="shared" si="358"/>
        <v>0</v>
      </c>
      <c r="AC244" s="140" t="s">
        <v>31</v>
      </c>
      <c r="AD244" s="141">
        <f>SUM(AD225:AD240)</f>
        <v>24</v>
      </c>
      <c r="AE244" s="141">
        <f t="shared" ref="AE244:AO244" si="359">SUM(AE225:AE240)</f>
        <v>53.2</v>
      </c>
      <c r="AF244" s="141">
        <f t="shared" si="359"/>
        <v>102.2</v>
      </c>
      <c r="AG244" s="141">
        <f t="shared" si="359"/>
        <v>101.80000000000001</v>
      </c>
      <c r="AH244" s="141">
        <f t="shared" si="359"/>
        <v>298.29999999999995</v>
      </c>
      <c r="AI244" s="141">
        <f t="shared" si="359"/>
        <v>271.8</v>
      </c>
      <c r="AJ244" s="141">
        <f t="shared" si="359"/>
        <v>14.399999999999999</v>
      </c>
      <c r="AK244" s="141">
        <f t="shared" si="359"/>
        <v>65.7</v>
      </c>
      <c r="AL244" s="141">
        <f t="shared" si="359"/>
        <v>123.29999999999998</v>
      </c>
      <c r="AM244" s="141">
        <f t="shared" si="359"/>
        <v>214.6</v>
      </c>
      <c r="AN244" s="141">
        <f t="shared" si="359"/>
        <v>229.6</v>
      </c>
      <c r="AO244" s="141">
        <f t="shared" si="359"/>
        <v>135.29999999999998</v>
      </c>
      <c r="AQ244" s="140" t="s">
        <v>31</v>
      </c>
      <c r="AR244" s="141">
        <f>SUM(AR225:AR240)</f>
        <v>29.828495385647358</v>
      </c>
      <c r="AS244" s="141">
        <f t="shared" ref="AS244:BC244" si="360">SUM(AS225:AS240)</f>
        <v>55.078070735375263</v>
      </c>
      <c r="AT244" s="141">
        <f t="shared" si="360"/>
        <v>69.107098421491088</v>
      </c>
      <c r="AU244" s="141">
        <f t="shared" si="360"/>
        <v>85.998301398911579</v>
      </c>
      <c r="AV244" s="141">
        <f t="shared" si="360"/>
        <v>302.08852200067071</v>
      </c>
      <c r="AW244" s="141">
        <f t="shared" si="360"/>
        <v>323.02599833385625</v>
      </c>
      <c r="AX244" s="141" t="e">
        <f t="shared" si="360"/>
        <v>#VALUE!</v>
      </c>
      <c r="AY244" s="141">
        <f t="shared" si="360"/>
        <v>65.149530991355519</v>
      </c>
      <c r="AZ244" s="141">
        <f t="shared" si="360"/>
        <v>116.07914182778131</v>
      </c>
      <c r="BA244" s="141">
        <f t="shared" si="360"/>
        <v>207.28200023802054</v>
      </c>
      <c r="BB244" s="141">
        <f t="shared" si="360"/>
        <v>203.50129288426791</v>
      </c>
      <c r="BC244" s="141">
        <f t="shared" si="360"/>
        <v>91.48914301788399</v>
      </c>
      <c r="BE244" s="140" t="s">
        <v>31</v>
      </c>
      <c r="BF244" s="141">
        <f>SUM(BF225:BF240)</f>
        <v>30.612097466418966</v>
      </c>
      <c r="BG244" s="141">
        <f t="shared" ref="BG244:BQ244" si="361">SUM(BG225:BG240)</f>
        <v>55.330564739179444</v>
      </c>
      <c r="BH244" s="141">
        <f t="shared" si="361"/>
        <v>64.657979940665641</v>
      </c>
      <c r="BI244" s="141">
        <f t="shared" si="361"/>
        <v>83.873869091041925</v>
      </c>
      <c r="BJ244" s="141">
        <f t="shared" si="361"/>
        <v>302.59786335317233</v>
      </c>
      <c r="BK244" s="141">
        <f t="shared" si="361"/>
        <v>329.91298995486005</v>
      </c>
      <c r="BL244" s="141">
        <f t="shared" si="361"/>
        <v>0</v>
      </c>
      <c r="BM244" s="141">
        <f t="shared" si="361"/>
        <v>65.075524128171537</v>
      </c>
      <c r="BN244" s="141">
        <f t="shared" si="361"/>
        <v>115.10834591660316</v>
      </c>
      <c r="BO244" s="141">
        <f t="shared" si="361"/>
        <v>206.29814429216282</v>
      </c>
      <c r="BP244" s="141">
        <f t="shared" si="361"/>
        <v>199.99249690036839</v>
      </c>
      <c r="BQ244" s="141">
        <f t="shared" si="361"/>
        <v>85.599067377417441</v>
      </c>
    </row>
    <row r="245" spans="1:70" ht="15.75" thickBot="1">
      <c r="A245" s="133" t="s">
        <v>32</v>
      </c>
      <c r="B245" s="134">
        <f>COUNTIF(B212:B242,"&gt;0")</f>
        <v>16</v>
      </c>
      <c r="C245" s="134">
        <f t="shared" ref="C245:M245" si="362">COUNTIF(C212:C242,"&gt;0")</f>
        <v>13</v>
      </c>
      <c r="D245" s="134">
        <f t="shared" si="362"/>
        <v>17</v>
      </c>
      <c r="E245" s="134">
        <f t="shared" si="362"/>
        <v>25</v>
      </c>
      <c r="F245" s="134">
        <f t="shared" si="362"/>
        <v>28</v>
      </c>
      <c r="G245" s="134">
        <f t="shared" si="362"/>
        <v>20</v>
      </c>
      <c r="H245" s="134">
        <f t="shared" si="362"/>
        <v>0</v>
      </c>
      <c r="I245" s="134">
        <f t="shared" si="362"/>
        <v>9</v>
      </c>
      <c r="J245" s="134">
        <f t="shared" si="362"/>
        <v>18</v>
      </c>
      <c r="K245" s="134">
        <f t="shared" si="362"/>
        <v>23</v>
      </c>
      <c r="L245" s="134">
        <f t="shared" si="362"/>
        <v>25</v>
      </c>
      <c r="M245" s="134">
        <f t="shared" si="362"/>
        <v>21</v>
      </c>
      <c r="O245" s="133" t="s">
        <v>32</v>
      </c>
      <c r="P245" s="134">
        <f>COUNTIF(P210:P240,"&gt;0")</f>
        <v>11</v>
      </c>
      <c r="Q245" s="134">
        <f t="shared" ref="Q245:AA245" si="363">COUNTIF(Q210:Q240,"&gt;0")</f>
        <v>6</v>
      </c>
      <c r="R245" s="134">
        <f t="shared" si="363"/>
        <v>2</v>
      </c>
      <c r="S245" s="134">
        <f t="shared" si="363"/>
        <v>18</v>
      </c>
      <c r="T245" s="134">
        <f t="shared" si="363"/>
        <v>9</v>
      </c>
      <c r="U245" s="134">
        <f t="shared" si="363"/>
        <v>8</v>
      </c>
      <c r="V245" s="134">
        <f t="shared" si="363"/>
        <v>0</v>
      </c>
      <c r="W245" s="134">
        <f t="shared" si="363"/>
        <v>3</v>
      </c>
      <c r="X245" s="134">
        <f t="shared" si="363"/>
        <v>7</v>
      </c>
      <c r="Y245" s="134">
        <f t="shared" si="363"/>
        <v>14</v>
      </c>
      <c r="Z245" s="134">
        <f t="shared" si="363"/>
        <v>13</v>
      </c>
      <c r="AA245" s="134">
        <f t="shared" si="363"/>
        <v>3</v>
      </c>
      <c r="AC245" s="133" t="s">
        <v>32</v>
      </c>
      <c r="AD245" s="134">
        <f>COUNTIF(AD210:AD240,"&gt;0")</f>
        <v>16</v>
      </c>
      <c r="AE245" s="134">
        <f t="shared" ref="AE245:AO245" si="364">COUNTIF(AE210:AE240,"&gt;0")</f>
        <v>11</v>
      </c>
      <c r="AF245" s="134">
        <f t="shared" si="364"/>
        <v>16</v>
      </c>
      <c r="AG245" s="134">
        <f t="shared" si="364"/>
        <v>19</v>
      </c>
      <c r="AH245" s="134">
        <f t="shared" si="364"/>
        <v>26</v>
      </c>
      <c r="AI245" s="134">
        <f t="shared" si="364"/>
        <v>19</v>
      </c>
      <c r="AJ245" s="134">
        <f t="shared" si="364"/>
        <v>9</v>
      </c>
      <c r="AK245" s="134">
        <f t="shared" si="364"/>
        <v>9</v>
      </c>
      <c r="AL245" s="134">
        <f t="shared" si="364"/>
        <v>16</v>
      </c>
      <c r="AM245" s="134">
        <f t="shared" si="364"/>
        <v>22</v>
      </c>
      <c r="AN245" s="134">
        <f t="shared" si="364"/>
        <v>23</v>
      </c>
      <c r="AO245" s="134">
        <f t="shared" si="364"/>
        <v>20</v>
      </c>
      <c r="AQ245" s="133" t="s">
        <v>32</v>
      </c>
      <c r="AR245" s="134">
        <f>COUNTIF(AR210:AR240,"&gt;0")</f>
        <v>16</v>
      </c>
      <c r="AS245" s="134">
        <f t="shared" ref="AS245:BC245" si="365">COUNTIF(AS210:AS240,"&gt;0")</f>
        <v>11</v>
      </c>
      <c r="AT245" s="134">
        <f t="shared" si="365"/>
        <v>16</v>
      </c>
      <c r="AU245" s="134">
        <f t="shared" si="365"/>
        <v>23</v>
      </c>
      <c r="AV245" s="134">
        <f t="shared" si="365"/>
        <v>28</v>
      </c>
      <c r="AW245" s="134">
        <f t="shared" si="365"/>
        <v>19</v>
      </c>
      <c r="AX245" s="134">
        <f t="shared" si="365"/>
        <v>0</v>
      </c>
      <c r="AY245" s="134">
        <f t="shared" si="365"/>
        <v>9</v>
      </c>
      <c r="AZ245" s="134">
        <f t="shared" si="365"/>
        <v>18</v>
      </c>
      <c r="BA245" s="134">
        <f t="shared" si="365"/>
        <v>23</v>
      </c>
      <c r="BB245" s="134">
        <f t="shared" si="365"/>
        <v>25</v>
      </c>
      <c r="BC245" s="134">
        <f t="shared" si="365"/>
        <v>20</v>
      </c>
      <c r="BE245" s="133" t="s">
        <v>32</v>
      </c>
      <c r="BF245" s="134">
        <f>COUNTIF(BF210:BF240,"&gt;0")</f>
        <v>16</v>
      </c>
      <c r="BG245" s="134">
        <f t="shared" ref="BG245:BQ245" si="366">COUNTIF(BG210:BG240,"&gt;0")</f>
        <v>11</v>
      </c>
      <c r="BH245" s="134">
        <f t="shared" si="366"/>
        <v>16</v>
      </c>
      <c r="BI245" s="134">
        <f t="shared" si="366"/>
        <v>23</v>
      </c>
      <c r="BJ245" s="134">
        <f t="shared" si="366"/>
        <v>28</v>
      </c>
      <c r="BK245" s="134">
        <f t="shared" si="366"/>
        <v>19</v>
      </c>
      <c r="BL245" s="134">
        <f t="shared" si="366"/>
        <v>0</v>
      </c>
      <c r="BM245" s="134">
        <f t="shared" si="366"/>
        <v>9</v>
      </c>
      <c r="BN245" s="134">
        <f t="shared" si="366"/>
        <v>18</v>
      </c>
      <c r="BO245" s="134">
        <f t="shared" si="366"/>
        <v>23</v>
      </c>
      <c r="BP245" s="134">
        <f t="shared" si="366"/>
        <v>25</v>
      </c>
      <c r="BQ245" s="134">
        <f t="shared" si="366"/>
        <v>20</v>
      </c>
    </row>
    <row r="246" spans="1:70" ht="15.75" thickBot="1"/>
    <row r="247" spans="1:70">
      <c r="A247" s="147" t="s">
        <v>38</v>
      </c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9"/>
      <c r="O247" s="147" t="s">
        <v>38</v>
      </c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9"/>
      <c r="AC247" s="147" t="s">
        <v>38</v>
      </c>
      <c r="AD247" s="148"/>
      <c r="AE247" s="148"/>
      <c r="AF247" s="148"/>
      <c r="AG247" s="148"/>
      <c r="AH247" s="148"/>
      <c r="AI247" s="148"/>
      <c r="AJ247" s="148"/>
      <c r="AK247" s="148"/>
      <c r="AL247" s="148"/>
      <c r="AM247" s="148"/>
      <c r="AN247" s="148"/>
      <c r="AO247" s="149"/>
      <c r="AQ247" s="147" t="s">
        <v>38</v>
      </c>
      <c r="AR247" s="148"/>
      <c r="AS247" s="148"/>
      <c r="AT247" s="148"/>
      <c r="AU247" s="148"/>
      <c r="AV247" s="148"/>
      <c r="AW247" s="148"/>
      <c r="AX247" s="148"/>
      <c r="AY247" s="148"/>
      <c r="AZ247" s="148"/>
      <c r="BA247" s="148"/>
      <c r="BB247" s="148"/>
      <c r="BC247" s="149"/>
    </row>
    <row r="248" spans="1:70">
      <c r="A248" s="144"/>
      <c r="B248" s="145" t="s">
        <v>15</v>
      </c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6"/>
      <c r="O248" s="144"/>
      <c r="P248" s="145" t="s">
        <v>15</v>
      </c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  <c r="AA248" s="146"/>
      <c r="AC248" s="144"/>
      <c r="AD248" s="145" t="s">
        <v>15</v>
      </c>
      <c r="AE248" s="145"/>
      <c r="AF248" s="145"/>
      <c r="AG248" s="145"/>
      <c r="AH248" s="145"/>
      <c r="AI248" s="145"/>
      <c r="AJ248" s="145"/>
      <c r="AK248" s="145"/>
      <c r="AL248" s="145"/>
      <c r="AM248" s="145"/>
      <c r="AN248" s="145"/>
      <c r="AO248" s="146"/>
      <c r="AQ248" s="144"/>
      <c r="AR248" s="145" t="s">
        <v>15</v>
      </c>
      <c r="AS248" s="145"/>
      <c r="AT248" s="145"/>
      <c r="AU248" s="145"/>
      <c r="AV248" s="145"/>
      <c r="AW248" s="145"/>
      <c r="AX248" s="145"/>
      <c r="AY248" s="145"/>
      <c r="AZ248" s="145"/>
      <c r="BA248" s="145"/>
      <c r="BB248" s="145"/>
      <c r="BC248" s="146"/>
    </row>
    <row r="249" spans="1:70">
      <c r="A249" s="144"/>
      <c r="B249" s="131" t="s">
        <v>16</v>
      </c>
      <c r="C249" s="131" t="s">
        <v>17</v>
      </c>
      <c r="D249" s="131" t="s">
        <v>18</v>
      </c>
      <c r="E249" s="131" t="s">
        <v>19</v>
      </c>
      <c r="F249" s="131" t="s">
        <v>20</v>
      </c>
      <c r="G249" s="131" t="s">
        <v>21</v>
      </c>
      <c r="H249" s="131" t="s">
        <v>22</v>
      </c>
      <c r="I249" s="131" t="s">
        <v>23</v>
      </c>
      <c r="J249" s="131" t="s">
        <v>24</v>
      </c>
      <c r="K249" s="131" t="s">
        <v>25</v>
      </c>
      <c r="L249" s="131" t="s">
        <v>26</v>
      </c>
      <c r="M249" s="132" t="s">
        <v>27</v>
      </c>
      <c r="O249" s="144"/>
      <c r="P249" s="131" t="s">
        <v>16</v>
      </c>
      <c r="Q249" s="131" t="s">
        <v>17</v>
      </c>
      <c r="R249" s="131" t="s">
        <v>18</v>
      </c>
      <c r="S249" s="131" t="s">
        <v>19</v>
      </c>
      <c r="T249" s="131" t="s">
        <v>20</v>
      </c>
      <c r="U249" s="131" t="s">
        <v>21</v>
      </c>
      <c r="V249" s="131" t="s">
        <v>22</v>
      </c>
      <c r="W249" s="131" t="s">
        <v>23</v>
      </c>
      <c r="X249" s="131" t="s">
        <v>24</v>
      </c>
      <c r="Y249" s="131" t="s">
        <v>25</v>
      </c>
      <c r="Z249" s="131" t="s">
        <v>26</v>
      </c>
      <c r="AA249" s="132" t="s">
        <v>27</v>
      </c>
      <c r="AC249" s="144"/>
      <c r="AD249" s="131" t="s">
        <v>16</v>
      </c>
      <c r="AE249" s="131" t="s">
        <v>17</v>
      </c>
      <c r="AF249" s="131" t="s">
        <v>18</v>
      </c>
      <c r="AG249" s="131" t="s">
        <v>19</v>
      </c>
      <c r="AH249" s="131" t="s">
        <v>20</v>
      </c>
      <c r="AI249" s="131" t="s">
        <v>21</v>
      </c>
      <c r="AJ249" s="131" t="s">
        <v>22</v>
      </c>
      <c r="AK249" s="131" t="s">
        <v>23</v>
      </c>
      <c r="AL249" s="131" t="s">
        <v>24</v>
      </c>
      <c r="AM249" s="131" t="s">
        <v>25</v>
      </c>
      <c r="AN249" s="131" t="s">
        <v>26</v>
      </c>
      <c r="AO249" s="132" t="s">
        <v>27</v>
      </c>
      <c r="AQ249" s="144"/>
      <c r="AR249" s="131" t="s">
        <v>16</v>
      </c>
      <c r="AS249" s="131" t="s">
        <v>17</v>
      </c>
      <c r="AT249" s="131" t="s">
        <v>18</v>
      </c>
      <c r="AU249" s="131" t="s">
        <v>19</v>
      </c>
      <c r="AV249" s="131" t="s">
        <v>20</v>
      </c>
      <c r="AW249" s="131" t="s">
        <v>21</v>
      </c>
      <c r="AX249" s="131" t="s">
        <v>22</v>
      </c>
      <c r="AY249" s="131" t="s">
        <v>23</v>
      </c>
      <c r="AZ249" s="131" t="s">
        <v>24</v>
      </c>
      <c r="BA249" s="131" t="s">
        <v>25</v>
      </c>
      <c r="BB249" s="131" t="s">
        <v>26</v>
      </c>
      <c r="BC249" s="132" t="s">
        <v>27</v>
      </c>
    </row>
    <row r="250" spans="1:70">
      <c r="A250" s="130">
        <v>1</v>
      </c>
      <c r="B250" s="131">
        <f>'Sta. Klimatologi Kalbar'!Q8</f>
        <v>0</v>
      </c>
      <c r="C250" s="131">
        <f>'Sta. Klimatologi Kalbar'!R8</f>
        <v>0</v>
      </c>
      <c r="D250" s="131">
        <f>'Sta. Klimatologi Kalbar'!S8</f>
        <v>0</v>
      </c>
      <c r="E250" s="131">
        <f>'Sta. Klimatologi Kalbar'!T8</f>
        <v>0</v>
      </c>
      <c r="F250" s="131">
        <f>'Sta. Klimatologi Kalbar'!U8</f>
        <v>0</v>
      </c>
      <c r="G250" s="131">
        <f>'Sta. Klimatologi Kalbar'!V8</f>
        <v>0</v>
      </c>
      <c r="H250" s="131">
        <f>'Sta. Klimatologi Kalbar'!W8</f>
        <v>0.5</v>
      </c>
      <c r="I250" s="131">
        <f>'Sta. Klimatologi Kalbar'!X8</f>
        <v>0</v>
      </c>
      <c r="J250" s="131">
        <f>'Sta. Klimatologi Kalbar'!Y8</f>
        <v>1</v>
      </c>
      <c r="K250" s="131">
        <f>'Sta. Klimatologi Kalbar'!Z8</f>
        <v>0</v>
      </c>
      <c r="L250" s="131">
        <f>'Sta. Klimatologi Kalbar'!AA8</f>
        <v>18.8</v>
      </c>
      <c r="M250" s="131">
        <f>'Sta. Klimatologi Kalbar'!AB8</f>
        <v>20.6</v>
      </c>
      <c r="O250" s="130">
        <v>1</v>
      </c>
      <c r="P250" s="131">
        <f>((B250/($T$1^2))+(AD250/($T$2^2))+(AR250/($T$3^2)))/((1/($T$1^2))+(1/($T$2^2))+(1/($T$3^2)))</f>
        <v>21.094326511261489</v>
      </c>
      <c r="Q250" s="131">
        <f t="shared" ref="Q250:AA250" si="367">((C250/($T$1^2))+(AE250/($T$2^2))+(AS250/($T$3^2)))/((1/($T$1^2))+(1/($T$2^2))+(1/($T$3^2)))</f>
        <v>0</v>
      </c>
      <c r="R250" s="131">
        <f t="shared" si="367"/>
        <v>0</v>
      </c>
      <c r="S250" s="131">
        <f t="shared" si="367"/>
        <v>0.7439419646390254</v>
      </c>
      <c r="T250" s="131">
        <f t="shared" si="367"/>
        <v>0.5313871175993039</v>
      </c>
      <c r="U250" s="131">
        <f t="shared" si="367"/>
        <v>1.2753290822383292</v>
      </c>
      <c r="V250" s="131">
        <f t="shared" si="367"/>
        <v>7.7726101262824638</v>
      </c>
      <c r="W250" s="131">
        <f t="shared" si="367"/>
        <v>0</v>
      </c>
      <c r="X250" s="131">
        <f t="shared" si="367"/>
        <v>19.94210736297342</v>
      </c>
      <c r="Y250" s="131">
        <f t="shared" si="367"/>
        <v>1.014199838786235</v>
      </c>
      <c r="Z250" s="131">
        <f t="shared" si="367"/>
        <v>15.50253901410634</v>
      </c>
      <c r="AA250" s="131">
        <f t="shared" si="367"/>
        <v>15.860470797919044</v>
      </c>
      <c r="AC250" s="130">
        <v>1</v>
      </c>
      <c r="AD250" s="131">
        <f>'Sta. Meteorologi pnk'!Q143</f>
        <v>29.5</v>
      </c>
      <c r="AE250" s="131">
        <f>'Sta. Meteorologi pnk'!R143</f>
        <v>0</v>
      </c>
      <c r="AF250" s="131">
        <f>'Sta. Meteorologi pnk'!S143</f>
        <v>0</v>
      </c>
      <c r="AG250" s="131">
        <f>'Sta. Meteorologi pnk'!T143</f>
        <v>0</v>
      </c>
      <c r="AH250" s="131">
        <f>'Sta. Meteorologi pnk'!U143</f>
        <v>0</v>
      </c>
      <c r="AI250" s="131">
        <f>'Sta. Meteorologi pnk'!V143</f>
        <v>0</v>
      </c>
      <c r="AJ250" s="131">
        <f>'Sta. Meteorologi pnk'!W143</f>
        <v>10.6</v>
      </c>
      <c r="AK250" s="131">
        <f>'Sta. Meteorologi pnk'!X143</f>
        <v>0</v>
      </c>
      <c r="AL250" s="131">
        <f>'Sta. Meteorologi pnk'!Y143</f>
        <v>25.2</v>
      </c>
      <c r="AM250" s="131">
        <f>'Sta. Meteorologi pnk'!Z143</f>
        <v>1</v>
      </c>
      <c r="AN250" s="131">
        <f>'Sta. Meteorologi pnk'!AA143</f>
        <v>16</v>
      </c>
      <c r="AO250" s="131">
        <f>'Sta. Meteorologi pnk'!AB143</f>
        <v>14.1</v>
      </c>
      <c r="AQ250" s="130">
        <v>1</v>
      </c>
      <c r="AR250" s="131">
        <f>'Sta. Meteorologi Supadio'!Q8</f>
        <v>2.2999999999999998</v>
      </c>
      <c r="AS250" s="131">
        <f>'Sta. Meteorologi Supadio'!R8</f>
        <v>0</v>
      </c>
      <c r="AT250" s="131">
        <f>'Sta. Meteorologi Supadio'!S8</f>
        <v>0</v>
      </c>
      <c r="AU250" s="131">
        <f>'Sta. Meteorologi Supadio'!T8</f>
        <v>10.5</v>
      </c>
      <c r="AV250" s="131">
        <f>'Sta. Meteorologi Supadio'!U8</f>
        <v>7.5</v>
      </c>
      <c r="AW250" s="131">
        <f>'Sta. Meteorologi Supadio'!V8</f>
        <v>18</v>
      </c>
      <c r="AX250" s="131">
        <f>'Sta. Meteorologi Supadio'!W8</f>
        <v>2</v>
      </c>
      <c r="AY250" s="131">
        <f>'Sta. Meteorologi Supadio'!X8</f>
        <v>0</v>
      </c>
      <c r="AZ250" s="131">
        <f>'Sta. Meteorologi Supadio'!Y8</f>
        <v>26</v>
      </c>
      <c r="BA250" s="131">
        <f>'Sta. Meteorologi Supadio'!Z8</f>
        <v>4.3</v>
      </c>
      <c r="BB250" s="131">
        <f>'Sta. Meteorologi Supadio'!AA8</f>
        <v>0.3</v>
      </c>
      <c r="BC250" s="131">
        <f>'Sta. Meteorologi Supadio'!AB8</f>
        <v>18.8</v>
      </c>
    </row>
    <row r="251" spans="1:70">
      <c r="A251" s="130">
        <v>2</v>
      </c>
      <c r="B251" s="131">
        <f>'Sta. Klimatologi Kalbar'!Q9</f>
        <v>0</v>
      </c>
      <c r="C251" s="131">
        <f>'Sta. Klimatologi Kalbar'!R9</f>
        <v>0</v>
      </c>
      <c r="D251" s="131">
        <f>'Sta. Klimatologi Kalbar'!S9</f>
        <v>0</v>
      </c>
      <c r="E251" s="131">
        <f>'Sta. Klimatologi Kalbar'!T9</f>
        <v>0</v>
      </c>
      <c r="F251" s="131">
        <f>'Sta. Klimatologi Kalbar'!U9</f>
        <v>0</v>
      </c>
      <c r="G251" s="131">
        <f>'Sta. Klimatologi Kalbar'!V9</f>
        <v>0</v>
      </c>
      <c r="H251" s="131">
        <f>'Sta. Klimatologi Kalbar'!W9</f>
        <v>0</v>
      </c>
      <c r="I251" s="131">
        <f>'Sta. Klimatologi Kalbar'!X9</f>
        <v>0</v>
      </c>
      <c r="J251" s="131">
        <f>'Sta. Klimatologi Kalbar'!Y9</f>
        <v>35.9</v>
      </c>
      <c r="K251" s="131">
        <f>'Sta. Klimatologi Kalbar'!Z9</f>
        <v>17.7</v>
      </c>
      <c r="L251" s="131">
        <f>'Sta. Klimatologi Kalbar'!AA9</f>
        <v>22.9</v>
      </c>
      <c r="M251" s="131">
        <f>'Sta. Klimatologi Kalbar'!AB9</f>
        <v>29.1</v>
      </c>
      <c r="O251" s="130">
        <v>2</v>
      </c>
      <c r="P251" s="131">
        <f t="shared" ref="P251:P280" si="368">((B251/($T$1^2))+(AD251/($T$2^2))+(AR251/($T$3^2)))/((1/($T$1^2))+(1/($T$2^2))+(1/($T$3^2)))</f>
        <v>4.3276702700302856</v>
      </c>
      <c r="Q251" s="131">
        <f t="shared" ref="Q251:Q280" si="369">((C251/($T$1^2))+(AE251/($T$2^2))+(AS251/($T$3^2)))/((1/($T$1^2))+(1/($T$2^2))+(1/($T$3^2)))</f>
        <v>0</v>
      </c>
      <c r="R251" s="131">
        <f t="shared" ref="R251:R280" si="370">((D251/($T$1^2))+(AF251/($T$2^2))+(AT251/($T$3^2)))/((1/($T$1^2))+(1/($T$2^2))+(1/($T$3^2)))</f>
        <v>0</v>
      </c>
      <c r="S251" s="131">
        <f t="shared" ref="S251:S280" si="371">((E251/($T$1^2))+(AG251/($T$2^2))+(AU251/($T$3^2)))/((1/($T$1^2))+(1/($T$2^2))+(1/($T$3^2)))</f>
        <v>0.28340646271962872</v>
      </c>
      <c r="T251" s="131">
        <f t="shared" ref="T251:T280" si="372">((F251/($T$1^2))+(AH251/($T$2^2))+(AV251/($T$3^2)))/((1/($T$1^2))+(1/($T$2^2))+(1/($T$3^2)))</f>
        <v>0.92209273840235551</v>
      </c>
      <c r="U251" s="131">
        <f t="shared" ref="U251:U280" si="373">((G251/($T$1^2))+(AI251/($T$2^2))+(AW251/($T$3^2)))/((1/($T$1^2))+(1/($T$2^2))+(1/($T$3^2)))</f>
        <v>0</v>
      </c>
      <c r="V251" s="131">
        <f t="shared" ref="V251:V280" si="374">((H251/($T$1^2))+(AJ251/($T$2^2))+(AX251/($T$3^2)))/((1/($T$1^2))+(1/($T$2^2))+(1/($T$3^2)))</f>
        <v>0</v>
      </c>
      <c r="W251" s="131">
        <f t="shared" ref="W251:W280" si="375">((I251/($T$1^2))+(AK251/($T$2^2))+(AY251/($T$3^2)))/((1/($T$1^2))+(1/($T$2^2))+(1/($T$3^2)))</f>
        <v>10.855929737848301</v>
      </c>
      <c r="X251" s="131">
        <f t="shared" ref="X251:X280" si="376">((J251/($T$1^2))+(AL251/($T$2^2))+(AZ251/($T$3^2)))/((1/($T$1^2))+(1/($T$2^2))+(1/($T$3^2)))</f>
        <v>42.010847976044694</v>
      </c>
      <c r="Y251" s="131">
        <f t="shared" ref="Y251:Y280" si="377">((K251/($T$1^2))+(AM251/($T$2^2))+(BA251/($T$3^2)))/((1/($T$1^2))+(1/($T$2^2))+(1/($T$3^2)))</f>
        <v>25.695603126586583</v>
      </c>
      <c r="Z251" s="131">
        <f t="shared" ref="Z251:Z280" si="378">((L251/($T$1^2))+(AN251/($T$2^2))+(BB251/($T$3^2)))/((1/($T$1^2))+(1/($T$2^2))+(1/($T$3^2)))</f>
        <v>14.931613611665457</v>
      </c>
      <c r="AA251" s="131">
        <f t="shared" ref="AA251:AA280" si="379">((M251/($T$1^2))+(AO251/($T$2^2))+(BC251/($T$3^2)))/((1/($T$1^2))+(1/($T$2^2))+(1/($T$3^2)))</f>
        <v>15.458171337542359</v>
      </c>
      <c r="AC251" s="130">
        <v>2</v>
      </c>
      <c r="AD251" s="131">
        <f>'Sta. Meteorologi pnk'!Q144</f>
        <v>5.6</v>
      </c>
      <c r="AE251" s="131">
        <f>'Sta. Meteorologi pnk'!R144</f>
        <v>0</v>
      </c>
      <c r="AF251" s="131">
        <f>'Sta. Meteorologi pnk'!S144</f>
        <v>0</v>
      </c>
      <c r="AG251" s="131">
        <f>'Sta. Meteorologi pnk'!T144</f>
        <v>0</v>
      </c>
      <c r="AH251" s="131">
        <f>'Sta. Meteorologi pnk'!U144</f>
        <v>1</v>
      </c>
      <c r="AI251" s="131">
        <f>'Sta. Meteorologi pnk'!V144</f>
        <v>0</v>
      </c>
      <c r="AJ251" s="131">
        <f>'Sta. Meteorologi pnk'!W144</f>
        <v>0</v>
      </c>
      <c r="AK251" s="131">
        <f>'Sta. Meteorologi pnk'!X144</f>
        <v>15.3</v>
      </c>
      <c r="AL251" s="131">
        <f>'Sta. Meteorologi pnk'!Y144</f>
        <v>46.2</v>
      </c>
      <c r="AM251" s="131">
        <f>'Sta. Meteorologi pnk'!Z144</f>
        <v>28.1</v>
      </c>
      <c r="AN251" s="131">
        <f>'Sta. Meteorologi pnk'!AA144</f>
        <v>11.4</v>
      </c>
      <c r="AO251" s="131">
        <f>'Sta. Meteorologi pnk'!AB144</f>
        <v>12.4</v>
      </c>
      <c r="AQ251" s="130">
        <v>2</v>
      </c>
      <c r="AR251" s="131">
        <f>'Sta. Meteorologi Supadio'!Q9</f>
        <v>5</v>
      </c>
      <c r="AS251" s="131">
        <f>'Sta. Meteorologi Supadio'!R9</f>
        <v>0</v>
      </c>
      <c r="AT251" s="131">
        <f>'Sta. Meteorologi Supadio'!S9</f>
        <v>0</v>
      </c>
      <c r="AU251" s="131">
        <f>'Sta. Meteorologi Supadio'!T9</f>
        <v>4</v>
      </c>
      <c r="AV251" s="131">
        <f>'Sta. Meteorologi Supadio'!U9</f>
        <v>3</v>
      </c>
      <c r="AW251" s="131">
        <f>'Sta. Meteorologi Supadio'!V9</f>
        <v>0</v>
      </c>
      <c r="AX251" s="131">
        <f>'Sta. Meteorologi Supadio'!W9</f>
        <v>0</v>
      </c>
      <c r="AY251" s="131">
        <f>'Sta. Meteorologi Supadio'!X9</f>
        <v>0</v>
      </c>
      <c r="AZ251" s="131">
        <f>'Sta. Meteorologi Supadio'!Y9</f>
        <v>19</v>
      </c>
      <c r="BA251" s="131">
        <f>'Sta. Meteorologi Supadio'!Z9</f>
        <v>26.4</v>
      </c>
      <c r="BB251" s="131">
        <f>'Sta. Meteorologi Supadio'!AA9</f>
        <v>25.6</v>
      </c>
      <c r="BC251" s="131">
        <f>'Sta. Meteorologi Supadio'!AB9</f>
        <v>3.8</v>
      </c>
    </row>
    <row r="252" spans="1:70">
      <c r="A252" s="130">
        <v>3</v>
      </c>
      <c r="B252" s="131">
        <f>'Sta. Klimatologi Kalbar'!Q10</f>
        <v>0</v>
      </c>
      <c r="C252" s="131">
        <f>'Sta. Klimatologi Kalbar'!R10</f>
        <v>0</v>
      </c>
      <c r="D252" s="131">
        <f>'Sta. Klimatologi Kalbar'!S10</f>
        <v>0</v>
      </c>
      <c r="E252" s="131">
        <f>'Sta. Klimatologi Kalbar'!T10</f>
        <v>0</v>
      </c>
      <c r="F252" s="131">
        <f>'Sta. Klimatologi Kalbar'!U10</f>
        <v>2</v>
      </c>
      <c r="G252" s="131">
        <f>'Sta. Klimatologi Kalbar'!V10</f>
        <v>32.5</v>
      </c>
      <c r="H252" s="131">
        <f>'Sta. Klimatologi Kalbar'!W10</f>
        <v>0</v>
      </c>
      <c r="I252" s="131">
        <f>'Sta. Klimatologi Kalbar'!X10</f>
        <v>2.2999999999999998</v>
      </c>
      <c r="J252" s="131">
        <f>'Sta. Klimatologi Kalbar'!Y10</f>
        <v>14.5</v>
      </c>
      <c r="K252" s="131">
        <f>'Sta. Klimatologi Kalbar'!Z10</f>
        <v>5.0999999999999996</v>
      </c>
      <c r="L252" s="131">
        <f>'Sta. Klimatologi Kalbar'!AA10</f>
        <v>0</v>
      </c>
      <c r="M252" s="131">
        <f>'Sta. Klimatologi Kalbar'!AB10</f>
        <v>10.5</v>
      </c>
      <c r="O252" s="130">
        <v>3</v>
      </c>
      <c r="P252" s="131">
        <f t="shared" si="368"/>
        <v>1.6661368764977371</v>
      </c>
      <c r="Q252" s="131">
        <f t="shared" si="369"/>
        <v>0</v>
      </c>
      <c r="R252" s="131">
        <f t="shared" si="370"/>
        <v>0</v>
      </c>
      <c r="S252" s="131">
        <f t="shared" si="371"/>
        <v>0</v>
      </c>
      <c r="T252" s="131">
        <f t="shared" si="372"/>
        <v>1.3753818739968984</v>
      </c>
      <c r="U252" s="131">
        <f t="shared" si="373"/>
        <v>37.760424240973094</v>
      </c>
      <c r="V252" s="131">
        <f t="shared" si="374"/>
        <v>1.2481123439862849</v>
      </c>
      <c r="W252" s="131">
        <f t="shared" si="375"/>
        <v>1.6969438790699392</v>
      </c>
      <c r="X252" s="131">
        <f t="shared" si="376"/>
        <v>8.6043633808602831</v>
      </c>
      <c r="Y252" s="131">
        <f t="shared" si="377"/>
        <v>12.513700316904139</v>
      </c>
      <c r="Z252" s="131">
        <f t="shared" si="378"/>
        <v>4.6967117123039408</v>
      </c>
      <c r="AA252" s="131">
        <f t="shared" si="379"/>
        <v>11.323513517188621</v>
      </c>
      <c r="AC252" s="130">
        <v>3</v>
      </c>
      <c r="AD252" s="131">
        <f>'Sta. Meteorologi pnk'!Q145</f>
        <v>1.1000000000000001</v>
      </c>
      <c r="AE252" s="131">
        <f>'Sta. Meteorologi pnk'!R145</f>
        <v>0</v>
      </c>
      <c r="AF252" s="131">
        <f>'Sta. Meteorologi pnk'!S145</f>
        <v>0</v>
      </c>
      <c r="AG252" s="131">
        <f>'Sta. Meteorologi pnk'!T145</f>
        <v>0</v>
      </c>
      <c r="AH252" s="131">
        <f>'Sta. Meteorologi pnk'!U145</f>
        <v>0.9</v>
      </c>
      <c r="AI252" s="131">
        <f>'Sta. Meteorologi pnk'!V145</f>
        <v>42.6</v>
      </c>
      <c r="AJ252" s="131">
        <f>'Sta. Meteorologi pnk'!W145</f>
        <v>1.1000000000000001</v>
      </c>
      <c r="AK252" s="131">
        <f>'Sta. Meteorologi pnk'!X145</f>
        <v>1.5</v>
      </c>
      <c r="AL252" s="131">
        <f>'Sta. Meteorologi pnk'!Y145</f>
        <v>6.8</v>
      </c>
      <c r="AM252" s="131">
        <f>'Sta. Meteorologi pnk'!Z145</f>
        <v>14.6</v>
      </c>
      <c r="AN252" s="131">
        <f>'Sta. Meteorologi pnk'!AA145</f>
        <v>6.2</v>
      </c>
      <c r="AO252" s="131">
        <f>'Sta. Meteorologi pnk'!AB145</f>
        <v>12.1</v>
      </c>
      <c r="AQ252" s="130">
        <v>3</v>
      </c>
      <c r="AR252" s="131">
        <f>'Sta. Meteorologi Supadio'!Q10</f>
        <v>12.5</v>
      </c>
      <c r="AS252" s="131">
        <f>'Sta. Meteorologi Supadio'!R10</f>
        <v>0</v>
      </c>
      <c r="AT252" s="131">
        <f>'Sta. Meteorologi Supadio'!S10</f>
        <v>0</v>
      </c>
      <c r="AU252" s="131">
        <f>'Sta. Meteorologi Supadio'!T10</f>
        <v>0</v>
      </c>
      <c r="AV252" s="131">
        <f>'Sta. Meteorologi Supadio'!U10</f>
        <v>4.2</v>
      </c>
      <c r="AW252" s="131">
        <f>'Sta. Meteorologi Supadio'!V10</f>
        <v>5.6</v>
      </c>
      <c r="AX252" s="131">
        <f>'Sta. Meteorologi Supadio'!W10</f>
        <v>6.6</v>
      </c>
      <c r="AY252" s="131">
        <f>'Sta. Meteorologi Supadio'!X10</f>
        <v>1.8</v>
      </c>
      <c r="AZ252" s="131">
        <f>'Sta. Meteorologi Supadio'!Y10</f>
        <v>8.4</v>
      </c>
      <c r="BA252" s="131">
        <f>'Sta. Meteorologi Supadio'!Z10</f>
        <v>14.6</v>
      </c>
      <c r="BB252" s="131">
        <f>'Sta. Meteorologi Supadio'!AA10</f>
        <v>4.2</v>
      </c>
      <c r="BC252" s="131">
        <f>'Sta. Meteorologi Supadio'!AB10</f>
        <v>6.1</v>
      </c>
    </row>
    <row r="253" spans="1:70">
      <c r="A253" s="130">
        <v>4</v>
      </c>
      <c r="B253" s="131">
        <f>'Sta. Klimatologi Kalbar'!Q11</f>
        <v>2</v>
      </c>
      <c r="C253" s="131">
        <f>'Sta. Klimatologi Kalbar'!R11</f>
        <v>0</v>
      </c>
      <c r="D253" s="131">
        <f>'Sta. Klimatologi Kalbar'!S11</f>
        <v>0</v>
      </c>
      <c r="E253" s="131">
        <f>'Sta. Klimatologi Kalbar'!T11</f>
        <v>0</v>
      </c>
      <c r="F253" s="131">
        <f>'Sta. Klimatologi Kalbar'!U11</f>
        <v>5.4</v>
      </c>
      <c r="G253" s="131">
        <f>'Sta. Klimatologi Kalbar'!V11</f>
        <v>25.4</v>
      </c>
      <c r="H253" s="131">
        <f>'Sta. Klimatologi Kalbar'!W11</f>
        <v>0</v>
      </c>
      <c r="I253" s="131">
        <f>'Sta. Klimatologi Kalbar'!X11</f>
        <v>7.1</v>
      </c>
      <c r="J253" s="131">
        <f>'Sta. Klimatologi Kalbar'!Y11</f>
        <v>0</v>
      </c>
      <c r="K253" s="131">
        <f>'Sta. Klimatologi Kalbar'!Z11</f>
        <v>3</v>
      </c>
      <c r="L253" s="131">
        <f>'Sta. Klimatologi Kalbar'!AA11</f>
        <v>0.3</v>
      </c>
      <c r="M253" s="131">
        <f>'Sta. Klimatologi Kalbar'!AB11</f>
        <v>3.4</v>
      </c>
      <c r="O253" s="130">
        <v>4</v>
      </c>
      <c r="P253" s="131">
        <f t="shared" si="368"/>
        <v>0.43922098591491759</v>
      </c>
      <c r="Q253" s="131">
        <f t="shared" si="369"/>
        <v>6.3766454111916462E-2</v>
      </c>
      <c r="R253" s="131">
        <f t="shared" si="370"/>
        <v>0</v>
      </c>
      <c r="S253" s="131">
        <f t="shared" si="371"/>
        <v>0</v>
      </c>
      <c r="T253" s="131">
        <f t="shared" si="372"/>
        <v>8.6259963294756137</v>
      </c>
      <c r="U253" s="131">
        <f t="shared" si="373"/>
        <v>7.7699757820374904</v>
      </c>
      <c r="V253" s="131">
        <f t="shared" si="374"/>
        <v>4.6499094577290352</v>
      </c>
      <c r="W253" s="131">
        <f t="shared" si="375"/>
        <v>18.630654862109118</v>
      </c>
      <c r="X253" s="131">
        <f t="shared" si="376"/>
        <v>0.28381515654505363</v>
      </c>
      <c r="Y253" s="131">
        <f t="shared" si="377"/>
        <v>6.0932173818982021</v>
      </c>
      <c r="Z253" s="131">
        <f t="shared" si="378"/>
        <v>4.3442638073106572</v>
      </c>
      <c r="AA253" s="131">
        <f t="shared" si="379"/>
        <v>7.0402052510224742</v>
      </c>
      <c r="AC253" s="130">
        <v>4</v>
      </c>
      <c r="AD253" s="131">
        <f>'Sta. Meteorologi pnk'!Q146</f>
        <v>0</v>
      </c>
      <c r="AE253" s="131">
        <f>'Sta. Meteorologi pnk'!R146</f>
        <v>0</v>
      </c>
      <c r="AF253" s="131">
        <f>'Sta. Meteorologi pnk'!S146</f>
        <v>0</v>
      </c>
      <c r="AG253" s="131">
        <f>'Sta. Meteorologi pnk'!T146</f>
        <v>0</v>
      </c>
      <c r="AH253" s="131">
        <f>'Sta. Meteorologi pnk'!U146</f>
        <v>7.6</v>
      </c>
      <c r="AI253" s="131">
        <f>'Sta. Meteorologi pnk'!V146</f>
        <v>2.5</v>
      </c>
      <c r="AJ253" s="131">
        <f>'Sta. Meteorologi pnk'!W146</f>
        <v>2</v>
      </c>
      <c r="AK253" s="131">
        <f>'Sta. Meteorologi pnk'!X146</f>
        <v>24</v>
      </c>
      <c r="AL253" s="131">
        <f>'Sta. Meteorologi pnk'!Y146</f>
        <v>0.4</v>
      </c>
      <c r="AM253" s="131">
        <f>'Sta. Meteorologi pnk'!Z146</f>
        <v>7</v>
      </c>
      <c r="AN253" s="131">
        <f>'Sta. Meteorologi pnk'!AA146</f>
        <v>5.9</v>
      </c>
      <c r="AO253" s="131">
        <f>'Sta. Meteorologi pnk'!AB146</f>
        <v>8.8000000000000007</v>
      </c>
      <c r="AQ253" s="130">
        <v>4</v>
      </c>
      <c r="AR253" s="131">
        <f>'Sta. Meteorologi Supadio'!Q11</f>
        <v>0</v>
      </c>
      <c r="AS253" s="131">
        <f>'Sta. Meteorologi Supadio'!R11</f>
        <v>0.9</v>
      </c>
      <c r="AT253" s="131">
        <f>'Sta. Meteorologi Supadio'!S11</f>
        <v>0</v>
      </c>
      <c r="AU253" s="131">
        <f>'Sta. Meteorologi Supadio'!T11</f>
        <v>0</v>
      </c>
      <c r="AV253" s="131">
        <f>'Sta. Meteorologi Supadio'!U11</f>
        <v>28.9</v>
      </c>
      <c r="AW253" s="131">
        <f>'Sta. Meteorologi Supadio'!V11</f>
        <v>5.9</v>
      </c>
      <c r="AX253" s="131">
        <f>'Sta. Meteorologi Supadio'!W11</f>
        <v>45.6</v>
      </c>
      <c r="AY253" s="131">
        <f>'Sta. Meteorologi Supadio'!X11</f>
        <v>0.6</v>
      </c>
      <c r="AZ253" s="131">
        <f>'Sta. Meteorologi Supadio'!Y11</f>
        <v>0</v>
      </c>
      <c r="BA253" s="131">
        <f>'Sta. Meteorologi Supadio'!Z11</f>
        <v>6.6</v>
      </c>
      <c r="BB253" s="131">
        <f>'Sta. Meteorologi Supadio'!AA11</f>
        <v>1.3</v>
      </c>
      <c r="BC253" s="131">
        <f>'Sta. Meteorologi Supadio'!AB11</f>
        <v>0.7</v>
      </c>
    </row>
    <row r="254" spans="1:70">
      <c r="A254" s="130">
        <v>5</v>
      </c>
      <c r="B254" s="131">
        <f>'Sta. Klimatologi Kalbar'!Q12</f>
        <v>0</v>
      </c>
      <c r="C254" s="131">
        <f>'Sta. Klimatologi Kalbar'!R12</f>
        <v>0</v>
      </c>
      <c r="D254" s="131">
        <f>'Sta. Klimatologi Kalbar'!S12</f>
        <v>9.6999999999999993</v>
      </c>
      <c r="E254" s="131">
        <f>'Sta. Klimatologi Kalbar'!T12</f>
        <v>2.5</v>
      </c>
      <c r="F254" s="131">
        <f>'Sta. Klimatologi Kalbar'!U12</f>
        <v>9.1</v>
      </c>
      <c r="G254" s="131">
        <f>'Sta. Klimatologi Kalbar'!V12</f>
        <v>9.1999999999999993</v>
      </c>
      <c r="H254" s="131">
        <f>'Sta. Klimatologi Kalbar'!W12</f>
        <v>1</v>
      </c>
      <c r="I254" s="131">
        <f>'Sta. Klimatologi Kalbar'!X12</f>
        <v>104.5</v>
      </c>
      <c r="J254" s="131">
        <f>'Sta. Klimatologi Kalbar'!Y12</f>
        <v>0</v>
      </c>
      <c r="K254" s="131">
        <f>'Sta. Klimatologi Kalbar'!Z12</f>
        <v>31.5</v>
      </c>
      <c r="L254" s="131">
        <f>'Sta. Klimatologi Kalbar'!AA12</f>
        <v>0</v>
      </c>
      <c r="M254" s="131">
        <f>'Sta. Klimatologi Kalbar'!AB12</f>
        <v>13.3</v>
      </c>
      <c r="O254" s="130">
        <v>5</v>
      </c>
      <c r="P254" s="131">
        <f t="shared" si="368"/>
        <v>3.1644776914035342</v>
      </c>
      <c r="Q254" s="131">
        <f t="shared" si="369"/>
        <v>22.416901734979561</v>
      </c>
      <c r="R254" s="131">
        <f t="shared" si="370"/>
        <v>2.6621197665684355</v>
      </c>
      <c r="S254" s="131">
        <f t="shared" si="371"/>
        <v>2.0231485323611413</v>
      </c>
      <c r="T254" s="131">
        <f t="shared" si="372"/>
        <v>5.6238773730612301</v>
      </c>
      <c r="U254" s="131">
        <f t="shared" si="373"/>
        <v>4.957862536067382</v>
      </c>
      <c r="V254" s="131">
        <f t="shared" si="374"/>
        <v>0.2196104929574588</v>
      </c>
      <c r="W254" s="131">
        <f t="shared" si="375"/>
        <v>46.971940395479578</v>
      </c>
      <c r="X254" s="131">
        <f t="shared" si="376"/>
        <v>0.28381515654505363</v>
      </c>
      <c r="Y254" s="131">
        <f t="shared" si="377"/>
        <v>17.804590441768532</v>
      </c>
      <c r="Z254" s="131">
        <f t="shared" si="378"/>
        <v>0.30476412087995708</v>
      </c>
      <c r="AA254" s="131">
        <f t="shared" si="379"/>
        <v>5.3808010488159672</v>
      </c>
      <c r="AC254" s="130">
        <v>5</v>
      </c>
      <c r="AD254" s="131">
        <f>'Sta. Meteorologi pnk'!Q147</f>
        <v>4.4000000000000004</v>
      </c>
      <c r="AE254" s="131">
        <f>'Sta. Meteorologi pnk'!R147</f>
        <v>27.2</v>
      </c>
      <c r="AF254" s="131">
        <f>'Sta. Meteorologi pnk'!S147</f>
        <v>0.5</v>
      </c>
      <c r="AG254" s="131">
        <f>'Sta. Meteorologi pnk'!T147</f>
        <v>0.4</v>
      </c>
      <c r="AH254" s="131">
        <f>'Sta. Meteorologi pnk'!U147</f>
        <v>4.8</v>
      </c>
      <c r="AI254" s="131">
        <f>'Sta. Meteorologi pnk'!V147</f>
        <v>4.0999999999999996</v>
      </c>
      <c r="AJ254" s="131">
        <f>'Sta. Meteorologi pnk'!W147</f>
        <v>0</v>
      </c>
      <c r="AK254" s="131">
        <f>'Sta. Meteorologi pnk'!X147</f>
        <v>31.6</v>
      </c>
      <c r="AL254" s="131">
        <f>'Sta. Meteorologi pnk'!Y147</f>
        <v>0.4</v>
      </c>
      <c r="AM254" s="131">
        <f>'Sta. Meteorologi pnk'!Z147</f>
        <v>10.9</v>
      </c>
      <c r="AN254" s="131">
        <f>'Sta. Meteorologi pnk'!AA147</f>
        <v>0.1</v>
      </c>
      <c r="AO254" s="131">
        <f>'Sta. Meteorologi pnk'!AB147</f>
        <v>1.4</v>
      </c>
      <c r="AQ254" s="130">
        <v>5</v>
      </c>
      <c r="AR254" s="131">
        <f>'Sta. Meteorologi Supadio'!Q12</f>
        <v>0.6</v>
      </c>
      <c r="AS254" s="131">
        <f>'Sta. Meteorologi Supadio'!R12</f>
        <v>44</v>
      </c>
      <c r="AT254" s="131">
        <f>'Sta. Meteorologi Supadio'!S12</f>
        <v>2.5</v>
      </c>
      <c r="AU254" s="131">
        <f>'Sta. Meteorologi Supadio'!T12</f>
        <v>16.8</v>
      </c>
      <c r="AV254" s="131">
        <f>'Sta. Meteorologi Supadio'!U12</f>
        <v>3.1</v>
      </c>
      <c r="AW254" s="131">
        <f>'Sta. Meteorologi Supadio'!V12</f>
        <v>0.4</v>
      </c>
      <c r="AX254" s="131">
        <f>'Sta. Meteorologi Supadio'!W12</f>
        <v>0</v>
      </c>
      <c r="AY254" s="131">
        <f>'Sta. Meteorologi Supadio'!X12</f>
        <v>22.6</v>
      </c>
      <c r="AZ254" s="131">
        <f>'Sta. Meteorologi Supadio'!Y12</f>
        <v>0</v>
      </c>
      <c r="BA254" s="131">
        <f>'Sta. Meteorologi Supadio'!Z12</f>
        <v>44.5</v>
      </c>
      <c r="BB254" s="131">
        <f>'Sta. Meteorologi Supadio'!AA12</f>
        <v>3.3</v>
      </c>
      <c r="BC254" s="131">
        <f>'Sta. Meteorologi Supadio'!AB12</f>
        <v>20.7</v>
      </c>
    </row>
    <row r="255" spans="1:70">
      <c r="A255" s="130">
        <v>6</v>
      </c>
      <c r="B255" s="131">
        <f>'Sta. Klimatologi Kalbar'!Q13</f>
        <v>3.8</v>
      </c>
      <c r="C255" s="131">
        <f>'Sta. Klimatologi Kalbar'!R13</f>
        <v>1.6</v>
      </c>
      <c r="D255" s="131">
        <f>'Sta. Klimatologi Kalbar'!S13</f>
        <v>17.5</v>
      </c>
      <c r="E255" s="131">
        <f>'Sta. Klimatologi Kalbar'!T13</f>
        <v>1.1000000000000001</v>
      </c>
      <c r="F255" s="131">
        <f>'Sta. Klimatologi Kalbar'!U13</f>
        <v>29.5</v>
      </c>
      <c r="G255" s="131">
        <f>'Sta. Klimatologi Kalbar'!V13</f>
        <v>56.2</v>
      </c>
      <c r="H255" s="131">
        <f>'Sta. Klimatologi Kalbar'!W13</f>
        <v>1</v>
      </c>
      <c r="I255" s="131">
        <f>'Sta. Klimatologi Kalbar'!X13</f>
        <v>0</v>
      </c>
      <c r="J255" s="131">
        <f>'Sta. Klimatologi Kalbar'!Y13</f>
        <v>0</v>
      </c>
      <c r="K255" s="131">
        <f>'Sta. Klimatologi Kalbar'!Z13</f>
        <v>34</v>
      </c>
      <c r="L255" s="131">
        <f>'Sta. Klimatologi Kalbar'!AA13</f>
        <v>38.9</v>
      </c>
      <c r="M255" s="131">
        <f>'Sta. Klimatologi Kalbar'!AB13</f>
        <v>0</v>
      </c>
      <c r="O255" s="130">
        <v>6</v>
      </c>
      <c r="P255" s="131">
        <f t="shared" si="368"/>
        <v>12.200479070525621</v>
      </c>
      <c r="Q255" s="131">
        <f t="shared" si="369"/>
        <v>18.4445930184791</v>
      </c>
      <c r="R255" s="131">
        <f t="shared" si="370"/>
        <v>13.731137932733771</v>
      </c>
      <c r="S255" s="131">
        <f t="shared" si="371"/>
        <v>34.750388505058496</v>
      </c>
      <c r="T255" s="131">
        <f t="shared" si="372"/>
        <v>7.1169914710150488</v>
      </c>
      <c r="U255" s="131">
        <f t="shared" si="373"/>
        <v>90.16847036834416</v>
      </c>
      <c r="V255" s="131">
        <f t="shared" si="374"/>
        <v>8.9035981996590614</v>
      </c>
      <c r="W255" s="131">
        <f t="shared" si="375"/>
        <v>2.8340646271962873E-2</v>
      </c>
      <c r="X255" s="131">
        <f t="shared" si="376"/>
        <v>0.15587355449579579</v>
      </c>
      <c r="Y255" s="131">
        <f t="shared" si="377"/>
        <v>23.235666495253795</v>
      </c>
      <c r="Z255" s="131">
        <f t="shared" si="378"/>
        <v>36.719644552352683</v>
      </c>
      <c r="AA255" s="131">
        <f t="shared" si="379"/>
        <v>0.14878839292780507</v>
      </c>
      <c r="AC255" s="130">
        <v>6</v>
      </c>
      <c r="AD255" s="131">
        <f>'Sta. Meteorologi pnk'!Q148</f>
        <v>15.2</v>
      </c>
      <c r="AE255" s="131">
        <f>'Sta. Meteorologi pnk'!R148</f>
        <v>25.5</v>
      </c>
      <c r="AF255" s="131">
        <f>'Sta. Meteorologi pnk'!S148</f>
        <v>11</v>
      </c>
      <c r="AG255" s="131">
        <f>'Sta. Meteorologi pnk'!T148</f>
        <v>45.6</v>
      </c>
      <c r="AH255" s="131">
        <f>'Sta. Meteorologi pnk'!U148</f>
        <v>0.8</v>
      </c>
      <c r="AI255" s="131">
        <f>'Sta. Meteorologi pnk'!V148</f>
        <v>106.9</v>
      </c>
      <c r="AJ255" s="131">
        <f>'Sta. Meteorologi pnk'!W148</f>
        <v>11.5</v>
      </c>
      <c r="AK255" s="131">
        <f>'Sta. Meteorologi pnk'!X148</f>
        <v>0</v>
      </c>
      <c r="AL255" s="131">
        <f>'Sta. Meteorologi pnk'!Y148</f>
        <v>0</v>
      </c>
      <c r="AM255" s="131">
        <f>'Sta. Meteorologi pnk'!Z148</f>
        <v>18.2</v>
      </c>
      <c r="AN255" s="131">
        <f>'Sta. Meteorologi pnk'!AA148</f>
        <v>33.799999999999997</v>
      </c>
      <c r="AO255" s="131">
        <f>'Sta. Meteorologi pnk'!AB148</f>
        <v>0</v>
      </c>
      <c r="AQ255" s="130">
        <v>6</v>
      </c>
      <c r="AR255" s="131">
        <f>'Sta. Meteorologi Supadio'!Q13</f>
        <v>8.1999999999999993</v>
      </c>
      <c r="AS255" s="131">
        <f>'Sta. Meteorologi Supadio'!R13</f>
        <v>0</v>
      </c>
      <c r="AT255" s="131">
        <f>'Sta. Meteorologi Supadio'!S13</f>
        <v>29.4</v>
      </c>
      <c r="AU255" s="131">
        <f>'Sta. Meteorologi Supadio'!T13</f>
        <v>30.4</v>
      </c>
      <c r="AV255" s="131">
        <f>'Sta. Meteorologi Supadio'!U13</f>
        <v>1</v>
      </c>
      <c r="AW255" s="131">
        <f>'Sta. Meteorologi Supadio'!V13</f>
        <v>27.9</v>
      </c>
      <c r="AX255" s="131">
        <f>'Sta. Meteorologi Supadio'!W13</f>
        <v>7.4</v>
      </c>
      <c r="AY255" s="131">
        <f>'Sta. Meteorologi Supadio'!X13</f>
        <v>0.4</v>
      </c>
      <c r="AZ255" s="131">
        <f>'Sta. Meteorologi Supadio'!Y13</f>
        <v>2.2000000000000002</v>
      </c>
      <c r="BA255" s="131">
        <f>'Sta. Meteorologi Supadio'!Z13</f>
        <v>40.299999999999997</v>
      </c>
      <c r="BB255" s="131">
        <f>'Sta. Meteorologi Supadio'!AA13</f>
        <v>59.2</v>
      </c>
      <c r="BC255" s="131">
        <f>'Sta. Meteorologi Supadio'!AB13</f>
        <v>2.1</v>
      </c>
    </row>
    <row r="256" spans="1:70">
      <c r="A256" s="130">
        <v>7</v>
      </c>
      <c r="B256" s="131">
        <f>'Sta. Klimatologi Kalbar'!Q14</f>
        <v>5.4</v>
      </c>
      <c r="C256" s="131">
        <f>'Sta. Klimatologi Kalbar'!R14</f>
        <v>30</v>
      </c>
      <c r="D256" s="131">
        <f>'Sta. Klimatologi Kalbar'!S14</f>
        <v>10.8</v>
      </c>
      <c r="E256" s="131">
        <f>'Sta. Klimatologi Kalbar'!T14</f>
        <v>12.6</v>
      </c>
      <c r="F256" s="131">
        <f>'Sta. Klimatologi Kalbar'!U14</f>
        <v>0.5</v>
      </c>
      <c r="G256" s="131">
        <f>'Sta. Klimatologi Kalbar'!V14</f>
        <v>0</v>
      </c>
      <c r="H256" s="131">
        <f>'Sta. Klimatologi Kalbar'!W14</f>
        <v>9.1999999999999993</v>
      </c>
      <c r="I256" s="131">
        <f>'Sta. Klimatologi Kalbar'!X14</f>
        <v>0.8</v>
      </c>
      <c r="J256" s="131">
        <f>'Sta. Klimatologi Kalbar'!Y14</f>
        <v>0</v>
      </c>
      <c r="K256" s="131">
        <f>'Sta. Klimatologi Kalbar'!Z14</f>
        <v>78.900000000000006</v>
      </c>
      <c r="L256" s="131">
        <f>'Sta. Klimatologi Kalbar'!AA14</f>
        <v>2.4</v>
      </c>
      <c r="M256" s="131">
        <f>'Sta. Klimatologi Kalbar'!AB14</f>
        <v>2</v>
      </c>
      <c r="O256" s="130">
        <v>7</v>
      </c>
      <c r="P256" s="131">
        <f t="shared" si="368"/>
        <v>19.766354264607102</v>
      </c>
      <c r="Q256" s="131">
        <f t="shared" si="369"/>
        <v>15.100215148666464</v>
      </c>
      <c r="R256" s="131">
        <f t="shared" si="370"/>
        <v>5.0325093298222541</v>
      </c>
      <c r="S256" s="131">
        <f t="shared" si="371"/>
        <v>4.8944798038756074</v>
      </c>
      <c r="T256" s="131">
        <f t="shared" si="372"/>
        <v>12.383175991750596</v>
      </c>
      <c r="U256" s="131">
        <f t="shared" si="373"/>
        <v>0</v>
      </c>
      <c r="V256" s="131">
        <f t="shared" si="374"/>
        <v>2.020416535208621</v>
      </c>
      <c r="W256" s="131">
        <f t="shared" si="375"/>
        <v>1.9495331227725521</v>
      </c>
      <c r="X256" s="131">
        <f t="shared" si="376"/>
        <v>1.773844728406585</v>
      </c>
      <c r="Y256" s="131">
        <f t="shared" si="377"/>
        <v>76.398564465753253</v>
      </c>
      <c r="Z256" s="131">
        <f t="shared" si="378"/>
        <v>15.900023257641468</v>
      </c>
      <c r="AA256" s="131">
        <f t="shared" si="379"/>
        <v>2.1538300853686714</v>
      </c>
      <c r="AC256" s="130">
        <v>7</v>
      </c>
      <c r="AD256" s="131">
        <f>'Sta. Meteorologi pnk'!Q149</f>
        <v>23.9</v>
      </c>
      <c r="AE256" s="131">
        <f>'Sta. Meteorologi pnk'!R149</f>
        <v>9.5</v>
      </c>
      <c r="AF256" s="131">
        <f>'Sta. Meteorologi pnk'!S149</f>
        <v>3.7</v>
      </c>
      <c r="AG256" s="131">
        <f>'Sta. Meteorologi pnk'!T149</f>
        <v>1.8</v>
      </c>
      <c r="AH256" s="131">
        <f>'Sta. Meteorologi pnk'!U149</f>
        <v>15.7</v>
      </c>
      <c r="AI256" s="131">
        <f>'Sta. Meteorologi pnk'!V149</f>
        <v>0</v>
      </c>
      <c r="AJ256" s="131">
        <f>'Sta. Meteorologi pnk'!W149</f>
        <v>0</v>
      </c>
      <c r="AK256" s="131">
        <f>'Sta. Meteorologi pnk'!X149</f>
        <v>2.5</v>
      </c>
      <c r="AL256" s="131">
        <f>'Sta. Meteorologi pnk'!Y149</f>
        <v>2.5</v>
      </c>
      <c r="AM256" s="131">
        <f>'Sta. Meteorologi pnk'!Z149</f>
        <v>71.599999999999994</v>
      </c>
      <c r="AN256" s="131">
        <f>'Sta. Meteorologi pnk'!AA149</f>
        <v>19</v>
      </c>
      <c r="AO256" s="131">
        <f>'Sta. Meteorologi pnk'!AB149</f>
        <v>0</v>
      </c>
      <c r="AQ256" s="130">
        <v>7</v>
      </c>
      <c r="AR256" s="131">
        <f>'Sta. Meteorologi Supadio'!Q14</f>
        <v>22.9</v>
      </c>
      <c r="AS256" s="131">
        <f>'Sta. Meteorologi Supadio'!R14</f>
        <v>25</v>
      </c>
      <c r="AT256" s="131">
        <f>'Sta. Meteorologi Supadio'!S14</f>
        <v>0.5</v>
      </c>
      <c r="AU256" s="131">
        <f>'Sta. Meteorologi Supadio'!T14</f>
        <v>12</v>
      </c>
      <c r="AV256" s="131">
        <f>'Sta. Meteorologi Supadio'!U14</f>
        <v>16</v>
      </c>
      <c r="AW256" s="131">
        <f>'Sta. Meteorologi Supadio'!V14</f>
        <v>0</v>
      </c>
      <c r="AX256" s="131">
        <f>'Sta. Meteorologi Supadio'!W14</f>
        <v>0</v>
      </c>
      <c r="AY256" s="131">
        <f>'Sta. Meteorologi Supadio'!X14</f>
        <v>0</v>
      </c>
      <c r="AZ256" s="131">
        <f>'Sta. Meteorologi Supadio'!Y14</f>
        <v>0</v>
      </c>
      <c r="BA256" s="131">
        <f>'Sta. Meteorologi Supadio'!Z14</f>
        <v>116.7</v>
      </c>
      <c r="BB256" s="131">
        <f>'Sta. Meteorologi Supadio'!AA14</f>
        <v>26.7</v>
      </c>
      <c r="BC256" s="131">
        <f>'Sta. Meteorologi Supadio'!AB14</f>
        <v>24.2</v>
      </c>
    </row>
    <row r="257" spans="1:55">
      <c r="A257" s="130">
        <v>8</v>
      </c>
      <c r="B257" s="131">
        <f>'Sta. Klimatologi Kalbar'!Q15</f>
        <v>0</v>
      </c>
      <c r="C257" s="131">
        <f>'Sta. Klimatologi Kalbar'!R15</f>
        <v>46.3</v>
      </c>
      <c r="D257" s="131">
        <f>'Sta. Klimatologi Kalbar'!S15</f>
        <v>0</v>
      </c>
      <c r="E257" s="131">
        <f>'Sta. Klimatologi Kalbar'!T15</f>
        <v>106</v>
      </c>
      <c r="F257" s="131">
        <f>'Sta. Klimatologi Kalbar'!U15</f>
        <v>38.700000000000003</v>
      </c>
      <c r="G257" s="131">
        <f>'Sta. Klimatologi Kalbar'!V15</f>
        <v>1.5</v>
      </c>
      <c r="H257" s="131">
        <f>'Sta. Klimatologi Kalbar'!W15</f>
        <v>0</v>
      </c>
      <c r="I257" s="131">
        <f>'Sta. Klimatologi Kalbar'!X15</f>
        <v>0</v>
      </c>
      <c r="J257" s="131">
        <f>'Sta. Klimatologi Kalbar'!Y15</f>
        <v>39.799999999999997</v>
      </c>
      <c r="K257" s="131">
        <f>'Sta. Klimatologi Kalbar'!Z15</f>
        <v>17.399999999999999</v>
      </c>
      <c r="L257" s="131">
        <f>'Sta. Klimatologi Kalbar'!AA15</f>
        <v>1</v>
      </c>
      <c r="M257" s="131">
        <f>'Sta. Klimatologi Kalbar'!AB15</f>
        <v>0</v>
      </c>
      <c r="O257" s="130">
        <v>8</v>
      </c>
      <c r="P257" s="131">
        <f t="shared" si="368"/>
        <v>0.47470582505537812</v>
      </c>
      <c r="Q257" s="131">
        <f t="shared" si="369"/>
        <v>14.822473087195409</v>
      </c>
      <c r="R257" s="131">
        <f t="shared" si="370"/>
        <v>1.1690516587184685</v>
      </c>
      <c r="S257" s="131">
        <f t="shared" si="371"/>
        <v>111.99264804542868</v>
      </c>
      <c r="T257" s="131">
        <f t="shared" si="372"/>
        <v>69.982718459873311</v>
      </c>
      <c r="U257" s="131">
        <f t="shared" si="373"/>
        <v>0.47132331770871499</v>
      </c>
      <c r="V257" s="131">
        <f t="shared" si="374"/>
        <v>0</v>
      </c>
      <c r="W257" s="131">
        <f t="shared" si="375"/>
        <v>0</v>
      </c>
      <c r="X257" s="131">
        <f t="shared" si="376"/>
        <v>19.777576354632231</v>
      </c>
      <c r="Y257" s="131">
        <f t="shared" si="377"/>
        <v>22.550979440306193</v>
      </c>
      <c r="Z257" s="131">
        <f t="shared" si="378"/>
        <v>12.790966717910363</v>
      </c>
      <c r="AA257" s="131">
        <f t="shared" si="379"/>
        <v>15.075789982513381</v>
      </c>
      <c r="AC257" s="130">
        <v>8</v>
      </c>
      <c r="AD257" s="131">
        <f>'Sta. Meteorologi pnk'!Q150</f>
        <v>0</v>
      </c>
      <c r="AE257" s="131">
        <f>'Sta. Meteorologi pnk'!R150</f>
        <v>6.5</v>
      </c>
      <c r="AF257" s="131">
        <f>'Sta. Meteorologi pnk'!S150</f>
        <v>0</v>
      </c>
      <c r="AG257" s="131">
        <f>'Sta. Meteorologi pnk'!T150</f>
        <v>118.5</v>
      </c>
      <c r="AH257" s="131">
        <f>'Sta. Meteorologi pnk'!U150</f>
        <v>82</v>
      </c>
      <c r="AI257" s="131">
        <f>'Sta. Meteorologi pnk'!V150</f>
        <v>0.2</v>
      </c>
      <c r="AJ257" s="131">
        <f>'Sta. Meteorologi pnk'!W150</f>
        <v>0</v>
      </c>
      <c r="AK257" s="131">
        <f>'Sta. Meteorologi pnk'!X150</f>
        <v>0</v>
      </c>
      <c r="AL257" s="131">
        <f>'Sta. Meteorologi pnk'!Y150</f>
        <v>12.3</v>
      </c>
      <c r="AM257" s="131">
        <f>'Sta. Meteorologi pnk'!Z150</f>
        <v>24.4</v>
      </c>
      <c r="AN257" s="131">
        <f>'Sta. Meteorologi pnk'!AA150</f>
        <v>16.100000000000001</v>
      </c>
      <c r="AO257" s="131">
        <f>'Sta. Meteorologi pnk'!AB150</f>
        <v>19.399999999999999</v>
      </c>
      <c r="AQ257" s="130">
        <v>8</v>
      </c>
      <c r="AR257" s="131">
        <f>'Sta. Meteorologi Supadio'!Q15</f>
        <v>6.7</v>
      </c>
      <c r="AS257" s="131">
        <f>'Sta. Meteorologi Supadio'!R15</f>
        <v>0.6</v>
      </c>
      <c r="AT257" s="131">
        <f>'Sta. Meteorologi Supadio'!S15</f>
        <v>16.5</v>
      </c>
      <c r="AU257" s="131">
        <f>'Sta. Meteorologi Supadio'!T15</f>
        <v>65.400000000000006</v>
      </c>
      <c r="AV257" s="131">
        <f>'Sta. Meteorologi Supadio'!U15</f>
        <v>46.6</v>
      </c>
      <c r="AW257" s="131">
        <f>'Sta. Meteorologi Supadio'!V15</f>
        <v>0</v>
      </c>
      <c r="AX257" s="131">
        <f>'Sta. Meteorologi Supadio'!W15</f>
        <v>0</v>
      </c>
      <c r="AY257" s="131">
        <f>'Sta. Meteorologi Supadio'!X15</f>
        <v>0</v>
      </c>
      <c r="AZ257" s="131">
        <f>'Sta. Meteorologi Supadio'!Y15</f>
        <v>32.6</v>
      </c>
      <c r="BA257" s="131">
        <f>'Sta. Meteorologi Supadio'!Z15</f>
        <v>20</v>
      </c>
      <c r="BB257" s="131">
        <f>'Sta. Meteorologi Supadio'!AA15</f>
        <v>16.2</v>
      </c>
      <c r="BC257" s="131">
        <f>'Sta. Meteorologi Supadio'!AB15</f>
        <v>18.5</v>
      </c>
    </row>
    <row r="258" spans="1:55">
      <c r="A258" s="130">
        <v>9</v>
      </c>
      <c r="B258" s="131">
        <f>'Sta. Klimatologi Kalbar'!Q16</f>
        <v>0</v>
      </c>
      <c r="C258" s="131">
        <f>'Sta. Klimatologi Kalbar'!R16</f>
        <v>9.9</v>
      </c>
      <c r="D258" s="131">
        <f>'Sta. Klimatologi Kalbar'!S16</f>
        <v>1.1000000000000001</v>
      </c>
      <c r="E258" s="131">
        <f>'Sta. Klimatologi Kalbar'!T16</f>
        <v>9.4</v>
      </c>
      <c r="F258" s="131">
        <f>'Sta. Klimatologi Kalbar'!U16</f>
        <v>3</v>
      </c>
      <c r="G258" s="131">
        <f>'Sta. Klimatologi Kalbar'!V16</f>
        <v>10.6</v>
      </c>
      <c r="H258" s="131">
        <f>'Sta. Klimatologi Kalbar'!W16</f>
        <v>27.7</v>
      </c>
      <c r="I258" s="131">
        <f>'Sta. Klimatologi Kalbar'!X16</f>
        <v>0</v>
      </c>
      <c r="J258" s="131">
        <f>'Sta. Klimatologi Kalbar'!Y16</f>
        <v>1.1000000000000001</v>
      </c>
      <c r="K258" s="131">
        <f>'Sta. Klimatologi Kalbar'!Z16</f>
        <v>6</v>
      </c>
      <c r="L258" s="131">
        <f>'Sta. Klimatologi Kalbar'!AA16</f>
        <v>52.8</v>
      </c>
      <c r="M258" s="131">
        <f>'Sta. Klimatologi Kalbar'!AB16</f>
        <v>32.299999999999997</v>
      </c>
      <c r="O258" s="130">
        <v>9</v>
      </c>
      <c r="P258" s="131">
        <f t="shared" si="368"/>
        <v>0</v>
      </c>
      <c r="Q258" s="131">
        <f t="shared" si="369"/>
        <v>25.191103512874722</v>
      </c>
      <c r="R258" s="131">
        <f t="shared" si="370"/>
        <v>3.1858983577672451</v>
      </c>
      <c r="S258" s="131">
        <f t="shared" si="371"/>
        <v>15.848585741812059</v>
      </c>
      <c r="T258" s="131">
        <f t="shared" si="372"/>
        <v>2.993017011888365</v>
      </c>
      <c r="U258" s="131">
        <f t="shared" si="373"/>
        <v>7.1157704769296775</v>
      </c>
      <c r="V258" s="131">
        <f t="shared" si="374"/>
        <v>10.794399210730599</v>
      </c>
      <c r="W258" s="131">
        <f t="shared" si="375"/>
        <v>0</v>
      </c>
      <c r="X258" s="131">
        <f t="shared" si="376"/>
        <v>1.7101412824980513</v>
      </c>
      <c r="Y258" s="131">
        <f t="shared" si="377"/>
        <v>5.6307542108136328</v>
      </c>
      <c r="Z258" s="131">
        <f t="shared" si="378"/>
        <v>29.347745114986591</v>
      </c>
      <c r="AA258" s="131">
        <f t="shared" si="379"/>
        <v>40.071738813188851</v>
      </c>
      <c r="AC258" s="130">
        <v>9</v>
      </c>
      <c r="AD258" s="131">
        <f>'Sta. Meteorologi pnk'!Q151</f>
        <v>0</v>
      </c>
      <c r="AE258" s="131">
        <f>'Sta. Meteorologi pnk'!R151</f>
        <v>32</v>
      </c>
      <c r="AF258" s="131">
        <f>'Sta. Meteorologi pnk'!S151</f>
        <v>3.9</v>
      </c>
      <c r="AG258" s="131">
        <f>'Sta. Meteorologi pnk'!T151</f>
        <v>17.399999999999999</v>
      </c>
      <c r="AH258" s="131">
        <f>'Sta. Meteorologi pnk'!U151</f>
        <v>3.1</v>
      </c>
      <c r="AI258" s="131">
        <f>'Sta. Meteorologi pnk'!V151</f>
        <v>5.3</v>
      </c>
      <c r="AJ258" s="131">
        <f>'Sta. Meteorologi pnk'!W151</f>
        <v>6.5</v>
      </c>
      <c r="AK258" s="131">
        <f>'Sta. Meteorologi pnk'!X151</f>
        <v>0</v>
      </c>
      <c r="AL258" s="131">
        <f>'Sta. Meteorologi pnk'!Y151</f>
        <v>1.9</v>
      </c>
      <c r="AM258" s="131">
        <f>'Sta. Meteorologi pnk'!Z151</f>
        <v>5.2</v>
      </c>
      <c r="AN258" s="131">
        <f>'Sta. Meteorologi pnk'!AA151</f>
        <v>24.7</v>
      </c>
      <c r="AO258" s="131">
        <f>'Sta. Meteorologi pnk'!AB151</f>
        <v>45.5</v>
      </c>
      <c r="AQ258" s="130">
        <v>9</v>
      </c>
      <c r="AR258" s="131">
        <f>'Sta. Meteorologi Supadio'!Q16</f>
        <v>0</v>
      </c>
      <c r="AS258" s="131">
        <f>'Sta. Meteorologi Supadio'!R16</f>
        <v>4.4000000000000004</v>
      </c>
      <c r="AT258" s="131">
        <f>'Sta. Meteorologi Supadio'!S16</f>
        <v>2.5</v>
      </c>
      <c r="AU258" s="131">
        <f>'Sta. Meteorologi Supadio'!T16</f>
        <v>20.3</v>
      </c>
      <c r="AV258" s="131">
        <f>'Sta. Meteorologi Supadio'!U16</f>
        <v>1.9</v>
      </c>
      <c r="AW258" s="131">
        <f>'Sta. Meteorologi Supadio'!V16</f>
        <v>14.5</v>
      </c>
      <c r="AX258" s="131">
        <f>'Sta. Meteorologi Supadio'!W16</f>
        <v>1.4</v>
      </c>
      <c r="AY258" s="131">
        <f>'Sta. Meteorologi Supadio'!X16</f>
        <v>0</v>
      </c>
      <c r="AZ258" s="131">
        <f>'Sta. Meteorologi Supadio'!Y16</f>
        <v>1.7</v>
      </c>
      <c r="BA258" s="131">
        <f>'Sta. Meteorologi Supadio'!Z16</f>
        <v>8.8000000000000007</v>
      </c>
      <c r="BB258" s="131">
        <f>'Sta. Meteorologi Supadio'!AA16</f>
        <v>3.2</v>
      </c>
      <c r="BC258" s="131">
        <f>'Sta. Meteorologi Supadio'!AB16</f>
        <v>9.8000000000000007</v>
      </c>
    </row>
    <row r="259" spans="1:55">
      <c r="A259" s="130">
        <v>10</v>
      </c>
      <c r="B259" s="131">
        <f>'Sta. Klimatologi Kalbar'!Q17</f>
        <v>0</v>
      </c>
      <c r="C259" s="131">
        <f>'Sta. Klimatologi Kalbar'!R17</f>
        <v>3.8</v>
      </c>
      <c r="D259" s="131">
        <f>'Sta. Klimatologi Kalbar'!S17</f>
        <v>0.4</v>
      </c>
      <c r="E259" s="131">
        <f>'Sta. Klimatologi Kalbar'!T17</f>
        <v>17.8</v>
      </c>
      <c r="F259" s="131">
        <f>'Sta. Klimatologi Kalbar'!U17</f>
        <v>0</v>
      </c>
      <c r="G259" s="131">
        <f>'Sta. Klimatologi Kalbar'!V17</f>
        <v>4.9000000000000004</v>
      </c>
      <c r="H259" s="131">
        <f>'Sta. Klimatologi Kalbar'!W17</f>
        <v>0</v>
      </c>
      <c r="I259" s="131">
        <f>'Sta. Klimatologi Kalbar'!X17</f>
        <v>0</v>
      </c>
      <c r="J259" s="131">
        <f>'Sta. Klimatologi Kalbar'!Y17</f>
        <v>0.2</v>
      </c>
      <c r="K259" s="131">
        <f>'Sta. Klimatologi Kalbar'!Z17</f>
        <v>27.3</v>
      </c>
      <c r="L259" s="131">
        <f>'Sta. Klimatologi Kalbar'!AA17</f>
        <v>0.4</v>
      </c>
      <c r="M259" s="131">
        <f>'Sta. Klimatologi Kalbar'!AB17</f>
        <v>8</v>
      </c>
      <c r="O259" s="130">
        <v>10</v>
      </c>
      <c r="P259" s="131">
        <f t="shared" si="368"/>
        <v>0.70953789136263401</v>
      </c>
      <c r="Q259" s="131">
        <f t="shared" si="369"/>
        <v>2.8494644418693253</v>
      </c>
      <c r="R259" s="131">
        <f t="shared" si="370"/>
        <v>0.30070556459177367</v>
      </c>
      <c r="S259" s="131">
        <f t="shared" si="371"/>
        <v>5.9941477447591618</v>
      </c>
      <c r="T259" s="131">
        <f t="shared" si="372"/>
        <v>0</v>
      </c>
      <c r="U259" s="131">
        <f t="shared" si="373"/>
        <v>14.044114514795577</v>
      </c>
      <c r="V259" s="131">
        <f t="shared" si="374"/>
        <v>0</v>
      </c>
      <c r="W259" s="131">
        <f t="shared" si="375"/>
        <v>0</v>
      </c>
      <c r="X259" s="131">
        <f t="shared" si="376"/>
        <v>0.34190757827252682</v>
      </c>
      <c r="Y259" s="131">
        <f t="shared" si="377"/>
        <v>13.313281429830061</v>
      </c>
      <c r="Z259" s="131">
        <f t="shared" si="378"/>
        <v>0.94606830801706621</v>
      </c>
      <c r="AA259" s="131">
        <f t="shared" si="379"/>
        <v>11.838998468751639</v>
      </c>
      <c r="AC259" s="130">
        <v>10</v>
      </c>
      <c r="AD259" s="131">
        <f>'Sta. Meteorologi pnk'!Q152</f>
        <v>1</v>
      </c>
      <c r="AE259" s="131">
        <f>'Sta. Meteorologi pnk'!R152</f>
        <v>2.7</v>
      </c>
      <c r="AF259" s="131">
        <f>'Sta. Meteorologi pnk'!S152</f>
        <v>0.3</v>
      </c>
      <c r="AG259" s="131">
        <f>'Sta. Meteorologi pnk'!T152</f>
        <v>2</v>
      </c>
      <c r="AH259" s="131">
        <f>'Sta. Meteorologi pnk'!U152</f>
        <v>0</v>
      </c>
      <c r="AI259" s="131">
        <f>'Sta. Meteorologi pnk'!V152</f>
        <v>16</v>
      </c>
      <c r="AJ259" s="131">
        <f>'Sta. Meteorologi pnk'!W152</f>
        <v>0</v>
      </c>
      <c r="AK259" s="131">
        <f>'Sta. Meteorologi pnk'!X152</f>
        <v>0</v>
      </c>
      <c r="AL259" s="131">
        <f>'Sta. Meteorologi pnk'!Y152</f>
        <v>0.4</v>
      </c>
      <c r="AM259" s="131">
        <f>'Sta. Meteorologi pnk'!Z152</f>
        <v>5.9</v>
      </c>
      <c r="AN259" s="131">
        <f>'Sta. Meteorologi pnk'!AA152</f>
        <v>0.9</v>
      </c>
      <c r="AO259" s="131">
        <f>'Sta. Meteorologi pnk'!AB152</f>
        <v>13.8</v>
      </c>
      <c r="AQ259" s="130">
        <v>10</v>
      </c>
      <c r="AR259" s="131">
        <f>'Sta. Meteorologi Supadio'!Q17</f>
        <v>0</v>
      </c>
      <c r="AS259" s="131">
        <f>'Sta. Meteorologi Supadio'!R17</f>
        <v>1.4</v>
      </c>
      <c r="AT259" s="131">
        <f>'Sta. Meteorologi Supadio'!S17</f>
        <v>0</v>
      </c>
      <c r="AU259" s="131">
        <f>'Sta. Meteorologi Supadio'!T17</f>
        <v>9.4</v>
      </c>
      <c r="AV259" s="131">
        <f>'Sta. Meteorologi Supadio'!U17</f>
        <v>0</v>
      </c>
      <c r="AW259" s="131">
        <f>'Sta. Meteorologi Supadio'!V17</f>
        <v>22.8</v>
      </c>
      <c r="AX259" s="131">
        <f>'Sta. Meteorologi Supadio'!W17</f>
        <v>0</v>
      </c>
      <c r="AY259" s="131">
        <f>'Sta. Meteorologi Supadio'!X17</f>
        <v>0</v>
      </c>
      <c r="AZ259" s="131">
        <f>'Sta. Meteorologi Supadio'!Y17</f>
        <v>0.2</v>
      </c>
      <c r="BA259" s="131">
        <f>'Sta. Meteorologi Supadio'!Z17</f>
        <v>44.2</v>
      </c>
      <c r="BB259" s="131">
        <f>'Sta. Meteorologi Supadio'!AA17</f>
        <v>3.1</v>
      </c>
      <c r="BC259" s="131">
        <f>'Sta. Meteorologi Supadio'!AB17</f>
        <v>4.0999999999999996</v>
      </c>
    </row>
    <row r="260" spans="1:55">
      <c r="A260" s="130">
        <v>11</v>
      </c>
      <c r="B260" s="131">
        <f>'Sta. Klimatologi Kalbar'!Q18</f>
        <v>0</v>
      </c>
      <c r="C260" s="131">
        <f>'Sta. Klimatologi Kalbar'!R18</f>
        <v>3.5</v>
      </c>
      <c r="D260" s="131">
        <f>'Sta. Klimatologi Kalbar'!S18</f>
        <v>0</v>
      </c>
      <c r="E260" s="131">
        <f>'Sta. Klimatologi Kalbar'!T18</f>
        <v>0</v>
      </c>
      <c r="F260" s="131">
        <f>'Sta. Klimatologi Kalbar'!U18</f>
        <v>0</v>
      </c>
      <c r="G260" s="131">
        <f>'Sta. Klimatologi Kalbar'!V18</f>
        <v>1</v>
      </c>
      <c r="H260" s="131">
        <f>'Sta. Klimatologi Kalbar'!W18</f>
        <v>0</v>
      </c>
      <c r="I260" s="131">
        <f>'Sta. Klimatologi Kalbar'!X18</f>
        <v>0.5</v>
      </c>
      <c r="J260" s="131">
        <f>'Sta. Klimatologi Kalbar'!Y18</f>
        <v>0</v>
      </c>
      <c r="K260" s="131">
        <f>'Sta. Klimatologi Kalbar'!Z18</f>
        <v>15.9</v>
      </c>
      <c r="L260" s="131">
        <f>'Sta. Klimatologi Kalbar'!AA18</f>
        <v>1.5</v>
      </c>
      <c r="M260" s="131">
        <f>'Sta. Klimatologi Kalbar'!AB18</f>
        <v>4</v>
      </c>
      <c r="O260" s="130">
        <v>11</v>
      </c>
      <c r="P260" s="131">
        <f t="shared" si="368"/>
        <v>0.82290047645048547</v>
      </c>
      <c r="Q260" s="131">
        <f t="shared" si="369"/>
        <v>2.5632260711798818</v>
      </c>
      <c r="R260" s="131">
        <f t="shared" si="370"/>
        <v>0</v>
      </c>
      <c r="S260" s="131">
        <f t="shared" si="371"/>
        <v>0</v>
      </c>
      <c r="T260" s="131">
        <f t="shared" si="372"/>
        <v>0</v>
      </c>
      <c r="U260" s="131">
        <f t="shared" si="373"/>
        <v>19.093216229747167</v>
      </c>
      <c r="V260" s="131">
        <f t="shared" si="374"/>
        <v>0</v>
      </c>
      <c r="W260" s="131">
        <f t="shared" si="375"/>
        <v>1.0108468470898251</v>
      </c>
      <c r="X260" s="131">
        <f t="shared" si="376"/>
        <v>7.3008485990980709</v>
      </c>
      <c r="Y260" s="131">
        <f t="shared" si="377"/>
        <v>37.072569808878455</v>
      </c>
      <c r="Z260" s="131">
        <f t="shared" si="378"/>
        <v>4.4370373070333375</v>
      </c>
      <c r="AA260" s="131">
        <f t="shared" si="379"/>
        <v>1.2332109175111523</v>
      </c>
      <c r="AC260" s="130">
        <v>11</v>
      </c>
      <c r="AD260" s="131">
        <f>'Sta. Meteorologi pnk'!Q153</f>
        <v>1</v>
      </c>
      <c r="AE260" s="131">
        <f>'Sta. Meteorologi pnk'!R153</f>
        <v>2</v>
      </c>
      <c r="AF260" s="131">
        <f>'Sta. Meteorologi pnk'!S153</f>
        <v>0</v>
      </c>
      <c r="AG260" s="131">
        <f>'Sta. Meteorologi pnk'!T153</f>
        <v>0</v>
      </c>
      <c r="AH260" s="131">
        <f>'Sta. Meteorologi pnk'!U153</f>
        <v>0</v>
      </c>
      <c r="AI260" s="131">
        <f>'Sta. Meteorologi pnk'!V153</f>
        <v>26.5</v>
      </c>
      <c r="AJ260" s="131">
        <f>'Sta. Meteorologi pnk'!W153</f>
        <v>0</v>
      </c>
      <c r="AK260" s="131">
        <f>'Sta. Meteorologi pnk'!X153</f>
        <v>1.2</v>
      </c>
      <c r="AL260" s="131">
        <f>'Sta. Meteorologi pnk'!Y153</f>
        <v>10</v>
      </c>
      <c r="AM260" s="131">
        <f>'Sta. Meteorologi pnk'!Z153</f>
        <v>45.7</v>
      </c>
      <c r="AN260" s="131">
        <f>'Sta. Meteorologi pnk'!AA153</f>
        <v>5.2</v>
      </c>
      <c r="AO260" s="131">
        <f>'Sta. Meteorologi pnk'!AB153</f>
        <v>0.5</v>
      </c>
      <c r="AQ260" s="130">
        <v>11</v>
      </c>
      <c r="AR260" s="131">
        <f>'Sta. Meteorologi Supadio'!Q18</f>
        <v>1.6</v>
      </c>
      <c r="AS260" s="131">
        <f>'Sta. Meteorologi Supadio'!R18</f>
        <v>5.3</v>
      </c>
      <c r="AT260" s="131">
        <f>'Sta. Meteorologi Supadio'!S18</f>
        <v>0</v>
      </c>
      <c r="AU260" s="131">
        <f>'Sta. Meteorologi Supadio'!T18</f>
        <v>0</v>
      </c>
      <c r="AV260" s="131">
        <f>'Sta. Meteorologi Supadio'!U18</f>
        <v>0</v>
      </c>
      <c r="AW260" s="131">
        <f>'Sta. Meteorologi Supadio'!V18</f>
        <v>1</v>
      </c>
      <c r="AX260" s="131">
        <f>'Sta. Meteorologi Supadio'!W18</f>
        <v>0</v>
      </c>
      <c r="AY260" s="131">
        <f>'Sta. Meteorologi Supadio'!X18</f>
        <v>0.7</v>
      </c>
      <c r="AZ260" s="131">
        <f>'Sta. Meteorologi Supadio'!Y18</f>
        <v>2.9</v>
      </c>
      <c r="BA260" s="131">
        <f>'Sta. Meteorologi Supadio'!Z18</f>
        <v>16.3</v>
      </c>
      <c r="BB260" s="131">
        <f>'Sta. Meteorologi Supadio'!AA18</f>
        <v>5.9</v>
      </c>
      <c r="BC260" s="131">
        <f>'Sta. Meteorologi Supadio'!AB18</f>
        <v>0</v>
      </c>
    </row>
    <row r="261" spans="1:55">
      <c r="A261" s="130">
        <v>12</v>
      </c>
      <c r="B261" s="131">
        <f>'Sta. Klimatologi Kalbar'!Q19</f>
        <v>21.7</v>
      </c>
      <c r="C261" s="131">
        <f>'Sta. Klimatologi Kalbar'!R19</f>
        <v>0.5</v>
      </c>
      <c r="D261" s="131">
        <f>'Sta. Klimatologi Kalbar'!S19</f>
        <v>0</v>
      </c>
      <c r="E261" s="131">
        <f>'Sta. Klimatologi Kalbar'!T19</f>
        <v>5.6</v>
      </c>
      <c r="F261" s="131">
        <f>'Sta. Klimatologi Kalbar'!U19</f>
        <v>0.1</v>
      </c>
      <c r="G261" s="131">
        <f>'Sta. Klimatologi Kalbar'!V19</f>
        <v>1.3</v>
      </c>
      <c r="H261" s="131">
        <f>'Sta. Klimatologi Kalbar'!W19</f>
        <v>0</v>
      </c>
      <c r="I261" s="131">
        <f>'Sta. Klimatologi Kalbar'!X19</f>
        <v>0</v>
      </c>
      <c r="J261" s="131">
        <f>'Sta. Klimatologi Kalbar'!Y19</f>
        <v>1</v>
      </c>
      <c r="K261" s="131">
        <f>'Sta. Klimatologi Kalbar'!Z19</f>
        <v>0</v>
      </c>
      <c r="L261" s="131">
        <f>'Sta. Klimatologi Kalbar'!AA19</f>
        <v>10.5</v>
      </c>
      <c r="M261" s="131">
        <f>'Sta. Klimatologi Kalbar'!AB19</f>
        <v>0</v>
      </c>
      <c r="O261" s="130">
        <v>12</v>
      </c>
      <c r="P261" s="131">
        <f t="shared" si="368"/>
        <v>8.0427749329301026</v>
      </c>
      <c r="Q261" s="131">
        <f t="shared" si="369"/>
        <v>1.4862678863396968</v>
      </c>
      <c r="R261" s="131">
        <f t="shared" si="370"/>
        <v>1.4605650175696501</v>
      </c>
      <c r="S261" s="131">
        <f t="shared" si="371"/>
        <v>1.3573516687856022</v>
      </c>
      <c r="T261" s="131">
        <f t="shared" si="372"/>
        <v>0.28431637422411488</v>
      </c>
      <c r="U261" s="131">
        <f t="shared" si="373"/>
        <v>4.4359326982188581</v>
      </c>
      <c r="V261" s="131">
        <f t="shared" si="374"/>
        <v>0.82290047645048547</v>
      </c>
      <c r="W261" s="131">
        <f t="shared" si="375"/>
        <v>4.1862735590395399</v>
      </c>
      <c r="X261" s="131">
        <f t="shared" si="376"/>
        <v>1.9225014322277802</v>
      </c>
      <c r="Y261" s="131">
        <f t="shared" si="377"/>
        <v>0</v>
      </c>
      <c r="Z261" s="131">
        <f t="shared" si="378"/>
        <v>5.2851519321255305</v>
      </c>
      <c r="AA261" s="131">
        <f t="shared" si="379"/>
        <v>1.3249252132142642</v>
      </c>
      <c r="AC261" s="130">
        <v>12</v>
      </c>
      <c r="AD261" s="131">
        <f>'Sta. Meteorologi pnk'!Q154</f>
        <v>3.8</v>
      </c>
      <c r="AE261" s="131">
        <f>'Sta. Meteorologi pnk'!R154</f>
        <v>1.9</v>
      </c>
      <c r="AF261" s="131">
        <f>'Sta. Meteorologi pnk'!S154</f>
        <v>1</v>
      </c>
      <c r="AG261" s="131">
        <f>'Sta. Meteorologi pnk'!T154</f>
        <v>0</v>
      </c>
      <c r="AH261" s="131">
        <f>'Sta. Meteorologi pnk'!U154</f>
        <v>0.2</v>
      </c>
      <c r="AI261" s="131">
        <f>'Sta. Meteorologi pnk'!V154</f>
        <v>5.5</v>
      </c>
      <c r="AJ261" s="131">
        <f>'Sta. Meteorologi pnk'!W154</f>
        <v>1</v>
      </c>
      <c r="AK261" s="131">
        <f>'Sta. Meteorologi pnk'!X154</f>
        <v>5.9</v>
      </c>
      <c r="AL261" s="131">
        <f>'Sta. Meteorologi pnk'!Y154</f>
        <v>2.4</v>
      </c>
      <c r="AM261" s="131">
        <f>'Sta. Meteorologi pnk'!Z154</f>
        <v>0</v>
      </c>
      <c r="AN261" s="131">
        <f>'Sta. Meteorologi pnk'!AA154</f>
        <v>3.4</v>
      </c>
      <c r="AO261" s="131">
        <f>'Sta. Meteorologi pnk'!AB154</f>
        <v>0</v>
      </c>
      <c r="AQ261" s="130">
        <v>12</v>
      </c>
      <c r="AR261" s="131">
        <f>'Sta. Meteorologi Supadio'!Q19</f>
        <v>8.1999999999999993</v>
      </c>
      <c r="AS261" s="131">
        <f>'Sta. Meteorologi Supadio'!R19</f>
        <v>0.4</v>
      </c>
      <c r="AT261" s="131">
        <f>'Sta. Meteorologi Supadio'!S19</f>
        <v>10.6</v>
      </c>
      <c r="AU261" s="131">
        <f>'Sta. Meteorologi Supadio'!T19</f>
        <v>1.8</v>
      </c>
      <c r="AV261" s="131">
        <f>'Sta. Meteorologi Supadio'!U19</f>
        <v>1.7</v>
      </c>
      <c r="AW261" s="131">
        <f>'Sta. Meteorologi Supadio'!V19</f>
        <v>3.5</v>
      </c>
      <c r="AX261" s="131">
        <f>'Sta. Meteorologi Supadio'!W19</f>
        <v>1.6</v>
      </c>
      <c r="AY261" s="131">
        <f>'Sta. Meteorologi Supadio'!X19</f>
        <v>0</v>
      </c>
      <c r="AZ261" s="131">
        <f>'Sta. Meteorologi Supadio'!Y19</f>
        <v>0</v>
      </c>
      <c r="BA261" s="131">
        <f>'Sta. Meteorologi Supadio'!Z19</f>
        <v>0</v>
      </c>
      <c r="BB261" s="131">
        <f>'Sta. Meteorologi Supadio'!AA19</f>
        <v>8</v>
      </c>
      <c r="BC261" s="131">
        <f>'Sta. Meteorologi Supadio'!AB19</f>
        <v>18.7</v>
      </c>
    </row>
    <row r="262" spans="1:55">
      <c r="A262" s="130">
        <v>13</v>
      </c>
      <c r="B262" s="131">
        <f>'Sta. Klimatologi Kalbar'!Q20</f>
        <v>3.3</v>
      </c>
      <c r="C262" s="131">
        <f>'Sta. Klimatologi Kalbar'!R20</f>
        <v>0.8</v>
      </c>
      <c r="D262" s="131">
        <f>'Sta. Klimatologi Kalbar'!S20</f>
        <v>0</v>
      </c>
      <c r="E262" s="131">
        <f>'Sta. Klimatologi Kalbar'!T20</f>
        <v>4.3</v>
      </c>
      <c r="F262" s="131">
        <f>'Sta. Klimatologi Kalbar'!U20</f>
        <v>0</v>
      </c>
      <c r="G262" s="131">
        <f>'Sta. Klimatologi Kalbar'!V20</f>
        <v>76.3</v>
      </c>
      <c r="H262" s="131">
        <f>'Sta. Klimatologi Kalbar'!W20</f>
        <v>0</v>
      </c>
      <c r="I262" s="131">
        <f>'Sta. Klimatologi Kalbar'!X20</f>
        <v>2.5</v>
      </c>
      <c r="J262" s="131">
        <f>'Sta. Klimatologi Kalbar'!Y20</f>
        <v>3</v>
      </c>
      <c r="K262" s="131">
        <f>'Sta. Klimatologi Kalbar'!Z20</f>
        <v>6</v>
      </c>
      <c r="L262" s="131">
        <f>'Sta. Klimatologi Kalbar'!AA20</f>
        <v>0</v>
      </c>
      <c r="M262" s="131">
        <f>'Sta. Klimatologi Kalbar'!AB20</f>
        <v>21.2</v>
      </c>
      <c r="O262" s="130">
        <v>13</v>
      </c>
      <c r="P262" s="131">
        <f t="shared" si="368"/>
        <v>1.0227001064406491</v>
      </c>
      <c r="Q262" s="131">
        <f t="shared" si="369"/>
        <v>1.3109490205461816</v>
      </c>
      <c r="R262" s="131">
        <f t="shared" si="370"/>
        <v>0</v>
      </c>
      <c r="S262" s="131">
        <f t="shared" si="371"/>
        <v>18.413025396917494</v>
      </c>
      <c r="T262" s="131">
        <f t="shared" si="372"/>
        <v>2.3898450909963525</v>
      </c>
      <c r="U262" s="131">
        <f t="shared" si="373"/>
        <v>25.107061378747431</v>
      </c>
      <c r="V262" s="131">
        <f t="shared" si="374"/>
        <v>2.834166800652643</v>
      </c>
      <c r="W262" s="131">
        <f t="shared" si="375"/>
        <v>1.12333301322632</v>
      </c>
      <c r="X262" s="131">
        <f t="shared" si="376"/>
        <v>9.5620505003562659</v>
      </c>
      <c r="Y262" s="131">
        <f t="shared" si="377"/>
        <v>5.4392505015651711</v>
      </c>
      <c r="Z262" s="131">
        <f t="shared" si="378"/>
        <v>7.0953789136263401</v>
      </c>
      <c r="AA262" s="131">
        <f t="shared" si="379"/>
        <v>10.047923904685076</v>
      </c>
      <c r="AC262" s="130">
        <v>13</v>
      </c>
      <c r="AD262" s="131">
        <f>'Sta. Meteorologi pnk'!Q155</f>
        <v>0.4</v>
      </c>
      <c r="AE262" s="131">
        <f>'Sta. Meteorologi pnk'!R155</f>
        <v>1.6</v>
      </c>
      <c r="AF262" s="131">
        <f>'Sta. Meteorologi pnk'!S155</f>
        <v>0</v>
      </c>
      <c r="AG262" s="131">
        <f>'Sta. Meteorologi pnk'!T155</f>
        <v>24.5</v>
      </c>
      <c r="AH262" s="131">
        <f>'Sta. Meteorologi pnk'!U155</f>
        <v>2.1</v>
      </c>
      <c r="AI262" s="131">
        <f>'Sta. Meteorologi pnk'!V155</f>
        <v>11.3</v>
      </c>
      <c r="AJ262" s="131">
        <f>'Sta. Meteorologi pnk'!W155</f>
        <v>0.1</v>
      </c>
      <c r="AK262" s="131">
        <f>'Sta. Meteorologi pnk'!X155</f>
        <v>0.4</v>
      </c>
      <c r="AL262" s="131">
        <f>'Sta. Meteorologi pnk'!Y155</f>
        <v>11.1</v>
      </c>
      <c r="AM262" s="131">
        <f>'Sta. Meteorologi pnk'!Z155</f>
        <v>5</v>
      </c>
      <c r="AN262" s="131">
        <f>'Sta. Meteorologi pnk'!AA155</f>
        <v>10</v>
      </c>
      <c r="AO262" s="131">
        <f>'Sta. Meteorologi pnk'!AB155</f>
        <v>7.3</v>
      </c>
      <c r="AQ262" s="130">
        <v>13</v>
      </c>
      <c r="AR262" s="131">
        <f>'Sta. Meteorologi Supadio'!Q20</f>
        <v>0.2</v>
      </c>
      <c r="AS262" s="131">
        <f>'Sta. Meteorologi Supadio'!R20</f>
        <v>0</v>
      </c>
      <c r="AT262" s="131">
        <f>'Sta. Meteorologi Supadio'!S20</f>
        <v>0</v>
      </c>
      <c r="AU262" s="131">
        <f>'Sta. Meteorologi Supadio'!T20</f>
        <v>1.2</v>
      </c>
      <c r="AV262" s="131">
        <f>'Sta. Meteorologi Supadio'!U20</f>
        <v>12.7</v>
      </c>
      <c r="AW262" s="131">
        <f>'Sta. Meteorologi Supadio'!V20</f>
        <v>4.7</v>
      </c>
      <c r="AX262" s="131">
        <f>'Sta. Meteorologi Supadio'!W20</f>
        <v>39</v>
      </c>
      <c r="AY262" s="131">
        <f>'Sta. Meteorologi Supadio'!X20</f>
        <v>4.0999999999999996</v>
      </c>
      <c r="AZ262" s="131">
        <f>'Sta. Meteorologi Supadio'!Y20</f>
        <v>14.5</v>
      </c>
      <c r="BA262" s="131">
        <f>'Sta. Meteorologi Supadio'!Z20</f>
        <v>8.1</v>
      </c>
      <c r="BB262" s="131">
        <f>'Sta. Meteorologi Supadio'!AA20</f>
        <v>0</v>
      </c>
      <c r="BC262" s="131">
        <f>'Sta. Meteorologi Supadio'!AB20</f>
        <v>3</v>
      </c>
    </row>
    <row r="263" spans="1:55">
      <c r="A263" s="130">
        <v>14</v>
      </c>
      <c r="B263" s="131">
        <f>'Sta. Klimatologi Kalbar'!Q21</f>
        <v>0</v>
      </c>
      <c r="C263" s="131">
        <f>'Sta. Klimatologi Kalbar'!R21</f>
        <v>6.8</v>
      </c>
      <c r="D263" s="131">
        <f>'Sta. Klimatologi Kalbar'!S21</f>
        <v>0</v>
      </c>
      <c r="E263" s="131">
        <f>'Sta. Klimatologi Kalbar'!T21</f>
        <v>9.8000000000000007</v>
      </c>
      <c r="F263" s="131">
        <f>'Sta. Klimatologi Kalbar'!U21</f>
        <v>30.6</v>
      </c>
      <c r="G263" s="131">
        <f>'Sta. Klimatologi Kalbar'!V21</f>
        <v>26.2</v>
      </c>
      <c r="H263" s="131">
        <f>'Sta. Klimatologi Kalbar'!W21</f>
        <v>46</v>
      </c>
      <c r="I263" s="131">
        <f>'Sta. Klimatologi Kalbar'!X21</f>
        <v>74.7</v>
      </c>
      <c r="J263" s="131">
        <f>'Sta. Klimatologi Kalbar'!Y21</f>
        <v>5.5</v>
      </c>
      <c r="K263" s="131">
        <f>'Sta. Klimatologi Kalbar'!Z21</f>
        <v>0</v>
      </c>
      <c r="L263" s="131">
        <f>'Sta. Klimatologi Kalbar'!AA21</f>
        <v>0.6</v>
      </c>
      <c r="M263" s="131">
        <f>'Sta. Klimatologi Kalbar'!AB21</f>
        <v>0</v>
      </c>
      <c r="O263" s="130">
        <v>14</v>
      </c>
      <c r="P263" s="131">
        <f t="shared" si="368"/>
        <v>1.4170323135981436E-2</v>
      </c>
      <c r="Q263" s="131">
        <f t="shared" si="369"/>
        <v>1.6352589303832463</v>
      </c>
      <c r="R263" s="131">
        <f t="shared" si="370"/>
        <v>0</v>
      </c>
      <c r="S263" s="131">
        <f t="shared" si="371"/>
        <v>3.1455358788907839</v>
      </c>
      <c r="T263" s="131">
        <f t="shared" si="372"/>
        <v>13.4460098620255</v>
      </c>
      <c r="U263" s="131">
        <f t="shared" si="373"/>
        <v>13.600405302231486</v>
      </c>
      <c r="V263" s="131">
        <f t="shared" si="374"/>
        <v>32.706876856219246</v>
      </c>
      <c r="W263" s="131">
        <f t="shared" si="375"/>
        <v>64.105879526718866</v>
      </c>
      <c r="X263" s="131">
        <f t="shared" si="376"/>
        <v>8.3594070501545072</v>
      </c>
      <c r="Y263" s="131">
        <f t="shared" si="377"/>
        <v>0.25506581644766585</v>
      </c>
      <c r="Z263" s="131">
        <f t="shared" si="378"/>
        <v>0.77035039800084582</v>
      </c>
      <c r="AA263" s="131">
        <f t="shared" si="379"/>
        <v>1.5243314716815666</v>
      </c>
      <c r="AC263" s="130">
        <v>14</v>
      </c>
      <c r="AD263" s="131">
        <f>'Sta. Meteorologi pnk'!Q156</f>
        <v>0</v>
      </c>
      <c r="AE263" s="131">
        <f>'Sta. Meteorologi pnk'!R156</f>
        <v>0.2</v>
      </c>
      <c r="AF263" s="131">
        <f>'Sta. Meteorologi pnk'!S156</f>
        <v>0</v>
      </c>
      <c r="AG263" s="131">
        <f>'Sta. Meteorologi pnk'!T156</f>
        <v>1.4</v>
      </c>
      <c r="AH263" s="131">
        <f>'Sta. Meteorologi pnk'!U156</f>
        <v>9</v>
      </c>
      <c r="AI263" s="131">
        <f>'Sta. Meteorologi pnk'!V156</f>
        <v>10.199999999999999</v>
      </c>
      <c r="AJ263" s="131">
        <f>'Sta. Meteorologi pnk'!W156</f>
        <v>30.8</v>
      </c>
      <c r="AK263" s="131">
        <f>'Sta. Meteorologi pnk'!X156</f>
        <v>66</v>
      </c>
      <c r="AL263" s="131">
        <f>'Sta. Meteorologi pnk'!Y156</f>
        <v>9.5</v>
      </c>
      <c r="AM263" s="131">
        <f>'Sta. Meteorologi pnk'!Z156</f>
        <v>0</v>
      </c>
      <c r="AN263" s="131">
        <f>'Sta. Meteorologi pnk'!AA156</f>
        <v>0.9</v>
      </c>
      <c r="AO263" s="131">
        <f>'Sta. Meteorologi pnk'!AB156</f>
        <v>1</v>
      </c>
      <c r="AQ263" s="130">
        <v>14</v>
      </c>
      <c r="AR263" s="131">
        <f>'Sta. Meteorologi Supadio'!Q21</f>
        <v>0.2</v>
      </c>
      <c r="AS263" s="131">
        <f>'Sta. Meteorologi Supadio'!R21</f>
        <v>0</v>
      </c>
      <c r="AT263" s="131">
        <f>'Sta. Meteorologi Supadio'!S21</f>
        <v>0</v>
      </c>
      <c r="AU263" s="131">
        <f>'Sta. Meteorologi Supadio'!T21</f>
        <v>0</v>
      </c>
      <c r="AV263" s="131">
        <f>'Sta. Meteorologi Supadio'!U21</f>
        <v>4.8</v>
      </c>
      <c r="AW263" s="131">
        <f>'Sta. Meteorologi Supadio'!V21</f>
        <v>8.6</v>
      </c>
      <c r="AX263" s="131">
        <f>'Sta. Meteorologi Supadio'!W21</f>
        <v>10.6</v>
      </c>
      <c r="AY263" s="131">
        <f>'Sta. Meteorologi Supadio'!X21</f>
        <v>12.3</v>
      </c>
      <c r="AZ263" s="131">
        <f>'Sta. Meteorologi Supadio'!Y21</f>
        <v>5.8</v>
      </c>
      <c r="BA263" s="131">
        <f>'Sta. Meteorologi Supadio'!Z21</f>
        <v>3.6</v>
      </c>
      <c r="BB263" s="131">
        <f>'Sta. Meteorologi Supadio'!AA21</f>
        <v>0</v>
      </c>
      <c r="BC263" s="131">
        <f>'Sta. Meteorologi Supadio'!AB21</f>
        <v>11.5</v>
      </c>
    </row>
    <row r="264" spans="1:55">
      <c r="A264" s="130">
        <v>15</v>
      </c>
      <c r="B264" s="131">
        <f>'Sta. Klimatologi Kalbar'!Q22</f>
        <v>2.4</v>
      </c>
      <c r="C264" s="131">
        <f>'Sta. Klimatologi Kalbar'!R22</f>
        <v>5.4</v>
      </c>
      <c r="D264" s="131">
        <f>'Sta. Klimatologi Kalbar'!S22</f>
        <v>23</v>
      </c>
      <c r="E264" s="131">
        <f>'Sta. Klimatologi Kalbar'!T22</f>
        <v>0</v>
      </c>
      <c r="F264" s="131">
        <f>'Sta. Klimatologi Kalbar'!U22</f>
        <v>0</v>
      </c>
      <c r="G264" s="131">
        <f>'Sta. Klimatologi Kalbar'!V22</f>
        <v>0.7</v>
      </c>
      <c r="H264" s="131">
        <f>'Sta. Klimatologi Kalbar'!W22</f>
        <v>0</v>
      </c>
      <c r="I264" s="131">
        <f>'Sta. Klimatologi Kalbar'!X22</f>
        <v>0</v>
      </c>
      <c r="J264" s="131">
        <f>'Sta. Klimatologi Kalbar'!Y22</f>
        <v>0</v>
      </c>
      <c r="K264" s="131">
        <f>'Sta. Klimatologi Kalbar'!Z22</f>
        <v>0</v>
      </c>
      <c r="L264" s="131">
        <f>'Sta. Klimatologi Kalbar'!AA22</f>
        <v>21.5</v>
      </c>
      <c r="M264" s="131">
        <f>'Sta. Klimatologi Kalbar'!AB22</f>
        <v>30.3</v>
      </c>
      <c r="O264" s="130">
        <v>15</v>
      </c>
      <c r="P264" s="131">
        <f t="shared" si="368"/>
        <v>8.0551498196534563</v>
      </c>
      <c r="Q264" s="131">
        <f t="shared" si="369"/>
        <v>11.59988987273789</v>
      </c>
      <c r="R264" s="131">
        <f t="shared" si="370"/>
        <v>6.2924772142652712</v>
      </c>
      <c r="S264" s="131">
        <f t="shared" si="371"/>
        <v>0.17004387763177722</v>
      </c>
      <c r="T264" s="131">
        <f t="shared" si="372"/>
        <v>0</v>
      </c>
      <c r="U264" s="131">
        <f t="shared" si="373"/>
        <v>1.9985258626130695</v>
      </c>
      <c r="V264" s="131">
        <f t="shared" si="374"/>
        <v>0</v>
      </c>
      <c r="W264" s="131">
        <f t="shared" si="375"/>
        <v>0</v>
      </c>
      <c r="X264" s="131">
        <f t="shared" si="376"/>
        <v>0</v>
      </c>
      <c r="Y264" s="131">
        <f t="shared" si="377"/>
        <v>0.93544567388748712</v>
      </c>
      <c r="Z264" s="131">
        <f t="shared" si="378"/>
        <v>16.23000324142695</v>
      </c>
      <c r="AA264" s="131">
        <f t="shared" si="379"/>
        <v>39.698567290505103</v>
      </c>
      <c r="AC264" s="130">
        <v>15</v>
      </c>
      <c r="AD264" s="131">
        <f>'Sta. Meteorologi pnk'!Q157</f>
        <v>10.5</v>
      </c>
      <c r="AE264" s="131">
        <f>'Sta. Meteorologi pnk'!R157</f>
        <v>12.7</v>
      </c>
      <c r="AF264" s="131">
        <f>'Sta. Meteorologi pnk'!S157</f>
        <v>1.5</v>
      </c>
      <c r="AG264" s="131">
        <f>'Sta. Meteorologi pnk'!T157</f>
        <v>0</v>
      </c>
      <c r="AH264" s="131">
        <f>'Sta. Meteorologi pnk'!U157</f>
        <v>0</v>
      </c>
      <c r="AI264" s="131">
        <f>'Sta. Meteorologi pnk'!V157</f>
        <v>2.6</v>
      </c>
      <c r="AJ264" s="131">
        <f>'Sta. Meteorologi pnk'!W157</f>
        <v>0</v>
      </c>
      <c r="AK264" s="131">
        <f>'Sta. Meteorologi pnk'!X157</f>
        <v>0</v>
      </c>
      <c r="AL264" s="131">
        <f>'Sta. Meteorologi pnk'!Y157</f>
        <v>0</v>
      </c>
      <c r="AM264" s="131">
        <f>'Sta. Meteorologi pnk'!Z157</f>
        <v>0.2</v>
      </c>
      <c r="AN264" s="131">
        <f>'Sta. Meteorologi pnk'!AA157</f>
        <v>15.9</v>
      </c>
      <c r="AO264" s="131">
        <f>'Sta. Meteorologi pnk'!AB157</f>
        <v>40.799999999999997</v>
      </c>
      <c r="AQ264" s="130">
        <v>15</v>
      </c>
      <c r="AR264" s="131">
        <f>'Sta. Meteorologi Supadio'!Q22</f>
        <v>1.1000000000000001</v>
      </c>
      <c r="AS264" s="131">
        <f>'Sta. Meteorologi Supadio'!R22</f>
        <v>19.8</v>
      </c>
      <c r="AT264" s="131">
        <f>'Sta. Meteorologi Supadio'!S22</f>
        <v>2.5</v>
      </c>
      <c r="AU264" s="131">
        <f>'Sta. Meteorologi Supadio'!T22</f>
        <v>2.4</v>
      </c>
      <c r="AV264" s="131">
        <f>'Sta. Meteorologi Supadio'!U22</f>
        <v>0</v>
      </c>
      <c r="AW264" s="131">
        <f>'Sta. Meteorologi Supadio'!V22</f>
        <v>0</v>
      </c>
      <c r="AX264" s="131">
        <f>'Sta. Meteorologi Supadio'!W22</f>
        <v>0</v>
      </c>
      <c r="AY264" s="131">
        <f>'Sta. Meteorologi Supadio'!X22</f>
        <v>0</v>
      </c>
      <c r="AZ264" s="131">
        <f>'Sta. Meteorologi Supadio'!Y22</f>
        <v>0</v>
      </c>
      <c r="BA264" s="131">
        <f>'Sta. Meteorologi Supadio'!Z22</f>
        <v>11.2</v>
      </c>
      <c r="BB264" s="131">
        <f>'Sta. Meteorologi Supadio'!AA22</f>
        <v>3.2</v>
      </c>
      <c r="BC264" s="131">
        <f>'Sta. Meteorologi Supadio'!AB22</f>
        <v>57.8</v>
      </c>
    </row>
    <row r="265" spans="1:55">
      <c r="A265" s="130">
        <v>16</v>
      </c>
      <c r="B265" s="131">
        <f>'Sta. Klimatologi Kalbar'!Q23</f>
        <v>0</v>
      </c>
      <c r="C265" s="131">
        <f>'Sta. Klimatologi Kalbar'!R23</f>
        <v>0</v>
      </c>
      <c r="D265" s="131">
        <f>'Sta. Klimatologi Kalbar'!S23</f>
        <v>0.2</v>
      </c>
      <c r="E265" s="131">
        <f>'Sta. Klimatologi Kalbar'!T23</f>
        <v>0</v>
      </c>
      <c r="F265" s="131">
        <f>'Sta. Klimatologi Kalbar'!U23</f>
        <v>0</v>
      </c>
      <c r="G265" s="131">
        <f>'Sta. Klimatologi Kalbar'!V23</f>
        <v>1</v>
      </c>
      <c r="H265" s="131">
        <f>'Sta. Klimatologi Kalbar'!W23</f>
        <v>0</v>
      </c>
      <c r="I265" s="131">
        <f>'Sta. Klimatologi Kalbar'!X23</f>
        <v>0</v>
      </c>
      <c r="J265" s="131">
        <f>'Sta. Klimatologi Kalbar'!Y23</f>
        <v>9.5</v>
      </c>
      <c r="K265" s="131">
        <f>'Sta. Klimatologi Kalbar'!Z23</f>
        <v>0.9</v>
      </c>
      <c r="L265" s="131">
        <f>'Sta. Klimatologi Kalbar'!AA23</f>
        <v>0.9</v>
      </c>
      <c r="M265" s="131">
        <f>'Sta. Klimatologi Kalbar'!AB23</f>
        <v>7</v>
      </c>
      <c r="O265" s="130">
        <v>16</v>
      </c>
      <c r="P265" s="131">
        <f t="shared" si="368"/>
        <v>0</v>
      </c>
      <c r="Q265" s="131">
        <f t="shared" si="369"/>
        <v>0</v>
      </c>
      <c r="R265" s="131">
        <f t="shared" si="370"/>
        <v>0.68250620081786229</v>
      </c>
      <c r="S265" s="131">
        <f t="shared" si="371"/>
        <v>6.7463668745803815</v>
      </c>
      <c r="T265" s="131">
        <f t="shared" si="372"/>
        <v>1.1700733932820306</v>
      </c>
      <c r="U265" s="131">
        <f t="shared" si="373"/>
        <v>0.2196104929574588</v>
      </c>
      <c r="V265" s="131">
        <f t="shared" si="374"/>
        <v>0</v>
      </c>
      <c r="W265" s="131">
        <f t="shared" si="375"/>
        <v>4.2572273481758032</v>
      </c>
      <c r="X265" s="131">
        <f t="shared" si="376"/>
        <v>3.4258039132715292</v>
      </c>
      <c r="Y265" s="131">
        <f t="shared" si="377"/>
        <v>0.62327000502293717</v>
      </c>
      <c r="Z265" s="131">
        <f t="shared" si="378"/>
        <v>1.645065872658944</v>
      </c>
      <c r="AA265" s="131">
        <f t="shared" si="379"/>
        <v>9.4131440448274475</v>
      </c>
      <c r="AC265" s="130">
        <v>16</v>
      </c>
      <c r="AD265" s="131">
        <f>'Sta. Meteorologi pnk'!Q158</f>
        <v>0</v>
      </c>
      <c r="AE265" s="131">
        <f>'Sta. Meteorologi pnk'!R158</f>
        <v>0</v>
      </c>
      <c r="AF265" s="131">
        <f>'Sta. Meteorologi pnk'!S158</f>
        <v>0.9</v>
      </c>
      <c r="AG265" s="131">
        <f>'Sta. Meteorologi pnk'!T158</f>
        <v>8.1999999999999993</v>
      </c>
      <c r="AH265" s="131">
        <f>'Sta. Meteorologi pnk'!U158</f>
        <v>1</v>
      </c>
      <c r="AI265" s="131">
        <f>'Sta. Meteorologi pnk'!V158</f>
        <v>0</v>
      </c>
      <c r="AJ265" s="131">
        <f>'Sta. Meteorologi pnk'!W158</f>
        <v>0</v>
      </c>
      <c r="AK265" s="131">
        <f>'Sta. Meteorologi pnk'!X158</f>
        <v>6</v>
      </c>
      <c r="AL265" s="131">
        <f>'Sta. Meteorologi pnk'!Y158</f>
        <v>0.4</v>
      </c>
      <c r="AM265" s="131">
        <f>'Sta. Meteorologi pnk'!Z158</f>
        <v>0.5</v>
      </c>
      <c r="AN265" s="131">
        <f>'Sta. Meteorologi pnk'!AA158</f>
        <v>2</v>
      </c>
      <c r="AO265" s="131">
        <f>'Sta. Meteorologi pnk'!AB158</f>
        <v>11.1</v>
      </c>
      <c r="AQ265" s="130">
        <v>16</v>
      </c>
      <c r="AR265" s="131">
        <f>'Sta. Meteorologi Supadio'!Q23</f>
        <v>0</v>
      </c>
      <c r="AS265" s="131">
        <f>'Sta. Meteorologi Supadio'!R23</f>
        <v>0</v>
      </c>
      <c r="AT265" s="131">
        <f>'Sta. Meteorologi Supadio'!S23</f>
        <v>0</v>
      </c>
      <c r="AU265" s="131">
        <f>'Sta. Meteorologi Supadio'!T23</f>
        <v>13.1</v>
      </c>
      <c r="AV265" s="131">
        <f>'Sta. Meteorologi Supadio'!U23</f>
        <v>6.5</v>
      </c>
      <c r="AW265" s="131">
        <f>'Sta. Meteorologi Supadio'!V23</f>
        <v>0</v>
      </c>
      <c r="AX265" s="131">
        <f>'Sta. Meteorologi Supadio'!W23</f>
        <v>0</v>
      </c>
      <c r="AY265" s="131">
        <f>'Sta. Meteorologi Supadio'!X23</f>
        <v>0</v>
      </c>
      <c r="AZ265" s="131">
        <f>'Sta. Meteorologi Supadio'!Y23</f>
        <v>14.9</v>
      </c>
      <c r="BA265" s="131">
        <f>'Sta. Meteorologi Supadio'!Z23</f>
        <v>1</v>
      </c>
      <c r="BB265" s="131">
        <f>'Sta. Meteorologi Supadio'!AA23</f>
        <v>0.4</v>
      </c>
      <c r="BC265" s="131">
        <f>'Sta. Meteorologi Supadio'!AB23</f>
        <v>0</v>
      </c>
    </row>
    <row r="266" spans="1:55">
      <c r="A266" s="130">
        <v>17</v>
      </c>
      <c r="B266" s="131">
        <f>'Sta. Klimatologi Kalbar'!Q24</f>
        <v>0</v>
      </c>
      <c r="C266" s="131">
        <f>'Sta. Klimatologi Kalbar'!R24</f>
        <v>0.4</v>
      </c>
      <c r="D266" s="131">
        <f>'Sta. Klimatologi Kalbar'!S24</f>
        <v>0</v>
      </c>
      <c r="E266" s="131">
        <f>'Sta. Klimatologi Kalbar'!T24</f>
        <v>0.9</v>
      </c>
      <c r="F266" s="131">
        <f>'Sta. Klimatologi Kalbar'!U24</f>
        <v>6.1</v>
      </c>
      <c r="G266" s="131">
        <f>'Sta. Klimatologi Kalbar'!V24</f>
        <v>5.2</v>
      </c>
      <c r="H266" s="131">
        <f>'Sta. Klimatologi Kalbar'!W24</f>
        <v>1.6</v>
      </c>
      <c r="I266" s="131">
        <f>'Sta. Klimatologi Kalbar'!X24</f>
        <v>1</v>
      </c>
      <c r="J266" s="131">
        <f>'Sta. Klimatologi Kalbar'!Y24</f>
        <v>6</v>
      </c>
      <c r="K266" s="131">
        <f>'Sta. Klimatologi Kalbar'!Z24</f>
        <v>5.3</v>
      </c>
      <c r="L266" s="131">
        <f>'Sta. Klimatologi Kalbar'!AA24</f>
        <v>0</v>
      </c>
      <c r="M266" s="131">
        <f>'Sta. Klimatologi Kalbar'!AB24</f>
        <v>0</v>
      </c>
      <c r="O266" s="130">
        <v>17</v>
      </c>
      <c r="P266" s="131">
        <f t="shared" si="368"/>
        <v>8.5021938815888612E-2</v>
      </c>
      <c r="Q266" s="131">
        <f t="shared" si="369"/>
        <v>8.7844197182983516E-2</v>
      </c>
      <c r="R266" s="131">
        <f t="shared" si="370"/>
        <v>35.476894568131698</v>
      </c>
      <c r="S266" s="131">
        <f t="shared" si="371"/>
        <v>10.456688661040735</v>
      </c>
      <c r="T266" s="131">
        <f t="shared" si="372"/>
        <v>3.0425149463108196</v>
      </c>
      <c r="U266" s="131">
        <f t="shared" si="373"/>
        <v>12.392323359538373</v>
      </c>
      <c r="V266" s="131">
        <f t="shared" si="374"/>
        <v>4.5440202951449722</v>
      </c>
      <c r="W266" s="131">
        <f t="shared" si="375"/>
        <v>0.51010211724507815</v>
      </c>
      <c r="X266" s="131">
        <f t="shared" si="376"/>
        <v>14.172527818873636</v>
      </c>
      <c r="Y266" s="131">
        <f t="shared" si="377"/>
        <v>6.9084338493902493</v>
      </c>
      <c r="Z266" s="131">
        <f t="shared" si="378"/>
        <v>0</v>
      </c>
      <c r="AA266" s="131">
        <f t="shared" si="379"/>
        <v>0</v>
      </c>
      <c r="AC266" s="130">
        <v>17</v>
      </c>
      <c r="AD266" s="131">
        <f>'Sta. Meteorologi pnk'!Q159</f>
        <v>0</v>
      </c>
      <c r="AE266" s="131">
        <f>'Sta. Meteorologi pnk'!R159</f>
        <v>0</v>
      </c>
      <c r="AF266" s="131">
        <f>'Sta. Meteorologi pnk'!S159</f>
        <v>50</v>
      </c>
      <c r="AG266" s="131">
        <f>'Sta. Meteorologi pnk'!T159</f>
        <v>13.6</v>
      </c>
      <c r="AH266" s="131">
        <f>'Sta. Meteorologi pnk'!U159</f>
        <v>2.4</v>
      </c>
      <c r="AI266" s="131">
        <f>'Sta. Meteorologi pnk'!V159</f>
        <v>13</v>
      </c>
      <c r="AJ266" s="131">
        <f>'Sta. Meteorologi pnk'!W159</f>
        <v>5.2</v>
      </c>
      <c r="AK266" s="131">
        <f>'Sta. Meteorologi pnk'!X159</f>
        <v>0</v>
      </c>
      <c r="AL266" s="131">
        <f>'Sta. Meteorologi pnk'!Y159</f>
        <v>16.2</v>
      </c>
      <c r="AM266" s="131">
        <f>'Sta. Meteorologi pnk'!Z159</f>
        <v>5.4</v>
      </c>
      <c r="AN266" s="131">
        <f>'Sta. Meteorologi pnk'!AA159</f>
        <v>0</v>
      </c>
      <c r="AO266" s="131">
        <f>'Sta. Meteorologi pnk'!AB159</f>
        <v>0</v>
      </c>
      <c r="AQ266" s="130">
        <v>17</v>
      </c>
      <c r="AR266" s="131">
        <f>'Sta. Meteorologi Supadio'!Q24</f>
        <v>1.2</v>
      </c>
      <c r="AS266" s="131">
        <f>'Sta. Meteorologi Supadio'!R24</f>
        <v>0</v>
      </c>
      <c r="AT266" s="131">
        <f>'Sta. Meteorologi Supadio'!S24</f>
        <v>0</v>
      </c>
      <c r="AU266" s="131">
        <f>'Sta. Meteorologi Supadio'!T24</f>
        <v>8.6</v>
      </c>
      <c r="AV266" s="131">
        <f>'Sta. Meteorologi Supadio'!U24</f>
        <v>0</v>
      </c>
      <c r="AW266" s="131">
        <f>'Sta. Meteorologi Supadio'!V24</f>
        <v>28.6</v>
      </c>
      <c r="AX266" s="131">
        <f>'Sta. Meteorologi Supadio'!W24</f>
        <v>7.1</v>
      </c>
      <c r="AY266" s="131">
        <f>'Sta. Meteorologi Supadio'!X24</f>
        <v>4.0999999999999996</v>
      </c>
      <c r="AZ266" s="131">
        <f>'Sta. Meteorologi Supadio'!Y24</f>
        <v>19.2</v>
      </c>
      <c r="BA266" s="131">
        <f>'Sta. Meteorologi Supadio'!Z24</f>
        <v>27</v>
      </c>
      <c r="BB266" s="131">
        <f>'Sta. Meteorologi Supadio'!AA24</f>
        <v>0</v>
      </c>
      <c r="BC266" s="131">
        <f>'Sta. Meteorologi Supadio'!AB24</f>
        <v>0</v>
      </c>
    </row>
    <row r="267" spans="1:55">
      <c r="A267" s="130">
        <v>18</v>
      </c>
      <c r="B267" s="131">
        <f>'Sta. Klimatologi Kalbar'!Q25</f>
        <v>0</v>
      </c>
      <c r="C267" s="131">
        <f>'Sta. Klimatologi Kalbar'!R25</f>
        <v>0</v>
      </c>
      <c r="D267" s="131">
        <f>'Sta. Klimatologi Kalbar'!S25</f>
        <v>6</v>
      </c>
      <c r="E267" s="131">
        <f>'Sta. Klimatologi Kalbar'!T25</f>
        <v>4.5999999999999996</v>
      </c>
      <c r="F267" s="131">
        <f>'Sta. Klimatologi Kalbar'!U25</f>
        <v>0.2</v>
      </c>
      <c r="G267" s="131">
        <f>'Sta. Klimatologi Kalbar'!V25</f>
        <v>13.6</v>
      </c>
      <c r="H267" s="131">
        <f>'Sta. Klimatologi Kalbar'!W25</f>
        <v>0</v>
      </c>
      <c r="I267" s="131">
        <f>'Sta. Klimatologi Kalbar'!X25</f>
        <v>17.600000000000001</v>
      </c>
      <c r="J267" s="131">
        <f>'Sta. Klimatologi Kalbar'!Y25</f>
        <v>0</v>
      </c>
      <c r="K267" s="131">
        <f>'Sta. Klimatologi Kalbar'!Z25</f>
        <v>6.1</v>
      </c>
      <c r="L267" s="131">
        <f>'Sta. Klimatologi Kalbar'!AA25</f>
        <v>0.5</v>
      </c>
      <c r="M267" s="131">
        <f>'Sta. Klimatologi Kalbar'!AB25</f>
        <v>0</v>
      </c>
      <c r="O267" s="130">
        <v>18</v>
      </c>
      <c r="P267" s="131">
        <f t="shared" si="368"/>
        <v>4.2572273481758032</v>
      </c>
      <c r="Q267" s="131">
        <f t="shared" si="369"/>
        <v>1.0643068370439508</v>
      </c>
      <c r="R267" s="131">
        <f t="shared" si="370"/>
        <v>37.616369287386426</v>
      </c>
      <c r="S267" s="131">
        <f t="shared" si="371"/>
        <v>3.1883158992117915</v>
      </c>
      <c r="T267" s="131">
        <f t="shared" si="372"/>
        <v>4.3922098591491758E-2</v>
      </c>
      <c r="U267" s="131">
        <f t="shared" si="373"/>
        <v>13.693026661491084</v>
      </c>
      <c r="V267" s="131">
        <f t="shared" si="374"/>
        <v>0</v>
      </c>
      <c r="W267" s="131">
        <f t="shared" si="375"/>
        <v>4.5746825674139089</v>
      </c>
      <c r="X267" s="131">
        <f t="shared" si="376"/>
        <v>7.5068291518515826</v>
      </c>
      <c r="Y267" s="131">
        <f t="shared" si="377"/>
        <v>11.783694812838132</v>
      </c>
      <c r="Z267" s="131">
        <f t="shared" si="378"/>
        <v>2.436701271014015</v>
      </c>
      <c r="AA267" s="131">
        <f t="shared" si="379"/>
        <v>0</v>
      </c>
      <c r="AC267" s="130">
        <v>18</v>
      </c>
      <c r="AD267" s="131">
        <f>'Sta. Meteorologi pnk'!Q160</f>
        <v>6</v>
      </c>
      <c r="AE267" s="131">
        <f>'Sta. Meteorologi pnk'!R160</f>
        <v>1.5</v>
      </c>
      <c r="AF267" s="131">
        <f>'Sta. Meteorologi pnk'!S160</f>
        <v>43</v>
      </c>
      <c r="AG267" s="131">
        <f>'Sta. Meteorologi pnk'!T160</f>
        <v>2.9</v>
      </c>
      <c r="AH267" s="131">
        <f>'Sta. Meteorologi pnk'!U160</f>
        <v>0</v>
      </c>
      <c r="AI267" s="131">
        <f>'Sta. Meteorologi pnk'!V160</f>
        <v>14.5</v>
      </c>
      <c r="AJ267" s="131">
        <f>'Sta. Meteorologi pnk'!W160</f>
        <v>0</v>
      </c>
      <c r="AK267" s="131">
        <f>'Sta. Meteorologi pnk'!X160</f>
        <v>1</v>
      </c>
      <c r="AL267" s="131">
        <f>'Sta. Meteorologi pnk'!Y160</f>
        <v>10.5</v>
      </c>
      <c r="AM267" s="131">
        <f>'Sta. Meteorologi pnk'!Z160</f>
        <v>14.4</v>
      </c>
      <c r="AN267" s="131">
        <f>'Sta. Meteorologi pnk'!AA160</f>
        <v>2.9</v>
      </c>
      <c r="AO267" s="131">
        <f>'Sta. Meteorologi pnk'!AB160</f>
        <v>0</v>
      </c>
      <c r="AQ267" s="130">
        <v>18</v>
      </c>
      <c r="AR267" s="131">
        <f>'Sta. Meteorologi Supadio'!Q25</f>
        <v>0</v>
      </c>
      <c r="AS267" s="131">
        <f>'Sta. Meteorologi Supadio'!R25</f>
        <v>0</v>
      </c>
      <c r="AT267" s="131">
        <f>'Sta. Meteorologi Supadio'!S25</f>
        <v>81.7</v>
      </c>
      <c r="AU267" s="131">
        <f>'Sta. Meteorologi Supadio'!T25</f>
        <v>1.7</v>
      </c>
      <c r="AV267" s="131">
        <f>'Sta. Meteorologi Supadio'!U25</f>
        <v>0</v>
      </c>
      <c r="AW267" s="131">
        <f>'Sta. Meteorologi Supadio'!V25</f>
        <v>5.9</v>
      </c>
      <c r="AX267" s="131">
        <f>'Sta. Meteorologi Supadio'!W25</f>
        <v>0</v>
      </c>
      <c r="AY267" s="131">
        <f>'Sta. Meteorologi Supadio'!X25</f>
        <v>0</v>
      </c>
      <c r="AZ267" s="131">
        <f>'Sta. Meteorologi Supadio'!Y25</f>
        <v>0.8</v>
      </c>
      <c r="BA267" s="131">
        <f>'Sta. Meteorologi Supadio'!Z25</f>
        <v>3.2</v>
      </c>
      <c r="BB267" s="131">
        <f>'Sta. Meteorologi Supadio'!AA25</f>
        <v>3.8</v>
      </c>
      <c r="BC267" s="131">
        <f>'Sta. Meteorologi Supadio'!AB25</f>
        <v>0</v>
      </c>
    </row>
    <row r="268" spans="1:55">
      <c r="A268" s="130">
        <v>19</v>
      </c>
      <c r="B268" s="131">
        <f>'Sta. Klimatologi Kalbar'!Q26</f>
        <v>0</v>
      </c>
      <c r="C268" s="131">
        <f>'Sta. Klimatologi Kalbar'!R26</f>
        <v>3</v>
      </c>
      <c r="D268" s="131">
        <f>'Sta. Klimatologi Kalbar'!S26</f>
        <v>0</v>
      </c>
      <c r="E268" s="131">
        <f>'Sta. Klimatologi Kalbar'!T26</f>
        <v>1</v>
      </c>
      <c r="F268" s="131">
        <f>'Sta. Klimatologi Kalbar'!U26</f>
        <v>0</v>
      </c>
      <c r="G268" s="131">
        <f>'Sta. Klimatologi Kalbar'!V26</f>
        <v>0</v>
      </c>
      <c r="H268" s="131">
        <f>'Sta. Klimatologi Kalbar'!W26</f>
        <v>0</v>
      </c>
      <c r="I268" s="131">
        <f>'Sta. Klimatologi Kalbar'!X26</f>
        <v>0</v>
      </c>
      <c r="J268" s="131">
        <f>'Sta. Klimatologi Kalbar'!Y26</f>
        <v>12.7</v>
      </c>
      <c r="K268" s="131">
        <f>'Sta. Klimatologi Kalbar'!Z26</f>
        <v>0</v>
      </c>
      <c r="L268" s="131">
        <f>'Sta. Klimatologi Kalbar'!AA26</f>
        <v>12.3</v>
      </c>
      <c r="M268" s="131">
        <f>'Sta. Klimatologi Kalbar'!AB26</f>
        <v>0</v>
      </c>
      <c r="O268" s="130">
        <v>19</v>
      </c>
      <c r="P268" s="131">
        <f t="shared" si="368"/>
        <v>8.5021938815888612E-2</v>
      </c>
      <c r="Q268" s="131">
        <f t="shared" si="369"/>
        <v>0.65883147887237636</v>
      </c>
      <c r="R268" s="131">
        <f t="shared" si="370"/>
        <v>8.9963478564313331</v>
      </c>
      <c r="S268" s="131">
        <f t="shared" si="371"/>
        <v>5.5814078315453202</v>
      </c>
      <c r="T268" s="131">
        <f t="shared" si="372"/>
        <v>0</v>
      </c>
      <c r="U268" s="131">
        <f t="shared" si="373"/>
        <v>1.773844728406585</v>
      </c>
      <c r="V268" s="131">
        <f t="shared" si="374"/>
        <v>0</v>
      </c>
      <c r="W268" s="131">
        <f t="shared" si="375"/>
        <v>1.6013486878222587</v>
      </c>
      <c r="X268" s="131">
        <f t="shared" si="376"/>
        <v>22.627364878616092</v>
      </c>
      <c r="Y268" s="131">
        <f t="shared" si="377"/>
        <v>0</v>
      </c>
      <c r="Z268" s="131">
        <f t="shared" si="378"/>
        <v>5.1481441407424464</v>
      </c>
      <c r="AA268" s="131">
        <f t="shared" si="379"/>
        <v>0</v>
      </c>
      <c r="AC268" s="130">
        <v>19</v>
      </c>
      <c r="AD268" s="131">
        <f>'Sta. Meteorologi pnk'!Q161</f>
        <v>0</v>
      </c>
      <c r="AE268" s="131">
        <f>'Sta. Meteorologi pnk'!R161</f>
        <v>0</v>
      </c>
      <c r="AF268" s="131">
        <f>'Sta. Meteorologi pnk'!S161</f>
        <v>12.1</v>
      </c>
      <c r="AG268" s="131">
        <f>'Sta. Meteorologi pnk'!T161</f>
        <v>5.3</v>
      </c>
      <c r="AH268" s="131">
        <f>'Sta. Meteorologi pnk'!U161</f>
        <v>0</v>
      </c>
      <c r="AI268" s="131">
        <f>'Sta. Meteorologi pnk'!V161</f>
        <v>2.5</v>
      </c>
      <c r="AJ268" s="131">
        <f>'Sta. Meteorologi pnk'!W161</f>
        <v>0</v>
      </c>
      <c r="AK268" s="131">
        <f>'Sta. Meteorologi pnk'!X161</f>
        <v>0.1</v>
      </c>
      <c r="AL268" s="131">
        <f>'Sta. Meteorologi pnk'!Y161</f>
        <v>27.6</v>
      </c>
      <c r="AM268" s="131">
        <f>'Sta. Meteorologi pnk'!Z161</f>
        <v>0</v>
      </c>
      <c r="AN268" s="131">
        <f>'Sta. Meteorologi pnk'!AA161</f>
        <v>2.5</v>
      </c>
      <c r="AO268" s="131">
        <f>'Sta. Meteorologi pnk'!AB161</f>
        <v>0</v>
      </c>
      <c r="AQ268" s="130">
        <v>19</v>
      </c>
      <c r="AR268" s="131">
        <f>'Sta. Meteorologi Supadio'!Q26</f>
        <v>1.2</v>
      </c>
      <c r="AS268" s="131">
        <f>'Sta. Meteorologi Supadio'!R26</f>
        <v>0</v>
      </c>
      <c r="AT268" s="131">
        <f>'Sta. Meteorologi Supadio'!S26</f>
        <v>5.8</v>
      </c>
      <c r="AU268" s="131">
        <f>'Sta. Meteorologi Supadio'!T26</f>
        <v>22.6</v>
      </c>
      <c r="AV268" s="131">
        <f>'Sta. Meteorologi Supadio'!U26</f>
        <v>0</v>
      </c>
      <c r="AW268" s="131">
        <f>'Sta. Meteorologi Supadio'!V26</f>
        <v>0</v>
      </c>
      <c r="AX268" s="131">
        <f>'Sta. Meteorologi Supadio'!W26</f>
        <v>0</v>
      </c>
      <c r="AY268" s="131">
        <f>'Sta. Meteorologi Supadio'!X26</f>
        <v>21.6</v>
      </c>
      <c r="AZ268" s="131">
        <f>'Sta. Meteorologi Supadio'!Y26</f>
        <v>3.6</v>
      </c>
      <c r="BA268" s="131">
        <f>'Sta. Meteorologi Supadio'!Z26</f>
        <v>0</v>
      </c>
      <c r="BB268" s="131">
        <f>'Sta. Meteorologi Supadio'!AA26</f>
        <v>9.5</v>
      </c>
      <c r="BC268" s="131">
        <f>'Sta. Meteorologi Supadio'!AB26</f>
        <v>0</v>
      </c>
    </row>
    <row r="269" spans="1:55">
      <c r="A269" s="130">
        <v>20</v>
      </c>
      <c r="B269" s="131">
        <f>'Sta. Klimatologi Kalbar'!Q27</f>
        <v>51.5</v>
      </c>
      <c r="C269" s="131">
        <f>'Sta. Klimatologi Kalbar'!R27</f>
        <v>0</v>
      </c>
      <c r="D269" s="131">
        <f>'Sta. Klimatologi Kalbar'!S27</f>
        <v>0</v>
      </c>
      <c r="E269" s="131">
        <f>'Sta. Klimatologi Kalbar'!T27</f>
        <v>5.2</v>
      </c>
      <c r="F269" s="131">
        <f>'Sta. Klimatologi Kalbar'!U27</f>
        <v>36.9</v>
      </c>
      <c r="G269" s="131">
        <f>'Sta. Klimatologi Kalbar'!V27</f>
        <v>0</v>
      </c>
      <c r="H269" s="131">
        <f>'Sta. Klimatologi Kalbar'!W27</f>
        <v>0</v>
      </c>
      <c r="I269" s="131">
        <f>'Sta. Klimatologi Kalbar'!X27</f>
        <v>0.8</v>
      </c>
      <c r="J269" s="131">
        <f>'Sta. Klimatologi Kalbar'!Y27</f>
        <v>22</v>
      </c>
      <c r="K269" s="131">
        <f>'Sta. Klimatologi Kalbar'!Z27</f>
        <v>0</v>
      </c>
      <c r="L269" s="131">
        <f>'Sta. Klimatologi Kalbar'!AA27</f>
        <v>7.3</v>
      </c>
      <c r="M269" s="131">
        <f>'Sta. Klimatologi Kalbar'!AB27</f>
        <v>0</v>
      </c>
      <c r="O269" s="130">
        <v>20</v>
      </c>
      <c r="P269" s="131">
        <f t="shared" si="368"/>
        <v>24.059345212569003</v>
      </c>
      <c r="Q269" s="131">
        <f t="shared" si="369"/>
        <v>6.9450579188531911</v>
      </c>
      <c r="R269" s="131">
        <f t="shared" si="370"/>
        <v>1.4170323135981436E-2</v>
      </c>
      <c r="S269" s="131">
        <f t="shared" si="371"/>
        <v>9.5142151610887975</v>
      </c>
      <c r="T269" s="131">
        <f t="shared" si="372"/>
        <v>40.847012841029553</v>
      </c>
      <c r="U269" s="131">
        <f t="shared" si="373"/>
        <v>0</v>
      </c>
      <c r="V269" s="131">
        <f t="shared" si="374"/>
        <v>0</v>
      </c>
      <c r="W269" s="131">
        <f t="shared" si="375"/>
        <v>2.6423463545902992</v>
      </c>
      <c r="X269" s="131">
        <f t="shared" si="376"/>
        <v>16.750134818111004</v>
      </c>
      <c r="Y269" s="131">
        <f t="shared" si="377"/>
        <v>0.13461806979182364</v>
      </c>
      <c r="Z269" s="131">
        <f t="shared" si="378"/>
        <v>11.308327132188921</v>
      </c>
      <c r="AA269" s="131">
        <f t="shared" si="379"/>
        <v>0</v>
      </c>
      <c r="AC269" s="130">
        <v>20</v>
      </c>
      <c r="AD269" s="131">
        <f>'Sta. Meteorologi pnk'!Q162</f>
        <v>17</v>
      </c>
      <c r="AE269" s="131">
        <f>'Sta. Meteorologi pnk'!R162</f>
        <v>8.5</v>
      </c>
      <c r="AF269" s="131">
        <f>'Sta. Meteorologi pnk'!S162</f>
        <v>0</v>
      </c>
      <c r="AG269" s="131">
        <f>'Sta. Meteorologi pnk'!T162</f>
        <v>11.5</v>
      </c>
      <c r="AH269" s="131">
        <f>'Sta. Meteorologi pnk'!U162</f>
        <v>44.4</v>
      </c>
      <c r="AI269" s="131">
        <f>'Sta. Meteorologi pnk'!V162</f>
        <v>0</v>
      </c>
      <c r="AJ269" s="131">
        <f>'Sta. Meteorologi pnk'!W162</f>
        <v>0</v>
      </c>
      <c r="AK269" s="131">
        <f>'Sta. Meteorologi pnk'!X162</f>
        <v>1</v>
      </c>
      <c r="AL269" s="131">
        <f>'Sta. Meteorologi pnk'!Y162</f>
        <v>15.3</v>
      </c>
      <c r="AM269" s="131">
        <f>'Sta. Meteorologi pnk'!Z162</f>
        <v>0</v>
      </c>
      <c r="AN269" s="131">
        <f>'Sta. Meteorologi pnk'!AA162</f>
        <v>12.4</v>
      </c>
      <c r="AO269" s="131">
        <f>'Sta. Meteorologi pnk'!AB162</f>
        <v>0</v>
      </c>
      <c r="AQ269" s="130">
        <v>20</v>
      </c>
      <c r="AR269" s="131">
        <f>'Sta. Meteorologi Supadio'!Q27</f>
        <v>9.6999999999999993</v>
      </c>
      <c r="AS269" s="131">
        <f>'Sta. Meteorologi Supadio'!R27</f>
        <v>12.9</v>
      </c>
      <c r="AT269" s="131">
        <f>'Sta. Meteorologi Supadio'!S27</f>
        <v>0.2</v>
      </c>
      <c r="AU269" s="131">
        <f>'Sta. Meteorologi Supadio'!T27</f>
        <v>3</v>
      </c>
      <c r="AV269" s="131">
        <f>'Sta. Meteorologi Supadio'!U27</f>
        <v>17.5</v>
      </c>
      <c r="AW269" s="131">
        <f>'Sta. Meteorologi Supadio'!V27</f>
        <v>0</v>
      </c>
      <c r="AX269" s="131">
        <f>'Sta. Meteorologi Supadio'!W27</f>
        <v>0</v>
      </c>
      <c r="AY269" s="131">
        <f>'Sta. Meteorologi Supadio'!X27</f>
        <v>24.8</v>
      </c>
      <c r="AZ269" s="131">
        <f>'Sta. Meteorologi Supadio'!Y27</f>
        <v>15</v>
      </c>
      <c r="BA269" s="131">
        <f>'Sta. Meteorologi Supadio'!Z27</f>
        <v>1.9</v>
      </c>
      <c r="BB269" s="131">
        <f>'Sta. Meteorologi Supadio'!AA27</f>
        <v>12.8</v>
      </c>
      <c r="BC269" s="131">
        <f>'Sta. Meteorologi Supadio'!AB27</f>
        <v>0</v>
      </c>
    </row>
    <row r="270" spans="1:55">
      <c r="A270" s="130">
        <v>21</v>
      </c>
      <c r="B270" s="131">
        <f>'Sta. Klimatologi Kalbar'!Q28</f>
        <v>0</v>
      </c>
      <c r="C270" s="131">
        <f>'Sta. Klimatologi Kalbar'!R28</f>
        <v>0</v>
      </c>
      <c r="D270" s="131">
        <f>'Sta. Klimatologi Kalbar'!S28</f>
        <v>0</v>
      </c>
      <c r="E270" s="131">
        <f>'Sta. Klimatologi Kalbar'!T28</f>
        <v>0</v>
      </c>
      <c r="F270" s="131">
        <f>'Sta. Klimatologi Kalbar'!U28</f>
        <v>4</v>
      </c>
      <c r="G270" s="131">
        <f>'Sta. Klimatologi Kalbar'!V28</f>
        <v>21.5</v>
      </c>
      <c r="H270" s="131">
        <f>'Sta. Klimatologi Kalbar'!W28</f>
        <v>0</v>
      </c>
      <c r="I270" s="131">
        <f>'Sta. Klimatologi Kalbar'!X28</f>
        <v>13.8</v>
      </c>
      <c r="J270" s="131">
        <f>'Sta. Klimatologi Kalbar'!Y28</f>
        <v>3</v>
      </c>
      <c r="K270" s="131">
        <f>'Sta. Klimatologi Kalbar'!Z28</f>
        <v>20.9</v>
      </c>
      <c r="L270" s="131">
        <f>'Sta. Klimatologi Kalbar'!AA28</f>
        <v>0</v>
      </c>
      <c r="M270" s="131">
        <f>'Sta. Klimatologi Kalbar'!AB28</f>
        <v>0</v>
      </c>
      <c r="O270" s="130">
        <v>21</v>
      </c>
      <c r="P270" s="131">
        <f t="shared" si="368"/>
        <v>0.35476894568131701</v>
      </c>
      <c r="Q270" s="131">
        <f t="shared" si="369"/>
        <v>0</v>
      </c>
      <c r="R270" s="131">
        <f t="shared" si="370"/>
        <v>0.78049168049889739</v>
      </c>
      <c r="S270" s="131">
        <f t="shared" si="371"/>
        <v>0.22672517017570298</v>
      </c>
      <c r="T270" s="131">
        <f t="shared" si="372"/>
        <v>1.7155127714163023</v>
      </c>
      <c r="U270" s="131">
        <f t="shared" si="373"/>
        <v>18.911259517818124</v>
      </c>
      <c r="V270" s="131">
        <f t="shared" si="374"/>
        <v>0</v>
      </c>
      <c r="W270" s="131">
        <f t="shared" si="375"/>
        <v>16.06364043770515</v>
      </c>
      <c r="X270" s="131">
        <f t="shared" si="376"/>
        <v>2.6801459948768556</v>
      </c>
      <c r="Y270" s="131">
        <f t="shared" si="377"/>
        <v>8.582687856931198</v>
      </c>
      <c r="Z270" s="131">
        <f t="shared" si="378"/>
        <v>5.6904734540370532</v>
      </c>
      <c r="AA270" s="131">
        <f t="shared" si="379"/>
        <v>0.14170323135981436</v>
      </c>
      <c r="AC270" s="130">
        <v>21</v>
      </c>
      <c r="AD270" s="131">
        <f>'Sta. Meteorologi pnk'!Q163</f>
        <v>0.5</v>
      </c>
      <c r="AE270" s="131">
        <f>'Sta. Meteorologi pnk'!R163</f>
        <v>0</v>
      </c>
      <c r="AF270" s="131">
        <f>'Sta. Meteorologi pnk'!S163</f>
        <v>1.1000000000000001</v>
      </c>
      <c r="AG270" s="131">
        <f>'Sta. Meteorologi pnk'!T163</f>
        <v>0</v>
      </c>
      <c r="AH270" s="131">
        <f>'Sta. Meteorologi pnk'!U163</f>
        <v>1</v>
      </c>
      <c r="AI270" s="131">
        <f>'Sta. Meteorologi pnk'!V163</f>
        <v>18.899999999999999</v>
      </c>
      <c r="AJ270" s="131">
        <f>'Sta. Meteorologi pnk'!W163</f>
        <v>0</v>
      </c>
      <c r="AK270" s="131">
        <f>'Sta. Meteorologi pnk'!X163</f>
        <v>17.2</v>
      </c>
      <c r="AL270" s="131">
        <f>'Sta. Meteorologi pnk'!Y163</f>
        <v>2</v>
      </c>
      <c r="AM270" s="131">
        <f>'Sta. Meteorologi pnk'!Z163</f>
        <v>3.8</v>
      </c>
      <c r="AN270" s="131">
        <f>'Sta. Meteorologi pnk'!AA163</f>
        <v>8</v>
      </c>
      <c r="AO270" s="131">
        <f>'Sta. Meteorologi pnk'!AB163</f>
        <v>0</v>
      </c>
      <c r="AQ270" s="130">
        <v>21</v>
      </c>
      <c r="AR270" s="131">
        <f>'Sta. Meteorologi Supadio'!Q28</f>
        <v>0</v>
      </c>
      <c r="AS270" s="131">
        <f>'Sta. Meteorologi Supadio'!R28</f>
        <v>0</v>
      </c>
      <c r="AT270" s="131">
        <f>'Sta. Meteorologi Supadio'!S28</f>
        <v>0</v>
      </c>
      <c r="AU270" s="131">
        <f>'Sta. Meteorologi Supadio'!T28</f>
        <v>3.2</v>
      </c>
      <c r="AV270" s="131">
        <f>'Sta. Meteorologi Supadio'!U28</f>
        <v>1.8</v>
      </c>
      <c r="AW270" s="131">
        <f>'Sta. Meteorologi Supadio'!V28</f>
        <v>11</v>
      </c>
      <c r="AX270" s="131">
        <f>'Sta. Meteorologi Supadio'!W28</f>
        <v>0</v>
      </c>
      <c r="AY270" s="131">
        <f>'Sta. Meteorologi Supadio'!X28</f>
        <v>11.7</v>
      </c>
      <c r="AZ270" s="131">
        <f>'Sta. Meteorologi Supadio'!Y28</f>
        <v>8.5</v>
      </c>
      <c r="BA270" s="131">
        <f>'Sta. Meteorologi Supadio'!Z28</f>
        <v>18.3</v>
      </c>
      <c r="BB270" s="131">
        <f>'Sta. Meteorologi Supadio'!AA28</f>
        <v>0.2</v>
      </c>
      <c r="BC270" s="131">
        <f>'Sta. Meteorologi Supadio'!AB28</f>
        <v>2</v>
      </c>
    </row>
    <row r="271" spans="1:55">
      <c r="A271" s="130">
        <v>22</v>
      </c>
      <c r="B271" s="131">
        <f>'Sta. Klimatologi Kalbar'!Q29</f>
        <v>0</v>
      </c>
      <c r="C271" s="131">
        <f>'Sta. Klimatologi Kalbar'!R29</f>
        <v>0</v>
      </c>
      <c r="D271" s="131">
        <f>'Sta. Klimatologi Kalbar'!S29</f>
        <v>4</v>
      </c>
      <c r="E271" s="131">
        <f>'Sta. Klimatologi Kalbar'!T29</f>
        <v>40</v>
      </c>
      <c r="F271" s="131">
        <f>'Sta. Klimatologi Kalbar'!U29</f>
        <v>0</v>
      </c>
      <c r="G271" s="131">
        <f>'Sta. Klimatologi Kalbar'!V29</f>
        <v>0</v>
      </c>
      <c r="H271" s="131">
        <f>'Sta. Klimatologi Kalbar'!W29</f>
        <v>11.2</v>
      </c>
      <c r="I271" s="131">
        <f>'Sta. Klimatologi Kalbar'!X29</f>
        <v>20.8</v>
      </c>
      <c r="J271" s="131">
        <f>'Sta. Klimatologi Kalbar'!Y29</f>
        <v>0</v>
      </c>
      <c r="K271" s="131">
        <f>'Sta. Klimatologi Kalbar'!Z29</f>
        <v>15.9</v>
      </c>
      <c r="L271" s="131">
        <f>'Sta. Klimatologi Kalbar'!AA29</f>
        <v>6</v>
      </c>
      <c r="M271" s="131">
        <f>'Sta. Klimatologi Kalbar'!AB29</f>
        <v>2.8</v>
      </c>
      <c r="O271" s="130">
        <v>22</v>
      </c>
      <c r="P271" s="131">
        <f t="shared" si="368"/>
        <v>0</v>
      </c>
      <c r="Q271" s="131">
        <f t="shared" si="369"/>
        <v>0</v>
      </c>
      <c r="R271" s="131">
        <f t="shared" si="370"/>
        <v>3.8585011155528974</v>
      </c>
      <c r="S271" s="131">
        <f t="shared" si="371"/>
        <v>9.6642058342054753</v>
      </c>
      <c r="T271" s="131">
        <f t="shared" si="372"/>
        <v>0</v>
      </c>
      <c r="U271" s="131">
        <f t="shared" si="373"/>
        <v>1.5609833609977948</v>
      </c>
      <c r="V271" s="131">
        <f t="shared" si="374"/>
        <v>9.9097853804311953</v>
      </c>
      <c r="W271" s="131">
        <f t="shared" si="375"/>
        <v>22.315918055180948</v>
      </c>
      <c r="X271" s="131">
        <f t="shared" si="376"/>
        <v>0</v>
      </c>
      <c r="Y271" s="131">
        <f t="shared" si="377"/>
        <v>8.9377065543201404</v>
      </c>
      <c r="Z271" s="131">
        <f t="shared" si="378"/>
        <v>2.8641694752374969</v>
      </c>
      <c r="AA271" s="131">
        <f t="shared" si="379"/>
        <v>18.808307819245947</v>
      </c>
      <c r="AC271" s="130">
        <v>22</v>
      </c>
      <c r="AD271" s="131">
        <f>'Sta. Meteorologi pnk'!Q164</f>
        <v>0</v>
      </c>
      <c r="AE271" s="131">
        <f>'Sta. Meteorologi pnk'!R164</f>
        <v>0</v>
      </c>
      <c r="AF271" s="131">
        <f>'Sta. Meteorologi pnk'!S164</f>
        <v>4.2</v>
      </c>
      <c r="AG271" s="131">
        <f>'Sta. Meteorologi pnk'!T164</f>
        <v>1.2</v>
      </c>
      <c r="AH271" s="131">
        <f>'Sta. Meteorologi pnk'!U164</f>
        <v>0</v>
      </c>
      <c r="AI271" s="131">
        <f>'Sta. Meteorologi pnk'!V164</f>
        <v>2.2000000000000002</v>
      </c>
      <c r="AJ271" s="131">
        <f>'Sta. Meteorologi pnk'!W164</f>
        <v>10.5</v>
      </c>
      <c r="AK271" s="131">
        <f>'Sta. Meteorologi pnk'!X164</f>
        <v>20.5</v>
      </c>
      <c r="AL271" s="131">
        <f>'Sta. Meteorologi pnk'!Y164</f>
        <v>0</v>
      </c>
      <c r="AM271" s="131">
        <f>'Sta. Meteorologi pnk'!Z164</f>
        <v>4.4000000000000004</v>
      </c>
      <c r="AN271" s="131">
        <f>'Sta. Meteorologi pnk'!AA164</f>
        <v>1.9</v>
      </c>
      <c r="AO271" s="131">
        <f>'Sta. Meteorologi pnk'!AB164</f>
        <v>12.6</v>
      </c>
      <c r="AQ271" s="130">
        <v>22</v>
      </c>
      <c r="AR271" s="131">
        <f>'Sta. Meteorologi Supadio'!Q29</f>
        <v>0</v>
      </c>
      <c r="AS271" s="131">
        <f>'Sta. Meteorologi Supadio'!R29</f>
        <v>0</v>
      </c>
      <c r="AT271" s="131">
        <f>'Sta. Meteorologi Supadio'!S29</f>
        <v>0</v>
      </c>
      <c r="AU271" s="131">
        <f>'Sta. Meteorologi Supadio'!T29</f>
        <v>0.4</v>
      </c>
      <c r="AV271" s="131">
        <f>'Sta. Meteorologi Supadio'!U29</f>
        <v>0</v>
      </c>
      <c r="AW271" s="131">
        <f>'Sta. Meteorologi Supadio'!V29</f>
        <v>0</v>
      </c>
      <c r="AX271" s="131">
        <f>'Sta. Meteorologi Supadio'!W29</f>
        <v>0</v>
      </c>
      <c r="AY271" s="131">
        <f>'Sta. Meteorologi Supadio'!X29</f>
        <v>45.2</v>
      </c>
      <c r="AZ271" s="131">
        <f>'Sta. Meteorologi Supadio'!Y29</f>
        <v>0</v>
      </c>
      <c r="BA271" s="131">
        <f>'Sta. Meteorologi Supadio'!Z29</f>
        <v>32.799999999999997</v>
      </c>
      <c r="BB271" s="131">
        <f>'Sta. Meteorologi Supadio'!AA29</f>
        <v>2.8</v>
      </c>
      <c r="BC271" s="131">
        <f>'Sta. Meteorologi Supadio'!AB29</f>
        <v>130.6</v>
      </c>
    </row>
    <row r="272" spans="1:55">
      <c r="A272" s="130">
        <v>23</v>
      </c>
      <c r="B272" s="131">
        <f>'Sta. Klimatologi Kalbar'!Q30</f>
        <v>12.3</v>
      </c>
      <c r="C272" s="131">
        <f>'Sta. Klimatologi Kalbar'!R30</f>
        <v>0</v>
      </c>
      <c r="D272" s="131">
        <f>'Sta. Klimatologi Kalbar'!S30</f>
        <v>0</v>
      </c>
      <c r="E272" s="131">
        <f>'Sta. Klimatologi Kalbar'!T30</f>
        <v>85.5</v>
      </c>
      <c r="F272" s="131">
        <f>'Sta. Klimatologi Kalbar'!U30</f>
        <v>0</v>
      </c>
      <c r="G272" s="131">
        <f>'Sta. Klimatologi Kalbar'!V30</f>
        <v>20</v>
      </c>
      <c r="H272" s="131">
        <f>'Sta. Klimatologi Kalbar'!W30</f>
        <v>0</v>
      </c>
      <c r="I272" s="131">
        <f>'Sta. Klimatologi Kalbar'!X30</f>
        <v>11.5</v>
      </c>
      <c r="J272" s="131">
        <f>'Sta. Klimatologi Kalbar'!Y30</f>
        <v>63</v>
      </c>
      <c r="K272" s="131">
        <f>'Sta. Klimatologi Kalbar'!Z30</f>
        <v>2.8</v>
      </c>
      <c r="L272" s="131">
        <f>'Sta. Klimatologi Kalbar'!AA30</f>
        <v>0</v>
      </c>
      <c r="M272" s="131">
        <f>'Sta. Klimatologi Kalbar'!AB30</f>
        <v>95.3</v>
      </c>
      <c r="O272" s="130">
        <v>23</v>
      </c>
      <c r="P272" s="131">
        <f t="shared" si="368"/>
        <v>2.8714572879212326</v>
      </c>
      <c r="Q272" s="131">
        <f t="shared" si="369"/>
        <v>0</v>
      </c>
      <c r="R272" s="131">
        <f t="shared" si="370"/>
        <v>0</v>
      </c>
      <c r="S272" s="131">
        <f t="shared" si="371"/>
        <v>19.03915464624745</v>
      </c>
      <c r="T272" s="131">
        <f t="shared" si="372"/>
        <v>0.42572273481758033</v>
      </c>
      <c r="U272" s="131">
        <f t="shared" si="373"/>
        <v>48.688118897599729</v>
      </c>
      <c r="V272" s="131">
        <f t="shared" si="374"/>
        <v>0</v>
      </c>
      <c r="W272" s="131">
        <f t="shared" si="375"/>
        <v>2.5255206690107763</v>
      </c>
      <c r="X272" s="131">
        <f t="shared" si="376"/>
        <v>54.427194042723343</v>
      </c>
      <c r="Y272" s="131">
        <f t="shared" si="377"/>
        <v>4.8066333255867164</v>
      </c>
      <c r="Z272" s="131">
        <f t="shared" si="378"/>
        <v>0</v>
      </c>
      <c r="AA272" s="131">
        <f t="shared" si="379"/>
        <v>93.095559998168255</v>
      </c>
      <c r="AC272" s="130">
        <v>23</v>
      </c>
      <c r="AD272" s="131">
        <f>'Sta. Meteorologi pnk'!Q165</f>
        <v>0.2</v>
      </c>
      <c r="AE272" s="131">
        <f>'Sta. Meteorologi pnk'!R165</f>
        <v>0</v>
      </c>
      <c r="AF272" s="131">
        <f>'Sta. Meteorologi pnk'!S165</f>
        <v>0</v>
      </c>
      <c r="AG272" s="131">
        <f>'Sta. Meteorologi pnk'!T165</f>
        <v>0.3</v>
      </c>
      <c r="AH272" s="131">
        <f>'Sta. Meteorologi pnk'!U165</f>
        <v>0.6</v>
      </c>
      <c r="AI272" s="131">
        <f>'Sta. Meteorologi pnk'!V165</f>
        <v>61.9</v>
      </c>
      <c r="AJ272" s="131">
        <f>'Sta. Meteorologi pnk'!W165</f>
        <v>0</v>
      </c>
      <c r="AK272" s="131">
        <f>'Sta. Meteorologi pnk'!X165</f>
        <v>0</v>
      </c>
      <c r="AL272" s="131">
        <f>'Sta. Meteorologi pnk'!Y165</f>
        <v>56.3</v>
      </c>
      <c r="AM272" s="131">
        <f>'Sta. Meteorologi pnk'!Z165</f>
        <v>4.3</v>
      </c>
      <c r="AN272" s="131">
        <f>'Sta. Meteorologi pnk'!AA165</f>
        <v>0</v>
      </c>
      <c r="AO272" s="131">
        <f>'Sta. Meteorologi pnk'!AB165</f>
        <v>101.3</v>
      </c>
      <c r="AQ272" s="130">
        <v>23</v>
      </c>
      <c r="AR272" s="131">
        <f>'Sta. Meteorologi Supadio'!Q30</f>
        <v>0.4</v>
      </c>
      <c r="AS272" s="131">
        <f>'Sta. Meteorologi Supadio'!R30</f>
        <v>0</v>
      </c>
      <c r="AT272" s="131">
        <f>'Sta. Meteorologi Supadio'!S30</f>
        <v>0</v>
      </c>
      <c r="AU272" s="131">
        <f>'Sta. Meteorologi Supadio'!T30</f>
        <v>0.7</v>
      </c>
      <c r="AV272" s="131">
        <f>'Sta. Meteorologi Supadio'!U30</f>
        <v>0</v>
      </c>
      <c r="AW272" s="131">
        <f>'Sta. Meteorologi Supadio'!V30</f>
        <v>5.3</v>
      </c>
      <c r="AX272" s="131">
        <f>'Sta. Meteorologi Supadio'!W30</f>
        <v>0</v>
      </c>
      <c r="AY272" s="131">
        <f>'Sta. Meteorologi Supadio'!X30</f>
        <v>0</v>
      </c>
      <c r="AZ272" s="131">
        <f>'Sta. Meteorologi Supadio'!Y30</f>
        <v>9.1</v>
      </c>
      <c r="BA272" s="131">
        <f>'Sta. Meteorologi Supadio'!Z30</f>
        <v>16.100000000000001</v>
      </c>
      <c r="BB272" s="131">
        <f>'Sta. Meteorologi Supadio'!AA30</f>
        <v>0</v>
      </c>
      <c r="BC272" s="131">
        <f>'Sta. Meteorologi Supadio'!AB30</f>
        <v>4.0999999999999996</v>
      </c>
    </row>
    <row r="273" spans="1:55">
      <c r="A273" s="130">
        <v>24</v>
      </c>
      <c r="B273" s="131">
        <f>'Sta. Klimatologi Kalbar'!Q31</f>
        <v>0</v>
      </c>
      <c r="C273" s="131">
        <f>'Sta. Klimatologi Kalbar'!R31</f>
        <v>0</v>
      </c>
      <c r="D273" s="131">
        <f>'Sta. Klimatologi Kalbar'!S31</f>
        <v>0</v>
      </c>
      <c r="E273" s="131">
        <f>'Sta. Klimatologi Kalbar'!T31</f>
        <v>2.2999999999999998</v>
      </c>
      <c r="F273" s="131">
        <f>'Sta. Klimatologi Kalbar'!U31</f>
        <v>0</v>
      </c>
      <c r="G273" s="131">
        <f>'Sta. Klimatologi Kalbar'!V31</f>
        <v>10.8</v>
      </c>
      <c r="H273" s="131">
        <f>'Sta. Klimatologi Kalbar'!W31</f>
        <v>4.5</v>
      </c>
      <c r="I273" s="131">
        <f>'Sta. Klimatologi Kalbar'!X31</f>
        <v>26.9</v>
      </c>
      <c r="J273" s="131">
        <f>'Sta. Klimatologi Kalbar'!Y31</f>
        <v>0</v>
      </c>
      <c r="K273" s="131">
        <f>'Sta. Klimatologi Kalbar'!Z31</f>
        <v>23.5</v>
      </c>
      <c r="L273" s="131">
        <f>'Sta. Klimatologi Kalbar'!AA31</f>
        <v>17.7</v>
      </c>
      <c r="M273" s="131">
        <f>'Sta. Klimatologi Kalbar'!AB31</f>
        <v>7.2</v>
      </c>
      <c r="O273" s="130">
        <v>24</v>
      </c>
      <c r="P273" s="131">
        <f t="shared" si="368"/>
        <v>2.9625170965273258</v>
      </c>
      <c r="Q273" s="131">
        <f t="shared" si="369"/>
        <v>0</v>
      </c>
      <c r="R273" s="131">
        <f t="shared" si="370"/>
        <v>0</v>
      </c>
      <c r="S273" s="131">
        <f t="shared" si="371"/>
        <v>39.64921634429566</v>
      </c>
      <c r="T273" s="131">
        <f t="shared" si="372"/>
        <v>4.6119962938571213</v>
      </c>
      <c r="U273" s="131">
        <f t="shared" si="373"/>
        <v>21.079272967519433</v>
      </c>
      <c r="V273" s="131">
        <f t="shared" si="374"/>
        <v>18.839239699811415</v>
      </c>
      <c r="W273" s="131">
        <f t="shared" si="375"/>
        <v>14.43532989239238</v>
      </c>
      <c r="X273" s="131">
        <f t="shared" si="376"/>
        <v>5.6681292543925746E-2</v>
      </c>
      <c r="Y273" s="131">
        <f t="shared" si="377"/>
        <v>26.598565594708138</v>
      </c>
      <c r="Z273" s="131">
        <f t="shared" si="378"/>
        <v>8.8247129309626455</v>
      </c>
      <c r="AA273" s="131">
        <f t="shared" si="379"/>
        <v>3.2840864885640242</v>
      </c>
      <c r="AC273" s="130">
        <v>24</v>
      </c>
      <c r="AD273" s="131">
        <f>'Sta. Meteorologi pnk'!Q166</f>
        <v>0.9</v>
      </c>
      <c r="AE273" s="131">
        <f>'Sta. Meteorologi pnk'!R166</f>
        <v>0</v>
      </c>
      <c r="AF273" s="131">
        <f>'Sta. Meteorologi pnk'!S166</f>
        <v>0</v>
      </c>
      <c r="AG273" s="131">
        <f>'Sta. Meteorologi pnk'!T166</f>
        <v>54.1</v>
      </c>
      <c r="AH273" s="131">
        <f>'Sta. Meteorologi pnk'!U166</f>
        <v>6.5</v>
      </c>
      <c r="AI273" s="131">
        <f>'Sta. Meteorologi pnk'!V166</f>
        <v>23.4</v>
      </c>
      <c r="AJ273" s="131">
        <f>'Sta. Meteorologi pnk'!W166</f>
        <v>24.2</v>
      </c>
      <c r="AK273" s="131">
        <f>'Sta. Meteorologi pnk'!X166</f>
        <v>11.2</v>
      </c>
      <c r="AL273" s="131">
        <f>'Sta. Meteorologi pnk'!Y166</f>
        <v>0</v>
      </c>
      <c r="AM273" s="131">
        <f>'Sta. Meteorologi pnk'!Z166</f>
        <v>25.8</v>
      </c>
      <c r="AN273" s="131">
        <f>'Sta. Meteorologi pnk'!AA166</f>
        <v>6.2</v>
      </c>
      <c r="AO273" s="131">
        <f>'Sta. Meteorologi pnk'!AB166</f>
        <v>2.4</v>
      </c>
      <c r="AQ273" s="130">
        <v>24</v>
      </c>
      <c r="AR273" s="131">
        <f>'Sta. Meteorologi Supadio'!Q31</f>
        <v>32.799999999999997</v>
      </c>
      <c r="AS273" s="131">
        <f>'Sta. Meteorologi Supadio'!R31</f>
        <v>0</v>
      </c>
      <c r="AT273" s="131">
        <f>'Sta. Meteorologi Supadio'!S31</f>
        <v>0</v>
      </c>
      <c r="AU273" s="131">
        <f>'Sta. Meteorologi Supadio'!T31</f>
        <v>10.7</v>
      </c>
      <c r="AV273" s="131">
        <f>'Sta. Meteorologi Supadio'!U31</f>
        <v>0</v>
      </c>
      <c r="AW273" s="131">
        <f>'Sta. Meteorologi Supadio'!V31</f>
        <v>29.7</v>
      </c>
      <c r="AX273" s="131">
        <f>'Sta. Meteorologi Supadio'!W31</f>
        <v>9.6</v>
      </c>
      <c r="AY273" s="131">
        <f>'Sta. Meteorologi Supadio'!X31</f>
        <v>8.1999999999999993</v>
      </c>
      <c r="AZ273" s="131">
        <f>'Sta. Meteorologi Supadio'!Y31</f>
        <v>0.8</v>
      </c>
      <c r="BA273" s="131">
        <f>'Sta. Meteorologi Supadio'!Z31</f>
        <v>44.2</v>
      </c>
      <c r="BB273" s="131">
        <f>'Sta. Meteorologi Supadio'!AA31</f>
        <v>7.6</v>
      </c>
      <c r="BC273" s="131">
        <f>'Sta. Meteorologi Supadio'!AB31</f>
        <v>0</v>
      </c>
    </row>
    <row r="274" spans="1:55">
      <c r="A274" s="130">
        <v>25</v>
      </c>
      <c r="B274" s="131">
        <f>'Sta. Klimatologi Kalbar'!Q32</f>
        <v>0</v>
      </c>
      <c r="C274" s="131">
        <f>'Sta. Klimatologi Kalbar'!R32</f>
        <v>22.5</v>
      </c>
      <c r="D274" s="131">
        <f>'Sta. Klimatologi Kalbar'!S32</f>
        <v>0</v>
      </c>
      <c r="E274" s="131">
        <f>'Sta. Klimatologi Kalbar'!T32</f>
        <v>11.3</v>
      </c>
      <c r="F274" s="131">
        <f>'Sta. Klimatologi Kalbar'!U32</f>
        <v>24.2</v>
      </c>
      <c r="G274" s="131">
        <f>'Sta. Klimatologi Kalbar'!V32</f>
        <v>21.5</v>
      </c>
      <c r="H274" s="131">
        <f>'Sta. Klimatologi Kalbar'!W32</f>
        <v>4.5</v>
      </c>
      <c r="I274" s="131">
        <f>'Sta. Klimatologi Kalbar'!X32</f>
        <v>1.2</v>
      </c>
      <c r="J274" s="131">
        <f>'Sta. Klimatologi Kalbar'!Y32</f>
        <v>0</v>
      </c>
      <c r="K274" s="131">
        <f>'Sta. Klimatologi Kalbar'!Z32</f>
        <v>32</v>
      </c>
      <c r="L274" s="131">
        <f>'Sta. Klimatologi Kalbar'!AA32</f>
        <v>0</v>
      </c>
      <c r="M274" s="131">
        <f>'Sta. Klimatologi Kalbar'!AB32</f>
        <v>0</v>
      </c>
      <c r="O274" s="130">
        <v>25</v>
      </c>
      <c r="P274" s="131">
        <f t="shared" si="368"/>
        <v>0</v>
      </c>
      <c r="Q274" s="131">
        <f t="shared" si="369"/>
        <v>22.395868219063619</v>
      </c>
      <c r="R274" s="131">
        <f t="shared" si="370"/>
        <v>0.49667652395384376</v>
      </c>
      <c r="S274" s="131">
        <f t="shared" si="371"/>
        <v>33.630209827782558</v>
      </c>
      <c r="T274" s="131">
        <f t="shared" si="372"/>
        <v>5.3145739295705026</v>
      </c>
      <c r="U274" s="131">
        <f t="shared" si="373"/>
        <v>27.161519767026952</v>
      </c>
      <c r="V274" s="131">
        <f t="shared" si="374"/>
        <v>31.704698813103814</v>
      </c>
      <c r="W274" s="131">
        <f t="shared" si="375"/>
        <v>1.8882824066586616</v>
      </c>
      <c r="X274" s="131">
        <f t="shared" si="376"/>
        <v>1.419075782725268</v>
      </c>
      <c r="Y274" s="131">
        <f t="shared" si="377"/>
        <v>17.41431224715425</v>
      </c>
      <c r="Z274" s="131">
        <f t="shared" si="378"/>
        <v>0</v>
      </c>
      <c r="AA274" s="131">
        <f t="shared" si="379"/>
        <v>0</v>
      </c>
      <c r="AC274" s="130">
        <v>25</v>
      </c>
      <c r="AD274" s="131">
        <f>'Sta. Meteorologi pnk'!Q167</f>
        <v>0</v>
      </c>
      <c r="AE274" s="131">
        <f>'Sta. Meteorologi pnk'!R167</f>
        <v>24.6</v>
      </c>
      <c r="AF274" s="131">
        <f>'Sta. Meteorologi pnk'!S167</f>
        <v>0.7</v>
      </c>
      <c r="AG274" s="131">
        <f>'Sta. Meteorologi pnk'!T167</f>
        <v>43.8</v>
      </c>
      <c r="AH274" s="131">
        <f>'Sta. Meteorologi pnk'!U167</f>
        <v>0</v>
      </c>
      <c r="AI274" s="131">
        <f>'Sta. Meteorologi pnk'!V167</f>
        <v>28.9</v>
      </c>
      <c r="AJ274" s="131">
        <f>'Sta. Meteorologi pnk'!W167</f>
        <v>36.9</v>
      </c>
      <c r="AK274" s="131">
        <f>'Sta. Meteorologi pnk'!X167</f>
        <v>2.2000000000000002</v>
      </c>
      <c r="AL274" s="131">
        <f>'Sta. Meteorologi pnk'!Y167</f>
        <v>2</v>
      </c>
      <c r="AM274" s="131">
        <f>'Sta. Meteorologi pnk'!Z167</f>
        <v>13.8</v>
      </c>
      <c r="AN274" s="131">
        <f>'Sta. Meteorologi pnk'!AA167</f>
        <v>0</v>
      </c>
      <c r="AO274" s="131">
        <f>'Sta. Meteorologi pnk'!AB167</f>
        <v>0</v>
      </c>
      <c r="AQ274" s="130">
        <v>25</v>
      </c>
      <c r="AR274" s="131">
        <f>'Sta. Meteorologi Supadio'!Q32</f>
        <v>0</v>
      </c>
      <c r="AS274" s="131">
        <f>'Sta. Meteorologi Supadio'!R32</f>
        <v>0</v>
      </c>
      <c r="AT274" s="131">
        <f>'Sta. Meteorologi Supadio'!S32</f>
        <v>0</v>
      </c>
      <c r="AU274" s="131">
        <f>'Sta. Meteorologi Supadio'!T32</f>
        <v>1</v>
      </c>
      <c r="AV274" s="131">
        <f>'Sta. Meteorologi Supadio'!U32</f>
        <v>0</v>
      </c>
      <c r="AW274" s="131">
        <f>'Sta. Meteorologi Supadio'!V32</f>
        <v>27.3</v>
      </c>
      <c r="AX274" s="131">
        <f>'Sta. Meteorologi Supadio'!W32</f>
        <v>64</v>
      </c>
      <c r="AY274" s="131">
        <f>'Sta. Meteorologi Supadio'!X32</f>
        <v>0.9</v>
      </c>
      <c r="AZ274" s="131">
        <f>'Sta. Meteorologi Supadio'!Y32</f>
        <v>0</v>
      </c>
      <c r="BA274" s="131">
        <f>'Sta. Meteorologi Supadio'!Z32</f>
        <v>8.4</v>
      </c>
      <c r="BB274" s="131">
        <f>'Sta. Meteorologi Supadio'!AA32</f>
        <v>0</v>
      </c>
      <c r="BC274" s="131">
        <f>'Sta. Meteorologi Supadio'!AB32</f>
        <v>0</v>
      </c>
    </row>
    <row r="275" spans="1:55">
      <c r="A275" s="130">
        <v>26</v>
      </c>
      <c r="B275" s="131">
        <f>'Sta. Klimatologi Kalbar'!Q33</f>
        <v>0</v>
      </c>
      <c r="C275" s="131">
        <f>'Sta. Klimatologi Kalbar'!R33</f>
        <v>0</v>
      </c>
      <c r="D275" s="131">
        <f>'Sta. Klimatologi Kalbar'!S33</f>
        <v>0</v>
      </c>
      <c r="E275" s="131">
        <f>'Sta. Klimatologi Kalbar'!T33</f>
        <v>0</v>
      </c>
      <c r="F275" s="131">
        <f>'Sta. Klimatologi Kalbar'!U33</f>
        <v>16.5</v>
      </c>
      <c r="G275" s="131">
        <f>'Sta. Klimatologi Kalbar'!V33</f>
        <v>11</v>
      </c>
      <c r="H275" s="131">
        <f>'Sta. Klimatologi Kalbar'!W33</f>
        <v>2.2000000000000002</v>
      </c>
      <c r="I275" s="131">
        <f>'Sta. Klimatologi Kalbar'!X33</f>
        <v>0</v>
      </c>
      <c r="J275" s="131">
        <f>'Sta. Klimatologi Kalbar'!Y33</f>
        <v>23.9</v>
      </c>
      <c r="K275" s="131">
        <f>'Sta. Klimatologi Kalbar'!Z33</f>
        <v>25.3</v>
      </c>
      <c r="L275" s="131">
        <f>'Sta. Klimatologi Kalbar'!AA33</f>
        <v>4</v>
      </c>
      <c r="M275" s="131">
        <f>'Sta. Klimatologi Kalbar'!AB33</f>
        <v>0</v>
      </c>
      <c r="O275" s="130">
        <v>26</v>
      </c>
      <c r="P275" s="131">
        <f t="shared" si="368"/>
        <v>1.8872073134944365</v>
      </c>
      <c r="Q275" s="131">
        <f t="shared" si="369"/>
        <v>0</v>
      </c>
      <c r="R275" s="131">
        <f t="shared" si="370"/>
        <v>11.67184722618715</v>
      </c>
      <c r="S275" s="131">
        <f t="shared" si="371"/>
        <v>6.3691163627188185</v>
      </c>
      <c r="T275" s="131">
        <f t="shared" si="372"/>
        <v>25.661350041622246</v>
      </c>
      <c r="U275" s="131">
        <f t="shared" si="373"/>
        <v>24.766159000455016</v>
      </c>
      <c r="V275" s="131">
        <f t="shared" si="374"/>
        <v>1.4335764691807278</v>
      </c>
      <c r="W275" s="131">
        <f t="shared" si="375"/>
        <v>0</v>
      </c>
      <c r="X275" s="131">
        <f t="shared" si="376"/>
        <v>12.202162117037078</v>
      </c>
      <c r="Y275" s="131">
        <f t="shared" si="377"/>
        <v>12.132979336054094</v>
      </c>
      <c r="Z275" s="131">
        <f t="shared" si="378"/>
        <v>4.851751990004229</v>
      </c>
      <c r="AA275" s="131">
        <f t="shared" si="379"/>
        <v>0</v>
      </c>
      <c r="AC275" s="130">
        <v>26</v>
      </c>
      <c r="AD275" s="131">
        <f>'Sta. Meteorologi pnk'!Q168</f>
        <v>2.5</v>
      </c>
      <c r="AE275" s="131">
        <f>'Sta. Meteorologi pnk'!R168</f>
        <v>0</v>
      </c>
      <c r="AF275" s="131">
        <f>'Sta. Meteorologi pnk'!S168</f>
        <v>16.399999999999999</v>
      </c>
      <c r="AG275" s="131">
        <f>'Sta. Meteorologi pnk'!T168</f>
        <v>6.5</v>
      </c>
      <c r="AH275" s="131">
        <f>'Sta. Meteorologi pnk'!U168</f>
        <v>30.6</v>
      </c>
      <c r="AI275" s="131">
        <f>'Sta. Meteorologi pnk'!V168</f>
        <v>31.5</v>
      </c>
      <c r="AJ275" s="131">
        <f>'Sta. Meteorologi pnk'!W168</f>
        <v>1</v>
      </c>
      <c r="AK275" s="131">
        <f>'Sta. Meteorologi pnk'!X168</f>
        <v>0</v>
      </c>
      <c r="AL275" s="131">
        <f>'Sta. Meteorologi pnk'!Y168</f>
        <v>9.8000000000000007</v>
      </c>
      <c r="AM275" s="131">
        <f>'Sta. Meteorologi pnk'!Z168</f>
        <v>8.6999999999999993</v>
      </c>
      <c r="AN275" s="131">
        <f>'Sta. Meteorologi pnk'!AA168</f>
        <v>5.5</v>
      </c>
      <c r="AO275" s="131">
        <f>'Sta. Meteorologi pnk'!AB168</f>
        <v>0</v>
      </c>
      <c r="AQ275" s="130">
        <v>26</v>
      </c>
      <c r="AR275" s="131">
        <f>'Sta. Meteorologi Supadio'!Q33</f>
        <v>1.6</v>
      </c>
      <c r="AS275" s="131">
        <f>'Sta. Meteorologi Supadio'!R33</f>
        <v>0</v>
      </c>
      <c r="AT275" s="131">
        <f>'Sta. Meteorologi Supadio'!S33</f>
        <v>0.5</v>
      </c>
      <c r="AU275" s="131">
        <f>'Sta. Meteorologi Supadio'!T33</f>
        <v>24.8</v>
      </c>
      <c r="AV275" s="131">
        <f>'Sta. Meteorologi Supadio'!U33</f>
        <v>4.5999999999999996</v>
      </c>
      <c r="AW275" s="131">
        <f>'Sta. Meteorologi Supadio'!V33</f>
        <v>0</v>
      </c>
      <c r="AX275" s="131">
        <f>'Sta. Meteorologi Supadio'!W33</f>
        <v>3.4</v>
      </c>
      <c r="AY275" s="131">
        <f>'Sta. Meteorologi Supadio'!X33</f>
        <v>0</v>
      </c>
      <c r="AZ275" s="131">
        <f>'Sta. Meteorologi Supadio'!Y33</f>
        <v>0</v>
      </c>
      <c r="BA275" s="131">
        <f>'Sta. Meteorologi Supadio'!Z33</f>
        <v>5.7</v>
      </c>
      <c r="BB275" s="131">
        <f>'Sta. Meteorologi Supadio'!AA33</f>
        <v>1</v>
      </c>
      <c r="BC275" s="131">
        <f>'Sta. Meteorologi Supadio'!AB33</f>
        <v>0</v>
      </c>
    </row>
    <row r="276" spans="1:55">
      <c r="A276" s="130">
        <v>27</v>
      </c>
      <c r="B276" s="131">
        <f>'Sta. Klimatologi Kalbar'!Q34</f>
        <v>0</v>
      </c>
      <c r="C276" s="131">
        <f>'Sta. Klimatologi Kalbar'!R34</f>
        <v>0</v>
      </c>
      <c r="D276" s="131">
        <f>'Sta. Klimatologi Kalbar'!S34</f>
        <v>0</v>
      </c>
      <c r="E276" s="131">
        <f>'Sta. Klimatologi Kalbar'!T34</f>
        <v>0</v>
      </c>
      <c r="F276" s="131">
        <f>'Sta. Klimatologi Kalbar'!U34</f>
        <v>0</v>
      </c>
      <c r="G276" s="131">
        <f>'Sta. Klimatologi Kalbar'!V34</f>
        <v>0</v>
      </c>
      <c r="H276" s="131">
        <f>'Sta. Klimatologi Kalbar'!W34</f>
        <v>41.2</v>
      </c>
      <c r="I276" s="131">
        <f>'Sta. Klimatologi Kalbar'!X34</f>
        <v>40.9</v>
      </c>
      <c r="J276" s="131">
        <f>'Sta. Klimatologi Kalbar'!Y34</f>
        <v>44.5</v>
      </c>
      <c r="K276" s="131">
        <f>'Sta. Klimatologi Kalbar'!Z34</f>
        <v>9.1999999999999993</v>
      </c>
      <c r="L276" s="131">
        <f>'Sta. Klimatologi Kalbar'!AA34</f>
        <v>21.5</v>
      </c>
      <c r="M276" s="131">
        <f>'Sta. Klimatologi Kalbar'!AB34</f>
        <v>0</v>
      </c>
      <c r="O276" s="130">
        <v>27</v>
      </c>
      <c r="P276" s="131">
        <f t="shared" si="368"/>
        <v>4.9510623145571122</v>
      </c>
      <c r="Q276" s="131">
        <f t="shared" si="369"/>
        <v>0</v>
      </c>
      <c r="R276" s="131">
        <f t="shared" si="370"/>
        <v>0</v>
      </c>
      <c r="S276" s="131">
        <f t="shared" si="371"/>
        <v>16.574743838157318</v>
      </c>
      <c r="T276" s="131">
        <f t="shared" si="372"/>
        <v>0</v>
      </c>
      <c r="U276" s="131">
        <f t="shared" si="373"/>
        <v>0</v>
      </c>
      <c r="V276" s="131">
        <f t="shared" si="374"/>
        <v>33.604435471824289</v>
      </c>
      <c r="W276" s="131">
        <f t="shared" si="375"/>
        <v>23.085761581269733</v>
      </c>
      <c r="X276" s="131">
        <f t="shared" si="376"/>
        <v>69.090034654523109</v>
      </c>
      <c r="Y276" s="131">
        <f t="shared" si="377"/>
        <v>7.462194120171505</v>
      </c>
      <c r="Z276" s="131">
        <f t="shared" si="378"/>
        <v>7.9854998988534796</v>
      </c>
      <c r="AA276" s="131">
        <f t="shared" si="379"/>
        <v>0</v>
      </c>
      <c r="AC276" s="130">
        <v>27</v>
      </c>
      <c r="AD276" s="131">
        <f>'Sta. Meteorologi pnk'!Q169</f>
        <v>5.5</v>
      </c>
      <c r="AE276" s="131">
        <f>'Sta. Meteorologi pnk'!R169</f>
        <v>0</v>
      </c>
      <c r="AF276" s="131">
        <f>'Sta. Meteorologi pnk'!S169</f>
        <v>0</v>
      </c>
      <c r="AG276" s="131">
        <f>'Sta. Meteorologi pnk'!T169</f>
        <v>23.3</v>
      </c>
      <c r="AH276" s="131">
        <f>'Sta. Meteorologi pnk'!U169</f>
        <v>0</v>
      </c>
      <c r="AI276" s="131">
        <f>'Sta. Meteorologi pnk'!V169</f>
        <v>0</v>
      </c>
      <c r="AJ276" s="131">
        <f>'Sta. Meteorologi pnk'!W169</f>
        <v>34</v>
      </c>
      <c r="AK276" s="131">
        <f>'Sta. Meteorologi pnk'!X169</f>
        <v>18</v>
      </c>
      <c r="AL276" s="131">
        <f>'Sta. Meteorologi pnk'!Y169</f>
        <v>83.6</v>
      </c>
      <c r="AM276" s="131">
        <f>'Sta. Meteorologi pnk'!Z169</f>
        <v>7.3</v>
      </c>
      <c r="AN276" s="131">
        <f>'Sta. Meteorologi pnk'!AA169</f>
        <v>4.5999999999999996</v>
      </c>
      <c r="AO276" s="131">
        <f>'Sta. Meteorologi pnk'!AB169</f>
        <v>0</v>
      </c>
      <c r="AQ276" s="130">
        <v>27</v>
      </c>
      <c r="AR276" s="131">
        <f>'Sta. Meteorologi Supadio'!Q34</f>
        <v>14.8</v>
      </c>
      <c r="AS276" s="131">
        <f>'Sta. Meteorologi Supadio'!R34</f>
        <v>0</v>
      </c>
      <c r="AT276" s="131">
        <f>'Sta. Meteorologi Supadio'!S34</f>
        <v>0</v>
      </c>
      <c r="AU276" s="131">
        <f>'Sta. Meteorologi Supadio'!T34</f>
        <v>0.6</v>
      </c>
      <c r="AV276" s="131">
        <f>'Sta. Meteorologi Supadio'!U34</f>
        <v>0</v>
      </c>
      <c r="AW276" s="131">
        <f>'Sta. Meteorologi Supadio'!V34</f>
        <v>0</v>
      </c>
      <c r="AX276" s="131">
        <f>'Sta. Meteorologi Supadio'!W34</f>
        <v>6.1</v>
      </c>
      <c r="AY276" s="131">
        <f>'Sta. Meteorologi Supadio'!X34</f>
        <v>18.8</v>
      </c>
      <c r="AZ276" s="131">
        <f>'Sta. Meteorologi Supadio'!Y34</f>
        <v>0</v>
      </c>
      <c r="BA276" s="131">
        <f>'Sta. Meteorologi Supadio'!Z34</f>
        <v>3.7</v>
      </c>
      <c r="BB276" s="131">
        <f>'Sta. Meteorologi Supadio'!AA34</f>
        <v>0</v>
      </c>
      <c r="BC276" s="131">
        <f>'Sta. Meteorologi Supadio'!AB34</f>
        <v>0</v>
      </c>
    </row>
    <row r="277" spans="1:55">
      <c r="A277" s="130">
        <v>28</v>
      </c>
      <c r="B277" s="131">
        <f>'Sta. Klimatologi Kalbar'!Q35</f>
        <v>0</v>
      </c>
      <c r="C277" s="131">
        <f>'Sta. Klimatologi Kalbar'!R35</f>
        <v>0</v>
      </c>
      <c r="D277" s="131">
        <f>'Sta. Klimatologi Kalbar'!S35</f>
        <v>0</v>
      </c>
      <c r="E277" s="131">
        <f>'Sta. Klimatologi Kalbar'!T35</f>
        <v>8.5</v>
      </c>
      <c r="F277" s="131">
        <f>'Sta. Klimatologi Kalbar'!U35</f>
        <v>0</v>
      </c>
      <c r="G277" s="131">
        <f>'Sta. Klimatologi Kalbar'!V35</f>
        <v>0</v>
      </c>
      <c r="H277" s="131">
        <f>'Sta. Klimatologi Kalbar'!W35</f>
        <v>0</v>
      </c>
      <c r="I277" s="131">
        <f>'Sta. Klimatologi Kalbar'!X35</f>
        <v>35.299999999999997</v>
      </c>
      <c r="J277" s="131">
        <f>'Sta. Klimatologi Kalbar'!Y35</f>
        <v>5</v>
      </c>
      <c r="K277" s="131">
        <f>'Sta. Klimatologi Kalbar'!Z35</f>
        <v>12.8</v>
      </c>
      <c r="L277" s="131">
        <f>'Sta. Klimatologi Kalbar'!AA35</f>
        <v>0</v>
      </c>
      <c r="M277" s="131">
        <f>'Sta. Klimatologi Kalbar'!AB35</f>
        <v>0</v>
      </c>
      <c r="O277" s="130">
        <v>28</v>
      </c>
      <c r="P277" s="131">
        <f t="shared" si="368"/>
        <v>1.531723153618626</v>
      </c>
      <c r="Q277" s="131">
        <f t="shared" si="369"/>
        <v>0</v>
      </c>
      <c r="R277" s="131">
        <f t="shared" si="370"/>
        <v>0</v>
      </c>
      <c r="S277" s="131">
        <f t="shared" si="371"/>
        <v>1.8666891901383997</v>
      </c>
      <c r="T277" s="131">
        <f t="shared" si="372"/>
        <v>10.799146271848016</v>
      </c>
      <c r="U277" s="131">
        <f t="shared" si="373"/>
        <v>0</v>
      </c>
      <c r="V277" s="131">
        <f t="shared" si="374"/>
        <v>0</v>
      </c>
      <c r="W277" s="131">
        <f t="shared" si="375"/>
        <v>34.2188663299548</v>
      </c>
      <c r="X277" s="131">
        <f t="shared" si="376"/>
        <v>1.098052464787294</v>
      </c>
      <c r="Y277" s="131">
        <f t="shared" si="377"/>
        <v>7.0324071563658972</v>
      </c>
      <c r="Z277" s="131">
        <f t="shared" si="378"/>
        <v>0.56763031309010725</v>
      </c>
      <c r="AA277" s="131">
        <f t="shared" si="379"/>
        <v>0</v>
      </c>
      <c r="AC277" s="130">
        <v>28</v>
      </c>
      <c r="AD277" s="131">
        <f>'Sta. Meteorologi pnk'!Q170</f>
        <v>1.3</v>
      </c>
      <c r="AE277" s="131">
        <f>'Sta. Meteorologi pnk'!R170</f>
        <v>0</v>
      </c>
      <c r="AF277" s="131">
        <f>'Sta. Meteorologi pnk'!S170</f>
        <v>0</v>
      </c>
      <c r="AG277" s="131">
        <f>'Sta. Meteorologi pnk'!T170</f>
        <v>0</v>
      </c>
      <c r="AH277" s="131">
        <f>'Sta. Meteorologi pnk'!U170</f>
        <v>15.2</v>
      </c>
      <c r="AI277" s="131">
        <f>'Sta. Meteorologi pnk'!V170</f>
        <v>0</v>
      </c>
      <c r="AJ277" s="131">
        <f>'Sta. Meteorologi pnk'!W170</f>
        <v>0</v>
      </c>
      <c r="AK277" s="131">
        <f>'Sta. Meteorologi pnk'!X170</f>
        <v>31.2</v>
      </c>
      <c r="AL277" s="131">
        <f>'Sta. Meteorologi pnk'!Y170</f>
        <v>0</v>
      </c>
      <c r="AM277" s="131">
        <f>'Sta. Meteorologi pnk'!Z170</f>
        <v>5.6</v>
      </c>
      <c r="AN277" s="131">
        <f>'Sta. Meteorologi pnk'!AA170</f>
        <v>0.8</v>
      </c>
      <c r="AO277" s="131">
        <f>'Sta. Meteorologi pnk'!AB170</f>
        <v>0</v>
      </c>
      <c r="AQ277" s="130">
        <v>28</v>
      </c>
      <c r="AR277" s="131">
        <f>'Sta. Meteorologi Supadio'!Q35</f>
        <v>8.6</v>
      </c>
      <c r="AS277" s="131">
        <f>'Sta. Meteorologi Supadio'!R35</f>
        <v>0</v>
      </c>
      <c r="AT277" s="131">
        <f>'Sta. Meteorologi Supadio'!S35</f>
        <v>0</v>
      </c>
      <c r="AU277" s="131">
        <f>'Sta. Meteorologi Supadio'!T35</f>
        <v>0</v>
      </c>
      <c r="AV277" s="131">
        <f>'Sta. Meteorologi Supadio'!U35</f>
        <v>0.2</v>
      </c>
      <c r="AW277" s="131">
        <f>'Sta. Meteorologi Supadio'!V35</f>
        <v>0</v>
      </c>
      <c r="AX277" s="131">
        <f>'Sta. Meteorologi Supadio'!W35</f>
        <v>0</v>
      </c>
      <c r="AY277" s="131">
        <f>'Sta. Meteorologi Supadio'!X35</f>
        <v>61.1</v>
      </c>
      <c r="AZ277" s="131">
        <f>'Sta. Meteorologi Supadio'!Y35</f>
        <v>0</v>
      </c>
      <c r="BA277" s="131">
        <f>'Sta. Meteorologi Supadio'!Z35</f>
        <v>3.5</v>
      </c>
      <c r="BB277" s="131">
        <f>'Sta. Meteorologi Supadio'!AA35</f>
        <v>0</v>
      </c>
      <c r="BC277" s="131">
        <f>'Sta. Meteorologi Supadio'!AB35</f>
        <v>0</v>
      </c>
    </row>
    <row r="278" spans="1:55">
      <c r="A278" s="130">
        <v>29</v>
      </c>
      <c r="B278" s="131">
        <f>'Sta. Klimatologi Kalbar'!Q36</f>
        <v>0</v>
      </c>
      <c r="C278" s="131">
        <f>'Sta. Klimatologi Kalbar'!R36</f>
        <v>0</v>
      </c>
      <c r="D278" s="131">
        <f>'Sta. Klimatologi Kalbar'!S36</f>
        <v>0</v>
      </c>
      <c r="E278" s="131">
        <f>'Sta. Klimatologi Kalbar'!T36</f>
        <v>0</v>
      </c>
      <c r="F278" s="131">
        <f>'Sta. Klimatologi Kalbar'!U36</f>
        <v>0</v>
      </c>
      <c r="G278" s="131">
        <f>'Sta. Klimatologi Kalbar'!V36</f>
        <v>0</v>
      </c>
      <c r="H278" s="131">
        <f>'Sta. Klimatologi Kalbar'!W36</f>
        <v>3.7</v>
      </c>
      <c r="I278" s="131">
        <f>'Sta. Klimatologi Kalbar'!X36</f>
        <v>23.3</v>
      </c>
      <c r="J278" s="131">
        <f>'Sta. Klimatologi Kalbar'!Y36</f>
        <v>3.1</v>
      </c>
      <c r="K278" s="131">
        <f>'Sta. Klimatologi Kalbar'!Z36</f>
        <v>7.7</v>
      </c>
      <c r="L278" s="131">
        <f>'Sta. Klimatologi Kalbar'!AA36</f>
        <v>1</v>
      </c>
      <c r="M278" s="131">
        <f>'Sta. Klimatologi Kalbar'!AB36</f>
        <v>0</v>
      </c>
      <c r="O278" s="130">
        <v>29</v>
      </c>
      <c r="P278" s="131">
        <f t="shared" si="368"/>
        <v>0</v>
      </c>
      <c r="Q278" s="131">
        <f t="shared" si="369"/>
        <v>0</v>
      </c>
      <c r="R278" s="131">
        <f t="shared" si="370"/>
        <v>0</v>
      </c>
      <c r="S278" s="131">
        <f t="shared" si="371"/>
        <v>0</v>
      </c>
      <c r="T278" s="131">
        <f t="shared" si="372"/>
        <v>0.552642602303276</v>
      </c>
      <c r="U278" s="131">
        <f t="shared" si="373"/>
        <v>24.272259311606508</v>
      </c>
      <c r="V278" s="131">
        <f t="shared" si="374"/>
        <v>1.5220967153052316</v>
      </c>
      <c r="W278" s="131">
        <f t="shared" si="375"/>
        <v>5.1169244859087906</v>
      </c>
      <c r="X278" s="131">
        <f t="shared" si="376"/>
        <v>2.0288123483007703</v>
      </c>
      <c r="Y278" s="131">
        <f t="shared" si="377"/>
        <v>11.935563169646406</v>
      </c>
      <c r="Z278" s="131">
        <f t="shared" si="378"/>
        <v>0.2196104929574588</v>
      </c>
      <c r="AA278" s="131">
        <f t="shared" si="379"/>
        <v>0</v>
      </c>
      <c r="AC278" s="130">
        <v>29</v>
      </c>
      <c r="AD278" s="131">
        <f>'Sta. Meteorologi pnk'!Q171</f>
        <v>0</v>
      </c>
      <c r="AE278" s="131">
        <f>'Sta. Meteorologi pnk'!R171</f>
        <v>0</v>
      </c>
      <c r="AF278" s="131">
        <f>'Sta. Meteorologi pnk'!S171</f>
        <v>0</v>
      </c>
      <c r="AG278" s="131">
        <f>'Sta. Meteorologi pnk'!T171</f>
        <v>0</v>
      </c>
      <c r="AH278" s="131">
        <f>'Sta. Meteorologi pnk'!U171</f>
        <v>0</v>
      </c>
      <c r="AI278" s="131">
        <f>'Sta. Meteorologi pnk'!V171</f>
        <v>33.200000000000003</v>
      </c>
      <c r="AJ278" s="131">
        <f>'Sta. Meteorologi pnk'!W171</f>
        <v>1</v>
      </c>
      <c r="AK278" s="131">
        <f>'Sta. Meteorologi pnk'!X171</f>
        <v>0</v>
      </c>
      <c r="AL278" s="131">
        <f>'Sta. Meteorologi pnk'!Y171</f>
        <v>1.8</v>
      </c>
      <c r="AM278" s="131">
        <f>'Sta. Meteorologi pnk'!Z171</f>
        <v>13.3</v>
      </c>
      <c r="AN278" s="131">
        <f>'Sta. Meteorologi pnk'!AA171</f>
        <v>0</v>
      </c>
      <c r="AO278" s="131">
        <f>'Sta. Meteorologi pnk'!AB171</f>
        <v>0</v>
      </c>
      <c r="AQ278" s="130">
        <v>29</v>
      </c>
      <c r="AR278" s="131">
        <f>'Sta. Meteorologi Supadio'!Q36</f>
        <v>0</v>
      </c>
      <c r="AS278" s="131">
        <f>'Sta. Meteorologi Supadio'!R36</f>
        <v>0</v>
      </c>
      <c r="AT278" s="131">
        <f>'Sta. Meteorologi Supadio'!S36</f>
        <v>0</v>
      </c>
      <c r="AU278" s="131">
        <f>'Sta. Meteorologi Supadio'!T36</f>
        <v>0</v>
      </c>
      <c r="AV278" s="131">
        <f>'Sta. Meteorologi Supadio'!U36</f>
        <v>7.8</v>
      </c>
      <c r="AW278" s="131">
        <f>'Sta. Meteorologi Supadio'!V36</f>
        <v>10.1</v>
      </c>
      <c r="AX278" s="131">
        <f>'Sta. Meteorologi Supadio'!W36</f>
        <v>0</v>
      </c>
      <c r="AY278" s="131">
        <f>'Sta. Meteorologi Supadio'!X36</f>
        <v>0</v>
      </c>
      <c r="AZ278" s="131">
        <f>'Sta. Meteorologi Supadio'!Y36</f>
        <v>1</v>
      </c>
      <c r="BA278" s="131">
        <f>'Sta. Meteorologi Supadio'!Z36</f>
        <v>11.4</v>
      </c>
      <c r="BB278" s="131">
        <f>'Sta. Meteorologi Supadio'!AA36</f>
        <v>0</v>
      </c>
      <c r="BC278" s="131">
        <f>'Sta. Meteorologi Supadio'!AB36</f>
        <v>0</v>
      </c>
    </row>
    <row r="279" spans="1:55">
      <c r="A279" s="130">
        <v>30</v>
      </c>
      <c r="B279" s="131">
        <f>'Sta. Klimatologi Kalbar'!Q37</f>
        <v>0</v>
      </c>
      <c r="C279" s="131">
        <f>'Sta. Klimatologi Kalbar'!R37</f>
        <v>0</v>
      </c>
      <c r="D279" s="131">
        <f>'Sta. Klimatologi Kalbar'!S37</f>
        <v>0</v>
      </c>
      <c r="E279" s="131">
        <f>'Sta. Klimatologi Kalbar'!T37</f>
        <v>0</v>
      </c>
      <c r="F279" s="131">
        <f>'Sta. Klimatologi Kalbar'!U37</f>
        <v>0</v>
      </c>
      <c r="G279" s="131">
        <f>'Sta. Klimatologi Kalbar'!V37</f>
        <v>1.5</v>
      </c>
      <c r="H279" s="131">
        <f>'Sta. Klimatologi Kalbar'!W37</f>
        <v>5.4</v>
      </c>
      <c r="I279" s="131">
        <f>'Sta. Klimatologi Kalbar'!X37</f>
        <v>27.2</v>
      </c>
      <c r="J279" s="131">
        <f>'Sta. Klimatologi Kalbar'!Y37</f>
        <v>0.1</v>
      </c>
      <c r="K279" s="131">
        <f>'Sta. Klimatologi Kalbar'!Z37</f>
        <v>6</v>
      </c>
      <c r="L279" s="131">
        <f>'Sta. Klimatologi Kalbar'!AA37</f>
        <v>1.6</v>
      </c>
      <c r="M279" s="131">
        <f>'Sta. Klimatologi Kalbar'!AB37</f>
        <v>0</v>
      </c>
      <c r="O279" s="130">
        <v>30</v>
      </c>
      <c r="P279" s="131">
        <f t="shared" si="368"/>
        <v>0</v>
      </c>
      <c r="Q279" s="131">
        <f t="shared" si="369"/>
        <v>0</v>
      </c>
      <c r="R279" s="131">
        <f t="shared" si="370"/>
        <v>0</v>
      </c>
      <c r="S279" s="131">
        <f t="shared" si="371"/>
        <v>0</v>
      </c>
      <c r="T279" s="131">
        <f t="shared" si="372"/>
        <v>0</v>
      </c>
      <c r="U279" s="131">
        <f t="shared" si="373"/>
        <v>5.2106481728769563</v>
      </c>
      <c r="V279" s="131">
        <f t="shared" si="374"/>
        <v>2.789390992376017</v>
      </c>
      <c r="W279" s="131">
        <f t="shared" si="375"/>
        <v>16.48638653424965</v>
      </c>
      <c r="X279" s="131">
        <f t="shared" si="376"/>
        <v>0.58959136238585308</v>
      </c>
      <c r="Y279" s="131">
        <f t="shared" si="377"/>
        <v>3.8010455775139715</v>
      </c>
      <c r="Z279" s="131">
        <f t="shared" si="378"/>
        <v>4.9700495503316207</v>
      </c>
      <c r="AA279" s="131">
        <f t="shared" si="379"/>
        <v>0</v>
      </c>
      <c r="AC279" s="130">
        <v>30</v>
      </c>
      <c r="AD279" s="131">
        <f>'Sta. Meteorologi pnk'!Q172</f>
        <v>0</v>
      </c>
      <c r="AE279" s="131">
        <f>'Sta. Meteorologi pnk'!R172</f>
        <v>0</v>
      </c>
      <c r="AF279" s="131">
        <f>'Sta. Meteorologi pnk'!S172</f>
        <v>0</v>
      </c>
      <c r="AG279" s="131">
        <f>'Sta. Meteorologi pnk'!T172</f>
        <v>0</v>
      </c>
      <c r="AH279" s="131">
        <f>'Sta. Meteorologi pnk'!U172</f>
        <v>0</v>
      </c>
      <c r="AI279" s="131">
        <f>'Sta. Meteorologi pnk'!V172</f>
        <v>6.5</v>
      </c>
      <c r="AJ279" s="131">
        <f>'Sta. Meteorologi pnk'!W172</f>
        <v>2.2000000000000002</v>
      </c>
      <c r="AK279" s="131">
        <f>'Sta. Meteorologi pnk'!X172</f>
        <v>12.5</v>
      </c>
      <c r="AL279" s="131">
        <f>'Sta. Meteorologi pnk'!Y172</f>
        <v>0.8</v>
      </c>
      <c r="AM279" s="131">
        <f>'Sta. Meteorologi pnk'!Z172</f>
        <v>3.5</v>
      </c>
      <c r="AN279" s="131">
        <f>'Sta. Meteorologi pnk'!AA172</f>
        <v>6.1</v>
      </c>
      <c r="AO279" s="131">
        <f>'Sta. Meteorologi pnk'!AB172</f>
        <v>0</v>
      </c>
      <c r="AQ279" s="130">
        <v>30</v>
      </c>
      <c r="AR279" s="131">
        <f>'Sta. Meteorologi Supadio'!Q37</f>
        <v>0</v>
      </c>
      <c r="AS279" s="131">
        <f>'Sta. Meteorologi Supadio'!R37</f>
        <v>0</v>
      </c>
      <c r="AT279" s="131">
        <f>'Sta. Meteorologi Supadio'!S37</f>
        <v>0</v>
      </c>
      <c r="AU279" s="131">
        <f>'Sta. Meteorologi Supadio'!T37</f>
        <v>0</v>
      </c>
      <c r="AV279" s="131">
        <f>'Sta. Meteorologi Supadio'!U37</f>
        <v>0</v>
      </c>
      <c r="AW279" s="131">
        <f>'Sta. Meteorologi Supadio'!V37</f>
        <v>3.8</v>
      </c>
      <c r="AX279" s="131">
        <f>'Sta. Meteorologi Supadio'!W37</f>
        <v>0.6</v>
      </c>
      <c r="AY279" s="131">
        <f>'Sta. Meteorologi Supadio'!X37</f>
        <v>23.2</v>
      </c>
      <c r="AZ279" s="131">
        <f>'Sta. Meteorologi Supadio'!Y37</f>
        <v>0</v>
      </c>
      <c r="BA279" s="131">
        <f>'Sta. Meteorologi Supadio'!Z37</f>
        <v>0</v>
      </c>
      <c r="BB279" s="131">
        <f>'Sta. Meteorologi Supadio'!AA37</f>
        <v>4.0999999999999996</v>
      </c>
      <c r="BC279" s="131">
        <f>'Sta. Meteorologi Supadio'!AB37</f>
        <v>0</v>
      </c>
    </row>
    <row r="280" spans="1:55" ht="15.75" thickBot="1">
      <c r="A280" s="133">
        <v>31</v>
      </c>
      <c r="B280" s="131">
        <f>'Sta. Klimatologi Kalbar'!Q38</f>
        <v>0</v>
      </c>
      <c r="C280" s="131">
        <f>'Sta. Klimatologi Kalbar'!R38</f>
        <v>0</v>
      </c>
      <c r="D280" s="131">
        <f>'Sta. Klimatologi Kalbar'!S38</f>
        <v>0</v>
      </c>
      <c r="E280" s="131">
        <f>'Sta. Klimatologi Kalbar'!T38</f>
        <v>0</v>
      </c>
      <c r="F280" s="131">
        <f>'Sta. Klimatologi Kalbar'!U38</f>
        <v>0</v>
      </c>
      <c r="G280" s="131">
        <f>'Sta. Klimatologi Kalbar'!V38</f>
        <v>0</v>
      </c>
      <c r="H280" s="131">
        <f>'Sta. Klimatologi Kalbar'!W38</f>
        <v>0.2</v>
      </c>
      <c r="I280" s="131">
        <f>'Sta. Klimatologi Kalbar'!X38</f>
        <v>33.9</v>
      </c>
      <c r="J280" s="131">
        <f>'Sta. Klimatologi Kalbar'!Y38</f>
        <v>0</v>
      </c>
      <c r="K280" s="131">
        <f>'Sta. Klimatologi Kalbar'!Z38</f>
        <v>0</v>
      </c>
      <c r="L280" s="131">
        <f>'Sta. Klimatologi Kalbar'!AA38</f>
        <v>0</v>
      </c>
      <c r="M280" s="131">
        <f>'Sta. Klimatologi Kalbar'!AB38</f>
        <v>0</v>
      </c>
      <c r="O280" s="133">
        <v>31</v>
      </c>
      <c r="P280" s="131">
        <f t="shared" si="368"/>
        <v>0</v>
      </c>
      <c r="Q280" s="131">
        <f t="shared" si="369"/>
        <v>0</v>
      </c>
      <c r="R280" s="131">
        <f t="shared" si="370"/>
        <v>0</v>
      </c>
      <c r="S280" s="131">
        <f t="shared" si="371"/>
        <v>0</v>
      </c>
      <c r="T280" s="131">
        <f t="shared" si="372"/>
        <v>0</v>
      </c>
      <c r="U280" s="131">
        <f t="shared" si="373"/>
        <v>0</v>
      </c>
      <c r="V280" s="131">
        <f t="shared" si="374"/>
        <v>0.81722644406604217</v>
      </c>
      <c r="W280" s="131">
        <f t="shared" si="375"/>
        <v>44.571715537080536</v>
      </c>
      <c r="X280" s="131">
        <f t="shared" si="376"/>
        <v>0</v>
      </c>
      <c r="Y280" s="131">
        <f t="shared" si="377"/>
        <v>0.56763031309010725</v>
      </c>
      <c r="Z280" s="131">
        <f t="shared" si="378"/>
        <v>0</v>
      </c>
      <c r="AA280" s="131">
        <f t="shared" si="379"/>
        <v>0</v>
      </c>
      <c r="AC280" s="133">
        <v>31</v>
      </c>
      <c r="AD280" s="131">
        <f>'Sta. Meteorologi pnk'!Q173</f>
        <v>0</v>
      </c>
      <c r="AE280" s="131">
        <f>'Sta. Meteorologi pnk'!R173</f>
        <v>0</v>
      </c>
      <c r="AF280" s="131">
        <f>'Sta. Meteorologi pnk'!S173</f>
        <v>0</v>
      </c>
      <c r="AG280" s="131">
        <f>'Sta. Meteorologi pnk'!T173</f>
        <v>0</v>
      </c>
      <c r="AH280" s="131">
        <f>'Sta. Meteorologi pnk'!U173</f>
        <v>0</v>
      </c>
      <c r="AI280" s="131">
        <f>'Sta. Meteorologi pnk'!V173</f>
        <v>0</v>
      </c>
      <c r="AJ280" s="131">
        <f>'Sta. Meteorologi pnk'!W173</f>
        <v>1</v>
      </c>
      <c r="AK280" s="131">
        <f>'Sta. Meteorologi pnk'!X173</f>
        <v>49.2</v>
      </c>
      <c r="AL280" s="131">
        <f>'Sta. Meteorologi pnk'!Y173</f>
        <v>0</v>
      </c>
      <c r="AM280" s="131">
        <f>'Sta. Meteorologi pnk'!Z173</f>
        <v>0.8</v>
      </c>
      <c r="AN280" s="131">
        <f>'Sta. Meteorologi pnk'!AA173</f>
        <v>0</v>
      </c>
      <c r="AO280" s="131">
        <f>'Sta. Meteorologi pnk'!AB173</f>
        <v>0</v>
      </c>
      <c r="AQ280" s="133">
        <v>31</v>
      </c>
      <c r="AR280" s="131">
        <f>'Sta. Meteorologi Supadio'!Q38</f>
        <v>0</v>
      </c>
      <c r="AS280" s="131">
        <f>'Sta. Meteorologi Supadio'!R38</f>
        <v>0</v>
      </c>
      <c r="AT280" s="131">
        <f>'Sta. Meteorologi Supadio'!S38</f>
        <v>0</v>
      </c>
      <c r="AU280" s="131">
        <f>'Sta. Meteorologi Supadio'!T38</f>
        <v>0</v>
      </c>
      <c r="AV280" s="131">
        <f>'Sta. Meteorologi Supadio'!U38</f>
        <v>0</v>
      </c>
      <c r="AW280" s="131">
        <f>'Sta. Meteorologi Supadio'!V38</f>
        <v>0</v>
      </c>
      <c r="AX280" s="131">
        <f>'Sta. Meteorologi Supadio'!W38</f>
        <v>0.9</v>
      </c>
      <c r="AY280" s="131">
        <f>'Sta. Meteorologi Supadio'!X38</f>
        <v>31.3</v>
      </c>
      <c r="AZ280" s="131">
        <f>'Sta. Meteorologi Supadio'!Y38</f>
        <v>0</v>
      </c>
      <c r="BA280" s="131">
        <f>'Sta. Meteorologi Supadio'!Z38</f>
        <v>0</v>
      </c>
      <c r="BB280" s="131">
        <f>'Sta. Meteorologi Supadio'!AA38</f>
        <v>0</v>
      </c>
      <c r="BC280" s="131">
        <f>'Sta. Meteorologi Supadio'!AB38</f>
        <v>0</v>
      </c>
    </row>
    <row r="281" spans="1:55">
      <c r="A281" s="135" t="s">
        <v>28</v>
      </c>
      <c r="B281" s="136">
        <f>SUM(B250:B280)</f>
        <v>102.39999999999999</v>
      </c>
      <c r="C281" s="136">
        <f t="shared" ref="C281:M281" si="380">SUM(C250:C280)</f>
        <v>134.5</v>
      </c>
      <c r="D281" s="136">
        <f t="shared" si="380"/>
        <v>72.7</v>
      </c>
      <c r="E281" s="136">
        <f t="shared" si="380"/>
        <v>328.40000000000003</v>
      </c>
      <c r="F281" s="136">
        <f t="shared" si="380"/>
        <v>206.79999999999998</v>
      </c>
      <c r="G281" s="136">
        <f t="shared" si="380"/>
        <v>351.90000000000003</v>
      </c>
      <c r="H281" s="136">
        <f t="shared" si="380"/>
        <v>159.9</v>
      </c>
      <c r="I281" s="136">
        <f t="shared" si="380"/>
        <v>446.59999999999997</v>
      </c>
      <c r="J281" s="136">
        <f t="shared" si="380"/>
        <v>294.80000000000007</v>
      </c>
      <c r="K281" s="136">
        <f t="shared" si="380"/>
        <v>411.2</v>
      </c>
      <c r="L281" s="136">
        <f t="shared" si="380"/>
        <v>244.40000000000003</v>
      </c>
      <c r="M281" s="136">
        <f t="shared" si="380"/>
        <v>287</v>
      </c>
      <c r="O281" s="135" t="s">
        <v>28</v>
      </c>
      <c r="P281" s="136">
        <f>SUM(P250:P280)</f>
        <v>124.845957595446</v>
      </c>
      <c r="Q281" s="136">
        <f t="shared" ref="Q281:AA281" si="381">SUM(Q250:Q280)</f>
        <v>148.63601783037953</v>
      </c>
      <c r="R281" s="136">
        <f t="shared" si="381"/>
        <v>133.42826962413295</v>
      </c>
      <c r="S281" s="136">
        <f t="shared" si="381"/>
        <v>362.12375926406793</v>
      </c>
      <c r="T281" s="136">
        <f t="shared" si="381"/>
        <v>219.85927761895769</v>
      </c>
      <c r="U281" s="136">
        <f t="shared" si="381"/>
        <v>427.52743802894639</v>
      </c>
      <c r="V281" s="136">
        <f t="shared" si="381"/>
        <v>177.1370707811196</v>
      </c>
      <c r="W281" s="136">
        <f t="shared" si="381"/>
        <v>344.8537285942848</v>
      </c>
      <c r="X281" s="136">
        <f t="shared" si="381"/>
        <v>330.10351075373768</v>
      </c>
      <c r="Y281" s="136">
        <f t="shared" si="381"/>
        <v>376.67463093726496</v>
      </c>
      <c r="Z281" s="136">
        <f t="shared" si="381"/>
        <v>225.814398531466</v>
      </c>
      <c r="AA281" s="136">
        <f t="shared" si="381"/>
        <v>302.92406807500146</v>
      </c>
      <c r="AC281" s="135" t="s">
        <v>28</v>
      </c>
      <c r="AD281" s="136">
        <f>SUM(AD250:AD280)</f>
        <v>130.30000000000001</v>
      </c>
      <c r="AE281" s="136">
        <f t="shared" ref="AE281:AO281" si="382">SUM(AE250:AE280)</f>
        <v>156.4</v>
      </c>
      <c r="AF281" s="136">
        <f t="shared" si="382"/>
        <v>150.29999999999998</v>
      </c>
      <c r="AG281" s="136">
        <f t="shared" si="382"/>
        <v>382.30000000000007</v>
      </c>
      <c r="AH281" s="136">
        <f t="shared" si="382"/>
        <v>228.89999999999998</v>
      </c>
      <c r="AI281" s="136">
        <f t="shared" si="382"/>
        <v>470.19999999999993</v>
      </c>
      <c r="AJ281" s="136">
        <f t="shared" si="382"/>
        <v>179.6</v>
      </c>
      <c r="AK281" s="136">
        <f t="shared" si="382"/>
        <v>318.5</v>
      </c>
      <c r="AL281" s="136">
        <f t="shared" si="382"/>
        <v>355.40000000000009</v>
      </c>
      <c r="AM281" s="136">
        <f t="shared" si="382"/>
        <v>349.40000000000003</v>
      </c>
      <c r="AN281" s="136">
        <f t="shared" si="382"/>
        <v>222.4</v>
      </c>
      <c r="AO281" s="136">
        <f t="shared" si="382"/>
        <v>304.5</v>
      </c>
      <c r="AQ281" s="135" t="s">
        <v>28</v>
      </c>
      <c r="AR281" s="136">
        <f>SUM(AR250:AR280)</f>
        <v>139.80000000000001</v>
      </c>
      <c r="AS281" s="136">
        <f t="shared" ref="AS281:BC281" si="383">SUM(AS250:AS280)</f>
        <v>114.70000000000002</v>
      </c>
      <c r="AT281" s="136">
        <f t="shared" si="383"/>
        <v>152.69999999999999</v>
      </c>
      <c r="AU281" s="136">
        <f t="shared" si="383"/>
        <v>264.60000000000002</v>
      </c>
      <c r="AV281" s="136">
        <f t="shared" si="383"/>
        <v>169.8</v>
      </c>
      <c r="AW281" s="136">
        <f t="shared" si="383"/>
        <v>234.60000000000002</v>
      </c>
      <c r="AX281" s="136">
        <f t="shared" si="383"/>
        <v>205.89999999999998</v>
      </c>
      <c r="AY281" s="136">
        <f t="shared" si="383"/>
        <v>293.40000000000003</v>
      </c>
      <c r="AZ281" s="136">
        <f t="shared" si="383"/>
        <v>186.20000000000002</v>
      </c>
      <c r="BA281" s="136">
        <f t="shared" si="383"/>
        <v>542.80000000000007</v>
      </c>
      <c r="BB281" s="136">
        <f t="shared" si="383"/>
        <v>202.4</v>
      </c>
      <c r="BC281" s="136">
        <f t="shared" si="383"/>
        <v>336.5</v>
      </c>
    </row>
    <row r="282" spans="1:55">
      <c r="A282" s="138" t="s">
        <v>29</v>
      </c>
      <c r="B282" s="139">
        <f>MAX(B250:B280)</f>
        <v>51.5</v>
      </c>
      <c r="C282" s="139">
        <f t="shared" ref="C282:M282" si="384">MAX(C250:C280)</f>
        <v>46.3</v>
      </c>
      <c r="D282" s="139">
        <f t="shared" si="384"/>
        <v>23</v>
      </c>
      <c r="E282" s="139">
        <f t="shared" si="384"/>
        <v>106</v>
      </c>
      <c r="F282" s="139">
        <f t="shared" si="384"/>
        <v>38.700000000000003</v>
      </c>
      <c r="G282" s="139">
        <f t="shared" si="384"/>
        <v>76.3</v>
      </c>
      <c r="H282" s="139">
        <f t="shared" si="384"/>
        <v>46</v>
      </c>
      <c r="I282" s="139">
        <f t="shared" si="384"/>
        <v>104.5</v>
      </c>
      <c r="J282" s="139">
        <f t="shared" si="384"/>
        <v>63</v>
      </c>
      <c r="K282" s="139">
        <f t="shared" si="384"/>
        <v>78.900000000000006</v>
      </c>
      <c r="L282" s="139">
        <f t="shared" si="384"/>
        <v>52.8</v>
      </c>
      <c r="M282" s="139">
        <f t="shared" si="384"/>
        <v>95.3</v>
      </c>
      <c r="O282" s="138" t="s">
        <v>29</v>
      </c>
      <c r="P282" s="139">
        <f>MAX(P250:P280)</f>
        <v>24.059345212569003</v>
      </c>
      <c r="Q282" s="139">
        <f t="shared" ref="Q282:AA282" si="385">MAX(Q250:Q280)</f>
        <v>25.191103512874722</v>
      </c>
      <c r="R282" s="139">
        <f t="shared" si="385"/>
        <v>37.616369287386426</v>
      </c>
      <c r="S282" s="139">
        <f t="shared" si="385"/>
        <v>111.99264804542868</v>
      </c>
      <c r="T282" s="139">
        <f t="shared" si="385"/>
        <v>69.982718459873311</v>
      </c>
      <c r="U282" s="139">
        <f t="shared" si="385"/>
        <v>90.16847036834416</v>
      </c>
      <c r="V282" s="139">
        <f t="shared" si="385"/>
        <v>33.604435471824289</v>
      </c>
      <c r="W282" s="139">
        <f t="shared" si="385"/>
        <v>64.105879526718866</v>
      </c>
      <c r="X282" s="139">
        <f t="shared" si="385"/>
        <v>69.090034654523109</v>
      </c>
      <c r="Y282" s="139">
        <f t="shared" si="385"/>
        <v>76.398564465753253</v>
      </c>
      <c r="Z282" s="139">
        <f t="shared" si="385"/>
        <v>36.719644552352683</v>
      </c>
      <c r="AA282" s="139">
        <f t="shared" si="385"/>
        <v>93.095559998168255</v>
      </c>
      <c r="AB282" s="129">
        <f>MAX(P282:AA282)</f>
        <v>111.99264804542868</v>
      </c>
      <c r="AC282" s="138" t="s">
        <v>29</v>
      </c>
      <c r="AD282" s="139">
        <f>MAX(AD250:AD280)</f>
        <v>29.5</v>
      </c>
      <c r="AE282" s="139">
        <f t="shared" ref="AE282:AO282" si="386">MAX(AE250:AE280)</f>
        <v>32</v>
      </c>
      <c r="AF282" s="139">
        <f t="shared" si="386"/>
        <v>50</v>
      </c>
      <c r="AG282" s="139">
        <f t="shared" si="386"/>
        <v>118.5</v>
      </c>
      <c r="AH282" s="139">
        <f t="shared" si="386"/>
        <v>82</v>
      </c>
      <c r="AI282" s="139">
        <f t="shared" si="386"/>
        <v>106.9</v>
      </c>
      <c r="AJ282" s="139">
        <f t="shared" si="386"/>
        <v>36.9</v>
      </c>
      <c r="AK282" s="139">
        <f t="shared" si="386"/>
        <v>66</v>
      </c>
      <c r="AL282" s="139">
        <f t="shared" si="386"/>
        <v>83.6</v>
      </c>
      <c r="AM282" s="139">
        <f t="shared" si="386"/>
        <v>71.599999999999994</v>
      </c>
      <c r="AN282" s="139">
        <f t="shared" si="386"/>
        <v>33.799999999999997</v>
      </c>
      <c r="AO282" s="139">
        <f t="shared" si="386"/>
        <v>101.3</v>
      </c>
      <c r="AQ282" s="138" t="s">
        <v>29</v>
      </c>
      <c r="AR282" s="139">
        <f>MAX(AR250:AR280)</f>
        <v>32.799999999999997</v>
      </c>
      <c r="AS282" s="139">
        <f t="shared" ref="AS282:BC282" si="387">MAX(AS250:AS280)</f>
        <v>44</v>
      </c>
      <c r="AT282" s="139">
        <f t="shared" si="387"/>
        <v>81.7</v>
      </c>
      <c r="AU282" s="139">
        <f t="shared" si="387"/>
        <v>65.400000000000006</v>
      </c>
      <c r="AV282" s="139">
        <f t="shared" si="387"/>
        <v>46.6</v>
      </c>
      <c r="AW282" s="139">
        <f t="shared" si="387"/>
        <v>29.7</v>
      </c>
      <c r="AX282" s="139">
        <f t="shared" si="387"/>
        <v>64</v>
      </c>
      <c r="AY282" s="139">
        <f t="shared" si="387"/>
        <v>61.1</v>
      </c>
      <c r="AZ282" s="139">
        <f t="shared" si="387"/>
        <v>32.6</v>
      </c>
      <c r="BA282" s="139">
        <f t="shared" si="387"/>
        <v>116.7</v>
      </c>
      <c r="BB282" s="139">
        <f t="shared" si="387"/>
        <v>59.2</v>
      </c>
      <c r="BC282" s="139">
        <f t="shared" si="387"/>
        <v>130.6</v>
      </c>
    </row>
    <row r="283" spans="1:55">
      <c r="A283" s="130" t="s">
        <v>30</v>
      </c>
      <c r="B283" s="131">
        <f>SUM(B250:B264)</f>
        <v>38.599999999999994</v>
      </c>
      <c r="C283" s="131">
        <f t="shared" ref="C283:M283" si="388">SUM(C250:C264)</f>
        <v>108.60000000000001</v>
      </c>
      <c r="D283" s="131">
        <f t="shared" si="388"/>
        <v>62.5</v>
      </c>
      <c r="E283" s="131">
        <f t="shared" si="388"/>
        <v>169.10000000000002</v>
      </c>
      <c r="F283" s="131">
        <f t="shared" si="388"/>
        <v>118.9</v>
      </c>
      <c r="G283" s="131">
        <f t="shared" si="388"/>
        <v>245.8</v>
      </c>
      <c r="H283" s="131">
        <f t="shared" si="388"/>
        <v>85.4</v>
      </c>
      <c r="I283" s="131">
        <f t="shared" si="388"/>
        <v>192.4</v>
      </c>
      <c r="J283" s="131">
        <f t="shared" si="388"/>
        <v>101.99999999999999</v>
      </c>
      <c r="K283" s="131">
        <f t="shared" si="388"/>
        <v>242.8</v>
      </c>
      <c r="L283" s="131">
        <f t="shared" si="388"/>
        <v>171.60000000000002</v>
      </c>
      <c r="M283" s="131">
        <f t="shared" si="388"/>
        <v>174.70000000000002</v>
      </c>
      <c r="O283" s="130" t="s">
        <v>30</v>
      </c>
      <c r="P283" s="131">
        <f>SUM(P250:P264)</f>
        <v>81.800605045269378</v>
      </c>
      <c r="Q283" s="131">
        <f t="shared" ref="Q283:AA283" si="389">SUM(Q250:Q264)</f>
        <v>117.4841091793634</v>
      </c>
      <c r="R283" s="131">
        <f t="shared" si="389"/>
        <v>33.834464842036866</v>
      </c>
      <c r="S283" s="131">
        <f t="shared" si="389"/>
        <v>199.6167036228795</v>
      </c>
      <c r="T283" s="131">
        <f t="shared" si="389"/>
        <v>125.67480969430871</v>
      </c>
      <c r="U283" s="131">
        <f t="shared" si="389"/>
        <v>227.79841179065241</v>
      </c>
      <c r="V283" s="131">
        <f t="shared" si="389"/>
        <v>71.972600499875909</v>
      </c>
      <c r="W283" s="131">
        <f t="shared" si="389"/>
        <v>150.55967558962598</v>
      </c>
      <c r="X283" s="131">
        <f t="shared" si="389"/>
        <v>122.02910011311033</v>
      </c>
      <c r="Y283" s="131">
        <f t="shared" si="389"/>
        <v>247.9528889486794</v>
      </c>
      <c r="Z283" s="131">
        <f t="shared" si="389"/>
        <v>169.30226200938753</v>
      </c>
      <c r="AA283" s="131">
        <f t="shared" si="389"/>
        <v>178.18126649283599</v>
      </c>
      <c r="AC283" s="130" t="s">
        <v>30</v>
      </c>
      <c r="AD283" s="131">
        <f>SUM(AD250:AD264)</f>
        <v>96.399999999999991</v>
      </c>
      <c r="AE283" s="131">
        <f t="shared" ref="AE283:AO283" si="390">SUM(AE250:AE264)</f>
        <v>121.80000000000001</v>
      </c>
      <c r="AF283" s="131">
        <f t="shared" si="390"/>
        <v>21.9</v>
      </c>
      <c r="AG283" s="131">
        <f t="shared" si="390"/>
        <v>211.60000000000002</v>
      </c>
      <c r="AH283" s="131">
        <f t="shared" si="390"/>
        <v>127.19999999999999</v>
      </c>
      <c r="AI283" s="131">
        <f t="shared" si="390"/>
        <v>233.70000000000002</v>
      </c>
      <c r="AJ283" s="131">
        <f t="shared" si="390"/>
        <v>63.600000000000009</v>
      </c>
      <c r="AK283" s="131">
        <f t="shared" si="390"/>
        <v>148.40000000000003</v>
      </c>
      <c r="AL283" s="131">
        <f t="shared" si="390"/>
        <v>129.10000000000002</v>
      </c>
      <c r="AM283" s="131">
        <f t="shared" si="390"/>
        <v>237.79999999999995</v>
      </c>
      <c r="AN283" s="131">
        <f t="shared" si="390"/>
        <v>169.5</v>
      </c>
      <c r="AO283" s="131">
        <f t="shared" si="390"/>
        <v>177.10000000000002</v>
      </c>
      <c r="AQ283" s="130" t="s">
        <v>30</v>
      </c>
      <c r="AR283" s="131">
        <f>SUM(AR250:AR264)</f>
        <v>69.5</v>
      </c>
      <c r="AS283" s="131">
        <f t="shared" ref="AS283:BC283" si="391">SUM(AS250:AS264)</f>
        <v>101.80000000000001</v>
      </c>
      <c r="AT283" s="131">
        <f t="shared" si="391"/>
        <v>64.5</v>
      </c>
      <c r="AU283" s="131">
        <f t="shared" si="391"/>
        <v>174.20000000000005</v>
      </c>
      <c r="AV283" s="131">
        <f t="shared" si="391"/>
        <v>131.4</v>
      </c>
      <c r="AW283" s="131">
        <f t="shared" si="391"/>
        <v>112.89999999999999</v>
      </c>
      <c r="AX283" s="131">
        <f t="shared" si="391"/>
        <v>114.19999999999999</v>
      </c>
      <c r="AY283" s="131">
        <f t="shared" si="391"/>
        <v>42.5</v>
      </c>
      <c r="AZ283" s="131">
        <f t="shared" si="391"/>
        <v>113.30000000000001</v>
      </c>
      <c r="BA283" s="131">
        <f t="shared" si="391"/>
        <v>365.6</v>
      </c>
      <c r="BB283" s="131">
        <f t="shared" si="391"/>
        <v>160.19999999999999</v>
      </c>
      <c r="BC283" s="131">
        <f t="shared" si="391"/>
        <v>199.8</v>
      </c>
    </row>
    <row r="284" spans="1:55">
      <c r="A284" s="140" t="s">
        <v>31</v>
      </c>
      <c r="B284" s="141">
        <f>SUM(B265:B280)</f>
        <v>63.8</v>
      </c>
      <c r="C284" s="141">
        <f t="shared" ref="C284:M284" si="392">SUM(C265:C280)</f>
        <v>25.9</v>
      </c>
      <c r="D284" s="141">
        <f t="shared" si="392"/>
        <v>10.199999999999999</v>
      </c>
      <c r="E284" s="141">
        <f t="shared" si="392"/>
        <v>159.30000000000001</v>
      </c>
      <c r="F284" s="141">
        <f t="shared" si="392"/>
        <v>87.899999999999991</v>
      </c>
      <c r="G284" s="141">
        <f t="shared" si="392"/>
        <v>106.1</v>
      </c>
      <c r="H284" s="141">
        <f t="shared" si="392"/>
        <v>74.500000000000014</v>
      </c>
      <c r="I284" s="141">
        <f t="shared" si="392"/>
        <v>254.20000000000002</v>
      </c>
      <c r="J284" s="141">
        <f t="shared" si="392"/>
        <v>192.79999999999998</v>
      </c>
      <c r="K284" s="141">
        <f t="shared" si="392"/>
        <v>168.4</v>
      </c>
      <c r="L284" s="141">
        <f t="shared" si="392"/>
        <v>72.8</v>
      </c>
      <c r="M284" s="141">
        <f t="shared" si="392"/>
        <v>112.3</v>
      </c>
      <c r="O284" s="140" t="s">
        <v>31</v>
      </c>
      <c r="P284" s="141">
        <f>SUM(P265:P280)</f>
        <v>43.045352550176638</v>
      </c>
      <c r="Q284" s="141">
        <f t="shared" ref="Q284:AA284" si="393">SUM(Q265:Q280)</f>
        <v>31.151908651016122</v>
      </c>
      <c r="R284" s="141">
        <f t="shared" si="393"/>
        <v>99.593804782096086</v>
      </c>
      <c r="S284" s="141">
        <f t="shared" si="393"/>
        <v>162.5070556411884</v>
      </c>
      <c r="T284" s="141">
        <f t="shared" si="393"/>
        <v>94.184467924648942</v>
      </c>
      <c r="U284" s="141">
        <f t="shared" si="393"/>
        <v>199.72902623829401</v>
      </c>
      <c r="V284" s="141">
        <f t="shared" si="393"/>
        <v>105.16447028124369</v>
      </c>
      <c r="W284" s="141">
        <f t="shared" si="393"/>
        <v>194.29405300465876</v>
      </c>
      <c r="X284" s="141">
        <f t="shared" si="393"/>
        <v>208.07441064062735</v>
      </c>
      <c r="Y284" s="141">
        <f t="shared" si="393"/>
        <v>128.72174198858556</v>
      </c>
      <c r="Z284" s="141">
        <f t="shared" si="393"/>
        <v>56.512136522078421</v>
      </c>
      <c r="AA284" s="141">
        <f t="shared" si="393"/>
        <v>124.74280158216548</v>
      </c>
      <c r="AC284" s="140" t="s">
        <v>31</v>
      </c>
      <c r="AD284" s="141">
        <f>SUM(AD265:AD280)</f>
        <v>33.899999999999991</v>
      </c>
      <c r="AE284" s="141">
        <f t="shared" ref="AE284:AO284" si="394">SUM(AE265:AE280)</f>
        <v>34.6</v>
      </c>
      <c r="AF284" s="141">
        <f t="shared" si="394"/>
        <v>128.4</v>
      </c>
      <c r="AG284" s="141">
        <f t="shared" si="394"/>
        <v>170.7</v>
      </c>
      <c r="AH284" s="141">
        <f t="shared" si="394"/>
        <v>101.7</v>
      </c>
      <c r="AI284" s="141">
        <f t="shared" si="394"/>
        <v>236.5</v>
      </c>
      <c r="AJ284" s="141">
        <f t="shared" si="394"/>
        <v>116</v>
      </c>
      <c r="AK284" s="141">
        <f t="shared" si="394"/>
        <v>170.10000000000002</v>
      </c>
      <c r="AL284" s="141">
        <f t="shared" si="394"/>
        <v>226.30000000000004</v>
      </c>
      <c r="AM284" s="141">
        <f t="shared" si="394"/>
        <v>111.59999999999998</v>
      </c>
      <c r="AN284" s="141">
        <f t="shared" si="394"/>
        <v>52.9</v>
      </c>
      <c r="AO284" s="141">
        <f t="shared" si="394"/>
        <v>127.4</v>
      </c>
      <c r="AQ284" s="140" t="s">
        <v>31</v>
      </c>
      <c r="AR284" s="141">
        <f>SUM(AR265:AR280)</f>
        <v>70.3</v>
      </c>
      <c r="AS284" s="141">
        <f t="shared" ref="AS284:BC284" si="395">SUM(AS265:AS280)</f>
        <v>12.9</v>
      </c>
      <c r="AT284" s="141">
        <f t="shared" si="395"/>
        <v>88.2</v>
      </c>
      <c r="AU284" s="141">
        <f t="shared" si="395"/>
        <v>90.399999999999991</v>
      </c>
      <c r="AV284" s="141">
        <f t="shared" si="395"/>
        <v>38.4</v>
      </c>
      <c r="AW284" s="141">
        <f t="shared" si="395"/>
        <v>121.69999999999999</v>
      </c>
      <c r="AX284" s="141">
        <f t="shared" si="395"/>
        <v>91.7</v>
      </c>
      <c r="AY284" s="141">
        <f t="shared" si="395"/>
        <v>250.9</v>
      </c>
      <c r="AZ284" s="141">
        <f t="shared" si="395"/>
        <v>72.899999999999991</v>
      </c>
      <c r="BA284" s="141">
        <f t="shared" si="395"/>
        <v>177.2</v>
      </c>
      <c r="BB284" s="141">
        <f t="shared" si="395"/>
        <v>42.2</v>
      </c>
      <c r="BC284" s="141">
        <f t="shared" si="395"/>
        <v>136.69999999999999</v>
      </c>
    </row>
    <row r="285" spans="1:55" ht="15.75" thickBot="1">
      <c r="A285" s="133" t="s">
        <v>32</v>
      </c>
      <c r="B285" s="134">
        <f>COUNTIF(B252:B282,"&gt;0")</f>
        <v>10</v>
      </c>
      <c r="C285" s="134">
        <f t="shared" ref="C285:M285" si="396">COUNTIF(C252:C282,"&gt;0")</f>
        <v>15</v>
      </c>
      <c r="D285" s="134">
        <f t="shared" si="396"/>
        <v>11</v>
      </c>
      <c r="E285" s="134">
        <f t="shared" si="396"/>
        <v>20</v>
      </c>
      <c r="F285" s="134">
        <f t="shared" si="396"/>
        <v>17</v>
      </c>
      <c r="G285" s="134">
        <f t="shared" si="396"/>
        <v>23</v>
      </c>
      <c r="H285" s="134">
        <f t="shared" si="396"/>
        <v>16</v>
      </c>
      <c r="I285" s="134">
        <f t="shared" si="396"/>
        <v>22</v>
      </c>
      <c r="J285" s="134">
        <f t="shared" si="396"/>
        <v>20</v>
      </c>
      <c r="K285" s="134">
        <f t="shared" si="396"/>
        <v>25</v>
      </c>
      <c r="L285" s="134">
        <f t="shared" si="396"/>
        <v>22</v>
      </c>
      <c r="M285" s="134">
        <f t="shared" si="396"/>
        <v>15</v>
      </c>
      <c r="O285" s="133" t="s">
        <v>32</v>
      </c>
      <c r="P285" s="134">
        <f>COUNTIF(P252:P282,"&gt;0")</f>
        <v>24</v>
      </c>
      <c r="Q285" s="134">
        <f t="shared" ref="Q285:AA285" si="397">COUNTIF(Q252:Q282,"&gt;0")</f>
        <v>19</v>
      </c>
      <c r="R285" s="134">
        <f t="shared" si="397"/>
        <v>19</v>
      </c>
      <c r="S285" s="134">
        <f t="shared" si="397"/>
        <v>25</v>
      </c>
      <c r="T285" s="134">
        <f t="shared" si="397"/>
        <v>23</v>
      </c>
      <c r="U285" s="134">
        <f t="shared" si="397"/>
        <v>26</v>
      </c>
      <c r="V285" s="134">
        <f t="shared" si="397"/>
        <v>20</v>
      </c>
      <c r="W285" s="134">
        <f t="shared" si="397"/>
        <v>26</v>
      </c>
      <c r="X285" s="134">
        <f t="shared" si="397"/>
        <v>28</v>
      </c>
      <c r="Y285" s="134">
        <f t="shared" si="397"/>
        <v>29</v>
      </c>
      <c r="Z285" s="134">
        <f t="shared" si="397"/>
        <v>27</v>
      </c>
      <c r="AA285" s="134">
        <f t="shared" si="397"/>
        <v>20</v>
      </c>
      <c r="AC285" s="133" t="s">
        <v>32</v>
      </c>
      <c r="AD285" s="134">
        <f>COUNTIF(AD252:AD282,"&gt;0")</f>
        <v>19</v>
      </c>
      <c r="AE285" s="134">
        <f t="shared" ref="AE285:AO285" si="398">COUNTIF(AE252:AE282,"&gt;0")</f>
        <v>16</v>
      </c>
      <c r="AF285" s="134">
        <f t="shared" si="398"/>
        <v>17</v>
      </c>
      <c r="AG285" s="134">
        <f t="shared" si="398"/>
        <v>21</v>
      </c>
      <c r="AH285" s="134">
        <f t="shared" si="398"/>
        <v>20</v>
      </c>
      <c r="AI285" s="134">
        <f t="shared" si="398"/>
        <v>25</v>
      </c>
      <c r="AJ285" s="134">
        <f t="shared" si="398"/>
        <v>18</v>
      </c>
      <c r="AK285" s="134">
        <f t="shared" si="398"/>
        <v>22</v>
      </c>
      <c r="AL285" s="134">
        <f t="shared" si="398"/>
        <v>25</v>
      </c>
      <c r="AM285" s="134">
        <f t="shared" si="398"/>
        <v>27</v>
      </c>
      <c r="AN285" s="134">
        <f t="shared" si="398"/>
        <v>26</v>
      </c>
      <c r="AO285" s="134">
        <f t="shared" si="398"/>
        <v>16</v>
      </c>
      <c r="AQ285" s="133" t="s">
        <v>32</v>
      </c>
      <c r="AR285" s="134">
        <f>COUNTIF(AR252:AR282,"&gt;0")</f>
        <v>20</v>
      </c>
      <c r="AS285" s="134">
        <f t="shared" ref="AS285:BC285" si="399">COUNTIF(AS252:AS282,"&gt;0")</f>
        <v>12</v>
      </c>
      <c r="AT285" s="134">
        <f t="shared" si="399"/>
        <v>13</v>
      </c>
      <c r="AU285" s="134">
        <f t="shared" si="399"/>
        <v>23</v>
      </c>
      <c r="AV285" s="134">
        <f t="shared" si="399"/>
        <v>18</v>
      </c>
      <c r="AW285" s="134">
        <f t="shared" si="399"/>
        <v>20</v>
      </c>
      <c r="AX285" s="134">
        <f t="shared" si="399"/>
        <v>16</v>
      </c>
      <c r="AY285" s="134">
        <f t="shared" si="399"/>
        <v>20</v>
      </c>
      <c r="AZ285" s="134">
        <f t="shared" si="399"/>
        <v>19</v>
      </c>
      <c r="BA285" s="134">
        <f t="shared" si="399"/>
        <v>27</v>
      </c>
      <c r="BB285" s="134">
        <f t="shared" si="399"/>
        <v>22</v>
      </c>
      <c r="BC285" s="134">
        <f t="shared" si="399"/>
        <v>17</v>
      </c>
    </row>
    <row r="286" spans="1:55" ht="15.75" thickBot="1"/>
    <row r="287" spans="1:55">
      <c r="A287" s="147" t="s">
        <v>39</v>
      </c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9"/>
      <c r="O287" s="147" t="s">
        <v>39</v>
      </c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9"/>
      <c r="AC287" s="147" t="s">
        <v>39</v>
      </c>
      <c r="AD287" s="148"/>
      <c r="AE287" s="148"/>
      <c r="AF287" s="148"/>
      <c r="AG287" s="148"/>
      <c r="AH287" s="148"/>
      <c r="AI287" s="148"/>
      <c r="AJ287" s="148"/>
      <c r="AK287" s="148"/>
      <c r="AL287" s="148"/>
      <c r="AM287" s="148"/>
      <c r="AN287" s="148"/>
      <c r="AO287" s="149"/>
      <c r="AQ287" s="147" t="s">
        <v>39</v>
      </c>
      <c r="AR287" s="148"/>
      <c r="AS287" s="148"/>
      <c r="AT287" s="148"/>
      <c r="AU287" s="148"/>
      <c r="AV287" s="148"/>
      <c r="AW287" s="148"/>
      <c r="AX287" s="148"/>
      <c r="AY287" s="148"/>
      <c r="AZ287" s="148"/>
      <c r="BA287" s="148"/>
      <c r="BB287" s="148"/>
      <c r="BC287" s="149"/>
    </row>
    <row r="288" spans="1:55">
      <c r="A288" s="144"/>
      <c r="B288" s="145" t="s">
        <v>15</v>
      </c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6"/>
      <c r="O288" s="144"/>
      <c r="P288" s="145" t="s">
        <v>15</v>
      </c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  <c r="AA288" s="146"/>
      <c r="AC288" s="144"/>
      <c r="AD288" s="145" t="s">
        <v>15</v>
      </c>
      <c r="AE288" s="145"/>
      <c r="AF288" s="145"/>
      <c r="AG288" s="145"/>
      <c r="AH288" s="145"/>
      <c r="AI288" s="145"/>
      <c r="AJ288" s="145"/>
      <c r="AK288" s="145"/>
      <c r="AL288" s="145"/>
      <c r="AM288" s="145"/>
      <c r="AN288" s="145"/>
      <c r="AO288" s="146"/>
      <c r="AQ288" s="144"/>
      <c r="AR288" s="145" t="s">
        <v>15</v>
      </c>
      <c r="AS288" s="145"/>
      <c r="AT288" s="145"/>
      <c r="AU288" s="145"/>
      <c r="AV288" s="145"/>
      <c r="AW288" s="145"/>
      <c r="AX288" s="145"/>
      <c r="AY288" s="145"/>
      <c r="AZ288" s="145"/>
      <c r="BA288" s="145"/>
      <c r="BB288" s="145"/>
      <c r="BC288" s="146"/>
    </row>
    <row r="289" spans="1:55">
      <c r="A289" s="144"/>
      <c r="B289" s="131" t="s">
        <v>16</v>
      </c>
      <c r="C289" s="131" t="s">
        <v>17</v>
      </c>
      <c r="D289" s="131" t="s">
        <v>18</v>
      </c>
      <c r="E289" s="131" t="s">
        <v>19</v>
      </c>
      <c r="F289" s="131" t="s">
        <v>20</v>
      </c>
      <c r="G289" s="131" t="s">
        <v>21</v>
      </c>
      <c r="H289" s="131" t="s">
        <v>22</v>
      </c>
      <c r="I289" s="131" t="s">
        <v>23</v>
      </c>
      <c r="J289" s="131" t="s">
        <v>24</v>
      </c>
      <c r="K289" s="131" t="s">
        <v>25</v>
      </c>
      <c r="L289" s="131" t="s">
        <v>26</v>
      </c>
      <c r="M289" s="132" t="s">
        <v>27</v>
      </c>
      <c r="O289" s="144"/>
      <c r="P289" s="131" t="s">
        <v>16</v>
      </c>
      <c r="Q289" s="131" t="s">
        <v>17</v>
      </c>
      <c r="R289" s="131" t="s">
        <v>18</v>
      </c>
      <c r="S289" s="131" t="s">
        <v>19</v>
      </c>
      <c r="T289" s="131" t="s">
        <v>20</v>
      </c>
      <c r="U289" s="131" t="s">
        <v>21</v>
      </c>
      <c r="V289" s="131" t="s">
        <v>22</v>
      </c>
      <c r="W289" s="131" t="s">
        <v>23</v>
      </c>
      <c r="X289" s="131" t="s">
        <v>24</v>
      </c>
      <c r="Y289" s="131" t="s">
        <v>25</v>
      </c>
      <c r="Z289" s="131" t="s">
        <v>26</v>
      </c>
      <c r="AA289" s="132" t="s">
        <v>27</v>
      </c>
      <c r="AC289" s="144"/>
      <c r="AD289" s="131" t="s">
        <v>16</v>
      </c>
      <c r="AE289" s="131" t="s">
        <v>17</v>
      </c>
      <c r="AF289" s="131" t="s">
        <v>18</v>
      </c>
      <c r="AG289" s="131" t="s">
        <v>19</v>
      </c>
      <c r="AH289" s="131" t="s">
        <v>20</v>
      </c>
      <c r="AI289" s="131" t="s">
        <v>21</v>
      </c>
      <c r="AJ289" s="131" t="s">
        <v>22</v>
      </c>
      <c r="AK289" s="131" t="s">
        <v>23</v>
      </c>
      <c r="AL289" s="131" t="s">
        <v>24</v>
      </c>
      <c r="AM289" s="131" t="s">
        <v>25</v>
      </c>
      <c r="AN289" s="131" t="s">
        <v>26</v>
      </c>
      <c r="AO289" s="132" t="s">
        <v>27</v>
      </c>
      <c r="AQ289" s="144"/>
      <c r="AR289" s="131" t="s">
        <v>16</v>
      </c>
      <c r="AS289" s="131" t="s">
        <v>17</v>
      </c>
      <c r="AT289" s="131" t="s">
        <v>18</v>
      </c>
      <c r="AU289" s="131" t="s">
        <v>19</v>
      </c>
      <c r="AV289" s="131" t="s">
        <v>20</v>
      </c>
      <c r="AW289" s="131" t="s">
        <v>21</v>
      </c>
      <c r="AX289" s="131" t="s">
        <v>22</v>
      </c>
      <c r="AY289" s="131" t="s">
        <v>23</v>
      </c>
      <c r="AZ289" s="131" t="s">
        <v>24</v>
      </c>
      <c r="BA289" s="131" t="s">
        <v>25</v>
      </c>
      <c r="BB289" s="131" t="s">
        <v>26</v>
      </c>
      <c r="BC289" s="132" t="s">
        <v>27</v>
      </c>
    </row>
    <row r="290" spans="1:55">
      <c r="A290" s="130">
        <v>1</v>
      </c>
      <c r="B290" s="131">
        <f>'Sta. Klimatologi Kalbar'!Q53</f>
        <v>0</v>
      </c>
      <c r="C290" s="131">
        <f>'Sta. Klimatologi Kalbar'!R53</f>
        <v>11.9</v>
      </c>
      <c r="D290" s="131">
        <f>'Sta. Klimatologi Kalbar'!S53</f>
        <v>5.3</v>
      </c>
      <c r="E290" s="131">
        <f>'Sta. Klimatologi Kalbar'!T53</f>
        <v>4.5</v>
      </c>
      <c r="F290" s="131">
        <f>'Sta. Klimatologi Kalbar'!U53</f>
        <v>0</v>
      </c>
      <c r="G290" s="131">
        <f>'Sta. Klimatologi Kalbar'!V53</f>
        <v>0</v>
      </c>
      <c r="H290" s="131">
        <f>'Sta. Klimatologi Kalbar'!W53</f>
        <v>0.9</v>
      </c>
      <c r="I290" s="131">
        <f>'Sta. Klimatologi Kalbar'!X53</f>
        <v>0</v>
      </c>
      <c r="J290" s="131">
        <f>'Sta. Klimatologi Kalbar'!Y53</f>
        <v>0.1</v>
      </c>
      <c r="K290" s="131">
        <f>'Sta. Klimatologi Kalbar'!Z53</f>
        <v>0</v>
      </c>
      <c r="L290" s="131">
        <f>'Sta. Klimatologi Kalbar'!AA53</f>
        <v>2.9</v>
      </c>
      <c r="M290" s="131">
        <f>'Sta. Klimatologi Kalbar'!AB53</f>
        <v>16.600000000000001</v>
      </c>
      <c r="O290" s="130">
        <v>1</v>
      </c>
      <c r="P290" s="131">
        <f>((B290/($T$1^2))+(AD290/($T$2^2))+(AR290/($T$3^2)))/((1/($T$1^2))+(1/($T$2^2))+(1/($T$3^2)))</f>
        <v>0</v>
      </c>
      <c r="Q290" s="131">
        <f t="shared" ref="Q290:Q320" si="400">((C290/($T$1^2))+(AE290/($T$2^2))+(AS290/($T$3^2)))/((1/($T$1^2))+(1/($T$2^2))+(1/($T$3^2)))</f>
        <v>10.332340171259638</v>
      </c>
      <c r="R290" s="131">
        <f t="shared" ref="R290:R320" si="401">((D290/($T$1^2))+(AF290/($T$2^2))+(AT290/($T$3^2)))/((1/($T$1^2))+(1/($T$2^2))+(1/($T$3^2)))</f>
        <v>3.8591578652889784</v>
      </c>
      <c r="S290" s="131">
        <f t="shared" ref="S290:S320" si="402">((E290/($T$1^2))+(AG290/($T$2^2))+(AU290/($T$3^2)))/((1/($T$1^2))+(1/($T$2^2))+(1/($T$3^2)))</f>
        <v>2.27239841087294</v>
      </c>
      <c r="T290" s="131">
        <f t="shared" ref="T290:T320" si="403">((F290/($T$1^2))+(AH290/($T$2^2))+(AV290/($T$3^2)))/((1/($T$1^2))+(1/($T$2^2))+(1/($T$3^2)))</f>
        <v>7.8758705941252369</v>
      </c>
      <c r="U290" s="131">
        <f t="shared" ref="U290:U320" si="404">((G290/($T$1^2))+(AI290/($T$2^2))+(AW290/($T$3^2)))/((1/($T$1^2))+(1/($T$2^2))+(1/($T$3^2)))</f>
        <v>7.0851615679907182E-3</v>
      </c>
      <c r="V290" s="131">
        <f t="shared" ref="V290:V320" si="405">((H290/($T$1^2))+(AJ290/($T$2^2))+(AX290/($T$3^2)))/((1/($T$1^2))+(1/($T$2^2))+(1/($T$3^2)))</f>
        <v>7.8988783546191428</v>
      </c>
      <c r="W290" s="131">
        <f t="shared" ref="W290:W320" si="406">((I290/($T$1^2))+(AK290/($T$2^2))+(AY290/($T$3^2)))/((1/($T$1^2))+(1/($T$2^2))+(1/($T$3^2)))</f>
        <v>0</v>
      </c>
      <c r="X290" s="131">
        <f t="shared" ref="X290:X320" si="407">((J290/($T$1^2))+(AL290/($T$2^2))+(AZ290/($T$3^2)))/((1/($T$1^2))+(1/($T$2^2))+(1/($T$3^2)))</f>
        <v>27.906800179847256</v>
      </c>
      <c r="Y290" s="131">
        <f t="shared" ref="Y290:Y320" si="408">((K290/($T$1^2))+(AM290/($T$2^2))+(BA290/($T$3^2)))/((1/($T$1^2))+(1/($T$2^2))+(1/($T$3^2)))</f>
        <v>21.41366964910285</v>
      </c>
      <c r="Z290" s="131">
        <f t="shared" ref="Z290:Z320" si="409">((L290/($T$1^2))+(AN290/($T$2^2))+(BB290/($T$3^2)))/((1/($T$1^2))+(1/($T$2^2))+(1/($T$3^2)))</f>
        <v>1.3953914111770622</v>
      </c>
      <c r="AA290" s="131">
        <f t="shared" ref="AA290:AA320" si="410">((M290/($T$1^2))+(AO290/($T$2^2))+(BC290/($T$3^2)))/((1/($T$1^2))+(1/($T$2^2))+(1/($T$3^2)))</f>
        <v>35.268033877861619</v>
      </c>
      <c r="AC290" s="130">
        <v>1</v>
      </c>
      <c r="AD290" s="131">
        <f>'Sta. Meteorologi pnk'!Q188</f>
        <v>0</v>
      </c>
      <c r="AE290" s="131">
        <f>'Sta. Meteorologi pnk'!R188</f>
        <v>10.1</v>
      </c>
      <c r="AF290" s="131">
        <f>'Sta. Meteorologi pnk'!S188</f>
        <v>2.8</v>
      </c>
      <c r="AG290" s="131">
        <f>'Sta. Meteorologi pnk'!T188</f>
        <v>1.7</v>
      </c>
      <c r="AH290" s="131">
        <f>'Sta. Meteorologi pnk'!U188</f>
        <v>11.1</v>
      </c>
      <c r="AI290" s="131">
        <f>'Sta. Meteorologi pnk'!V188</f>
        <v>0</v>
      </c>
      <c r="AJ290" s="131">
        <f>'Sta. Meteorologi pnk'!W188</f>
        <v>6.6</v>
      </c>
      <c r="AK290" s="131">
        <f>'Sta. Meteorologi pnk'!X188</f>
        <v>0</v>
      </c>
      <c r="AL290" s="131">
        <f>'Sta. Meteorologi pnk'!Y188</f>
        <v>39.299999999999997</v>
      </c>
      <c r="AM290" s="131">
        <f>'Sta. Meteorologi pnk'!Z188</f>
        <v>30</v>
      </c>
      <c r="AN290" s="131">
        <f>'Sta. Meteorologi pnk'!AA188</f>
        <v>0.4</v>
      </c>
      <c r="AO290" s="131">
        <f>'Sta. Meteorologi pnk'!AB188</f>
        <v>43</v>
      </c>
      <c r="AQ290" s="130">
        <v>1</v>
      </c>
      <c r="AR290" s="131">
        <f>'Sta. Meteorologi Supadio'!Q53</f>
        <v>0</v>
      </c>
      <c r="AS290" s="131">
        <f>'Sta. Meteorologi Supadio'!R53</f>
        <v>7.8</v>
      </c>
      <c r="AT290" s="131">
        <f>'Sta. Meteorologi Supadio'!S53</f>
        <v>10</v>
      </c>
      <c r="AU290" s="131">
        <f>'Sta. Meteorologi Supadio'!T53</f>
        <v>1.1000000000000001</v>
      </c>
      <c r="AV290" s="131">
        <f>'Sta. Meteorologi Supadio'!U53</f>
        <v>0</v>
      </c>
      <c r="AW290" s="131">
        <f>'Sta. Meteorologi Supadio'!V53</f>
        <v>0.1</v>
      </c>
      <c r="AX290" s="131">
        <f>'Sta. Meteorologi Supadio'!W53</f>
        <v>42.6</v>
      </c>
      <c r="AY290" s="131">
        <f>'Sta. Meteorologi Supadio'!X53</f>
        <v>0</v>
      </c>
      <c r="AZ290" s="131">
        <f>'Sta. Meteorologi Supadio'!Y53</f>
        <v>0</v>
      </c>
      <c r="BA290" s="131">
        <f>'Sta. Meteorologi Supadio'!Z53</f>
        <v>1.8</v>
      </c>
      <c r="BB290" s="131">
        <f>'Sta. Meteorologi Supadio'!AA53</f>
        <v>6.7</v>
      </c>
      <c r="BC290" s="131">
        <f>'Sta. Meteorologi Supadio'!AB53</f>
        <v>15.7</v>
      </c>
    </row>
    <row r="291" spans="1:55">
      <c r="A291" s="130">
        <v>2</v>
      </c>
      <c r="B291" s="131">
        <f>'Sta. Klimatologi Kalbar'!Q54</f>
        <v>0</v>
      </c>
      <c r="C291" s="131">
        <f>'Sta. Klimatologi Kalbar'!R54</f>
        <v>5</v>
      </c>
      <c r="D291" s="131">
        <f>'Sta. Klimatologi Kalbar'!S54</f>
        <v>0.6</v>
      </c>
      <c r="E291" s="131">
        <f>'Sta. Klimatologi Kalbar'!T54</f>
        <v>0</v>
      </c>
      <c r="F291" s="131">
        <f>'Sta. Klimatologi Kalbar'!U54</f>
        <v>0</v>
      </c>
      <c r="G291" s="131">
        <f>'Sta. Klimatologi Kalbar'!V54</f>
        <v>0</v>
      </c>
      <c r="H291" s="131">
        <f>'Sta. Klimatologi Kalbar'!W54</f>
        <v>25.4</v>
      </c>
      <c r="I291" s="131">
        <f>'Sta. Klimatologi Kalbar'!X54</f>
        <v>24</v>
      </c>
      <c r="J291" s="131">
        <f>'Sta. Klimatologi Kalbar'!Y54</f>
        <v>0</v>
      </c>
      <c r="K291" s="131">
        <f>'Sta. Klimatologi Kalbar'!Z54</f>
        <v>0</v>
      </c>
      <c r="L291" s="131">
        <f>'Sta. Klimatologi Kalbar'!AA54</f>
        <v>0</v>
      </c>
      <c r="M291" s="131">
        <f>'Sta. Klimatologi Kalbar'!AB54</f>
        <v>5.5</v>
      </c>
      <c r="O291" s="130">
        <v>2</v>
      </c>
      <c r="P291" s="131">
        <f t="shared" ref="P291:P320" si="411">((B291/($T$1^2))+(AD291/($T$2^2))+(AR291/($T$3^2)))/((1/($T$1^2))+(1/($T$2^2))+(1/($T$3^2)))</f>
        <v>0</v>
      </c>
      <c r="Q291" s="131">
        <f t="shared" si="400"/>
        <v>8.9022540555817748</v>
      </c>
      <c r="R291" s="131">
        <f t="shared" si="401"/>
        <v>0.56457419216004634</v>
      </c>
      <c r="S291" s="131">
        <f t="shared" si="402"/>
        <v>0</v>
      </c>
      <c r="T291" s="131">
        <f t="shared" si="403"/>
        <v>18.022262440610902</v>
      </c>
      <c r="U291" s="131">
        <f t="shared" si="404"/>
        <v>2.2846915754964106</v>
      </c>
      <c r="V291" s="131">
        <f t="shared" si="405"/>
        <v>36.517161154756742</v>
      </c>
      <c r="W291" s="131">
        <f t="shared" si="406"/>
        <v>13.919724597122441</v>
      </c>
      <c r="X291" s="131">
        <f t="shared" si="407"/>
        <v>0</v>
      </c>
      <c r="Y291" s="131">
        <f t="shared" si="408"/>
        <v>0</v>
      </c>
      <c r="Z291" s="131">
        <f t="shared" si="409"/>
        <v>2.8340646271962873E-2</v>
      </c>
      <c r="AA291" s="131">
        <f t="shared" si="410"/>
        <v>7.3642148800324083</v>
      </c>
      <c r="AC291" s="130">
        <v>2</v>
      </c>
      <c r="AD291" s="131">
        <f>'Sta. Meteorologi pnk'!Q189</f>
        <v>0</v>
      </c>
      <c r="AE291" s="131">
        <f>'Sta. Meteorologi pnk'!R189</f>
        <v>10.3</v>
      </c>
      <c r="AF291" s="131">
        <f>'Sta. Meteorologi pnk'!S189</f>
        <v>0.6</v>
      </c>
      <c r="AG291" s="131">
        <f>'Sta. Meteorologi pnk'!T189</f>
        <v>0</v>
      </c>
      <c r="AH291" s="131">
        <f>'Sta. Meteorologi pnk'!U189</f>
        <v>25.4</v>
      </c>
      <c r="AI291" s="131">
        <f>'Sta. Meteorologi pnk'!V189</f>
        <v>3.2</v>
      </c>
      <c r="AJ291" s="131">
        <f>'Sta. Meteorologi pnk'!W189</f>
        <v>39.799999999999997</v>
      </c>
      <c r="AK291" s="131">
        <f>'Sta. Meteorologi pnk'!X189</f>
        <v>12</v>
      </c>
      <c r="AL291" s="131">
        <f>'Sta. Meteorologi pnk'!Y189</f>
        <v>0</v>
      </c>
      <c r="AM291" s="131">
        <f>'Sta. Meteorologi pnk'!Z189</f>
        <v>0</v>
      </c>
      <c r="AN291" s="131">
        <f>'Sta. Meteorologi pnk'!AA189</f>
        <v>0</v>
      </c>
      <c r="AO291" s="131">
        <f>'Sta. Meteorologi pnk'!AB189</f>
        <v>6.3</v>
      </c>
      <c r="AQ291" s="130">
        <v>2</v>
      </c>
      <c r="AR291" s="131">
        <f>'Sta. Meteorologi Supadio'!Q54</f>
        <v>0</v>
      </c>
      <c r="AS291" s="131">
        <f>'Sta. Meteorologi Supadio'!R54</f>
        <v>7</v>
      </c>
      <c r="AT291" s="131">
        <f>'Sta. Meteorologi Supadio'!S54</f>
        <v>0.1</v>
      </c>
      <c r="AU291" s="131">
        <f>'Sta. Meteorologi Supadio'!T54</f>
        <v>0</v>
      </c>
      <c r="AV291" s="131">
        <f>'Sta. Meteorologi Supadio'!U54</f>
        <v>0</v>
      </c>
      <c r="AW291" s="131">
        <f>'Sta. Meteorologi Supadio'!V54</f>
        <v>0.2</v>
      </c>
      <c r="AX291" s="131">
        <f>'Sta. Meteorologi Supadio'!W54</f>
        <v>38.1</v>
      </c>
      <c r="AY291" s="131">
        <f>'Sta. Meteorologi Supadio'!X54</f>
        <v>1.9</v>
      </c>
      <c r="AZ291" s="131">
        <f>'Sta. Meteorologi Supadio'!Y54</f>
        <v>0</v>
      </c>
      <c r="BA291" s="131">
        <f>'Sta. Meteorologi Supadio'!Z54</f>
        <v>0</v>
      </c>
      <c r="BB291" s="131">
        <f>'Sta. Meteorologi Supadio'!AA54</f>
        <v>0.4</v>
      </c>
      <c r="BC291" s="131">
        <f>'Sta. Meteorologi Supadio'!AB54</f>
        <v>23.8</v>
      </c>
    </row>
    <row r="292" spans="1:55">
      <c r="A292" s="130">
        <v>3</v>
      </c>
      <c r="B292" s="131">
        <f>'Sta. Klimatologi Kalbar'!Q55</f>
        <v>0</v>
      </c>
      <c r="C292" s="131">
        <f>'Sta. Klimatologi Kalbar'!R55</f>
        <v>9.6999999999999993</v>
      </c>
      <c r="D292" s="131">
        <f>'Sta. Klimatologi Kalbar'!S55</f>
        <v>0</v>
      </c>
      <c r="E292" s="131">
        <f>'Sta. Klimatologi Kalbar'!T55</f>
        <v>0</v>
      </c>
      <c r="F292" s="131">
        <f>'Sta. Klimatologi Kalbar'!U55</f>
        <v>0</v>
      </c>
      <c r="G292" s="131">
        <f>'Sta. Klimatologi Kalbar'!V55</f>
        <v>10.7</v>
      </c>
      <c r="H292" s="131">
        <f>'Sta. Klimatologi Kalbar'!W55</f>
        <v>0</v>
      </c>
      <c r="I292" s="131">
        <f>'Sta. Klimatologi Kalbar'!X55</f>
        <v>0.9</v>
      </c>
      <c r="J292" s="131">
        <f>'Sta. Klimatologi Kalbar'!Y55</f>
        <v>0</v>
      </c>
      <c r="K292" s="131">
        <f>'Sta. Klimatologi Kalbar'!Z55</f>
        <v>0</v>
      </c>
      <c r="L292" s="131">
        <f>'Sta. Klimatologi Kalbar'!AA55</f>
        <v>2.8</v>
      </c>
      <c r="M292" s="131">
        <f>'Sta. Klimatologi Kalbar'!AB55</f>
        <v>0</v>
      </c>
      <c r="O292" s="130">
        <v>3</v>
      </c>
      <c r="P292" s="131">
        <f t="shared" si="411"/>
        <v>0</v>
      </c>
      <c r="Q292" s="131">
        <f t="shared" si="400"/>
        <v>18.406264925969136</v>
      </c>
      <c r="R292" s="131">
        <f t="shared" si="401"/>
        <v>2.4124288306329555</v>
      </c>
      <c r="S292" s="131">
        <f t="shared" si="402"/>
        <v>0</v>
      </c>
      <c r="T292" s="131">
        <f t="shared" si="403"/>
        <v>0</v>
      </c>
      <c r="U292" s="131">
        <f t="shared" si="404"/>
        <v>10.764788188675478</v>
      </c>
      <c r="V292" s="131">
        <f t="shared" si="405"/>
        <v>7.0953789136263407E-2</v>
      </c>
      <c r="W292" s="131">
        <f t="shared" si="406"/>
        <v>1.9428470054272666</v>
      </c>
      <c r="X292" s="131">
        <f t="shared" si="407"/>
        <v>0</v>
      </c>
      <c r="Y292" s="131">
        <f t="shared" si="408"/>
        <v>0</v>
      </c>
      <c r="Z292" s="131">
        <f t="shared" si="409"/>
        <v>12.929667186940778</v>
      </c>
      <c r="AA292" s="131">
        <f t="shared" si="410"/>
        <v>12.204051731437303</v>
      </c>
      <c r="AC292" s="130">
        <v>3</v>
      </c>
      <c r="AD292" s="131">
        <f>'Sta. Meteorologi pnk'!Q190</f>
        <v>0</v>
      </c>
      <c r="AE292" s="131">
        <f>'Sta. Meteorologi pnk'!R190</f>
        <v>22.2</v>
      </c>
      <c r="AF292" s="131">
        <f>'Sta. Meteorologi pnk'!S190</f>
        <v>3.4</v>
      </c>
      <c r="AG292" s="131">
        <f>'Sta. Meteorologi pnk'!T190</f>
        <v>0</v>
      </c>
      <c r="AH292" s="131">
        <f>'Sta. Meteorologi pnk'!U190</f>
        <v>0</v>
      </c>
      <c r="AI292" s="131">
        <f>'Sta. Meteorologi pnk'!V190</f>
        <v>11.7</v>
      </c>
      <c r="AJ292" s="131">
        <f>'Sta. Meteorologi pnk'!W190</f>
        <v>0.1</v>
      </c>
      <c r="AK292" s="131">
        <f>'Sta. Meteorologi pnk'!X190</f>
        <v>2.2000000000000002</v>
      </c>
      <c r="AL292" s="131">
        <f>'Sta. Meteorologi pnk'!Y190</f>
        <v>0</v>
      </c>
      <c r="AM292" s="131">
        <f>'Sta. Meteorologi pnk'!Z190</f>
        <v>0</v>
      </c>
      <c r="AN292" s="131">
        <f>'Sta. Meteorologi pnk'!AA190</f>
        <v>14.6</v>
      </c>
      <c r="AO292" s="131">
        <f>'Sta. Meteorologi pnk'!AB190</f>
        <v>17.2</v>
      </c>
      <c r="AQ292" s="130">
        <v>3</v>
      </c>
      <c r="AR292" s="131">
        <f>'Sta. Meteorologi Supadio'!Q55</f>
        <v>0</v>
      </c>
      <c r="AS292" s="131">
        <f>'Sta. Meteorologi Supadio'!R55</f>
        <v>7.4</v>
      </c>
      <c r="AT292" s="131">
        <f>'Sta. Meteorologi Supadio'!S55</f>
        <v>0</v>
      </c>
      <c r="AU292" s="131">
        <f>'Sta. Meteorologi Supadio'!T55</f>
        <v>0</v>
      </c>
      <c r="AV292" s="131">
        <f>'Sta. Meteorologi Supadio'!U55</f>
        <v>0</v>
      </c>
      <c r="AW292" s="131">
        <f>'Sta. Meteorologi Supadio'!V55</f>
        <v>1.6</v>
      </c>
      <c r="AX292" s="131">
        <f>'Sta. Meteorologi Supadio'!W55</f>
        <v>0</v>
      </c>
      <c r="AY292" s="131">
        <f>'Sta. Meteorologi Supadio'!X55</f>
        <v>2.6</v>
      </c>
      <c r="AZ292" s="131">
        <f>'Sta. Meteorologi Supadio'!Y55</f>
        <v>0</v>
      </c>
      <c r="BA292" s="131">
        <f>'Sta. Meteorologi Supadio'!Z55</f>
        <v>0</v>
      </c>
      <c r="BB292" s="131">
        <f>'Sta. Meteorologi Supadio'!AA55</f>
        <v>27.6</v>
      </c>
      <c r="BC292" s="131">
        <f>'Sta. Meteorologi Supadio'!AB55</f>
        <v>0</v>
      </c>
    </row>
    <row r="293" spans="1:55">
      <c r="A293" s="130">
        <v>4</v>
      </c>
      <c r="B293" s="131">
        <f>'Sta. Klimatologi Kalbar'!Q56</f>
        <v>0</v>
      </c>
      <c r="C293" s="131">
        <f>'Sta. Klimatologi Kalbar'!R56</f>
        <v>1.7</v>
      </c>
      <c r="D293" s="131">
        <f>'Sta. Klimatologi Kalbar'!S56</f>
        <v>6.6</v>
      </c>
      <c r="E293" s="131">
        <f>'Sta. Klimatologi Kalbar'!T56</f>
        <v>1.8</v>
      </c>
      <c r="F293" s="131">
        <f>'Sta. Klimatologi Kalbar'!U56</f>
        <v>0.4</v>
      </c>
      <c r="G293" s="131">
        <f>'Sta. Klimatologi Kalbar'!V56</f>
        <v>18.5</v>
      </c>
      <c r="H293" s="131">
        <f>'Sta. Klimatologi Kalbar'!W56</f>
        <v>0</v>
      </c>
      <c r="I293" s="131">
        <f>'Sta. Klimatologi Kalbar'!X56</f>
        <v>0</v>
      </c>
      <c r="J293" s="131">
        <f>'Sta. Klimatologi Kalbar'!Y56</f>
        <v>0</v>
      </c>
      <c r="K293" s="131">
        <f>'Sta. Klimatologi Kalbar'!Z56</f>
        <v>0</v>
      </c>
      <c r="L293" s="131">
        <f>'Sta. Klimatologi Kalbar'!AA56</f>
        <v>87.4</v>
      </c>
      <c r="M293" s="131">
        <f>'Sta. Klimatologi Kalbar'!AB56</f>
        <v>7.1</v>
      </c>
      <c r="O293" s="130">
        <v>4</v>
      </c>
      <c r="P293" s="131">
        <f t="shared" si="411"/>
        <v>0</v>
      </c>
      <c r="Q293" s="131">
        <f t="shared" si="400"/>
        <v>0.66403380922801181</v>
      </c>
      <c r="R293" s="131">
        <f t="shared" si="401"/>
        <v>10.382419349664069</v>
      </c>
      <c r="S293" s="131">
        <f t="shared" si="402"/>
        <v>1.6013089557271909</v>
      </c>
      <c r="T293" s="131">
        <f t="shared" si="403"/>
        <v>12.143040555315537</v>
      </c>
      <c r="U293" s="131">
        <f t="shared" si="404"/>
        <v>17.329722259805258</v>
      </c>
      <c r="V293" s="131">
        <f t="shared" si="405"/>
        <v>0</v>
      </c>
      <c r="W293" s="131">
        <f t="shared" si="406"/>
        <v>0</v>
      </c>
      <c r="X293" s="131">
        <f t="shared" si="407"/>
        <v>0</v>
      </c>
      <c r="Y293" s="131">
        <f t="shared" si="408"/>
        <v>2.1286136740879016</v>
      </c>
      <c r="Z293" s="131">
        <f t="shared" si="409"/>
        <v>50.631971251192283</v>
      </c>
      <c r="AA293" s="131">
        <f t="shared" si="410"/>
        <v>11.648878073562752</v>
      </c>
      <c r="AC293" s="130">
        <v>4</v>
      </c>
      <c r="AD293" s="131">
        <f>'Sta. Meteorologi pnk'!Q191</f>
        <v>0</v>
      </c>
      <c r="AE293" s="131">
        <f>'Sta. Meteorologi pnk'!R191</f>
        <v>0.2</v>
      </c>
      <c r="AF293" s="131">
        <f>'Sta. Meteorologi pnk'!S191</f>
        <v>12.5</v>
      </c>
      <c r="AG293" s="131">
        <f>'Sta. Meteorologi pnk'!T191</f>
        <v>1.5</v>
      </c>
      <c r="AH293" s="131">
        <f>'Sta. Meteorologi pnk'!U191</f>
        <v>10.199999999999999</v>
      </c>
      <c r="AI293" s="131">
        <f>'Sta. Meteorologi pnk'!V191</f>
        <v>17.3</v>
      </c>
      <c r="AJ293" s="131">
        <f>'Sta. Meteorologi pnk'!W191</f>
        <v>0</v>
      </c>
      <c r="AK293" s="131">
        <f>'Sta. Meteorologi pnk'!X191</f>
        <v>0</v>
      </c>
      <c r="AL293" s="131">
        <f>'Sta. Meteorologi pnk'!Y191</f>
        <v>0</v>
      </c>
      <c r="AM293" s="131">
        <f>'Sta. Meteorologi pnk'!Z191</f>
        <v>3</v>
      </c>
      <c r="AN293" s="131">
        <f>'Sta. Meteorologi pnk'!AA191</f>
        <v>35.799999999999997</v>
      </c>
      <c r="AO293" s="131">
        <f>'Sta. Meteorologi pnk'!AB191</f>
        <v>7.3</v>
      </c>
      <c r="AQ293" s="130">
        <v>4</v>
      </c>
      <c r="AR293" s="131">
        <f>'Sta. Meteorologi Supadio'!Q56</f>
        <v>0</v>
      </c>
      <c r="AS293" s="131">
        <f>'Sta. Meteorologi Supadio'!R56</f>
        <v>2.1</v>
      </c>
      <c r="AT293" s="131">
        <f>'Sta. Meteorologi Supadio'!S56</f>
        <v>0.9</v>
      </c>
      <c r="AU293" s="131">
        <f>'Sta. Meteorologi Supadio'!T56</f>
        <v>2</v>
      </c>
      <c r="AV293" s="131">
        <f>'Sta. Meteorologi Supadio'!U56</f>
        <v>68</v>
      </c>
      <c r="AW293" s="131">
        <f>'Sta. Meteorologi Supadio'!V56</f>
        <v>14</v>
      </c>
      <c r="AX293" s="131">
        <f>'Sta. Meteorologi Supadio'!W56</f>
        <v>0</v>
      </c>
      <c r="AY293" s="131">
        <f>'Sta. Meteorologi Supadio'!X56</f>
        <v>0</v>
      </c>
      <c r="AZ293" s="131">
        <f>'Sta. Meteorologi Supadio'!Y56</f>
        <v>0</v>
      </c>
      <c r="BA293" s="131">
        <f>'Sta. Meteorologi Supadio'!Z56</f>
        <v>0</v>
      </c>
      <c r="BB293" s="131">
        <f>'Sta. Meteorologi Supadio'!AA56</f>
        <v>85.2</v>
      </c>
      <c r="BC293" s="131">
        <f>'Sta. Meteorologi Supadio'!AB56</f>
        <v>69.3</v>
      </c>
    </row>
    <row r="294" spans="1:55">
      <c r="A294" s="130">
        <v>5</v>
      </c>
      <c r="B294" s="131">
        <f>'Sta. Klimatologi Kalbar'!Q57</f>
        <v>35.200000000000003</v>
      </c>
      <c r="C294" s="131">
        <f>'Sta. Klimatologi Kalbar'!R57</f>
        <v>0</v>
      </c>
      <c r="D294" s="131">
        <f>'Sta. Klimatologi Kalbar'!S57</f>
        <v>14.2</v>
      </c>
      <c r="E294" s="131">
        <f>'Sta. Klimatologi Kalbar'!T57</f>
        <v>0</v>
      </c>
      <c r="F294" s="131">
        <f>'Sta. Klimatologi Kalbar'!U57</f>
        <v>0.5</v>
      </c>
      <c r="G294" s="131">
        <f>'Sta. Klimatologi Kalbar'!V57</f>
        <v>3.8</v>
      </c>
      <c r="H294" s="131">
        <f>'Sta. Klimatologi Kalbar'!W57</f>
        <v>30.9</v>
      </c>
      <c r="I294" s="131">
        <f>'Sta. Klimatologi Kalbar'!X57</f>
        <v>0</v>
      </c>
      <c r="J294" s="131">
        <f>'Sta. Klimatologi Kalbar'!Y57</f>
        <v>0</v>
      </c>
      <c r="K294" s="131">
        <f>'Sta. Klimatologi Kalbar'!Z57</f>
        <v>0</v>
      </c>
      <c r="L294" s="131">
        <f>'Sta. Klimatologi Kalbar'!AA57</f>
        <v>0</v>
      </c>
      <c r="M294" s="131">
        <f>'Sta. Klimatologi Kalbar'!AB57</f>
        <v>24.4</v>
      </c>
      <c r="O294" s="130">
        <v>5</v>
      </c>
      <c r="P294" s="131">
        <f t="shared" si="411"/>
        <v>18.010584054185543</v>
      </c>
      <c r="Q294" s="131">
        <f t="shared" si="400"/>
        <v>0</v>
      </c>
      <c r="R294" s="131">
        <f t="shared" si="401"/>
        <v>7.3678959724092339</v>
      </c>
      <c r="S294" s="131">
        <f t="shared" si="402"/>
        <v>0</v>
      </c>
      <c r="T294" s="131">
        <f t="shared" si="403"/>
        <v>0.1098052464787294</v>
      </c>
      <c r="U294" s="131">
        <f t="shared" si="404"/>
        <v>17.940650828994961</v>
      </c>
      <c r="V294" s="131">
        <f t="shared" si="405"/>
        <v>22.167948764167804</v>
      </c>
      <c r="W294" s="131">
        <f t="shared" si="406"/>
        <v>0</v>
      </c>
      <c r="X294" s="131">
        <f t="shared" si="407"/>
        <v>0</v>
      </c>
      <c r="Y294" s="131">
        <f t="shared" si="408"/>
        <v>0</v>
      </c>
      <c r="Z294" s="131">
        <f t="shared" si="409"/>
        <v>0</v>
      </c>
      <c r="AA294" s="131">
        <f t="shared" si="410"/>
        <v>33.045394521714606</v>
      </c>
      <c r="AC294" s="130">
        <v>5</v>
      </c>
      <c r="AD294" s="131">
        <f>'Sta. Meteorologi pnk'!Q192</f>
        <v>13.6</v>
      </c>
      <c r="AE294" s="131">
        <f>'Sta. Meteorologi pnk'!R192</f>
        <v>0</v>
      </c>
      <c r="AF294" s="131">
        <f>'Sta. Meteorologi pnk'!S192</f>
        <v>5.3</v>
      </c>
      <c r="AG294" s="131">
        <f>'Sta. Meteorologi pnk'!T192</f>
        <v>0</v>
      </c>
      <c r="AH294" s="131">
        <f>'Sta. Meteorologi pnk'!U192</f>
        <v>0</v>
      </c>
      <c r="AI294" s="131">
        <f>'Sta. Meteorologi pnk'!V192</f>
        <v>23.3</v>
      </c>
      <c r="AJ294" s="131">
        <f>'Sta. Meteorologi pnk'!W192</f>
        <v>20.9</v>
      </c>
      <c r="AK294" s="131">
        <f>'Sta. Meteorologi pnk'!X192</f>
        <v>0</v>
      </c>
      <c r="AL294" s="131">
        <f>'Sta. Meteorologi pnk'!Y192</f>
        <v>0</v>
      </c>
      <c r="AM294" s="131">
        <f>'Sta. Meteorologi pnk'!Z192</f>
        <v>0</v>
      </c>
      <c r="AN294" s="131">
        <f>'Sta. Meteorologi pnk'!AA192</f>
        <v>0</v>
      </c>
      <c r="AO294" s="131">
        <f>'Sta. Meteorologi pnk'!AB192</f>
        <v>32.799999999999997</v>
      </c>
      <c r="AQ294" s="130">
        <v>5</v>
      </c>
      <c r="AR294" s="131">
        <f>'Sta. Meteorologi Supadio'!Q57</f>
        <v>8.9</v>
      </c>
      <c r="AS294" s="131">
        <f>'Sta. Meteorologi Supadio'!R57</f>
        <v>0</v>
      </c>
      <c r="AT294" s="131">
        <f>'Sta. Meteorologi Supadio'!S57</f>
        <v>6.9</v>
      </c>
      <c r="AU294" s="131">
        <f>'Sta. Meteorologi Supadio'!T57</f>
        <v>0</v>
      </c>
      <c r="AV294" s="131">
        <f>'Sta. Meteorologi Supadio'!U57</f>
        <v>0</v>
      </c>
      <c r="AW294" s="131">
        <f>'Sta. Meteorologi Supadio'!V57</f>
        <v>8.1</v>
      </c>
      <c r="AX294" s="131">
        <f>'Sta. Meteorologi Supadio'!W57</f>
        <v>7.8</v>
      </c>
      <c r="AY294" s="131">
        <f>'Sta. Meteorologi Supadio'!X57</f>
        <v>0</v>
      </c>
      <c r="AZ294" s="131">
        <f>'Sta. Meteorologi Supadio'!Y57</f>
        <v>0</v>
      </c>
      <c r="BA294" s="131">
        <f>'Sta. Meteorologi Supadio'!Z57</f>
        <v>0</v>
      </c>
      <c r="BB294" s="131">
        <f>'Sta. Meteorologi Supadio'!AA57</f>
        <v>0</v>
      </c>
      <c r="BC294" s="131">
        <f>'Sta. Meteorologi Supadio'!AB57</f>
        <v>62.3</v>
      </c>
    </row>
    <row r="295" spans="1:55">
      <c r="A295" s="130">
        <v>6</v>
      </c>
      <c r="B295" s="131">
        <f>'Sta. Klimatologi Kalbar'!Q58</f>
        <v>0.3</v>
      </c>
      <c r="C295" s="131">
        <f>'Sta. Klimatologi Kalbar'!R58</f>
        <v>0</v>
      </c>
      <c r="D295" s="131">
        <f>'Sta. Klimatologi Kalbar'!S58</f>
        <v>5</v>
      </c>
      <c r="E295" s="131">
        <f>'Sta. Klimatologi Kalbar'!T58</f>
        <v>0</v>
      </c>
      <c r="F295" s="131">
        <f>'Sta. Klimatologi Kalbar'!U58</f>
        <v>12.3</v>
      </c>
      <c r="G295" s="131">
        <f>'Sta. Klimatologi Kalbar'!V58</f>
        <v>0</v>
      </c>
      <c r="H295" s="131">
        <f>'Sta. Klimatologi Kalbar'!W58</f>
        <v>55.3</v>
      </c>
      <c r="I295" s="131">
        <f>'Sta. Klimatologi Kalbar'!X58</f>
        <v>0</v>
      </c>
      <c r="J295" s="131">
        <f>'Sta. Klimatologi Kalbar'!Y58</f>
        <v>3.9</v>
      </c>
      <c r="K295" s="131">
        <f>'Sta. Klimatologi Kalbar'!Z58</f>
        <v>0.1</v>
      </c>
      <c r="L295" s="131">
        <f>'Sta. Klimatologi Kalbar'!AA58</f>
        <v>0.8</v>
      </c>
      <c r="M295" s="131">
        <f>'Sta. Klimatologi Kalbar'!AB58</f>
        <v>0</v>
      </c>
      <c r="O295" s="130">
        <v>6</v>
      </c>
      <c r="P295" s="131">
        <f t="shared" si="411"/>
        <v>0.88837493051229821</v>
      </c>
      <c r="Q295" s="131">
        <f t="shared" si="400"/>
        <v>0</v>
      </c>
      <c r="R295" s="131">
        <f t="shared" si="401"/>
        <v>1.8145733442615621</v>
      </c>
      <c r="S295" s="131">
        <f t="shared" si="402"/>
        <v>0</v>
      </c>
      <c r="T295" s="131">
        <f t="shared" si="403"/>
        <v>2.7012090633767434</v>
      </c>
      <c r="U295" s="131">
        <f t="shared" si="404"/>
        <v>0.92239925877142426</v>
      </c>
      <c r="V295" s="131">
        <f t="shared" si="405"/>
        <v>27.288445348875495</v>
      </c>
      <c r="W295" s="131">
        <f t="shared" si="406"/>
        <v>0</v>
      </c>
      <c r="X295" s="131">
        <f t="shared" si="407"/>
        <v>3.2614158977736292</v>
      </c>
      <c r="Y295" s="131">
        <f t="shared" si="408"/>
        <v>26.654533917229784</v>
      </c>
      <c r="Z295" s="131">
        <f t="shared" si="409"/>
        <v>15.558388140342787</v>
      </c>
      <c r="AA295" s="131">
        <f t="shared" si="410"/>
        <v>0.14170323135981436</v>
      </c>
      <c r="AC295" s="130">
        <v>6</v>
      </c>
      <c r="AD295" s="131">
        <f>'Sta. Meteorologi pnk'!Q193</f>
        <v>0.6</v>
      </c>
      <c r="AE295" s="131">
        <f>'Sta. Meteorologi pnk'!R193</f>
        <v>0</v>
      </c>
      <c r="AF295" s="131">
        <f>'Sta. Meteorologi pnk'!S193</f>
        <v>0.9</v>
      </c>
      <c r="AG295" s="131">
        <f>'Sta. Meteorologi pnk'!T193</f>
        <v>0</v>
      </c>
      <c r="AH295" s="131">
        <f>'Sta. Meteorologi pnk'!U193</f>
        <v>0</v>
      </c>
      <c r="AI295" s="131">
        <f>'Sta. Meteorologi pnk'!V193</f>
        <v>1.3</v>
      </c>
      <c r="AJ295" s="131">
        <f>'Sta. Meteorologi pnk'!W193</f>
        <v>16.8</v>
      </c>
      <c r="AK295" s="131">
        <f>'Sta. Meteorologi pnk'!X193</f>
        <v>0</v>
      </c>
      <c r="AL295" s="131">
        <f>'Sta. Meteorologi pnk'!Y193</f>
        <v>3</v>
      </c>
      <c r="AM295" s="131">
        <f>'Sta. Meteorologi pnk'!Z193</f>
        <v>27.2</v>
      </c>
      <c r="AN295" s="131">
        <f>'Sta. Meteorologi pnk'!AA193</f>
        <v>21.6</v>
      </c>
      <c r="AO295" s="131">
        <f>'Sta. Meteorologi pnk'!AB193</f>
        <v>0</v>
      </c>
      <c r="AQ295" s="130">
        <v>6</v>
      </c>
      <c r="AR295" s="131">
        <f>'Sta. Meteorologi Supadio'!Q58</f>
        <v>5.6</v>
      </c>
      <c r="AS295" s="131">
        <f>'Sta. Meteorologi Supadio'!R58</f>
        <v>0</v>
      </c>
      <c r="AT295" s="131">
        <f>'Sta. Meteorologi Supadio'!S58</f>
        <v>1.1000000000000001</v>
      </c>
      <c r="AU295" s="131">
        <f>'Sta. Meteorologi Supadio'!T58</f>
        <v>0</v>
      </c>
      <c r="AV295" s="131">
        <f>'Sta. Meteorologi Supadio'!U58</f>
        <v>0</v>
      </c>
      <c r="AW295" s="131">
        <f>'Sta. Meteorologi Supadio'!V58</f>
        <v>0</v>
      </c>
      <c r="AX295" s="131">
        <f>'Sta. Meteorologi Supadio'!W58</f>
        <v>45.5</v>
      </c>
      <c r="AY295" s="131">
        <f>'Sta. Meteorologi Supadio'!X58</f>
        <v>0</v>
      </c>
      <c r="AZ295" s="131">
        <f>'Sta. Meteorologi Supadio'!Y58</f>
        <v>3.9</v>
      </c>
      <c r="BA295" s="131">
        <f>'Sta. Meteorologi Supadio'!Z58</f>
        <v>103.5</v>
      </c>
      <c r="BB295" s="131">
        <f>'Sta. Meteorologi Supadio'!AA58</f>
        <v>0.8</v>
      </c>
      <c r="BC295" s="131">
        <f>'Sta. Meteorologi Supadio'!AB58</f>
        <v>2</v>
      </c>
    </row>
    <row r="296" spans="1:55">
      <c r="A296" s="130">
        <v>7</v>
      </c>
      <c r="B296" s="131">
        <f>'Sta. Klimatologi Kalbar'!Q59</f>
        <v>3.5</v>
      </c>
      <c r="C296" s="131">
        <f>'Sta. Klimatologi Kalbar'!R59</f>
        <v>0</v>
      </c>
      <c r="D296" s="131">
        <f>'Sta. Klimatologi Kalbar'!S59</f>
        <v>4.5</v>
      </c>
      <c r="E296" s="131">
        <f>'Sta. Klimatologi Kalbar'!T59</f>
        <v>1.5</v>
      </c>
      <c r="F296" s="131">
        <f>'Sta. Klimatologi Kalbar'!U59</f>
        <v>1</v>
      </c>
      <c r="G296" s="131">
        <f>'Sta. Klimatologi Kalbar'!V59</f>
        <v>0.9</v>
      </c>
      <c r="H296" s="131">
        <f>'Sta. Klimatologi Kalbar'!W59</f>
        <v>26.3</v>
      </c>
      <c r="I296" s="131">
        <f>'Sta. Klimatologi Kalbar'!X59</f>
        <v>0</v>
      </c>
      <c r="J296" s="131">
        <f>'Sta. Klimatologi Kalbar'!Y59</f>
        <v>21.4</v>
      </c>
      <c r="K296" s="131">
        <f>'Sta. Klimatologi Kalbar'!Z59</f>
        <v>0</v>
      </c>
      <c r="L296" s="131">
        <f>'Sta. Klimatologi Kalbar'!AA59</f>
        <v>9</v>
      </c>
      <c r="M296" s="131">
        <f>'Sta. Klimatologi Kalbar'!AB59</f>
        <v>1</v>
      </c>
      <c r="O296" s="130">
        <v>7</v>
      </c>
      <c r="P296" s="131">
        <f t="shared" si="411"/>
        <v>2.2940921050525906</v>
      </c>
      <c r="Q296" s="131">
        <f t="shared" si="400"/>
        <v>0</v>
      </c>
      <c r="R296" s="131">
        <f t="shared" si="401"/>
        <v>2.8330457358514129</v>
      </c>
      <c r="S296" s="131">
        <f t="shared" si="402"/>
        <v>11.027428453661569</v>
      </c>
      <c r="T296" s="131">
        <f t="shared" si="403"/>
        <v>7.3149894065837984</v>
      </c>
      <c r="U296" s="131">
        <f t="shared" si="404"/>
        <v>5.4337529962401545</v>
      </c>
      <c r="V296" s="131">
        <f t="shared" si="405"/>
        <v>17.318742027811854</v>
      </c>
      <c r="W296" s="131">
        <f t="shared" si="406"/>
        <v>9.011131220305451</v>
      </c>
      <c r="X296" s="131">
        <f t="shared" si="407"/>
        <v>10.600342860870201</v>
      </c>
      <c r="Y296" s="131">
        <f t="shared" si="408"/>
        <v>0</v>
      </c>
      <c r="Z296" s="131">
        <f t="shared" si="409"/>
        <v>10.050443034277038</v>
      </c>
      <c r="AA296" s="131">
        <f t="shared" si="410"/>
        <v>5.5827360864779507</v>
      </c>
      <c r="AC296" s="130">
        <v>7</v>
      </c>
      <c r="AD296" s="131">
        <f>'Sta. Meteorologi pnk'!Q194</f>
        <v>2.1</v>
      </c>
      <c r="AE296" s="131">
        <f>'Sta. Meteorologi pnk'!R194</f>
        <v>0</v>
      </c>
      <c r="AF296" s="131">
        <f>'Sta. Meteorologi pnk'!S194</f>
        <v>2.6</v>
      </c>
      <c r="AG296" s="131">
        <f>'Sta. Meteorologi pnk'!T194</f>
        <v>13.3</v>
      </c>
      <c r="AH296" s="131">
        <f>'Sta. Meteorologi pnk'!U194</f>
        <v>10</v>
      </c>
      <c r="AI296" s="131">
        <f>'Sta. Meteorologi pnk'!V194</f>
        <v>7.1</v>
      </c>
      <c r="AJ296" s="131">
        <f>'Sta. Meteorologi pnk'!W194</f>
        <v>15.1</v>
      </c>
      <c r="AK296" s="131">
        <f>'Sta. Meteorologi pnk'!X194</f>
        <v>12.7</v>
      </c>
      <c r="AL296" s="131">
        <f>'Sta. Meteorologi pnk'!Y194</f>
        <v>5.7</v>
      </c>
      <c r="AM296" s="131">
        <f>'Sta. Meteorologi pnk'!Z194</f>
        <v>0</v>
      </c>
      <c r="AN296" s="131">
        <f>'Sta. Meteorologi pnk'!AA194</f>
        <v>10.8</v>
      </c>
      <c r="AO296" s="131">
        <f>'Sta. Meteorologi pnk'!AB194</f>
        <v>6.6</v>
      </c>
      <c r="AQ296" s="130">
        <v>7</v>
      </c>
      <c r="AR296" s="131">
        <f>'Sta. Meteorologi Supadio'!Q59</f>
        <v>0.5</v>
      </c>
      <c r="AS296" s="131">
        <f>'Sta. Meteorologi Supadio'!R59</f>
        <v>0</v>
      </c>
      <c r="AT296" s="131">
        <f>'Sta. Meteorologi Supadio'!S59</f>
        <v>0</v>
      </c>
      <c r="AU296" s="131">
        <f>'Sta. Meteorologi Supadio'!T59</f>
        <v>17.8</v>
      </c>
      <c r="AV296" s="131">
        <f>'Sta. Meteorologi Supadio'!U59</f>
        <v>0</v>
      </c>
      <c r="AW296" s="131">
        <f>'Sta. Meteorologi Supadio'!V59</f>
        <v>2.8</v>
      </c>
      <c r="AX296" s="131">
        <f>'Sta. Meteorologi Supadio'!W59</f>
        <v>11.7</v>
      </c>
      <c r="AY296" s="131">
        <f>'Sta. Meteorologi Supadio'!X59</f>
        <v>0</v>
      </c>
      <c r="AZ296" s="131">
        <f>'Sta. Meteorologi Supadio'!Y59</f>
        <v>26.2</v>
      </c>
      <c r="BA296" s="131">
        <f>'Sta. Meteorologi Supadio'!Z59</f>
        <v>0</v>
      </c>
      <c r="BB296" s="131">
        <f>'Sta. Meteorologi Supadio'!AA59</f>
        <v>5.8</v>
      </c>
      <c r="BC296" s="131">
        <f>'Sta. Meteorologi Supadio'!AB59</f>
        <v>9.6</v>
      </c>
    </row>
    <row r="297" spans="1:55">
      <c r="A297" s="130">
        <v>8</v>
      </c>
      <c r="B297" s="131">
        <f>'Sta. Klimatologi Kalbar'!Q60</f>
        <v>8.8000000000000007</v>
      </c>
      <c r="C297" s="131">
        <f>'Sta. Klimatologi Kalbar'!R60</f>
        <v>0</v>
      </c>
      <c r="D297" s="131">
        <f>'Sta. Klimatologi Kalbar'!S60</f>
        <v>0</v>
      </c>
      <c r="E297" s="131">
        <f>'Sta. Klimatologi Kalbar'!T60</f>
        <v>0.3</v>
      </c>
      <c r="F297" s="131">
        <f>'Sta. Klimatologi Kalbar'!U60</f>
        <v>0</v>
      </c>
      <c r="G297" s="131">
        <f>'Sta. Klimatologi Kalbar'!V60</f>
        <v>0</v>
      </c>
      <c r="H297" s="131">
        <f>'Sta. Klimatologi Kalbar'!W60</f>
        <v>0</v>
      </c>
      <c r="I297" s="131">
        <f>'Sta. Klimatologi Kalbar'!X60</f>
        <v>31.5</v>
      </c>
      <c r="J297" s="131">
        <f>'Sta. Klimatologi Kalbar'!Y60</f>
        <v>0</v>
      </c>
      <c r="K297" s="131">
        <f>'Sta. Klimatologi Kalbar'!Z60</f>
        <v>0</v>
      </c>
      <c r="L297" s="131">
        <f>'Sta. Klimatologi Kalbar'!AA60</f>
        <v>24.1</v>
      </c>
      <c r="M297" s="131">
        <f>'Sta. Klimatologi Kalbar'!AB60</f>
        <v>1.6</v>
      </c>
      <c r="O297" s="130">
        <v>8</v>
      </c>
      <c r="P297" s="131">
        <f t="shared" si="411"/>
        <v>4.0170402674038961</v>
      </c>
      <c r="Q297" s="131">
        <f t="shared" si="400"/>
        <v>0</v>
      </c>
      <c r="R297" s="131">
        <f t="shared" si="401"/>
        <v>0</v>
      </c>
      <c r="S297" s="131">
        <f t="shared" si="402"/>
        <v>2.3768719005284864</v>
      </c>
      <c r="T297" s="131">
        <f t="shared" si="403"/>
        <v>0.57471547465809791</v>
      </c>
      <c r="U297" s="131">
        <f t="shared" si="404"/>
        <v>0.32591743212757301</v>
      </c>
      <c r="V297" s="131">
        <f t="shared" si="405"/>
        <v>0.35476894568131701</v>
      </c>
      <c r="W297" s="131">
        <f t="shared" si="406"/>
        <v>10.323512406700594</v>
      </c>
      <c r="X297" s="131">
        <f t="shared" si="407"/>
        <v>0.14190757827252681</v>
      </c>
      <c r="Y297" s="131">
        <f t="shared" si="408"/>
        <v>0</v>
      </c>
      <c r="Z297" s="131">
        <f t="shared" si="409"/>
        <v>15.637593597576874</v>
      </c>
      <c r="AA297" s="131">
        <f t="shared" si="410"/>
        <v>2.5506377315870306</v>
      </c>
      <c r="AC297" s="130">
        <v>8</v>
      </c>
      <c r="AD297" s="131">
        <f>'Sta. Meteorologi pnk'!Q195</f>
        <v>1.4</v>
      </c>
      <c r="AE297" s="131">
        <f>'Sta. Meteorologi pnk'!R195</f>
        <v>0</v>
      </c>
      <c r="AF297" s="131">
        <f>'Sta. Meteorologi pnk'!S195</f>
        <v>0</v>
      </c>
      <c r="AG297" s="131">
        <f>'Sta. Meteorologi pnk'!T195</f>
        <v>1.2</v>
      </c>
      <c r="AH297" s="131">
        <f>'Sta. Meteorologi pnk'!U195</f>
        <v>0.8</v>
      </c>
      <c r="AI297" s="131">
        <f>'Sta. Meteorologi pnk'!V195</f>
        <v>0</v>
      </c>
      <c r="AJ297" s="131">
        <f>'Sta. Meteorologi pnk'!W195</f>
        <v>0.5</v>
      </c>
      <c r="AK297" s="131">
        <f>'Sta. Meteorologi pnk'!X195</f>
        <v>4.8</v>
      </c>
      <c r="AL297" s="131">
        <f>'Sta. Meteorologi pnk'!Y195</f>
        <v>0.2</v>
      </c>
      <c r="AM297" s="131">
        <f>'Sta. Meteorologi pnk'!Z195</f>
        <v>0</v>
      </c>
      <c r="AN297" s="131">
        <f>'Sta. Meteorologi pnk'!AA195</f>
        <v>14.5</v>
      </c>
      <c r="AO297" s="131">
        <f>'Sta. Meteorologi pnk'!AB195</f>
        <v>2.8</v>
      </c>
      <c r="AQ297" s="130">
        <v>8</v>
      </c>
      <c r="AR297" s="131">
        <f>'Sta. Meteorologi Supadio'!Q60</f>
        <v>15.4</v>
      </c>
      <c r="AS297" s="131">
        <f>'Sta. Meteorologi Supadio'!R60</f>
        <v>0</v>
      </c>
      <c r="AT297" s="131">
        <f>'Sta. Meteorologi Supadio'!S60</f>
        <v>0</v>
      </c>
      <c r="AU297" s="131">
        <f>'Sta. Meteorologi Supadio'!T60</f>
        <v>20.6</v>
      </c>
      <c r="AV297" s="131">
        <f>'Sta. Meteorologi Supadio'!U60</f>
        <v>0.1</v>
      </c>
      <c r="AW297" s="131">
        <f>'Sta. Meteorologi Supadio'!V60</f>
        <v>4.5999999999999996</v>
      </c>
      <c r="AX297" s="131">
        <f>'Sta. Meteorologi Supadio'!W60</f>
        <v>0</v>
      </c>
      <c r="AY297" s="131">
        <f>'Sta. Meteorologi Supadio'!X60</f>
        <v>0</v>
      </c>
      <c r="AZ297" s="131">
        <f>'Sta. Meteorologi Supadio'!Y60</f>
        <v>0</v>
      </c>
      <c r="BA297" s="131">
        <f>'Sta. Meteorologi Supadio'!Z60</f>
        <v>0</v>
      </c>
      <c r="BB297" s="131">
        <f>'Sta. Meteorologi Supadio'!AA60</f>
        <v>0.8</v>
      </c>
      <c r="BC297" s="131">
        <f>'Sta. Meteorologi Supadio'!AB60</f>
        <v>3</v>
      </c>
    </row>
    <row r="298" spans="1:55">
      <c r="A298" s="130">
        <v>9</v>
      </c>
      <c r="B298" s="131">
        <f>'Sta. Klimatologi Kalbar'!Q61</f>
        <v>16.5</v>
      </c>
      <c r="C298" s="131">
        <f>'Sta. Klimatologi Kalbar'!R61</f>
        <v>0</v>
      </c>
      <c r="D298" s="131">
        <f>'Sta. Klimatologi Kalbar'!S61</f>
        <v>0</v>
      </c>
      <c r="E298" s="131">
        <f>'Sta. Klimatologi Kalbar'!T61</f>
        <v>0</v>
      </c>
      <c r="F298" s="131">
        <f>'Sta. Klimatologi Kalbar'!U61</f>
        <v>16.5</v>
      </c>
      <c r="G298" s="131">
        <f>'Sta. Klimatologi Kalbar'!V61</f>
        <v>107.3</v>
      </c>
      <c r="H298" s="131">
        <f>'Sta. Klimatologi Kalbar'!W61</f>
        <v>33.200000000000003</v>
      </c>
      <c r="I298" s="131">
        <f>'Sta. Klimatologi Kalbar'!X61</f>
        <v>0</v>
      </c>
      <c r="J298" s="131">
        <f>'Sta. Klimatologi Kalbar'!Y61</f>
        <v>0</v>
      </c>
      <c r="K298" s="131">
        <f>'Sta. Klimatologi Kalbar'!Z61</f>
        <v>8.5</v>
      </c>
      <c r="L298" s="131">
        <f>'Sta. Klimatologi Kalbar'!AA61</f>
        <v>4.5</v>
      </c>
      <c r="M298" s="131">
        <f>'Sta. Klimatologi Kalbar'!AB61</f>
        <v>0</v>
      </c>
      <c r="O298" s="130">
        <v>9</v>
      </c>
      <c r="P298" s="131">
        <f t="shared" si="411"/>
        <v>5.1697731309217456</v>
      </c>
      <c r="Q298" s="131">
        <f t="shared" si="400"/>
        <v>0</v>
      </c>
      <c r="R298" s="131">
        <f t="shared" si="401"/>
        <v>1.773844728406585</v>
      </c>
      <c r="S298" s="131">
        <f t="shared" si="402"/>
        <v>0</v>
      </c>
      <c r="T298" s="131">
        <f t="shared" si="403"/>
        <v>33.424164571028697</v>
      </c>
      <c r="U298" s="131">
        <f t="shared" si="404"/>
        <v>73.823266636625164</v>
      </c>
      <c r="V298" s="131">
        <f t="shared" si="405"/>
        <v>7.2910683661876323</v>
      </c>
      <c r="W298" s="131">
        <f t="shared" si="406"/>
        <v>0</v>
      </c>
      <c r="X298" s="131">
        <f t="shared" si="407"/>
        <v>0</v>
      </c>
      <c r="Y298" s="131">
        <f t="shared" si="408"/>
        <v>3.3070204575676394</v>
      </c>
      <c r="Z298" s="131">
        <f t="shared" si="409"/>
        <v>8.7859097078962467</v>
      </c>
      <c r="AA298" s="131">
        <f t="shared" si="410"/>
        <v>0</v>
      </c>
      <c r="AC298" s="130">
        <v>9</v>
      </c>
      <c r="AD298" s="131">
        <f>'Sta. Meteorologi pnk'!Q196</f>
        <v>1.6</v>
      </c>
      <c r="AE298" s="131">
        <f>'Sta. Meteorologi pnk'!R196</f>
        <v>0</v>
      </c>
      <c r="AF298" s="131">
        <f>'Sta. Meteorologi pnk'!S196</f>
        <v>2.5</v>
      </c>
      <c r="AG298" s="131">
        <f>'Sta. Meteorologi pnk'!T196</f>
        <v>0</v>
      </c>
      <c r="AH298" s="131">
        <f>'Sta. Meteorologi pnk'!U196</f>
        <v>42</v>
      </c>
      <c r="AI298" s="131">
        <f>'Sta. Meteorologi pnk'!V196</f>
        <v>59.4</v>
      </c>
      <c r="AJ298" s="131">
        <f>'Sta. Meteorologi pnk'!W196</f>
        <v>0</v>
      </c>
      <c r="AK298" s="131">
        <f>'Sta. Meteorologi pnk'!X196</f>
        <v>0</v>
      </c>
      <c r="AL298" s="131">
        <f>'Sta. Meteorologi pnk'!Y196</f>
        <v>0</v>
      </c>
      <c r="AM298" s="131">
        <f>'Sta. Meteorologi pnk'!Z196</f>
        <v>2</v>
      </c>
      <c r="AN298" s="131">
        <f>'Sta. Meteorologi pnk'!AA196</f>
        <v>3.9</v>
      </c>
      <c r="AO298" s="131">
        <f>'Sta. Meteorologi pnk'!AB196</f>
        <v>0</v>
      </c>
      <c r="AQ298" s="130">
        <v>9</v>
      </c>
      <c r="AR298" s="131">
        <f>'Sta. Meteorologi Supadio'!Q61</f>
        <v>5.8</v>
      </c>
      <c r="AS298" s="131">
        <f>'Sta. Meteorologi Supadio'!R61</f>
        <v>0</v>
      </c>
      <c r="AT298" s="131">
        <f>'Sta. Meteorologi Supadio'!S61</f>
        <v>0</v>
      </c>
      <c r="AU298" s="131">
        <f>'Sta. Meteorologi Supadio'!T61</f>
        <v>0</v>
      </c>
      <c r="AV298" s="131">
        <f>'Sta. Meteorologi Supadio'!U61</f>
        <v>0</v>
      </c>
      <c r="AW298" s="131">
        <f>'Sta. Meteorologi Supadio'!V61</f>
        <v>114.5</v>
      </c>
      <c r="AX298" s="131">
        <f>'Sta. Meteorologi Supadio'!W61</f>
        <v>0</v>
      </c>
      <c r="AY298" s="131">
        <f>'Sta. Meteorologi Supadio'!X61</f>
        <v>0</v>
      </c>
      <c r="AZ298" s="131">
        <f>'Sta. Meteorologi Supadio'!Y61</f>
        <v>0</v>
      </c>
      <c r="BA298" s="131">
        <f>'Sta. Meteorologi Supadio'!Z61</f>
        <v>0.3</v>
      </c>
      <c r="BB298" s="131">
        <f>'Sta. Meteorologi Supadio'!AA61</f>
        <v>71</v>
      </c>
      <c r="BC298" s="131">
        <f>'Sta. Meteorologi Supadio'!AB61</f>
        <v>0</v>
      </c>
    </row>
    <row r="299" spans="1:55">
      <c r="A299" s="130">
        <v>10</v>
      </c>
      <c r="B299" s="131">
        <f>'Sta. Klimatologi Kalbar'!Q62</f>
        <v>1.4</v>
      </c>
      <c r="C299" s="131">
        <f>'Sta. Klimatologi Kalbar'!R62</f>
        <v>0</v>
      </c>
      <c r="D299" s="131">
        <f>'Sta. Klimatologi Kalbar'!S62</f>
        <v>1</v>
      </c>
      <c r="E299" s="131">
        <f>'Sta. Klimatologi Kalbar'!T62</f>
        <v>0</v>
      </c>
      <c r="F299" s="131">
        <f>'Sta. Klimatologi Kalbar'!U62</f>
        <v>2.8</v>
      </c>
      <c r="G299" s="131">
        <f>'Sta. Klimatologi Kalbar'!V62</f>
        <v>0</v>
      </c>
      <c r="H299" s="131">
        <f>'Sta. Klimatologi Kalbar'!W62</f>
        <v>58.5</v>
      </c>
      <c r="I299" s="131">
        <f>'Sta. Klimatologi Kalbar'!X62</f>
        <v>0</v>
      </c>
      <c r="J299" s="131">
        <f>'Sta. Klimatologi Kalbar'!Y62</f>
        <v>0</v>
      </c>
      <c r="K299" s="131">
        <f>'Sta. Klimatologi Kalbar'!Z62</f>
        <v>10.5</v>
      </c>
      <c r="L299" s="131">
        <f>'Sta. Klimatologi Kalbar'!AA62</f>
        <v>29.5</v>
      </c>
      <c r="M299" s="131">
        <f>'Sta. Klimatologi Kalbar'!AB62</f>
        <v>78.2</v>
      </c>
      <c r="O299" s="130">
        <v>10</v>
      </c>
      <c r="P299" s="131">
        <f t="shared" si="411"/>
        <v>1.4991922619518701</v>
      </c>
      <c r="Q299" s="131">
        <f t="shared" si="400"/>
        <v>0</v>
      </c>
      <c r="R299" s="131">
        <f t="shared" si="401"/>
        <v>0.57437943863877572</v>
      </c>
      <c r="S299" s="131">
        <f t="shared" si="402"/>
        <v>0.21286136740879016</v>
      </c>
      <c r="T299" s="131">
        <f t="shared" si="403"/>
        <v>6.7878890351357999</v>
      </c>
      <c r="U299" s="131">
        <f t="shared" si="404"/>
        <v>0</v>
      </c>
      <c r="V299" s="131">
        <f t="shared" si="405"/>
        <v>38.161844480842753</v>
      </c>
      <c r="W299" s="131">
        <f t="shared" si="406"/>
        <v>0</v>
      </c>
      <c r="X299" s="131">
        <f t="shared" si="407"/>
        <v>0</v>
      </c>
      <c r="Y299" s="131">
        <f t="shared" si="408"/>
        <v>14.43870159798529</v>
      </c>
      <c r="Z299" s="131">
        <f t="shared" si="409"/>
        <v>22.471452744176261</v>
      </c>
      <c r="AA299" s="131">
        <f t="shared" si="410"/>
        <v>41.868150871637617</v>
      </c>
      <c r="AC299" s="130">
        <v>10</v>
      </c>
      <c r="AD299" s="131">
        <f>'Sta. Meteorologi pnk'!Q197</f>
        <v>1.4</v>
      </c>
      <c r="AE299" s="131">
        <f>'Sta. Meteorologi pnk'!R197</f>
        <v>0</v>
      </c>
      <c r="AF299" s="131">
        <f>'Sta. Meteorologi pnk'!S197</f>
        <v>0.5</v>
      </c>
      <c r="AG299" s="131">
        <f>'Sta. Meteorologi pnk'!T197</f>
        <v>0.3</v>
      </c>
      <c r="AH299" s="131">
        <f>'Sta. Meteorologi pnk'!U197</f>
        <v>8.6999999999999993</v>
      </c>
      <c r="AI299" s="131">
        <f>'Sta. Meteorologi pnk'!V197</f>
        <v>0</v>
      </c>
      <c r="AJ299" s="131">
        <f>'Sta. Meteorologi pnk'!W197</f>
        <v>27.1</v>
      </c>
      <c r="AK299" s="131">
        <f>'Sta. Meteorologi pnk'!X197</f>
        <v>0</v>
      </c>
      <c r="AL299" s="131">
        <f>'Sta. Meteorologi pnk'!Y197</f>
        <v>0</v>
      </c>
      <c r="AM299" s="131">
        <f>'Sta. Meteorologi pnk'!Z197</f>
        <v>16.8</v>
      </c>
      <c r="AN299" s="131">
        <f>'Sta. Meteorologi pnk'!AA197</f>
        <v>22.5</v>
      </c>
      <c r="AO299" s="131">
        <f>'Sta. Meteorologi pnk'!AB197</f>
        <v>30.5</v>
      </c>
      <c r="AQ299" s="130">
        <v>10</v>
      </c>
      <c r="AR299" s="131">
        <f>'Sta. Meteorologi Supadio'!Q62</f>
        <v>2.8</v>
      </c>
      <c r="AS299" s="131">
        <f>'Sta. Meteorologi Supadio'!R62</f>
        <v>0</v>
      </c>
      <c r="AT299" s="131">
        <f>'Sta. Meteorologi Supadio'!S62</f>
        <v>0</v>
      </c>
      <c r="AU299" s="131">
        <f>'Sta. Meteorologi Supadio'!T62</f>
        <v>0</v>
      </c>
      <c r="AV299" s="131">
        <f>'Sta. Meteorologi Supadio'!U62</f>
        <v>0</v>
      </c>
      <c r="AW299" s="131">
        <f>'Sta. Meteorologi Supadio'!V62</f>
        <v>0</v>
      </c>
      <c r="AX299" s="131">
        <f>'Sta. Meteorologi Supadio'!W62</f>
        <v>85.9</v>
      </c>
      <c r="AY299" s="131">
        <f>'Sta. Meteorologi Supadio'!X62</f>
        <v>0</v>
      </c>
      <c r="AZ299" s="131">
        <f>'Sta. Meteorologi Supadio'!Y62</f>
        <v>0</v>
      </c>
      <c r="BA299" s="131">
        <f>'Sta. Meteorologi Supadio'!Z62</f>
        <v>3</v>
      </c>
      <c r="BB299" s="131">
        <f>'Sta. Meteorologi Supadio'!AA62</f>
        <v>0.4</v>
      </c>
      <c r="BC299" s="131">
        <f>'Sta. Meteorologi Supadio'!AB62</f>
        <v>43.1</v>
      </c>
    </row>
    <row r="300" spans="1:55">
      <c r="A300" s="130">
        <v>11</v>
      </c>
      <c r="B300" s="131">
        <f>'Sta. Klimatologi Kalbar'!Q63</f>
        <v>0</v>
      </c>
      <c r="C300" s="131">
        <f>'Sta. Klimatologi Kalbar'!R63</f>
        <v>0</v>
      </c>
      <c r="D300" s="131">
        <f>'Sta. Klimatologi Kalbar'!S63</f>
        <v>66.400000000000006</v>
      </c>
      <c r="E300" s="131">
        <f>'Sta. Klimatologi Kalbar'!T63</f>
        <v>0</v>
      </c>
      <c r="F300" s="131">
        <f>'Sta. Klimatologi Kalbar'!U63</f>
        <v>0</v>
      </c>
      <c r="G300" s="131">
        <f>'Sta. Klimatologi Kalbar'!V63</f>
        <v>0</v>
      </c>
      <c r="H300" s="131">
        <f>'Sta. Klimatologi Kalbar'!W63</f>
        <v>14.7</v>
      </c>
      <c r="I300" s="131">
        <f>'Sta. Klimatologi Kalbar'!X63</f>
        <v>0</v>
      </c>
      <c r="J300" s="131">
        <f>'Sta. Klimatologi Kalbar'!Y63</f>
        <v>0</v>
      </c>
      <c r="K300" s="131">
        <f>'Sta. Klimatologi Kalbar'!Z63</f>
        <v>0</v>
      </c>
      <c r="L300" s="131">
        <f>'Sta. Klimatologi Kalbar'!AA63</f>
        <v>9.1999999999999993</v>
      </c>
      <c r="M300" s="131">
        <f>'Sta. Klimatologi Kalbar'!AB63</f>
        <v>0</v>
      </c>
      <c r="O300" s="130">
        <v>11</v>
      </c>
      <c r="P300" s="131">
        <f t="shared" si="411"/>
        <v>0</v>
      </c>
      <c r="Q300" s="131">
        <f t="shared" si="400"/>
        <v>0</v>
      </c>
      <c r="R300" s="131">
        <f t="shared" si="401"/>
        <v>17.001139857294429</v>
      </c>
      <c r="S300" s="131">
        <f t="shared" si="402"/>
        <v>0</v>
      </c>
      <c r="T300" s="131">
        <f t="shared" si="403"/>
        <v>0</v>
      </c>
      <c r="U300" s="131">
        <f t="shared" si="404"/>
        <v>4.6829500829933837</v>
      </c>
      <c r="V300" s="131">
        <f t="shared" si="405"/>
        <v>36.71458012744943</v>
      </c>
      <c r="W300" s="131">
        <f t="shared" si="406"/>
        <v>7.0851615679907182E-3</v>
      </c>
      <c r="X300" s="131">
        <f t="shared" si="407"/>
        <v>0</v>
      </c>
      <c r="Y300" s="131">
        <f t="shared" si="408"/>
        <v>2.7169886046001999</v>
      </c>
      <c r="Z300" s="131">
        <f t="shared" si="409"/>
        <v>11.535207267579549</v>
      </c>
      <c r="AA300" s="131">
        <f t="shared" si="410"/>
        <v>12.175608911708988</v>
      </c>
      <c r="AC300" s="130">
        <v>11</v>
      </c>
      <c r="AD300" s="131">
        <f>'Sta. Meteorologi pnk'!Q198</f>
        <v>0</v>
      </c>
      <c r="AE300" s="131">
        <f>'Sta. Meteorologi pnk'!R198</f>
        <v>0</v>
      </c>
      <c r="AF300" s="131">
        <f>'Sta. Meteorologi pnk'!S198</f>
        <v>2.9</v>
      </c>
      <c r="AG300" s="131">
        <f>'Sta. Meteorologi pnk'!T198</f>
        <v>0</v>
      </c>
      <c r="AH300" s="131">
        <f>'Sta. Meteorologi pnk'!U198</f>
        <v>0</v>
      </c>
      <c r="AI300" s="131">
        <f>'Sta. Meteorologi pnk'!V198</f>
        <v>6.6</v>
      </c>
      <c r="AJ300" s="131">
        <f>'Sta. Meteorologi pnk'!W198</f>
        <v>43.4</v>
      </c>
      <c r="AK300" s="131">
        <f>'Sta. Meteorologi pnk'!X198</f>
        <v>0</v>
      </c>
      <c r="AL300" s="131">
        <f>'Sta. Meteorologi pnk'!Y198</f>
        <v>0</v>
      </c>
      <c r="AM300" s="131">
        <f>'Sta. Meteorologi pnk'!Z198</f>
        <v>3.3</v>
      </c>
      <c r="AN300" s="131">
        <f>'Sta. Meteorologi pnk'!AA198</f>
        <v>13.3</v>
      </c>
      <c r="AO300" s="131">
        <f>'Sta. Meteorologi pnk'!AB198</f>
        <v>17.100000000000001</v>
      </c>
      <c r="AQ300" s="130">
        <v>11</v>
      </c>
      <c r="AR300" s="131">
        <f>'Sta. Meteorologi Supadio'!Q63</f>
        <v>0</v>
      </c>
      <c r="AS300" s="131">
        <f>'Sta. Meteorologi Supadio'!R63</f>
        <v>0</v>
      </c>
      <c r="AT300" s="131">
        <f>'Sta. Meteorologi Supadio'!S63</f>
        <v>5.0999999999999996</v>
      </c>
      <c r="AU300" s="131">
        <f>'Sta. Meteorologi Supadio'!T63</f>
        <v>0</v>
      </c>
      <c r="AV300" s="131">
        <f>'Sta. Meteorologi Supadio'!U63</f>
        <v>0</v>
      </c>
      <c r="AW300" s="131">
        <f>'Sta. Meteorologi Supadio'!V63</f>
        <v>0</v>
      </c>
      <c r="AX300" s="131">
        <f>'Sta. Meteorologi Supadio'!W63</f>
        <v>38</v>
      </c>
      <c r="AY300" s="131">
        <f>'Sta. Meteorologi Supadio'!X63</f>
        <v>0.1</v>
      </c>
      <c r="AZ300" s="131">
        <f>'Sta. Meteorologi Supadio'!Y63</f>
        <v>0</v>
      </c>
      <c r="BA300" s="131">
        <f>'Sta. Meteorologi Supadio'!Z63</f>
        <v>5.3</v>
      </c>
      <c r="BB300" s="131">
        <f>'Sta. Meteorologi Supadio'!AA63</f>
        <v>1.1000000000000001</v>
      </c>
      <c r="BC300" s="131">
        <f>'Sta. Meteorologi Supadio'!AB63</f>
        <v>0.6</v>
      </c>
    </row>
    <row r="301" spans="1:55">
      <c r="A301" s="130">
        <v>12</v>
      </c>
      <c r="B301" s="131">
        <f>'Sta. Klimatologi Kalbar'!Q64</f>
        <v>0</v>
      </c>
      <c r="C301" s="131">
        <f>'Sta. Klimatologi Kalbar'!R64</f>
        <v>0</v>
      </c>
      <c r="D301" s="131">
        <f>'Sta. Klimatologi Kalbar'!S64</f>
        <v>0</v>
      </c>
      <c r="E301" s="131">
        <f>'Sta. Klimatologi Kalbar'!T64</f>
        <v>0</v>
      </c>
      <c r="F301" s="131">
        <f>'Sta. Klimatologi Kalbar'!U64</f>
        <v>0</v>
      </c>
      <c r="G301" s="131">
        <f>'Sta. Klimatologi Kalbar'!V64</f>
        <v>3</v>
      </c>
      <c r="H301" s="131">
        <f>'Sta. Klimatologi Kalbar'!W64</f>
        <v>0</v>
      </c>
      <c r="I301" s="131">
        <f>'Sta. Klimatologi Kalbar'!X64</f>
        <v>0</v>
      </c>
      <c r="J301" s="131">
        <f>'Sta. Klimatologi Kalbar'!Y64</f>
        <v>0</v>
      </c>
      <c r="K301" s="131">
        <f>'Sta. Klimatologi Kalbar'!Z64</f>
        <v>0</v>
      </c>
      <c r="L301" s="131">
        <f>'Sta. Klimatologi Kalbar'!AA64</f>
        <v>1.5</v>
      </c>
      <c r="M301" s="131">
        <f>'Sta. Klimatologi Kalbar'!AB64</f>
        <v>25</v>
      </c>
      <c r="O301" s="130">
        <v>12</v>
      </c>
      <c r="P301" s="131">
        <f t="shared" si="411"/>
        <v>7.0953789136263407E-2</v>
      </c>
      <c r="Q301" s="131">
        <f t="shared" si="400"/>
        <v>0</v>
      </c>
      <c r="R301" s="131">
        <f t="shared" si="401"/>
        <v>1.5960004750123236</v>
      </c>
      <c r="S301" s="131">
        <f t="shared" si="402"/>
        <v>0</v>
      </c>
      <c r="T301" s="131">
        <f t="shared" si="403"/>
        <v>0</v>
      </c>
      <c r="U301" s="131">
        <f t="shared" si="404"/>
        <v>4.0051733815474755</v>
      </c>
      <c r="V301" s="131">
        <f t="shared" si="405"/>
        <v>0</v>
      </c>
      <c r="W301" s="131">
        <f t="shared" si="406"/>
        <v>0</v>
      </c>
      <c r="X301" s="131">
        <f t="shared" si="407"/>
        <v>0</v>
      </c>
      <c r="Y301" s="131">
        <f t="shared" si="408"/>
        <v>6.2405617199314234</v>
      </c>
      <c r="Z301" s="131">
        <f t="shared" si="409"/>
        <v>6.5856803843489367</v>
      </c>
      <c r="AA301" s="131">
        <f t="shared" si="410"/>
        <v>14.366366780624672</v>
      </c>
      <c r="AC301" s="130">
        <v>12</v>
      </c>
      <c r="AD301" s="131">
        <f>'Sta. Meteorologi pnk'!Q199</f>
        <v>0.1</v>
      </c>
      <c r="AE301" s="131">
        <f>'Sta. Meteorologi pnk'!R199</f>
        <v>0</v>
      </c>
      <c r="AF301" s="131">
        <f>'Sta. Meteorologi pnk'!S199</f>
        <v>1.8</v>
      </c>
      <c r="AG301" s="131">
        <f>'Sta. Meteorologi pnk'!T199</f>
        <v>0</v>
      </c>
      <c r="AH301" s="131">
        <f>'Sta. Meteorologi pnk'!U199</f>
        <v>0</v>
      </c>
      <c r="AI301" s="131">
        <f>'Sta. Meteorologi pnk'!V199</f>
        <v>2.1</v>
      </c>
      <c r="AJ301" s="131">
        <f>'Sta. Meteorologi pnk'!W199</f>
        <v>0</v>
      </c>
      <c r="AK301" s="131">
        <f>'Sta. Meteorologi pnk'!X199</f>
        <v>0</v>
      </c>
      <c r="AL301" s="131">
        <f>'Sta. Meteorologi pnk'!Y199</f>
        <v>0</v>
      </c>
      <c r="AM301" s="131">
        <f>'Sta. Meteorologi pnk'!Z199</f>
        <v>5.5</v>
      </c>
      <c r="AN301" s="131">
        <f>'Sta. Meteorologi pnk'!AA199</f>
        <v>7</v>
      </c>
      <c r="AO301" s="131">
        <f>'Sta. Meteorologi pnk'!AB199</f>
        <v>12.3</v>
      </c>
      <c r="AQ301" s="130">
        <v>12</v>
      </c>
      <c r="AR301" s="131">
        <f>'Sta. Meteorologi Supadio'!Q64</f>
        <v>0</v>
      </c>
      <c r="AS301" s="131">
        <f>'Sta. Meteorologi Supadio'!R64</f>
        <v>0</v>
      </c>
      <c r="AT301" s="131">
        <f>'Sta. Meteorologi Supadio'!S64</f>
        <v>4.5</v>
      </c>
      <c r="AU301" s="131">
        <f>'Sta. Meteorologi Supadio'!T64</f>
        <v>0</v>
      </c>
      <c r="AV301" s="131">
        <f>'Sta. Meteorologi Supadio'!U64</f>
        <v>0</v>
      </c>
      <c r="AW301" s="131">
        <f>'Sta. Meteorologi Supadio'!V64</f>
        <v>26.2</v>
      </c>
      <c r="AX301" s="131">
        <f>'Sta. Meteorologi Supadio'!W64</f>
        <v>0</v>
      </c>
      <c r="AY301" s="131">
        <f>'Sta. Meteorologi Supadio'!X64</f>
        <v>0</v>
      </c>
      <c r="AZ301" s="131">
        <f>'Sta. Meteorologi Supadio'!Y64</f>
        <v>0</v>
      </c>
      <c r="BA301" s="131">
        <f>'Sta. Meteorologi Supadio'!Z64</f>
        <v>33</v>
      </c>
      <c r="BB301" s="131">
        <f>'Sta. Meteorologi Supadio'!AA64</f>
        <v>18.2</v>
      </c>
      <c r="BC301" s="131">
        <f>'Sta. Meteorologi Supadio'!AB64</f>
        <v>2.1</v>
      </c>
    </row>
    <row r="302" spans="1:55">
      <c r="A302" s="130">
        <v>13</v>
      </c>
      <c r="B302" s="131">
        <f>'Sta. Klimatologi Kalbar'!Q65</f>
        <v>0</v>
      </c>
      <c r="C302" s="131">
        <f>'Sta. Klimatologi Kalbar'!R65</f>
        <v>36</v>
      </c>
      <c r="D302" s="131">
        <f>'Sta. Klimatologi Kalbar'!S65</f>
        <v>1.5</v>
      </c>
      <c r="E302" s="131">
        <f>'Sta. Klimatologi Kalbar'!T65</f>
        <v>0</v>
      </c>
      <c r="F302" s="131">
        <f>'Sta. Klimatologi Kalbar'!U65</f>
        <v>18.5</v>
      </c>
      <c r="G302" s="131">
        <f>'Sta. Klimatologi Kalbar'!V65</f>
        <v>0</v>
      </c>
      <c r="H302" s="131">
        <f>'Sta. Klimatologi Kalbar'!W65</f>
        <v>0</v>
      </c>
      <c r="I302" s="131">
        <f>'Sta. Klimatologi Kalbar'!X65</f>
        <v>0</v>
      </c>
      <c r="J302" s="131">
        <f>'Sta. Klimatologi Kalbar'!Y65</f>
        <v>0</v>
      </c>
      <c r="K302" s="131">
        <f>'Sta. Klimatologi Kalbar'!Z65</f>
        <v>16</v>
      </c>
      <c r="L302" s="131">
        <f>'Sta. Klimatologi Kalbar'!AA65</f>
        <v>2.9</v>
      </c>
      <c r="M302" s="131">
        <f>'Sta. Klimatologi Kalbar'!AB65</f>
        <v>6</v>
      </c>
      <c r="O302" s="130">
        <v>13</v>
      </c>
      <c r="P302" s="131">
        <f t="shared" si="411"/>
        <v>8.2873208323504794</v>
      </c>
      <c r="Q302" s="131">
        <f t="shared" si="400"/>
        <v>37.612112093819071</v>
      </c>
      <c r="R302" s="131">
        <f t="shared" si="401"/>
        <v>4.9656657413110237</v>
      </c>
      <c r="S302" s="131">
        <f t="shared" si="402"/>
        <v>0</v>
      </c>
      <c r="T302" s="131">
        <f t="shared" si="403"/>
        <v>12.867331746526789</v>
      </c>
      <c r="U302" s="131">
        <f t="shared" si="404"/>
        <v>0</v>
      </c>
      <c r="V302" s="131">
        <f t="shared" si="405"/>
        <v>0</v>
      </c>
      <c r="W302" s="131">
        <f t="shared" si="406"/>
        <v>0</v>
      </c>
      <c r="X302" s="131">
        <f t="shared" si="407"/>
        <v>0</v>
      </c>
      <c r="Y302" s="131">
        <f t="shared" si="408"/>
        <v>3.5137678873193408</v>
      </c>
      <c r="Z302" s="131">
        <f t="shared" si="409"/>
        <v>9.5688739842373209</v>
      </c>
      <c r="AA302" s="131">
        <f t="shared" si="410"/>
        <v>2.4383445669635608</v>
      </c>
      <c r="AC302" s="130">
        <v>13</v>
      </c>
      <c r="AD302" s="131">
        <f>'Sta. Meteorologi pnk'!Q200</f>
        <v>11.6</v>
      </c>
      <c r="AE302" s="131">
        <f>'Sta. Meteorologi pnk'!R200</f>
        <v>39.700000000000003</v>
      </c>
      <c r="AF302" s="131">
        <f>'Sta. Meteorologi pnk'!S200</f>
        <v>2.5</v>
      </c>
      <c r="AG302" s="131">
        <f>'Sta. Meteorologi pnk'!T200</f>
        <v>0</v>
      </c>
      <c r="AH302" s="131">
        <f>'Sta. Meteorologi pnk'!U200</f>
        <v>11.6</v>
      </c>
      <c r="AI302" s="131">
        <f>'Sta. Meteorologi pnk'!V200</f>
        <v>0</v>
      </c>
      <c r="AJ302" s="131">
        <f>'Sta. Meteorologi pnk'!W200</f>
        <v>0</v>
      </c>
      <c r="AK302" s="131">
        <f>'Sta. Meteorologi pnk'!X200</f>
        <v>0</v>
      </c>
      <c r="AL302" s="131">
        <f>'Sta. Meteorologi pnk'!Y200</f>
        <v>0</v>
      </c>
      <c r="AM302" s="131">
        <f>'Sta. Meteorologi pnk'!Z200</f>
        <v>0</v>
      </c>
      <c r="AN302" s="131">
        <f>'Sta. Meteorologi pnk'!AA200</f>
        <v>4.5999999999999996</v>
      </c>
      <c r="AO302" s="131">
        <f>'Sta. Meteorologi pnk'!AB200</f>
        <v>1.2</v>
      </c>
      <c r="AQ302" s="130">
        <v>13</v>
      </c>
      <c r="AR302" s="131">
        <f>'Sta. Meteorologi Supadio'!Q65</f>
        <v>0.8</v>
      </c>
      <c r="AS302" s="131">
        <f>'Sta. Meteorologi Supadio'!R65</f>
        <v>21.7</v>
      </c>
      <c r="AT302" s="131">
        <f>'Sta. Meteorologi Supadio'!S65</f>
        <v>40.4</v>
      </c>
      <c r="AU302" s="131">
        <f>'Sta. Meteorologi Supadio'!T65</f>
        <v>0</v>
      </c>
      <c r="AV302" s="131">
        <f>'Sta. Meteorologi Supadio'!U65</f>
        <v>8.1</v>
      </c>
      <c r="AW302" s="131">
        <f>'Sta. Meteorologi Supadio'!V65</f>
        <v>0</v>
      </c>
      <c r="AX302" s="131">
        <f>'Sta. Meteorologi Supadio'!W65</f>
        <v>0</v>
      </c>
      <c r="AY302" s="131">
        <f>'Sta. Meteorologi Supadio'!X65</f>
        <v>0</v>
      </c>
      <c r="AZ302" s="131">
        <f>'Sta. Meteorologi Supadio'!Y65</f>
        <v>0</v>
      </c>
      <c r="BA302" s="131">
        <f>'Sta. Meteorologi Supadio'!Z65</f>
        <v>0</v>
      </c>
      <c r="BB302" s="131">
        <f>'Sta. Meteorologi Supadio'!AA65</f>
        <v>80</v>
      </c>
      <c r="BC302" s="131">
        <f>'Sta. Meteorologi Supadio'!AB65</f>
        <v>3.8</v>
      </c>
    </row>
    <row r="303" spans="1:55">
      <c r="A303" s="130">
        <v>14</v>
      </c>
      <c r="B303" s="131">
        <f>'Sta. Klimatologi Kalbar'!Q66</f>
        <v>0</v>
      </c>
      <c r="C303" s="131">
        <f>'Sta. Klimatologi Kalbar'!R66</f>
        <v>2.5</v>
      </c>
      <c r="D303" s="131">
        <f>'Sta. Klimatologi Kalbar'!S66</f>
        <v>28.1</v>
      </c>
      <c r="E303" s="131">
        <f>'Sta. Klimatologi Kalbar'!T66</f>
        <v>0</v>
      </c>
      <c r="F303" s="131">
        <f>'Sta. Klimatologi Kalbar'!U66</f>
        <v>8.5</v>
      </c>
      <c r="G303" s="131">
        <f>'Sta. Klimatologi Kalbar'!V66</f>
        <v>3.3</v>
      </c>
      <c r="H303" s="131">
        <f>'Sta. Klimatologi Kalbar'!W66</f>
        <v>0</v>
      </c>
      <c r="I303" s="131">
        <f>'Sta. Klimatologi Kalbar'!X66</f>
        <v>0</v>
      </c>
      <c r="J303" s="131">
        <f>'Sta. Klimatologi Kalbar'!Y66</f>
        <v>0</v>
      </c>
      <c r="K303" s="131">
        <f>'Sta. Klimatologi Kalbar'!Z66</f>
        <v>0</v>
      </c>
      <c r="L303" s="131">
        <f>'Sta. Klimatologi Kalbar'!AA66</f>
        <v>0</v>
      </c>
      <c r="M303" s="131">
        <f>'Sta. Klimatologi Kalbar'!AB66</f>
        <v>0</v>
      </c>
      <c r="O303" s="130">
        <v>14</v>
      </c>
      <c r="P303" s="131">
        <f t="shared" si="411"/>
        <v>0.38968388623948952</v>
      </c>
      <c r="Q303" s="131">
        <f t="shared" si="400"/>
        <v>9.2123714951294158</v>
      </c>
      <c r="R303" s="131">
        <f t="shared" si="401"/>
        <v>24.132855582286389</v>
      </c>
      <c r="S303" s="131">
        <f t="shared" si="402"/>
        <v>15.396972242569158</v>
      </c>
      <c r="T303" s="131">
        <f t="shared" si="403"/>
        <v>4.8313519292492062</v>
      </c>
      <c r="U303" s="131">
        <f t="shared" si="404"/>
        <v>0.72471462675961407</v>
      </c>
      <c r="V303" s="131">
        <f t="shared" si="405"/>
        <v>0</v>
      </c>
      <c r="W303" s="131">
        <f t="shared" si="406"/>
        <v>0</v>
      </c>
      <c r="X303" s="131">
        <f t="shared" si="407"/>
        <v>0</v>
      </c>
      <c r="Y303" s="131">
        <f t="shared" si="408"/>
        <v>8.3267665980677368</v>
      </c>
      <c r="Z303" s="131">
        <f t="shared" si="409"/>
        <v>0</v>
      </c>
      <c r="AA303" s="131">
        <f t="shared" si="410"/>
        <v>12.835039804813904</v>
      </c>
      <c r="AC303" s="130">
        <v>14</v>
      </c>
      <c r="AD303" s="131">
        <f>'Sta. Meteorologi pnk'!Q201</f>
        <v>0</v>
      </c>
      <c r="AE303" s="131">
        <f>'Sta. Meteorologi pnk'!R201</f>
        <v>12.1</v>
      </c>
      <c r="AF303" s="131">
        <f>'Sta. Meteorologi pnk'!S201</f>
        <v>21.7</v>
      </c>
      <c r="AG303" s="131">
        <f>'Sta. Meteorologi pnk'!T201</f>
        <v>21.7</v>
      </c>
      <c r="AH303" s="131">
        <f>'Sta. Meteorologi pnk'!U201</f>
        <v>3</v>
      </c>
      <c r="AI303" s="131">
        <f>'Sta. Meteorologi pnk'!V201</f>
        <v>0</v>
      </c>
      <c r="AJ303" s="131">
        <f>'Sta. Meteorologi pnk'!W201</f>
        <v>0</v>
      </c>
      <c r="AK303" s="131">
        <f>'Sta. Meteorologi pnk'!X201</f>
        <v>0</v>
      </c>
      <c r="AL303" s="131">
        <f>'Sta. Meteorologi pnk'!Y201</f>
        <v>0</v>
      </c>
      <c r="AM303" s="131">
        <f>'Sta. Meteorologi pnk'!Z201</f>
        <v>8.6</v>
      </c>
      <c r="AN303" s="131">
        <f>'Sta. Meteorologi pnk'!AA201</f>
        <v>0</v>
      </c>
      <c r="AO303" s="131">
        <f>'Sta. Meteorologi pnk'!AB201</f>
        <v>17.600000000000001</v>
      </c>
      <c r="AQ303" s="130">
        <v>14</v>
      </c>
      <c r="AR303" s="131">
        <f>'Sta. Meteorologi Supadio'!Q66</f>
        <v>5.5</v>
      </c>
      <c r="AS303" s="131">
        <f>'Sta. Meteorologi Supadio'!R66</f>
        <v>1.1000000000000001</v>
      </c>
      <c r="AT303" s="131">
        <f>'Sta. Meteorologi Supadio'!S66</f>
        <v>36.200000000000003</v>
      </c>
      <c r="AU303" s="131">
        <f>'Sta. Meteorologi Supadio'!T66</f>
        <v>0</v>
      </c>
      <c r="AV303" s="131">
        <f>'Sta. Meteorologi Supadio'!U66</f>
        <v>11.8</v>
      </c>
      <c r="AW303" s="131">
        <f>'Sta. Meteorologi Supadio'!V66</f>
        <v>0</v>
      </c>
      <c r="AX303" s="131">
        <f>'Sta. Meteorologi Supadio'!W66</f>
        <v>0</v>
      </c>
      <c r="AY303" s="131">
        <f>'Sta. Meteorologi Supadio'!X66</f>
        <v>0</v>
      </c>
      <c r="AZ303" s="131">
        <f>'Sta. Meteorologi Supadio'!Y66</f>
        <v>0</v>
      </c>
      <c r="BA303" s="131">
        <f>'Sta. Meteorologi Supadio'!Z66</f>
        <v>31.4</v>
      </c>
      <c r="BB303" s="131">
        <f>'Sta. Meteorologi Supadio'!AA66</f>
        <v>0</v>
      </c>
      <c r="BC303" s="131">
        <f>'Sta. Meteorologi Supadio'!AB66</f>
        <v>4.9000000000000004</v>
      </c>
    </row>
    <row r="304" spans="1:55">
      <c r="A304" s="130">
        <v>15</v>
      </c>
      <c r="B304" s="131">
        <f>'Sta. Klimatologi Kalbar'!Q67</f>
        <v>0</v>
      </c>
      <c r="C304" s="131">
        <f>'Sta. Klimatologi Kalbar'!R67</f>
        <v>0</v>
      </c>
      <c r="D304" s="131">
        <f>'Sta. Klimatologi Kalbar'!S67</f>
        <v>0</v>
      </c>
      <c r="E304" s="131">
        <f>'Sta. Klimatologi Kalbar'!T67</f>
        <v>0</v>
      </c>
      <c r="F304" s="131">
        <f>'Sta. Klimatologi Kalbar'!U67</f>
        <v>0</v>
      </c>
      <c r="G304" s="131">
        <f>'Sta. Klimatologi Kalbar'!V67</f>
        <v>0.5</v>
      </c>
      <c r="H304" s="131">
        <f>'Sta. Klimatologi Kalbar'!W67</f>
        <v>8.6</v>
      </c>
      <c r="I304" s="131">
        <f>'Sta. Klimatologi Kalbar'!X67</f>
        <v>0</v>
      </c>
      <c r="J304" s="131">
        <f>'Sta. Klimatologi Kalbar'!Y67</f>
        <v>4</v>
      </c>
      <c r="K304" s="131">
        <f>'Sta. Klimatologi Kalbar'!Z67</f>
        <v>0</v>
      </c>
      <c r="L304" s="131">
        <f>'Sta. Klimatologi Kalbar'!AA67</f>
        <v>21</v>
      </c>
      <c r="M304" s="131">
        <f>'Sta. Klimatologi Kalbar'!AB67</f>
        <v>8.5</v>
      </c>
      <c r="O304" s="130">
        <v>15</v>
      </c>
      <c r="P304" s="131">
        <f t="shared" si="411"/>
        <v>0</v>
      </c>
      <c r="Q304" s="131">
        <f t="shared" si="400"/>
        <v>0</v>
      </c>
      <c r="R304" s="131">
        <f t="shared" si="401"/>
        <v>0</v>
      </c>
      <c r="S304" s="131">
        <f t="shared" si="402"/>
        <v>0</v>
      </c>
      <c r="T304" s="131">
        <f t="shared" si="403"/>
        <v>0</v>
      </c>
      <c r="U304" s="131">
        <f t="shared" si="404"/>
        <v>2.7349932710641185</v>
      </c>
      <c r="V304" s="131">
        <f t="shared" si="405"/>
        <v>14.731286073097822</v>
      </c>
      <c r="W304" s="131">
        <f t="shared" si="406"/>
        <v>0</v>
      </c>
      <c r="X304" s="131">
        <f t="shared" si="407"/>
        <v>3.0637369384616626</v>
      </c>
      <c r="Y304" s="131">
        <f t="shared" si="408"/>
        <v>1.4170323135981436E-2</v>
      </c>
      <c r="Z304" s="131">
        <f t="shared" si="409"/>
        <v>4.6118203521066343</v>
      </c>
      <c r="AA304" s="131">
        <f t="shared" si="410"/>
        <v>29.173849815797485</v>
      </c>
      <c r="AC304" s="130">
        <v>15</v>
      </c>
      <c r="AD304" s="131">
        <f>'Sta. Meteorologi pnk'!Q202</f>
        <v>0</v>
      </c>
      <c r="AE304" s="131">
        <f>'Sta. Meteorologi pnk'!R202</f>
        <v>0</v>
      </c>
      <c r="AF304" s="131">
        <f>'Sta. Meteorologi pnk'!S202</f>
        <v>0</v>
      </c>
      <c r="AG304" s="131">
        <f>'Sta. Meteorologi pnk'!T202</f>
        <v>0</v>
      </c>
      <c r="AH304" s="131">
        <f>'Sta. Meteorologi pnk'!U202</f>
        <v>0</v>
      </c>
      <c r="AI304" s="131">
        <f>'Sta. Meteorologi pnk'!V202</f>
        <v>3.6</v>
      </c>
      <c r="AJ304" s="131">
        <f>'Sta. Meteorologi pnk'!W202</f>
        <v>18.100000000000001</v>
      </c>
      <c r="AK304" s="131">
        <f>'Sta. Meteorologi pnk'!X202</f>
        <v>0</v>
      </c>
      <c r="AL304" s="131">
        <f>'Sta. Meteorologi pnk'!Y202</f>
        <v>3</v>
      </c>
      <c r="AM304" s="131">
        <f>'Sta. Meteorologi pnk'!Z202</f>
        <v>0</v>
      </c>
      <c r="AN304" s="131">
        <f>'Sta. Meteorologi pnk'!AA202</f>
        <v>0</v>
      </c>
      <c r="AO304" s="131">
        <f>'Sta. Meteorologi pnk'!AB202</f>
        <v>35.6</v>
      </c>
      <c r="AQ304" s="130">
        <v>15</v>
      </c>
      <c r="AR304" s="131">
        <f>'Sta. Meteorologi Supadio'!Q67</f>
        <v>0</v>
      </c>
      <c r="AS304" s="131">
        <f>'Sta. Meteorologi Supadio'!R67</f>
        <v>0</v>
      </c>
      <c r="AT304" s="131">
        <f>'Sta. Meteorologi Supadio'!S67</f>
        <v>0</v>
      </c>
      <c r="AU304" s="131">
        <f>'Sta. Meteorologi Supadio'!T67</f>
        <v>0</v>
      </c>
      <c r="AV304" s="131">
        <f>'Sta. Meteorologi Supadio'!U67</f>
        <v>0</v>
      </c>
      <c r="AW304" s="131">
        <f>'Sta. Meteorologi Supadio'!V67</f>
        <v>1</v>
      </c>
      <c r="AX304" s="131">
        <f>'Sta. Meteorologi Supadio'!W67</f>
        <v>0</v>
      </c>
      <c r="AY304" s="131">
        <f>'Sta. Meteorologi Supadio'!X67</f>
        <v>0</v>
      </c>
      <c r="AZ304" s="131">
        <f>'Sta. Meteorologi Supadio'!Y67</f>
        <v>0.8</v>
      </c>
      <c r="BA304" s="131">
        <f>'Sta. Meteorologi Supadio'!Z67</f>
        <v>0.2</v>
      </c>
      <c r="BB304" s="131">
        <f>'Sta. Meteorologi Supadio'!AA67</f>
        <v>0</v>
      </c>
      <c r="BC304" s="131">
        <f>'Sta. Meteorologi Supadio'!AB67</f>
        <v>28.9</v>
      </c>
    </row>
    <row r="305" spans="1:55">
      <c r="A305" s="130">
        <v>16</v>
      </c>
      <c r="B305" s="131">
        <f>'Sta. Klimatologi Kalbar'!Q68</f>
        <v>0</v>
      </c>
      <c r="C305" s="131">
        <f>'Sta. Klimatologi Kalbar'!R68</f>
        <v>0.7</v>
      </c>
      <c r="D305" s="131">
        <f>'Sta. Klimatologi Kalbar'!S68</f>
        <v>67.8</v>
      </c>
      <c r="E305" s="131">
        <f>'Sta. Klimatologi Kalbar'!T68</f>
        <v>0</v>
      </c>
      <c r="F305" s="131">
        <f>'Sta. Klimatologi Kalbar'!U68</f>
        <v>0</v>
      </c>
      <c r="G305" s="131">
        <f>'Sta. Klimatologi Kalbar'!V68</f>
        <v>10.9</v>
      </c>
      <c r="H305" s="131">
        <f>'Sta. Klimatologi Kalbar'!W68</f>
        <v>0</v>
      </c>
      <c r="I305" s="131">
        <f>'Sta. Klimatologi Kalbar'!X68</f>
        <v>0</v>
      </c>
      <c r="J305" s="131">
        <f>'Sta. Klimatologi Kalbar'!Y68</f>
        <v>18.3</v>
      </c>
      <c r="K305" s="131">
        <f>'Sta. Klimatologi Kalbar'!Z68</f>
        <v>2.6</v>
      </c>
      <c r="L305" s="131">
        <f>'Sta. Klimatologi Kalbar'!AA68</f>
        <v>0.8</v>
      </c>
      <c r="M305" s="131">
        <f>'Sta. Klimatologi Kalbar'!AB68</f>
        <v>0</v>
      </c>
      <c r="O305" s="130">
        <v>16</v>
      </c>
      <c r="P305" s="131">
        <f t="shared" si="411"/>
        <v>0</v>
      </c>
      <c r="Q305" s="131">
        <f t="shared" si="400"/>
        <v>0.53663259011078857</v>
      </c>
      <c r="R305" s="131">
        <f t="shared" si="401"/>
        <v>19.792488034485871</v>
      </c>
      <c r="S305" s="131">
        <f t="shared" si="402"/>
        <v>0</v>
      </c>
      <c r="T305" s="131">
        <f t="shared" si="403"/>
        <v>0</v>
      </c>
      <c r="U305" s="131">
        <f t="shared" si="404"/>
        <v>18.931641975164677</v>
      </c>
      <c r="V305" s="131">
        <f t="shared" si="405"/>
        <v>0</v>
      </c>
      <c r="W305" s="131">
        <f t="shared" si="406"/>
        <v>0</v>
      </c>
      <c r="X305" s="131">
        <f t="shared" si="407"/>
        <v>32.080124976678292</v>
      </c>
      <c r="Y305" s="131">
        <f t="shared" si="408"/>
        <v>0.57098728168939294</v>
      </c>
      <c r="Z305" s="131">
        <f t="shared" si="409"/>
        <v>7.1716706991277244</v>
      </c>
      <c r="AA305" s="131">
        <f t="shared" si="410"/>
        <v>0.38968388623948952</v>
      </c>
      <c r="AC305" s="130">
        <v>16</v>
      </c>
      <c r="AD305" s="131">
        <f>'Sta. Meteorologi pnk'!Q203</f>
        <v>0</v>
      </c>
      <c r="AE305" s="131">
        <f>'Sta. Meteorologi pnk'!R203</f>
        <v>0.3</v>
      </c>
      <c r="AF305" s="131">
        <f>'Sta. Meteorologi pnk'!S203</f>
        <v>6.9</v>
      </c>
      <c r="AG305" s="131">
        <f>'Sta. Meteorologi pnk'!T203</f>
        <v>0</v>
      </c>
      <c r="AH305" s="131">
        <f>'Sta. Meteorologi pnk'!U203</f>
        <v>0</v>
      </c>
      <c r="AI305" s="131">
        <f>'Sta. Meteorologi pnk'!V203</f>
        <v>21.9</v>
      </c>
      <c r="AJ305" s="131">
        <f>'Sta. Meteorologi pnk'!W203</f>
        <v>0</v>
      </c>
      <c r="AK305" s="131">
        <f>'Sta. Meteorologi pnk'!X203</f>
        <v>0</v>
      </c>
      <c r="AL305" s="131">
        <f>'Sta. Meteorologi pnk'!Y203</f>
        <v>38.6</v>
      </c>
      <c r="AM305" s="131">
        <f>'Sta. Meteorologi pnk'!Z203</f>
        <v>0</v>
      </c>
      <c r="AN305" s="131">
        <f>'Sta. Meteorologi pnk'!AA203</f>
        <v>9.8000000000000007</v>
      </c>
      <c r="AO305" s="131">
        <f>'Sta. Meteorologi pnk'!AB203</f>
        <v>0</v>
      </c>
      <c r="AQ305" s="130">
        <v>16</v>
      </c>
      <c r="AR305" s="131">
        <f>'Sta. Meteorologi Supadio'!Q68</f>
        <v>0</v>
      </c>
      <c r="AS305" s="131">
        <f>'Sta. Meteorologi Supadio'!R68</f>
        <v>2.4</v>
      </c>
      <c r="AT305" s="131">
        <f>'Sta. Meteorologi Supadio'!S68</f>
        <v>0.1</v>
      </c>
      <c r="AU305" s="131">
        <f>'Sta. Meteorologi Supadio'!T68</f>
        <v>0</v>
      </c>
      <c r="AV305" s="131">
        <f>'Sta. Meteorologi Supadio'!U68</f>
        <v>0</v>
      </c>
      <c r="AW305" s="131">
        <f>'Sta. Meteorologi Supadio'!V68</f>
        <v>14.1</v>
      </c>
      <c r="AX305" s="131">
        <f>'Sta. Meteorologi Supadio'!W68</f>
        <v>0</v>
      </c>
      <c r="AY305" s="131">
        <f>'Sta. Meteorologi Supadio'!X68</f>
        <v>0</v>
      </c>
      <c r="AZ305" s="131">
        <f>'Sta. Meteorologi Supadio'!Y68</f>
        <v>9.5</v>
      </c>
      <c r="BA305" s="131">
        <f>'Sta. Meteorologi Supadio'!Z68</f>
        <v>0</v>
      </c>
      <c r="BB305" s="131">
        <f>'Sta. Meteorologi Supadio'!AA68</f>
        <v>0.6</v>
      </c>
      <c r="BC305" s="131">
        <f>'Sta. Meteorologi Supadio'!AB68</f>
        <v>5.5</v>
      </c>
    </row>
    <row r="306" spans="1:55">
      <c r="A306" s="130">
        <v>17</v>
      </c>
      <c r="B306" s="131">
        <f>'Sta. Klimatologi Kalbar'!Q69</f>
        <v>0</v>
      </c>
      <c r="C306" s="131">
        <f>'Sta. Klimatologi Kalbar'!R69</f>
        <v>0</v>
      </c>
      <c r="D306" s="131">
        <f>'Sta. Klimatologi Kalbar'!S69</f>
        <v>13</v>
      </c>
      <c r="E306" s="131">
        <f>'Sta. Klimatologi Kalbar'!T69</f>
        <v>0</v>
      </c>
      <c r="F306" s="131">
        <f>'Sta. Klimatologi Kalbar'!U69</f>
        <v>0</v>
      </c>
      <c r="G306" s="131">
        <f>'Sta. Klimatologi Kalbar'!V69</f>
        <v>0</v>
      </c>
      <c r="H306" s="131">
        <f>'Sta. Klimatologi Kalbar'!W69</f>
        <v>0</v>
      </c>
      <c r="I306" s="131">
        <f>'Sta. Klimatologi Kalbar'!X69</f>
        <v>0</v>
      </c>
      <c r="J306" s="131">
        <f>'Sta. Klimatologi Kalbar'!Y69</f>
        <v>5.3</v>
      </c>
      <c r="K306" s="131">
        <f>'Sta. Klimatologi Kalbar'!Z69</f>
        <v>45.5</v>
      </c>
      <c r="L306" s="131">
        <f>'Sta. Klimatologi Kalbar'!AA69</f>
        <v>2.5</v>
      </c>
      <c r="M306" s="131">
        <f>'Sta. Klimatologi Kalbar'!AB69</f>
        <v>0</v>
      </c>
      <c r="O306" s="130">
        <v>17</v>
      </c>
      <c r="P306" s="131">
        <f t="shared" si="411"/>
        <v>0</v>
      </c>
      <c r="Q306" s="131">
        <f t="shared" si="400"/>
        <v>0</v>
      </c>
      <c r="R306" s="131">
        <f t="shared" si="401"/>
        <v>6.047856919578817</v>
      </c>
      <c r="S306" s="131">
        <f t="shared" si="402"/>
        <v>0</v>
      </c>
      <c r="T306" s="131">
        <f t="shared" si="403"/>
        <v>0</v>
      </c>
      <c r="U306" s="131">
        <f t="shared" si="404"/>
        <v>0</v>
      </c>
      <c r="V306" s="131">
        <f t="shared" si="405"/>
        <v>0</v>
      </c>
      <c r="W306" s="131">
        <f t="shared" si="406"/>
        <v>0</v>
      </c>
      <c r="X306" s="131">
        <f t="shared" si="407"/>
        <v>2.284821568806052</v>
      </c>
      <c r="Y306" s="131">
        <f t="shared" si="408"/>
        <v>15.567549176299167</v>
      </c>
      <c r="Z306" s="131">
        <f t="shared" si="409"/>
        <v>5.278405069215923</v>
      </c>
      <c r="AA306" s="131">
        <f t="shared" si="410"/>
        <v>0.15587355449579579</v>
      </c>
      <c r="AC306" s="130">
        <v>17</v>
      </c>
      <c r="AD306" s="131">
        <f>'Sta. Meteorologi pnk'!Q204</f>
        <v>0</v>
      </c>
      <c r="AE306" s="131">
        <f>'Sta. Meteorologi pnk'!R204</f>
        <v>0</v>
      </c>
      <c r="AF306" s="131">
        <f>'Sta. Meteorologi pnk'!S204</f>
        <v>4.5</v>
      </c>
      <c r="AG306" s="131">
        <f>'Sta. Meteorologi pnk'!T204</f>
        <v>0</v>
      </c>
      <c r="AH306" s="131">
        <f>'Sta. Meteorologi pnk'!U204</f>
        <v>0</v>
      </c>
      <c r="AI306" s="131">
        <f>'Sta. Meteorologi pnk'!V204</f>
        <v>0</v>
      </c>
      <c r="AJ306" s="131">
        <f>'Sta. Meteorologi pnk'!W204</f>
        <v>0</v>
      </c>
      <c r="AK306" s="131">
        <f>'Sta. Meteorologi pnk'!X204</f>
        <v>0</v>
      </c>
      <c r="AL306" s="131">
        <f>'Sta. Meteorologi pnk'!Y204</f>
        <v>1.4</v>
      </c>
      <c r="AM306" s="131">
        <f>'Sta. Meteorologi pnk'!Z204</f>
        <v>6.2</v>
      </c>
      <c r="AN306" s="131">
        <f>'Sta. Meteorologi pnk'!AA204</f>
        <v>3.5</v>
      </c>
      <c r="AO306" s="131">
        <f>'Sta. Meteorologi pnk'!AB204</f>
        <v>0</v>
      </c>
      <c r="AQ306" s="130">
        <v>17</v>
      </c>
      <c r="AR306" s="131">
        <f>'Sta. Meteorologi Supadio'!Q69</f>
        <v>0</v>
      </c>
      <c r="AS306" s="131">
        <f>'Sta. Meteorologi Supadio'!R69</f>
        <v>0</v>
      </c>
      <c r="AT306" s="131">
        <f>'Sta. Meteorologi Supadio'!S69</f>
        <v>0</v>
      </c>
      <c r="AU306" s="131">
        <f>'Sta. Meteorologi Supadio'!T69</f>
        <v>0</v>
      </c>
      <c r="AV306" s="131">
        <f>'Sta. Meteorologi Supadio'!U69</f>
        <v>0</v>
      </c>
      <c r="AW306" s="131">
        <f>'Sta. Meteorologi Supadio'!V69</f>
        <v>0</v>
      </c>
      <c r="AX306" s="131">
        <f>'Sta. Meteorologi Supadio'!W69</f>
        <v>0</v>
      </c>
      <c r="AY306" s="131">
        <f>'Sta. Meteorologi Supadio'!X69</f>
        <v>0</v>
      </c>
      <c r="AZ306" s="131">
        <f>'Sta. Meteorologi Supadio'!Y69</f>
        <v>1.8</v>
      </c>
      <c r="BA306" s="131">
        <f>'Sta. Meteorologi Supadio'!Z69</f>
        <v>16.600000000000001</v>
      </c>
      <c r="BB306" s="131">
        <f>'Sta. Meteorologi Supadio'!AA69</f>
        <v>31.7</v>
      </c>
      <c r="BC306" s="131">
        <f>'Sta. Meteorologi Supadio'!AB69</f>
        <v>2.2000000000000002</v>
      </c>
    </row>
    <row r="307" spans="1:55">
      <c r="A307" s="130">
        <v>18</v>
      </c>
      <c r="B307" s="131">
        <f>'Sta. Klimatologi Kalbar'!Q70</f>
        <v>0</v>
      </c>
      <c r="C307" s="131">
        <f>'Sta. Klimatologi Kalbar'!R70</f>
        <v>0</v>
      </c>
      <c r="D307" s="131">
        <f>'Sta. Klimatologi Kalbar'!S70</f>
        <v>1.2</v>
      </c>
      <c r="E307" s="131">
        <f>'Sta. Klimatologi Kalbar'!T70</f>
        <v>0</v>
      </c>
      <c r="F307" s="131">
        <f>'Sta. Klimatologi Kalbar'!U70</f>
        <v>0</v>
      </c>
      <c r="G307" s="131">
        <f>'Sta. Klimatologi Kalbar'!V70</f>
        <v>0</v>
      </c>
      <c r="H307" s="131">
        <f>'Sta. Klimatologi Kalbar'!W70</f>
        <v>0</v>
      </c>
      <c r="I307" s="131">
        <f>'Sta. Klimatologi Kalbar'!X70</f>
        <v>0</v>
      </c>
      <c r="J307" s="131">
        <f>'Sta. Klimatologi Kalbar'!Y70</f>
        <v>3.7</v>
      </c>
      <c r="K307" s="131">
        <f>'Sta. Klimatologi Kalbar'!Z70</f>
        <v>15.4</v>
      </c>
      <c r="L307" s="131">
        <f>'Sta. Klimatologi Kalbar'!AA70</f>
        <v>3.1</v>
      </c>
      <c r="M307" s="131">
        <f>'Sta. Klimatologi Kalbar'!AB70</f>
        <v>0</v>
      </c>
      <c r="O307" s="130">
        <v>18</v>
      </c>
      <c r="P307" s="131">
        <f t="shared" si="411"/>
        <v>0</v>
      </c>
      <c r="Q307" s="131">
        <f t="shared" si="400"/>
        <v>0</v>
      </c>
      <c r="R307" s="131">
        <f t="shared" si="401"/>
        <v>0.54734774809400411</v>
      </c>
      <c r="S307" s="131">
        <f t="shared" si="402"/>
        <v>0.24089549331168439</v>
      </c>
      <c r="T307" s="131">
        <f t="shared" si="403"/>
        <v>0</v>
      </c>
      <c r="U307" s="131">
        <f t="shared" si="404"/>
        <v>2.4124288306329555</v>
      </c>
      <c r="V307" s="131">
        <f t="shared" si="405"/>
        <v>0</v>
      </c>
      <c r="W307" s="131">
        <f t="shared" si="406"/>
        <v>0.70953789136263401</v>
      </c>
      <c r="X307" s="131">
        <f t="shared" si="407"/>
        <v>53.978100198251497</v>
      </c>
      <c r="Y307" s="131">
        <f t="shared" si="408"/>
        <v>5.0139387416789241</v>
      </c>
      <c r="Z307" s="131">
        <f t="shared" si="409"/>
        <v>1.3397125539912591</v>
      </c>
      <c r="AA307" s="131">
        <f t="shared" si="410"/>
        <v>1.7571200688616981</v>
      </c>
      <c r="AC307" s="130">
        <v>18</v>
      </c>
      <c r="AD307" s="131">
        <f>'Sta. Meteorologi pnk'!Q205</f>
        <v>0</v>
      </c>
      <c r="AE307" s="131">
        <f>'Sta. Meteorologi pnk'!R205</f>
        <v>0</v>
      </c>
      <c r="AF307" s="131">
        <f>'Sta. Meteorologi pnk'!S205</f>
        <v>0.4</v>
      </c>
      <c r="AG307" s="131">
        <f>'Sta. Meteorologi pnk'!T205</f>
        <v>0</v>
      </c>
      <c r="AH307" s="131">
        <f>'Sta. Meteorologi pnk'!U205</f>
        <v>0</v>
      </c>
      <c r="AI307" s="131">
        <f>'Sta. Meteorologi pnk'!V205</f>
        <v>3.4</v>
      </c>
      <c r="AJ307" s="131">
        <f>'Sta. Meteorologi pnk'!W205</f>
        <v>0</v>
      </c>
      <c r="AK307" s="131">
        <f>'Sta. Meteorologi pnk'!X205</f>
        <v>1</v>
      </c>
      <c r="AL307" s="131">
        <f>'Sta. Meteorologi pnk'!Y205</f>
        <v>74.8</v>
      </c>
      <c r="AM307" s="131">
        <f>'Sta. Meteorologi pnk'!Z205</f>
        <v>2.2999999999999998</v>
      </c>
      <c r="AN307" s="131">
        <f>'Sta. Meteorologi pnk'!AA205</f>
        <v>0</v>
      </c>
      <c r="AO307" s="131">
        <f>'Sta. Meteorologi pnk'!AB205</f>
        <v>0</v>
      </c>
      <c r="AQ307" s="130">
        <v>18</v>
      </c>
      <c r="AR307" s="131">
        <f>'Sta. Meteorologi Supadio'!Q70</f>
        <v>0</v>
      </c>
      <c r="AS307" s="131">
        <f>'Sta. Meteorologi Supadio'!R70</f>
        <v>0</v>
      </c>
      <c r="AT307" s="131">
        <f>'Sta. Meteorologi Supadio'!S70</f>
        <v>0</v>
      </c>
      <c r="AU307" s="131">
        <f>'Sta. Meteorologi Supadio'!T70</f>
        <v>3.4</v>
      </c>
      <c r="AV307" s="131">
        <f>'Sta. Meteorologi Supadio'!U70</f>
        <v>0</v>
      </c>
      <c r="AW307" s="131">
        <f>'Sta. Meteorologi Supadio'!V70</f>
        <v>0</v>
      </c>
      <c r="AX307" s="131">
        <f>'Sta. Meteorologi Supadio'!W70</f>
        <v>0</v>
      </c>
      <c r="AY307" s="131">
        <f>'Sta. Meteorologi Supadio'!X70</f>
        <v>0</v>
      </c>
      <c r="AZ307" s="131">
        <f>'Sta. Meteorologi Supadio'!Y70</f>
        <v>1.3</v>
      </c>
      <c r="BA307" s="131">
        <f>'Sta. Meteorologi Supadio'!Z70</f>
        <v>0</v>
      </c>
      <c r="BB307" s="131">
        <f>'Sta. Meteorologi Supadio'!AA70</f>
        <v>9.3000000000000007</v>
      </c>
      <c r="BC307" s="131">
        <f>'Sta. Meteorologi Supadio'!AB70</f>
        <v>24.8</v>
      </c>
    </row>
    <row r="308" spans="1:55">
      <c r="A308" s="130">
        <v>19</v>
      </c>
      <c r="B308" s="131">
        <f>'Sta. Klimatologi Kalbar'!Q71</f>
        <v>0</v>
      </c>
      <c r="C308" s="131">
        <f>'Sta. Klimatologi Kalbar'!R71</f>
        <v>0</v>
      </c>
      <c r="D308" s="131">
        <f>'Sta. Klimatologi Kalbar'!S71</f>
        <v>25.2</v>
      </c>
      <c r="E308" s="131">
        <f>'Sta. Klimatologi Kalbar'!T71</f>
        <v>0</v>
      </c>
      <c r="F308" s="131">
        <f>'Sta. Klimatologi Kalbar'!U71</f>
        <v>1</v>
      </c>
      <c r="G308" s="131">
        <f>'Sta. Klimatologi Kalbar'!V71</f>
        <v>0</v>
      </c>
      <c r="H308" s="131">
        <f>'Sta. Klimatologi Kalbar'!W71</f>
        <v>0</v>
      </c>
      <c r="I308" s="131">
        <f>'Sta. Klimatologi Kalbar'!X71</f>
        <v>0</v>
      </c>
      <c r="J308" s="131">
        <f>'Sta. Klimatologi Kalbar'!Y71</f>
        <v>6.6</v>
      </c>
      <c r="K308" s="131">
        <f>'Sta. Klimatologi Kalbar'!Z71</f>
        <v>1.3</v>
      </c>
      <c r="L308" s="131">
        <f>'Sta. Klimatologi Kalbar'!AA71</f>
        <v>2.9</v>
      </c>
      <c r="M308" s="131">
        <f>'Sta. Klimatologi Kalbar'!AB71</f>
        <v>1.2</v>
      </c>
      <c r="O308" s="130">
        <v>19</v>
      </c>
      <c r="P308" s="131">
        <f t="shared" si="411"/>
        <v>5.8748250213405795</v>
      </c>
      <c r="Q308" s="131">
        <f t="shared" si="400"/>
        <v>0</v>
      </c>
      <c r="R308" s="131">
        <f t="shared" si="401"/>
        <v>7.3080291509345461</v>
      </c>
      <c r="S308" s="131">
        <f t="shared" si="402"/>
        <v>26.706863188050647</v>
      </c>
      <c r="T308" s="131">
        <f t="shared" si="403"/>
        <v>0.2196104929574588</v>
      </c>
      <c r="U308" s="131">
        <f t="shared" si="404"/>
        <v>0</v>
      </c>
      <c r="V308" s="131">
        <f t="shared" si="405"/>
        <v>0</v>
      </c>
      <c r="W308" s="131">
        <f t="shared" si="406"/>
        <v>2.2276015891270595</v>
      </c>
      <c r="X308" s="131">
        <f t="shared" si="407"/>
        <v>30.879242299718143</v>
      </c>
      <c r="Y308" s="131">
        <f t="shared" si="408"/>
        <v>33.309731418054746</v>
      </c>
      <c r="Z308" s="131">
        <f t="shared" si="409"/>
        <v>37.247697368955912</v>
      </c>
      <c r="AA308" s="131">
        <f t="shared" si="410"/>
        <v>0.53276873113259782</v>
      </c>
      <c r="AC308" s="130">
        <v>19</v>
      </c>
      <c r="AD308" s="131">
        <f>'Sta. Meteorologi pnk'!Q206</f>
        <v>1.2</v>
      </c>
      <c r="AE308" s="131">
        <f>'Sta. Meteorologi pnk'!R206</f>
        <v>0</v>
      </c>
      <c r="AF308" s="131">
        <f>'Sta. Meteorologi pnk'!S206</f>
        <v>2.5</v>
      </c>
      <c r="AG308" s="131">
        <f>'Sta. Meteorologi pnk'!T206</f>
        <v>37.5</v>
      </c>
      <c r="AH308" s="131">
        <f>'Sta. Meteorologi pnk'!U206</f>
        <v>0</v>
      </c>
      <c r="AI308" s="131">
        <f>'Sta. Meteorologi pnk'!V206</f>
        <v>0</v>
      </c>
      <c r="AJ308" s="131">
        <f>'Sta. Meteorologi pnk'!W206</f>
        <v>0</v>
      </c>
      <c r="AK308" s="131">
        <f>'Sta. Meteorologi pnk'!X206</f>
        <v>2.8</v>
      </c>
      <c r="AL308" s="131">
        <f>'Sta. Meteorologi pnk'!Y206</f>
        <v>39.700000000000003</v>
      </c>
      <c r="AM308" s="131">
        <f>'Sta. Meteorologi pnk'!Z206</f>
        <v>41.9</v>
      </c>
      <c r="AN308" s="131">
        <f>'Sta. Meteorologi pnk'!AA206</f>
        <v>50.3</v>
      </c>
      <c r="AO308" s="131">
        <f>'Sta. Meteorologi pnk'!AB206</f>
        <v>0</v>
      </c>
      <c r="AQ308" s="130">
        <v>19</v>
      </c>
      <c r="AR308" s="131">
        <f>'Sta. Meteorologi Supadio'!Q71</f>
        <v>70.900000000000006</v>
      </c>
      <c r="AS308" s="131">
        <f>'Sta. Meteorologi Supadio'!R71</f>
        <v>0</v>
      </c>
      <c r="AT308" s="131">
        <f>'Sta. Meteorologi Supadio'!S71</f>
        <v>0</v>
      </c>
      <c r="AU308" s="131">
        <f>'Sta. Meteorologi Supadio'!T71</f>
        <v>1.4</v>
      </c>
      <c r="AV308" s="131">
        <f>'Sta. Meteorologi Supadio'!U71</f>
        <v>0</v>
      </c>
      <c r="AW308" s="131">
        <f>'Sta. Meteorologi Supadio'!V71</f>
        <v>0</v>
      </c>
      <c r="AX308" s="131">
        <f>'Sta. Meteorologi Supadio'!W71</f>
        <v>0</v>
      </c>
      <c r="AY308" s="131">
        <f>'Sta. Meteorologi Supadio'!X71</f>
        <v>3.4</v>
      </c>
      <c r="AZ308" s="131">
        <f>'Sta. Meteorologi Supadio'!Y71</f>
        <v>17.8</v>
      </c>
      <c r="BA308" s="131">
        <f>'Sta. Meteorologi Supadio'!Z71</f>
        <v>46.5</v>
      </c>
      <c r="BB308" s="131">
        <f>'Sta. Meteorologi Supadio'!AA71</f>
        <v>13</v>
      </c>
      <c r="BC308" s="131">
        <f>'Sta. Meteorologi Supadio'!AB71</f>
        <v>3.8</v>
      </c>
    </row>
    <row r="309" spans="1:55">
      <c r="A309" s="130">
        <v>20</v>
      </c>
      <c r="B309" s="131">
        <f>'Sta. Klimatologi Kalbar'!Q72</f>
        <v>6.5</v>
      </c>
      <c r="C309" s="131">
        <f>'Sta. Klimatologi Kalbar'!R72</f>
        <v>0</v>
      </c>
      <c r="D309" s="131">
        <f>'Sta. Klimatologi Kalbar'!S72</f>
        <v>35.299999999999997</v>
      </c>
      <c r="E309" s="131">
        <f>'Sta. Klimatologi Kalbar'!T72</f>
        <v>0</v>
      </c>
      <c r="F309" s="131">
        <f>'Sta. Klimatologi Kalbar'!U72</f>
        <v>36.4</v>
      </c>
      <c r="G309" s="131">
        <f>'Sta. Klimatologi Kalbar'!V72</f>
        <v>0.2</v>
      </c>
      <c r="H309" s="131">
        <f>'Sta. Klimatologi Kalbar'!W72</f>
        <v>58.5</v>
      </c>
      <c r="I309" s="131">
        <f>'Sta. Klimatologi Kalbar'!X72</f>
        <v>0</v>
      </c>
      <c r="J309" s="131">
        <f>'Sta. Klimatologi Kalbar'!Y72</f>
        <v>30.1</v>
      </c>
      <c r="K309" s="131">
        <f>'Sta. Klimatologi Kalbar'!Z72</f>
        <v>0</v>
      </c>
      <c r="L309" s="131">
        <f>'Sta. Klimatologi Kalbar'!AA72</f>
        <v>26.8</v>
      </c>
      <c r="M309" s="131">
        <f>'Sta. Klimatologi Kalbar'!AB72</f>
        <v>0</v>
      </c>
      <c r="O309" s="130">
        <v>20</v>
      </c>
      <c r="P309" s="131">
        <f t="shared" si="411"/>
        <v>4.3577268700578973</v>
      </c>
      <c r="Q309" s="131">
        <f t="shared" si="400"/>
        <v>0</v>
      </c>
      <c r="R309" s="131">
        <f t="shared" si="401"/>
        <v>7.9506349253020359</v>
      </c>
      <c r="S309" s="131">
        <f t="shared" si="402"/>
        <v>7.0953789136263407E-2</v>
      </c>
      <c r="T309" s="131">
        <f t="shared" si="403"/>
        <v>24.928887287212781</v>
      </c>
      <c r="U309" s="131">
        <f t="shared" si="404"/>
        <v>0.98038950704254091</v>
      </c>
      <c r="V309" s="131">
        <f t="shared" si="405"/>
        <v>88.501121603717834</v>
      </c>
      <c r="W309" s="131">
        <f t="shared" si="406"/>
        <v>0</v>
      </c>
      <c r="X309" s="131">
        <f t="shared" si="407"/>
        <v>13.448238945701991</v>
      </c>
      <c r="Y309" s="131">
        <f t="shared" si="408"/>
        <v>1.0985065634076301</v>
      </c>
      <c r="Z309" s="131">
        <f t="shared" si="409"/>
        <v>13.12264335624605</v>
      </c>
      <c r="AA309" s="131">
        <f t="shared" si="410"/>
        <v>4.6329452581920236</v>
      </c>
      <c r="AC309" s="130">
        <v>20</v>
      </c>
      <c r="AD309" s="131">
        <f>'Sta. Meteorologi pnk'!Q207</f>
        <v>4</v>
      </c>
      <c r="AE309" s="131">
        <f>'Sta. Meteorologi pnk'!R207</f>
        <v>0</v>
      </c>
      <c r="AF309" s="131">
        <f>'Sta. Meteorologi pnk'!S207</f>
        <v>0</v>
      </c>
      <c r="AG309" s="131">
        <f>'Sta. Meteorologi pnk'!T207</f>
        <v>0.1</v>
      </c>
      <c r="AH309" s="131">
        <f>'Sta. Meteorologi pnk'!U207</f>
        <v>22.3</v>
      </c>
      <c r="AI309" s="131">
        <f>'Sta. Meteorologi pnk'!V207</f>
        <v>1.2</v>
      </c>
      <c r="AJ309" s="131">
        <f>'Sta. Meteorologi pnk'!W207</f>
        <v>102.6</v>
      </c>
      <c r="AK309" s="131">
        <f>'Sta. Meteorologi pnk'!X207</f>
        <v>0</v>
      </c>
      <c r="AL309" s="131">
        <f>'Sta. Meteorologi pnk'!Y207</f>
        <v>7.7</v>
      </c>
      <c r="AM309" s="131">
        <f>'Sta. Meteorologi pnk'!Z207</f>
        <v>0.3</v>
      </c>
      <c r="AN309" s="131">
        <f>'Sta. Meteorologi pnk'!AA207</f>
        <v>10</v>
      </c>
      <c r="AO309" s="131">
        <f>'Sta. Meteorologi pnk'!AB207</f>
        <v>6.2</v>
      </c>
      <c r="AQ309" s="130">
        <v>20</v>
      </c>
      <c r="AR309" s="131">
        <f>'Sta. Meteorologi Supadio'!Q72</f>
        <v>1.3</v>
      </c>
      <c r="AS309" s="131">
        <f>'Sta. Meteorologi Supadio'!R72</f>
        <v>0</v>
      </c>
      <c r="AT309" s="131">
        <f>'Sta. Meteorologi Supadio'!S72</f>
        <v>2.8</v>
      </c>
      <c r="AU309" s="131">
        <f>'Sta. Meteorologi Supadio'!T72</f>
        <v>0</v>
      </c>
      <c r="AV309" s="131">
        <f>'Sta. Meteorologi Supadio'!U72</f>
        <v>15.7</v>
      </c>
      <c r="AW309" s="131">
        <f>'Sta. Meteorologi Supadio'!V72</f>
        <v>1.2</v>
      </c>
      <c r="AX309" s="131">
        <f>'Sta. Meteorologi Supadio'!W72</f>
        <v>40.299999999999997</v>
      </c>
      <c r="AY309" s="131">
        <f>'Sta. Meteorologi Supadio'!X72</f>
        <v>0</v>
      </c>
      <c r="AZ309" s="131">
        <f>'Sta. Meteorologi Supadio'!Y72</f>
        <v>19.399999999999999</v>
      </c>
      <c r="BA309" s="131">
        <f>'Sta. Meteorologi Supadio'!Z72</f>
        <v>12.5</v>
      </c>
      <c r="BB309" s="131">
        <f>'Sta. Meteorologi Supadio'!AA72</f>
        <v>2</v>
      </c>
      <c r="BC309" s="131">
        <f>'Sta. Meteorologi Supadio'!AB72</f>
        <v>3.3</v>
      </c>
    </row>
    <row r="310" spans="1:55">
      <c r="A310" s="130">
        <v>21</v>
      </c>
      <c r="B310" s="131">
        <f>'Sta. Klimatologi Kalbar'!Q73</f>
        <v>25.5</v>
      </c>
      <c r="C310" s="131">
        <f>'Sta. Klimatologi Kalbar'!R73</f>
        <v>0</v>
      </c>
      <c r="D310" s="131">
        <f>'Sta. Klimatologi Kalbar'!S73</f>
        <v>6</v>
      </c>
      <c r="E310" s="131">
        <f>'Sta. Klimatologi Kalbar'!T73</f>
        <v>0</v>
      </c>
      <c r="F310" s="131">
        <f>'Sta. Klimatologi Kalbar'!U73</f>
        <v>0</v>
      </c>
      <c r="G310" s="131">
        <f>'Sta. Klimatologi Kalbar'!V73</f>
        <v>0</v>
      </c>
      <c r="H310" s="131">
        <f>'Sta. Klimatologi Kalbar'!W73</f>
        <v>8.6</v>
      </c>
      <c r="I310" s="131">
        <f>'Sta. Klimatologi Kalbar'!X73</f>
        <v>0</v>
      </c>
      <c r="J310" s="131">
        <f>'Sta. Klimatologi Kalbar'!Y73</f>
        <v>3.6</v>
      </c>
      <c r="K310" s="131">
        <f>'Sta. Klimatologi Kalbar'!Z73</f>
        <v>11.6</v>
      </c>
      <c r="L310" s="131">
        <f>'Sta. Klimatologi Kalbar'!AA73</f>
        <v>0</v>
      </c>
      <c r="M310" s="131">
        <f>'Sta. Klimatologi Kalbar'!AB73</f>
        <v>4.0999999999999996</v>
      </c>
      <c r="O310" s="130">
        <v>21</v>
      </c>
      <c r="P310" s="131">
        <f t="shared" si="411"/>
        <v>16.820134424632055</v>
      </c>
      <c r="Q310" s="131">
        <f t="shared" si="400"/>
        <v>0</v>
      </c>
      <c r="R310" s="131">
        <f t="shared" si="401"/>
        <v>3.1608266999859014</v>
      </c>
      <c r="S310" s="131">
        <f t="shared" si="402"/>
        <v>0</v>
      </c>
      <c r="T310" s="131">
        <f t="shared" si="403"/>
        <v>0</v>
      </c>
      <c r="U310" s="131">
        <f t="shared" si="404"/>
        <v>0</v>
      </c>
      <c r="V310" s="131">
        <f t="shared" si="405"/>
        <v>11.349451382205823</v>
      </c>
      <c r="W310" s="131">
        <f t="shared" si="406"/>
        <v>0</v>
      </c>
      <c r="X310" s="131">
        <f t="shared" si="407"/>
        <v>11.872639641932716</v>
      </c>
      <c r="Y310" s="131">
        <f t="shared" si="408"/>
        <v>24.614007966228083</v>
      </c>
      <c r="Z310" s="131">
        <f t="shared" si="409"/>
        <v>4.9667652395384376</v>
      </c>
      <c r="AA310" s="131">
        <f t="shared" si="410"/>
        <v>23.022997520852932</v>
      </c>
      <c r="AC310" s="130">
        <v>21</v>
      </c>
      <c r="AD310" s="131">
        <f>'Sta. Meteorologi pnk'!Q208</f>
        <v>11.1</v>
      </c>
      <c r="AE310" s="131">
        <f>'Sta. Meteorologi pnk'!R208</f>
        <v>0</v>
      </c>
      <c r="AF310" s="131">
        <f>'Sta. Meteorologi pnk'!S208</f>
        <v>1</v>
      </c>
      <c r="AG310" s="131">
        <f>'Sta. Meteorologi pnk'!T208</f>
        <v>0</v>
      </c>
      <c r="AH310" s="131">
        <f>'Sta. Meteorologi pnk'!U208</f>
        <v>0</v>
      </c>
      <c r="AI310" s="131">
        <f>'Sta. Meteorologi pnk'!V208</f>
        <v>0</v>
      </c>
      <c r="AJ310" s="131">
        <f>'Sta. Meteorologi pnk'!W208</f>
        <v>9</v>
      </c>
      <c r="AK310" s="131">
        <f>'Sta. Meteorologi pnk'!X208</f>
        <v>0</v>
      </c>
      <c r="AL310" s="131">
        <f>'Sta. Meteorologi pnk'!Y208</f>
        <v>14.7</v>
      </c>
      <c r="AM310" s="131">
        <f>'Sta. Meteorologi pnk'!Z208</f>
        <v>31</v>
      </c>
      <c r="AN310" s="131">
        <f>'Sta. Meteorologi pnk'!AA208</f>
        <v>7</v>
      </c>
      <c r="AO310" s="131">
        <f>'Sta. Meteorologi pnk'!AB208</f>
        <v>30.4</v>
      </c>
      <c r="AQ310" s="130">
        <v>21</v>
      </c>
      <c r="AR310" s="131">
        <f>'Sta. Meteorologi Supadio'!Q73</f>
        <v>47.2</v>
      </c>
      <c r="AS310" s="131">
        <f>'Sta. Meteorologi Supadio'!R73</f>
        <v>0</v>
      </c>
      <c r="AT310" s="131">
        <f>'Sta. Meteorologi Supadio'!S73</f>
        <v>16</v>
      </c>
      <c r="AU310" s="131">
        <f>'Sta. Meteorologi Supadio'!T73</f>
        <v>0</v>
      </c>
      <c r="AV310" s="131">
        <f>'Sta. Meteorologi Supadio'!U73</f>
        <v>0</v>
      </c>
      <c r="AW310" s="131">
        <f>'Sta. Meteorologi Supadio'!V73</f>
        <v>0</v>
      </c>
      <c r="AX310" s="131">
        <f>'Sta. Meteorologi Supadio'!W73</f>
        <v>43.4</v>
      </c>
      <c r="AY310" s="131">
        <f>'Sta. Meteorologi Supadio'!X73</f>
        <v>0</v>
      </c>
      <c r="AZ310" s="131">
        <f>'Sta. Meteorologi Supadio'!Y73</f>
        <v>9.1999999999999993</v>
      </c>
      <c r="BA310" s="131">
        <f>'Sta. Meteorologi Supadio'!Z73</f>
        <v>1</v>
      </c>
      <c r="BB310" s="131">
        <f>'Sta. Meteorologi Supadio'!AA73</f>
        <v>0</v>
      </c>
      <c r="BC310" s="131">
        <f>'Sta. Meteorologi Supadio'!AB73</f>
        <v>7.8</v>
      </c>
    </row>
    <row r="311" spans="1:55">
      <c r="A311" s="130">
        <v>22</v>
      </c>
      <c r="B311" s="131">
        <f>'Sta. Klimatologi Kalbar'!Q74</f>
        <v>2.6</v>
      </c>
      <c r="C311" s="131">
        <f>'Sta. Klimatologi Kalbar'!R74</f>
        <v>0</v>
      </c>
      <c r="D311" s="131">
        <f>'Sta. Klimatologi Kalbar'!S74</f>
        <v>0</v>
      </c>
      <c r="E311" s="131">
        <f>'Sta. Klimatologi Kalbar'!T74</f>
        <v>12</v>
      </c>
      <c r="F311" s="131">
        <f>'Sta. Klimatologi Kalbar'!U74</f>
        <v>0</v>
      </c>
      <c r="G311" s="131">
        <f>'Sta. Klimatologi Kalbar'!V74</f>
        <v>0</v>
      </c>
      <c r="H311" s="131">
        <f>'Sta. Klimatologi Kalbar'!W74</f>
        <v>0</v>
      </c>
      <c r="I311" s="131">
        <f>'Sta. Klimatologi Kalbar'!X74</f>
        <v>0</v>
      </c>
      <c r="J311" s="131">
        <f>'Sta. Klimatologi Kalbar'!Y74</f>
        <v>0</v>
      </c>
      <c r="K311" s="131">
        <f>'Sta. Klimatologi Kalbar'!Z74</f>
        <v>7</v>
      </c>
      <c r="L311" s="131">
        <f>'Sta. Klimatologi Kalbar'!AA74</f>
        <v>15</v>
      </c>
      <c r="M311" s="131">
        <f>'Sta. Klimatologi Kalbar'!AB74</f>
        <v>63.9</v>
      </c>
      <c r="O311" s="130">
        <v>22</v>
      </c>
      <c r="P311" s="131">
        <f t="shared" si="411"/>
        <v>1.8481554861421341</v>
      </c>
      <c r="Q311" s="131">
        <f t="shared" si="400"/>
        <v>0</v>
      </c>
      <c r="R311" s="131">
        <f t="shared" si="401"/>
        <v>0.70953789136263401</v>
      </c>
      <c r="S311" s="131">
        <f t="shared" si="402"/>
        <v>28.249439446767873</v>
      </c>
      <c r="T311" s="131">
        <f t="shared" si="403"/>
        <v>1.4170323135981436E-2</v>
      </c>
      <c r="U311" s="131">
        <f t="shared" si="404"/>
        <v>0.72278865339140952</v>
      </c>
      <c r="V311" s="131">
        <f t="shared" si="405"/>
        <v>9.2107100383879342E-2</v>
      </c>
      <c r="W311" s="131">
        <f t="shared" si="406"/>
        <v>0</v>
      </c>
      <c r="X311" s="131">
        <f t="shared" si="407"/>
        <v>0</v>
      </c>
      <c r="Y311" s="131">
        <f t="shared" si="408"/>
        <v>4.0348263936074114</v>
      </c>
      <c r="Z311" s="131">
        <f t="shared" si="409"/>
        <v>13.850569050683804</v>
      </c>
      <c r="AA311" s="131">
        <f t="shared" si="410"/>
        <v>28.138539868049335</v>
      </c>
      <c r="AC311" s="130">
        <v>22</v>
      </c>
      <c r="AD311" s="131">
        <f>'Sta. Meteorologi pnk'!Q209</f>
        <v>1.8</v>
      </c>
      <c r="AE311" s="131">
        <f>'Sta. Meteorologi pnk'!R209</f>
        <v>0</v>
      </c>
      <c r="AF311" s="131">
        <f>'Sta. Meteorologi pnk'!S209</f>
        <v>1</v>
      </c>
      <c r="AG311" s="131">
        <f>'Sta. Meteorologi pnk'!T209</f>
        <v>35.9</v>
      </c>
      <c r="AH311" s="131">
        <f>'Sta. Meteorologi pnk'!U209</f>
        <v>0</v>
      </c>
      <c r="AI311" s="131">
        <f>'Sta. Meteorologi pnk'!V209</f>
        <v>0.1</v>
      </c>
      <c r="AJ311" s="131">
        <f>'Sta. Meteorologi pnk'!W209</f>
        <v>0</v>
      </c>
      <c r="AK311" s="131">
        <f>'Sta. Meteorologi pnk'!X209</f>
        <v>0</v>
      </c>
      <c r="AL311" s="131">
        <f>'Sta. Meteorologi pnk'!Y209</f>
        <v>0</v>
      </c>
      <c r="AM311" s="131">
        <f>'Sta. Meteorologi pnk'!Z209</f>
        <v>3.5</v>
      </c>
      <c r="AN311" s="131">
        <f>'Sta. Meteorologi pnk'!AA209</f>
        <v>13.4</v>
      </c>
      <c r="AO311" s="131">
        <f>'Sta. Meteorologi pnk'!AB209</f>
        <v>19.7</v>
      </c>
      <c r="AQ311" s="130">
        <v>22</v>
      </c>
      <c r="AR311" s="131">
        <f>'Sta. Meteorologi Supadio'!Q74</f>
        <v>0</v>
      </c>
      <c r="AS311" s="131">
        <f>'Sta. Meteorologi Supadio'!R74</f>
        <v>0</v>
      </c>
      <c r="AT311" s="131">
        <f>'Sta. Meteorologi Supadio'!S74</f>
        <v>0</v>
      </c>
      <c r="AU311" s="131">
        <f>'Sta. Meteorologi Supadio'!T74</f>
        <v>2</v>
      </c>
      <c r="AV311" s="131">
        <f>'Sta. Meteorologi Supadio'!U74</f>
        <v>0.2</v>
      </c>
      <c r="AW311" s="131">
        <f>'Sta. Meteorologi Supadio'!V74</f>
        <v>9.1999999999999993</v>
      </c>
      <c r="AX311" s="131">
        <f>'Sta. Meteorologi Supadio'!W74</f>
        <v>1.3</v>
      </c>
      <c r="AY311" s="131">
        <f>'Sta. Meteorologi Supadio'!X74</f>
        <v>0</v>
      </c>
      <c r="AZ311" s="131">
        <f>'Sta. Meteorologi Supadio'!Y74</f>
        <v>0</v>
      </c>
      <c r="BA311" s="131">
        <f>'Sta. Meteorologi Supadio'!Z74</f>
        <v>0.2</v>
      </c>
      <c r="BB311" s="131">
        <f>'Sta. Meteorologi Supadio'!AA74</f>
        <v>14.8</v>
      </c>
      <c r="BC311" s="131">
        <f>'Sta. Meteorologi Supadio'!AB74</f>
        <v>1.8</v>
      </c>
    </row>
    <row r="312" spans="1:55">
      <c r="A312" s="130">
        <v>23</v>
      </c>
      <c r="B312" s="131">
        <f>'Sta. Klimatologi Kalbar'!Q75</f>
        <v>1</v>
      </c>
      <c r="C312" s="131">
        <f>'Sta. Klimatologi Kalbar'!R75</f>
        <v>0</v>
      </c>
      <c r="D312" s="131">
        <f>'Sta. Klimatologi Kalbar'!S75</f>
        <v>0</v>
      </c>
      <c r="E312" s="131">
        <f>'Sta. Klimatologi Kalbar'!T75</f>
        <v>30</v>
      </c>
      <c r="F312" s="131">
        <f>'Sta. Klimatologi Kalbar'!U75</f>
        <v>1.4</v>
      </c>
      <c r="G312" s="131">
        <f>'Sta. Klimatologi Kalbar'!V75</f>
        <v>0.8</v>
      </c>
      <c r="H312" s="131">
        <f>'Sta. Klimatologi Kalbar'!W75</f>
        <v>0</v>
      </c>
      <c r="I312" s="131">
        <f>'Sta. Klimatologi Kalbar'!X75</f>
        <v>0</v>
      </c>
      <c r="J312" s="131">
        <f>'Sta. Klimatologi Kalbar'!Y75</f>
        <v>0</v>
      </c>
      <c r="K312" s="131">
        <f>'Sta. Klimatologi Kalbar'!Z75</f>
        <v>3.6</v>
      </c>
      <c r="L312" s="131">
        <f>'Sta. Klimatologi Kalbar'!AA75</f>
        <v>5.8</v>
      </c>
      <c r="M312" s="131">
        <f>'Sta. Klimatologi Kalbar'!AB75</f>
        <v>0.8</v>
      </c>
      <c r="O312" s="130">
        <v>23</v>
      </c>
      <c r="P312" s="131">
        <f t="shared" si="411"/>
        <v>1.801849338659226</v>
      </c>
      <c r="Q312" s="131">
        <f t="shared" si="400"/>
        <v>0</v>
      </c>
      <c r="R312" s="131">
        <f t="shared" si="401"/>
        <v>17.02161988422251</v>
      </c>
      <c r="S312" s="131">
        <f t="shared" si="402"/>
        <v>43.35082617088824</v>
      </c>
      <c r="T312" s="131">
        <f t="shared" si="403"/>
        <v>0.34288049798039588</v>
      </c>
      <c r="U312" s="131">
        <f t="shared" si="404"/>
        <v>23.400605068465538</v>
      </c>
      <c r="V312" s="131">
        <f t="shared" si="405"/>
        <v>0</v>
      </c>
      <c r="W312" s="131">
        <f t="shared" si="406"/>
        <v>0</v>
      </c>
      <c r="X312" s="131">
        <f t="shared" si="407"/>
        <v>0</v>
      </c>
      <c r="Y312" s="131">
        <f t="shared" si="408"/>
        <v>18.384583144031268</v>
      </c>
      <c r="Z312" s="131">
        <f t="shared" si="409"/>
        <v>10.262186166365755</v>
      </c>
      <c r="AA312" s="131">
        <f t="shared" si="410"/>
        <v>10.109218873442844</v>
      </c>
      <c r="AC312" s="130">
        <v>23</v>
      </c>
      <c r="AD312" s="131">
        <f>'Sta. Meteorologi pnk'!Q210</f>
        <v>2.2000000000000002</v>
      </c>
      <c r="AE312" s="131">
        <f>'Sta. Meteorologi pnk'!R210</f>
        <v>0</v>
      </c>
      <c r="AF312" s="131">
        <f>'Sta. Meteorologi pnk'!S210</f>
        <v>23.8</v>
      </c>
      <c r="AG312" s="131">
        <f>'Sta. Meteorologi pnk'!T210</f>
        <v>46.2</v>
      </c>
      <c r="AH312" s="131">
        <f>'Sta. Meteorologi pnk'!U210</f>
        <v>0</v>
      </c>
      <c r="AI312" s="131">
        <f>'Sta. Meteorologi pnk'!V210</f>
        <v>27.5</v>
      </c>
      <c r="AJ312" s="131">
        <f>'Sta. Meteorologi pnk'!W210</f>
        <v>0</v>
      </c>
      <c r="AK312" s="131">
        <f>'Sta. Meteorologi pnk'!X210</f>
        <v>0</v>
      </c>
      <c r="AL312" s="131">
        <f>'Sta. Meteorologi pnk'!Y210</f>
        <v>0</v>
      </c>
      <c r="AM312" s="131">
        <f>'Sta. Meteorologi pnk'!Z210</f>
        <v>22.3</v>
      </c>
      <c r="AN312" s="131">
        <f>'Sta. Meteorologi pnk'!AA210</f>
        <v>11.3</v>
      </c>
      <c r="AO312" s="131">
        <f>'Sta. Meteorologi pnk'!AB210</f>
        <v>14</v>
      </c>
      <c r="AQ312" s="130">
        <v>23</v>
      </c>
      <c r="AR312" s="131">
        <f>'Sta. Meteorologi Supadio'!Q75</f>
        <v>0.3</v>
      </c>
      <c r="AS312" s="131">
        <f>'Sta. Meteorologi Supadio'!R75</f>
        <v>0</v>
      </c>
      <c r="AT312" s="131">
        <f>'Sta. Meteorologi Supadio'!S75</f>
        <v>1.9</v>
      </c>
      <c r="AU312" s="131">
        <f>'Sta. Meteorologi Supadio'!T75</f>
        <v>56.2</v>
      </c>
      <c r="AV312" s="131">
        <f>'Sta. Meteorologi Supadio'!U75</f>
        <v>0.5</v>
      </c>
      <c r="AW312" s="131">
        <f>'Sta. Meteorologi Supadio'!V75</f>
        <v>52.4</v>
      </c>
      <c r="AX312" s="131">
        <f>'Sta. Meteorologi Supadio'!W75</f>
        <v>0</v>
      </c>
      <c r="AY312" s="131">
        <f>'Sta. Meteorologi Supadio'!X75</f>
        <v>0</v>
      </c>
      <c r="AZ312" s="131">
        <f>'Sta. Meteorologi Supadio'!Y75</f>
        <v>0</v>
      </c>
      <c r="BA312" s="131">
        <f>'Sta. Meteorologi Supadio'!Z75</f>
        <v>25</v>
      </c>
      <c r="BB312" s="131">
        <f>'Sta. Meteorologi Supadio'!AA75</f>
        <v>13.7</v>
      </c>
      <c r="BC312" s="131">
        <f>'Sta. Meteorologi Supadio'!AB75</f>
        <v>0</v>
      </c>
    </row>
    <row r="313" spans="1:55">
      <c r="A313" s="130">
        <v>24</v>
      </c>
      <c r="B313" s="131">
        <f>'Sta. Klimatologi Kalbar'!Q76</f>
        <v>32.5</v>
      </c>
      <c r="C313" s="131">
        <f>'Sta. Klimatologi Kalbar'!R76</f>
        <v>0</v>
      </c>
      <c r="D313" s="131">
        <f>'Sta. Klimatologi Kalbar'!S76</f>
        <v>2.2000000000000002</v>
      </c>
      <c r="E313" s="131">
        <f>'Sta. Klimatologi Kalbar'!T76</f>
        <v>1</v>
      </c>
      <c r="F313" s="131">
        <f>'Sta. Klimatologi Kalbar'!U76</f>
        <v>2.9</v>
      </c>
      <c r="G313" s="131">
        <f>'Sta. Klimatologi Kalbar'!V76</f>
        <v>0</v>
      </c>
      <c r="H313" s="131">
        <f>'Sta. Klimatologi Kalbar'!W76</f>
        <v>0</v>
      </c>
      <c r="I313" s="131">
        <f>'Sta. Klimatologi Kalbar'!X76</f>
        <v>18.3</v>
      </c>
      <c r="J313" s="131">
        <f>'Sta. Klimatologi Kalbar'!Y76</f>
        <v>0</v>
      </c>
      <c r="K313" s="131">
        <f>'Sta. Klimatologi Kalbar'!Z76</f>
        <v>0</v>
      </c>
      <c r="L313" s="131">
        <f>'Sta. Klimatologi Kalbar'!AA76</f>
        <v>12.8</v>
      </c>
      <c r="M313" s="131">
        <f>'Sta. Klimatologi Kalbar'!AB76</f>
        <v>11.5</v>
      </c>
      <c r="O313" s="130">
        <v>24</v>
      </c>
      <c r="P313" s="131">
        <f t="shared" si="411"/>
        <v>22.562449563045814</v>
      </c>
      <c r="Q313" s="131">
        <f t="shared" si="400"/>
        <v>0</v>
      </c>
      <c r="R313" s="131">
        <f t="shared" si="401"/>
        <v>15.644807586565943</v>
      </c>
      <c r="S313" s="131">
        <f t="shared" si="402"/>
        <v>0.47498282977419326</v>
      </c>
      <c r="T313" s="131">
        <f t="shared" si="403"/>
        <v>5.0923801281998182</v>
      </c>
      <c r="U313" s="131">
        <f t="shared" si="404"/>
        <v>0</v>
      </c>
      <c r="V313" s="131">
        <f t="shared" si="405"/>
        <v>0</v>
      </c>
      <c r="W313" s="131">
        <f t="shared" si="406"/>
        <v>25.11824022482385</v>
      </c>
      <c r="X313" s="131">
        <f t="shared" si="407"/>
        <v>0</v>
      </c>
      <c r="Y313" s="131">
        <f t="shared" si="408"/>
        <v>2.8340646271962873E-2</v>
      </c>
      <c r="Z313" s="131">
        <f t="shared" si="409"/>
        <v>40.936533222939424</v>
      </c>
      <c r="AA313" s="131">
        <f t="shared" si="410"/>
        <v>5.1470304491673415</v>
      </c>
      <c r="AC313" s="130">
        <v>24</v>
      </c>
      <c r="AD313" s="131">
        <f>'Sta. Meteorologi pnk'!Q211</f>
        <v>21.5</v>
      </c>
      <c r="AE313" s="131">
        <f>'Sta. Meteorologi pnk'!R211</f>
        <v>0</v>
      </c>
      <c r="AF313" s="131">
        <f>'Sta. Meteorologi pnk'!S211</f>
        <v>13.3</v>
      </c>
      <c r="AG313" s="131">
        <f>'Sta. Meteorologi pnk'!T211</f>
        <v>0.3</v>
      </c>
      <c r="AH313" s="131">
        <f>'Sta. Meteorologi pnk'!U211</f>
        <v>5.9</v>
      </c>
      <c r="AI313" s="131">
        <f>'Sta. Meteorologi pnk'!V211</f>
        <v>0</v>
      </c>
      <c r="AJ313" s="131">
        <f>'Sta. Meteorologi pnk'!W211</f>
        <v>0</v>
      </c>
      <c r="AK313" s="131">
        <f>'Sta. Meteorologi pnk'!X211</f>
        <v>27.5</v>
      </c>
      <c r="AL313" s="131">
        <f>'Sta. Meteorologi pnk'!Y211</f>
        <v>0</v>
      </c>
      <c r="AM313" s="131">
        <f>'Sta. Meteorologi pnk'!Z211</f>
        <v>0</v>
      </c>
      <c r="AN313" s="131">
        <f>'Sta. Meteorologi pnk'!AA211</f>
        <v>48.8</v>
      </c>
      <c r="AO313" s="131">
        <f>'Sta. Meteorologi pnk'!AB211</f>
        <v>0</v>
      </c>
      <c r="AQ313" s="130">
        <v>24</v>
      </c>
      <c r="AR313" s="131">
        <f>'Sta. Meteorologi Supadio'!Q76</f>
        <v>2.4</v>
      </c>
      <c r="AS313" s="131">
        <f>'Sta. Meteorologi Supadio'!R76</f>
        <v>0</v>
      </c>
      <c r="AT313" s="131">
        <f>'Sta. Meteorologi Supadio'!S76</f>
        <v>80.8</v>
      </c>
      <c r="AU313" s="131">
        <f>'Sta. Meteorologi Supadio'!T76</f>
        <v>0.6</v>
      </c>
      <c r="AV313" s="131">
        <f>'Sta. Meteorologi Supadio'!U76</f>
        <v>3.8</v>
      </c>
      <c r="AW313" s="131">
        <f>'Sta. Meteorologi Supadio'!V76</f>
        <v>0</v>
      </c>
      <c r="AX313" s="131">
        <f>'Sta. Meteorologi Supadio'!W76</f>
        <v>0</v>
      </c>
      <c r="AY313" s="131">
        <f>'Sta. Meteorologi Supadio'!X76</f>
        <v>22.4</v>
      </c>
      <c r="AZ313" s="131">
        <f>'Sta. Meteorologi Supadio'!Y76</f>
        <v>0</v>
      </c>
      <c r="BA313" s="131">
        <f>'Sta. Meteorologi Supadio'!Z76</f>
        <v>0.4</v>
      </c>
      <c r="BB313" s="131">
        <f>'Sta. Meteorologi Supadio'!AA76</f>
        <v>49.4</v>
      </c>
      <c r="BC313" s="131">
        <f>'Sta. Meteorologi Supadio'!AB76</f>
        <v>37</v>
      </c>
    </row>
    <row r="314" spans="1:55">
      <c r="A314" s="130">
        <v>25</v>
      </c>
      <c r="B314" s="131">
        <f>'Sta. Klimatologi Kalbar'!Q77</f>
        <v>0</v>
      </c>
      <c r="C314" s="131">
        <f>'Sta. Klimatologi Kalbar'!R77</f>
        <v>1.3</v>
      </c>
      <c r="D314" s="131">
        <f>'Sta. Klimatologi Kalbar'!S77</f>
        <v>12</v>
      </c>
      <c r="E314" s="131">
        <f>'Sta. Klimatologi Kalbar'!T77</f>
        <v>0</v>
      </c>
      <c r="F314" s="131">
        <f>'Sta. Klimatologi Kalbar'!U77</f>
        <v>0</v>
      </c>
      <c r="G314" s="131">
        <f>'Sta. Klimatologi Kalbar'!V77</f>
        <v>0</v>
      </c>
      <c r="H314" s="131">
        <f>'Sta. Klimatologi Kalbar'!W77</f>
        <v>0</v>
      </c>
      <c r="I314" s="131">
        <f>'Sta. Klimatologi Kalbar'!X77</f>
        <v>22.5</v>
      </c>
      <c r="J314" s="131">
        <f>'Sta. Klimatologi Kalbar'!Y77</f>
        <v>0</v>
      </c>
      <c r="K314" s="131">
        <f>'Sta. Klimatologi Kalbar'!Z77</f>
        <v>1</v>
      </c>
      <c r="L314" s="131">
        <f>'Sta. Klimatologi Kalbar'!AA77</f>
        <v>2</v>
      </c>
      <c r="M314" s="131">
        <f>'Sta. Klimatologi Kalbar'!AB77</f>
        <v>1.8</v>
      </c>
      <c r="O314" s="130">
        <v>25</v>
      </c>
      <c r="P314" s="131">
        <f t="shared" si="411"/>
        <v>10.153170487684587</v>
      </c>
      <c r="Q314" s="131">
        <f t="shared" si="400"/>
        <v>1.9174307909787545</v>
      </c>
      <c r="R314" s="131">
        <f t="shared" si="401"/>
        <v>7.8710207742425222</v>
      </c>
      <c r="S314" s="131">
        <f t="shared" si="402"/>
        <v>5.6539237381771823</v>
      </c>
      <c r="T314" s="131">
        <f t="shared" si="403"/>
        <v>1.9157523066791118</v>
      </c>
      <c r="U314" s="131">
        <f t="shared" si="404"/>
        <v>12.062144153164777</v>
      </c>
      <c r="V314" s="131">
        <f t="shared" si="405"/>
        <v>0</v>
      </c>
      <c r="W314" s="131">
        <f t="shared" si="406"/>
        <v>9.5381425011567558</v>
      </c>
      <c r="X314" s="131">
        <f t="shared" si="407"/>
        <v>0</v>
      </c>
      <c r="Y314" s="131">
        <f t="shared" si="408"/>
        <v>12.205385663799094</v>
      </c>
      <c r="Z314" s="131">
        <f t="shared" si="409"/>
        <v>1.1487588772775514</v>
      </c>
      <c r="AA314" s="131">
        <f t="shared" si="410"/>
        <v>5.1207599397247536</v>
      </c>
      <c r="AC314" s="130">
        <v>25</v>
      </c>
      <c r="AD314" s="131">
        <f>'Sta. Meteorologi pnk'!Q212</f>
        <v>14</v>
      </c>
      <c r="AE314" s="131">
        <f>'Sta. Meteorologi pnk'!R212</f>
        <v>2.2999999999999998</v>
      </c>
      <c r="AF314" s="131">
        <f>'Sta. Meteorologi pnk'!S212</f>
        <v>6.7</v>
      </c>
      <c r="AG314" s="131">
        <f>'Sta. Meteorologi pnk'!T212</f>
        <v>6.9</v>
      </c>
      <c r="AH314" s="131">
        <f>'Sta. Meteorologi pnk'!U212</f>
        <v>2.7</v>
      </c>
      <c r="AI314" s="131">
        <f>'Sta. Meteorologi pnk'!V212</f>
        <v>17</v>
      </c>
      <c r="AJ314" s="131">
        <f>'Sta. Meteorologi pnk'!W212</f>
        <v>0</v>
      </c>
      <c r="AK314" s="131">
        <f>'Sta. Meteorologi pnk'!X212</f>
        <v>5.6</v>
      </c>
      <c r="AL314" s="131">
        <f>'Sta. Meteorologi pnk'!Y212</f>
        <v>0</v>
      </c>
      <c r="AM314" s="131">
        <f>'Sta. Meteorologi pnk'!Z212</f>
        <v>11.6</v>
      </c>
      <c r="AN314" s="131">
        <f>'Sta. Meteorologi pnk'!AA212</f>
        <v>1</v>
      </c>
      <c r="AO314" s="131">
        <f>'Sta. Meteorologi pnk'!AB212</f>
        <v>6.6</v>
      </c>
      <c r="AQ314" s="130">
        <v>25</v>
      </c>
      <c r="AR314" s="131">
        <f>'Sta. Meteorologi Supadio'!Q77</f>
        <v>3.1</v>
      </c>
      <c r="AS314" s="131">
        <f>'Sta. Meteorologi Supadio'!R77</f>
        <v>0</v>
      </c>
      <c r="AT314" s="131">
        <f>'Sta. Meteorologi Supadio'!S77</f>
        <v>6.8</v>
      </c>
      <c r="AU314" s="131">
        <f>'Sta. Meteorologi Supadio'!T77</f>
        <v>10.7</v>
      </c>
      <c r="AV314" s="131">
        <f>'Sta. Meteorologi Supadio'!U77</f>
        <v>0</v>
      </c>
      <c r="AW314" s="131">
        <f>'Sta. Meteorologi Supadio'!V77</f>
        <v>0</v>
      </c>
      <c r="AX314" s="131">
        <f>'Sta. Meteorologi Supadio'!W77</f>
        <v>0</v>
      </c>
      <c r="AY314" s="131">
        <f>'Sta. Meteorologi Supadio'!X77</f>
        <v>8.8000000000000007</v>
      </c>
      <c r="AZ314" s="131">
        <f>'Sta. Meteorologi Supadio'!Y77</f>
        <v>0</v>
      </c>
      <c r="BA314" s="131">
        <f>'Sta. Meteorologi Supadio'!Z77</f>
        <v>53</v>
      </c>
      <c r="BB314" s="131">
        <f>'Sta. Meteorologi Supadio'!AA77</f>
        <v>0</v>
      </c>
      <c r="BC314" s="131">
        <f>'Sta. Meteorologi Supadio'!AB77</f>
        <v>0.6</v>
      </c>
    </row>
    <row r="315" spans="1:55">
      <c r="A315" s="130">
        <v>26</v>
      </c>
      <c r="B315" s="131">
        <f>'Sta. Klimatologi Kalbar'!Q78</f>
        <v>5.8</v>
      </c>
      <c r="C315" s="131">
        <f>'Sta. Klimatologi Kalbar'!R78</f>
        <v>23.4</v>
      </c>
      <c r="D315" s="131">
        <f>'Sta. Klimatologi Kalbar'!S78</f>
        <v>1.5</v>
      </c>
      <c r="E315" s="131">
        <f>'Sta. Klimatologi Kalbar'!T78</f>
        <v>9.9</v>
      </c>
      <c r="F315" s="131">
        <f>'Sta. Klimatologi Kalbar'!U78</f>
        <v>0</v>
      </c>
      <c r="G315" s="131">
        <f>'Sta. Klimatologi Kalbar'!V78</f>
        <v>0</v>
      </c>
      <c r="H315" s="131">
        <f>'Sta. Klimatologi Kalbar'!W78</f>
        <v>0</v>
      </c>
      <c r="I315" s="131">
        <f>'Sta. Klimatologi Kalbar'!X78</f>
        <v>13.4</v>
      </c>
      <c r="J315" s="131">
        <f>'Sta. Klimatologi Kalbar'!Y78</f>
        <v>0</v>
      </c>
      <c r="K315" s="131">
        <f>'Sta. Klimatologi Kalbar'!Z78</f>
        <v>0</v>
      </c>
      <c r="L315" s="131">
        <f>'Sta. Klimatologi Kalbar'!AA78</f>
        <v>12.3</v>
      </c>
      <c r="M315" s="131">
        <f>'Sta. Klimatologi Kalbar'!AB78</f>
        <v>16</v>
      </c>
      <c r="O315" s="130">
        <v>26</v>
      </c>
      <c r="P315" s="131">
        <f t="shared" si="411"/>
        <v>1.940461260738882</v>
      </c>
      <c r="Q315" s="131">
        <f t="shared" si="400"/>
        <v>29.350580962925584</v>
      </c>
      <c r="R315" s="131">
        <f t="shared" si="401"/>
        <v>1.2658831478872377</v>
      </c>
      <c r="S315" s="131">
        <f t="shared" si="402"/>
        <v>3.0675894520401656</v>
      </c>
      <c r="T315" s="131">
        <f t="shared" si="403"/>
        <v>0</v>
      </c>
      <c r="U315" s="131">
        <f t="shared" si="404"/>
        <v>1.4332461058612496</v>
      </c>
      <c r="V315" s="131">
        <f t="shared" si="405"/>
        <v>0</v>
      </c>
      <c r="W315" s="131">
        <f t="shared" si="406"/>
        <v>21.672639641932715</v>
      </c>
      <c r="X315" s="131">
        <f t="shared" si="407"/>
        <v>0.70953789136263401</v>
      </c>
      <c r="Y315" s="131">
        <f t="shared" si="408"/>
        <v>3.5476894568131701</v>
      </c>
      <c r="Z315" s="131">
        <f t="shared" si="409"/>
        <v>11.058768470668992</v>
      </c>
      <c r="AA315" s="131">
        <f t="shared" si="410"/>
        <v>5.1097683623316641</v>
      </c>
      <c r="AC315" s="130">
        <v>26</v>
      </c>
      <c r="AD315" s="131">
        <f>'Sta. Meteorologi pnk'!Q213</f>
        <v>0.7</v>
      </c>
      <c r="AE315" s="131">
        <f>'Sta. Meteorologi pnk'!R213</f>
        <v>29.4</v>
      </c>
      <c r="AF315" s="131">
        <f>'Sta. Meteorologi pnk'!S213</f>
        <v>1.2</v>
      </c>
      <c r="AG315" s="131">
        <f>'Sta. Meteorologi pnk'!T213</f>
        <v>0.7</v>
      </c>
      <c r="AH315" s="131">
        <f>'Sta. Meteorologi pnk'!U213</f>
        <v>0</v>
      </c>
      <c r="AI315" s="131">
        <f>'Sta. Meteorologi pnk'!V213</f>
        <v>2</v>
      </c>
      <c r="AJ315" s="131">
        <f>'Sta. Meteorologi pnk'!W213</f>
        <v>0</v>
      </c>
      <c r="AK315" s="131">
        <f>'Sta. Meteorologi pnk'!X213</f>
        <v>24.5</v>
      </c>
      <c r="AL315" s="131">
        <f>'Sta. Meteorologi pnk'!Y213</f>
        <v>1</v>
      </c>
      <c r="AM315" s="131">
        <f>'Sta. Meteorologi pnk'!Z213</f>
        <v>5</v>
      </c>
      <c r="AN315" s="131">
        <f>'Sta. Meteorologi pnk'!AA213</f>
        <v>11</v>
      </c>
      <c r="AO315" s="131">
        <f>'Sta. Meteorologi pnk'!AB213</f>
        <v>1.8</v>
      </c>
      <c r="AQ315" s="130">
        <v>26</v>
      </c>
      <c r="AR315" s="131">
        <f>'Sta. Meteorologi Supadio'!Q78</f>
        <v>2.4</v>
      </c>
      <c r="AS315" s="131">
        <f>'Sta. Meteorologi Supadio'!R78</f>
        <v>47.3</v>
      </c>
      <c r="AT315" s="131">
        <f>'Sta. Meteorologi Supadio'!S78</f>
        <v>1.2</v>
      </c>
      <c r="AU315" s="131">
        <f>'Sta. Meteorologi Supadio'!T78</f>
        <v>5.6</v>
      </c>
      <c r="AV315" s="131">
        <f>'Sta. Meteorologi Supadio'!U78</f>
        <v>0</v>
      </c>
      <c r="AW315" s="131">
        <f>'Sta. Meteorologi Supadio'!V78</f>
        <v>0.2</v>
      </c>
      <c r="AX315" s="131">
        <f>'Sta. Meteorologi Supadio'!W78</f>
        <v>0</v>
      </c>
      <c r="AY315" s="131">
        <f>'Sta. Meteorologi Supadio'!X78</f>
        <v>19</v>
      </c>
      <c r="AZ315" s="131">
        <f>'Sta. Meteorologi Supadio'!Y78</f>
        <v>0</v>
      </c>
      <c r="BA315" s="131">
        <f>'Sta. Meteorologi Supadio'!Z78</f>
        <v>0</v>
      </c>
      <c r="BB315" s="131">
        <f>'Sta. Meteorologi Supadio'!AA78</f>
        <v>7.8</v>
      </c>
      <c r="BC315" s="131">
        <f>'Sta. Meteorologi Supadio'!AB78</f>
        <v>4.5</v>
      </c>
    </row>
    <row r="316" spans="1:55">
      <c r="A316" s="130">
        <v>27</v>
      </c>
      <c r="B316" s="131">
        <f>'Sta. Klimatologi Kalbar'!Q79</f>
        <v>38.5</v>
      </c>
      <c r="C316" s="131">
        <f>'Sta. Klimatologi Kalbar'!R79</f>
        <v>15.2</v>
      </c>
      <c r="D316" s="131">
        <f>'Sta. Klimatologi Kalbar'!S79</f>
        <v>0</v>
      </c>
      <c r="E316" s="131">
        <f>'Sta. Klimatologi Kalbar'!T79</f>
        <v>3</v>
      </c>
      <c r="F316" s="131">
        <f>'Sta. Klimatologi Kalbar'!U79</f>
        <v>0</v>
      </c>
      <c r="G316" s="131">
        <f>'Sta. Klimatologi Kalbar'!V79</f>
        <v>0</v>
      </c>
      <c r="H316" s="131">
        <f>'Sta. Klimatologi Kalbar'!W79</f>
        <v>0</v>
      </c>
      <c r="I316" s="131">
        <f>'Sta. Klimatologi Kalbar'!X79</f>
        <v>0</v>
      </c>
      <c r="J316" s="131">
        <f>'Sta. Klimatologi Kalbar'!Y79</f>
        <v>0</v>
      </c>
      <c r="K316" s="131">
        <f>'Sta. Klimatologi Kalbar'!Z79</f>
        <v>10</v>
      </c>
      <c r="L316" s="131">
        <f>'Sta. Klimatologi Kalbar'!AA79</f>
        <v>6.9</v>
      </c>
      <c r="M316" s="131">
        <f>'Sta. Klimatologi Kalbar'!AB79</f>
        <v>5.5</v>
      </c>
      <c r="O316" s="130">
        <v>27</v>
      </c>
      <c r="P316" s="131">
        <f t="shared" si="411"/>
        <v>27.936809702479156</v>
      </c>
      <c r="Q316" s="131">
        <f t="shared" si="400"/>
        <v>3.3380794929533733</v>
      </c>
      <c r="R316" s="131">
        <f t="shared" si="401"/>
        <v>2.8340646271962873E-2</v>
      </c>
      <c r="S316" s="131">
        <f t="shared" si="402"/>
        <v>6.5881569570939895</v>
      </c>
      <c r="T316" s="131">
        <f t="shared" si="403"/>
        <v>5.1796266069472274</v>
      </c>
      <c r="U316" s="131">
        <f t="shared" si="404"/>
        <v>0</v>
      </c>
      <c r="V316" s="131">
        <f t="shared" si="405"/>
        <v>0</v>
      </c>
      <c r="W316" s="131">
        <f t="shared" si="406"/>
        <v>1.0415187504946355</v>
      </c>
      <c r="X316" s="131">
        <f t="shared" si="407"/>
        <v>0</v>
      </c>
      <c r="Y316" s="131">
        <f t="shared" si="408"/>
        <v>6.5100135702943165</v>
      </c>
      <c r="Z316" s="131">
        <f t="shared" si="409"/>
        <v>11.746010972513526</v>
      </c>
      <c r="AA316" s="131">
        <f t="shared" si="410"/>
        <v>6.6002435121656848</v>
      </c>
      <c r="AC316" s="130">
        <v>27</v>
      </c>
      <c r="AD316" s="131">
        <f>'Sta. Meteorologi pnk'!Q214</f>
        <v>25.4</v>
      </c>
      <c r="AE316" s="131">
        <f>'Sta. Meteorologi pnk'!R214</f>
        <v>0</v>
      </c>
      <c r="AF316" s="131">
        <f>'Sta. Meteorologi pnk'!S214</f>
        <v>0</v>
      </c>
      <c r="AG316" s="131">
        <f>'Sta. Meteorologi pnk'!T214</f>
        <v>6</v>
      </c>
      <c r="AH316" s="131">
        <f>'Sta. Meteorologi pnk'!U214</f>
        <v>7.3</v>
      </c>
      <c r="AI316" s="131">
        <f>'Sta. Meteorologi pnk'!V214</f>
        <v>0</v>
      </c>
      <c r="AJ316" s="131">
        <f>'Sta. Meteorologi pnk'!W214</f>
        <v>0</v>
      </c>
      <c r="AK316" s="131">
        <f>'Sta. Meteorologi pnk'!X214</f>
        <v>0</v>
      </c>
      <c r="AL316" s="131">
        <f>'Sta. Meteorologi pnk'!Y214</f>
        <v>0</v>
      </c>
      <c r="AM316" s="131">
        <f>'Sta. Meteorologi pnk'!Z214</f>
        <v>6</v>
      </c>
      <c r="AN316" s="131">
        <f>'Sta. Meteorologi pnk'!AA214</f>
        <v>13.6</v>
      </c>
      <c r="AO316" s="131">
        <f>'Sta. Meteorologi pnk'!AB214</f>
        <v>7.5</v>
      </c>
      <c r="AQ316" s="130">
        <v>27</v>
      </c>
      <c r="AR316" s="131">
        <f>'Sta. Meteorologi Supadio'!Q79</f>
        <v>20.6</v>
      </c>
      <c r="AS316" s="131">
        <f>'Sta. Meteorologi Supadio'!R79</f>
        <v>0</v>
      </c>
      <c r="AT316" s="131">
        <f>'Sta. Meteorologi Supadio'!S79</f>
        <v>0.4</v>
      </c>
      <c r="AU316" s="131">
        <f>'Sta. Meteorologi Supadio'!T79</f>
        <v>23.6</v>
      </c>
      <c r="AV316" s="131">
        <f>'Sta. Meteorologi Supadio'!U79</f>
        <v>0</v>
      </c>
      <c r="AW316" s="131">
        <f>'Sta. Meteorologi Supadio'!V79</f>
        <v>0</v>
      </c>
      <c r="AX316" s="131">
        <f>'Sta. Meteorologi Supadio'!W79</f>
        <v>0</v>
      </c>
      <c r="AY316" s="131">
        <f>'Sta. Meteorologi Supadio'!X79</f>
        <v>14.7</v>
      </c>
      <c r="AZ316" s="131">
        <f>'Sta. Meteorologi Supadio'!Y79</f>
        <v>0</v>
      </c>
      <c r="BA316" s="131">
        <f>'Sta. Meteorologi Supadio'!Z79</f>
        <v>0.8</v>
      </c>
      <c r="BB316" s="131">
        <f>'Sta. Meteorologi Supadio'!AA79</f>
        <v>8.1999999999999993</v>
      </c>
      <c r="BC316" s="131">
        <f>'Sta. Meteorologi Supadio'!AB79</f>
        <v>1</v>
      </c>
    </row>
    <row r="317" spans="1:55">
      <c r="A317" s="130">
        <v>28</v>
      </c>
      <c r="B317" s="131">
        <f>'Sta. Klimatologi Kalbar'!Q80</f>
        <v>30.4</v>
      </c>
      <c r="C317" s="131">
        <f>'Sta. Klimatologi Kalbar'!R80</f>
        <v>0</v>
      </c>
      <c r="D317" s="131">
        <f>'Sta. Klimatologi Kalbar'!S80</f>
        <v>3.2</v>
      </c>
      <c r="E317" s="131">
        <f>'Sta. Klimatologi Kalbar'!T80</f>
        <v>0</v>
      </c>
      <c r="F317" s="131">
        <f>'Sta. Klimatologi Kalbar'!U80</f>
        <v>0</v>
      </c>
      <c r="G317" s="131">
        <f>'Sta. Klimatologi Kalbar'!V80</f>
        <v>0</v>
      </c>
      <c r="H317" s="131">
        <f>'Sta. Klimatologi Kalbar'!W80</f>
        <v>0</v>
      </c>
      <c r="I317" s="131">
        <f>'Sta. Klimatologi Kalbar'!X80</f>
        <v>0</v>
      </c>
      <c r="J317" s="131">
        <f>'Sta. Klimatologi Kalbar'!Y80</f>
        <v>0</v>
      </c>
      <c r="K317" s="131">
        <f>'Sta. Klimatologi Kalbar'!Z80</f>
        <v>1</v>
      </c>
      <c r="L317" s="131">
        <f>'Sta. Klimatologi Kalbar'!AA80</f>
        <v>10.4</v>
      </c>
      <c r="M317" s="131">
        <f>'Sta. Klimatologi Kalbar'!AB80</f>
        <v>0</v>
      </c>
      <c r="O317" s="130">
        <v>28</v>
      </c>
      <c r="P317" s="131">
        <f t="shared" si="411"/>
        <v>25.668169000225173</v>
      </c>
      <c r="Q317" s="131">
        <f t="shared" si="400"/>
        <v>12.307059604353766</v>
      </c>
      <c r="R317" s="131">
        <f t="shared" si="401"/>
        <v>7.5774707479189338</v>
      </c>
      <c r="S317" s="131">
        <f t="shared" si="402"/>
        <v>13.820898997328177</v>
      </c>
      <c r="T317" s="131">
        <f t="shared" si="403"/>
        <v>7.0953789136263407E-2</v>
      </c>
      <c r="U317" s="131">
        <f t="shared" si="404"/>
        <v>21.428044319151546</v>
      </c>
      <c r="V317" s="131">
        <f t="shared" si="405"/>
        <v>0</v>
      </c>
      <c r="W317" s="131">
        <f t="shared" si="406"/>
        <v>0</v>
      </c>
      <c r="X317" s="131">
        <f t="shared" si="407"/>
        <v>0</v>
      </c>
      <c r="Y317" s="131">
        <f t="shared" si="408"/>
        <v>18.36242285368056</v>
      </c>
      <c r="Z317" s="131">
        <f t="shared" si="409"/>
        <v>10.930058862666673</v>
      </c>
      <c r="AA317" s="131">
        <f t="shared" si="410"/>
        <v>1.2399032743983758</v>
      </c>
      <c r="AC317" s="130">
        <v>28</v>
      </c>
      <c r="AD317" s="131">
        <f>'Sta. Meteorologi pnk'!Q215</f>
        <v>24.5</v>
      </c>
      <c r="AE317" s="131">
        <f>'Sta. Meteorologi pnk'!R215</f>
        <v>14</v>
      </c>
      <c r="AF317" s="131">
        <f>'Sta. Meteorologi pnk'!S215</f>
        <v>9</v>
      </c>
      <c r="AG317" s="131">
        <f>'Sta. Meteorologi pnk'!T215</f>
        <v>18.600000000000001</v>
      </c>
      <c r="AH317" s="131">
        <f>'Sta. Meteorologi pnk'!U215</f>
        <v>0.1</v>
      </c>
      <c r="AI317" s="131">
        <f>'Sta. Meteorologi pnk'!V215</f>
        <v>30.2</v>
      </c>
      <c r="AJ317" s="131">
        <f>'Sta. Meteorologi pnk'!W215</f>
        <v>0</v>
      </c>
      <c r="AK317" s="131">
        <f>'Sta. Meteorologi pnk'!X215</f>
        <v>0</v>
      </c>
      <c r="AL317" s="131">
        <f>'Sta. Meteorologi pnk'!Y215</f>
        <v>0</v>
      </c>
      <c r="AM317" s="131">
        <f>'Sta. Meteorologi pnk'!Z215</f>
        <v>25.5</v>
      </c>
      <c r="AN317" s="131">
        <f>'Sta. Meteorologi pnk'!AA215</f>
        <v>9.1</v>
      </c>
      <c r="AO317" s="131">
        <f>'Sta. Meteorologi pnk'!AB215</f>
        <v>0</v>
      </c>
      <c r="AQ317" s="130">
        <v>28</v>
      </c>
      <c r="AR317" s="131">
        <f>'Sta. Meteorologi Supadio'!Q80</f>
        <v>22.7</v>
      </c>
      <c r="AS317" s="131">
        <f>'Sta. Meteorologi Supadio'!R80</f>
        <v>33.5</v>
      </c>
      <c r="AT317" s="131">
        <f>'Sta. Meteorologi Supadio'!S80</f>
        <v>6.9</v>
      </c>
      <c r="AU317" s="131">
        <f>'Sta. Meteorologi Supadio'!T80</f>
        <v>8.8000000000000007</v>
      </c>
      <c r="AV317" s="131">
        <f>'Sta. Meteorologi Supadio'!U80</f>
        <v>0</v>
      </c>
      <c r="AW317" s="131">
        <f>'Sta. Meteorologi Supadio'!V80</f>
        <v>0</v>
      </c>
      <c r="AX317" s="131">
        <f>'Sta. Meteorologi Supadio'!W80</f>
        <v>0</v>
      </c>
      <c r="AY317" s="131">
        <f>'Sta. Meteorologi Supadio'!X80</f>
        <v>0</v>
      </c>
      <c r="AZ317" s="131">
        <f>'Sta. Meteorologi Supadio'!Y80</f>
        <v>0</v>
      </c>
      <c r="BA317" s="131">
        <f>'Sta. Meteorologi Supadio'!Z80</f>
        <v>0.7</v>
      </c>
      <c r="BB317" s="131">
        <f>'Sta. Meteorologi Supadio'!AA80</f>
        <v>30.9</v>
      </c>
      <c r="BC317" s="131">
        <f>'Sta. Meteorologi Supadio'!AB80</f>
        <v>17.5</v>
      </c>
    </row>
    <row r="318" spans="1:55">
      <c r="A318" s="130">
        <v>29</v>
      </c>
      <c r="B318" s="131">
        <f>'Sta. Klimatologi Kalbar'!Q81</f>
        <v>29.6</v>
      </c>
      <c r="C318" s="131">
        <f>'Sta. Klimatologi Kalbar'!R81</f>
        <v>0</v>
      </c>
      <c r="D318" s="131">
        <f>'Sta. Klimatologi Kalbar'!S81</f>
        <v>0</v>
      </c>
      <c r="E318" s="131">
        <f>'Sta. Klimatologi Kalbar'!T81</f>
        <v>1.4</v>
      </c>
      <c r="F318" s="131">
        <f>'Sta. Klimatologi Kalbar'!U81</f>
        <v>0</v>
      </c>
      <c r="G318" s="131">
        <f>'Sta. Klimatologi Kalbar'!V81</f>
        <v>0</v>
      </c>
      <c r="H318" s="131">
        <f>'Sta. Klimatologi Kalbar'!W81</f>
        <v>0</v>
      </c>
      <c r="I318" s="131">
        <f>'Sta. Klimatologi Kalbar'!X81</f>
        <v>0</v>
      </c>
      <c r="J318" s="131">
        <f>'Sta. Klimatologi Kalbar'!Y81</f>
        <v>24.4</v>
      </c>
      <c r="K318" s="131">
        <f>'Sta. Klimatologi Kalbar'!Z81</f>
        <v>18.2</v>
      </c>
      <c r="L318" s="131">
        <f>'Sta. Klimatologi Kalbar'!AA81</f>
        <v>0</v>
      </c>
      <c r="M318" s="131">
        <f>'Sta. Klimatologi Kalbar'!AB81</f>
        <v>18.100000000000001</v>
      </c>
      <c r="O318" s="130">
        <v>29</v>
      </c>
      <c r="P318" s="131">
        <f t="shared" si="411"/>
        <v>10.267595710048951</v>
      </c>
      <c r="Q318" s="131">
        <f t="shared" si="400"/>
        <v>0</v>
      </c>
      <c r="R318" s="131">
        <f t="shared" si="401"/>
        <v>0.17712903919976797</v>
      </c>
      <c r="S318" s="131">
        <f t="shared" si="402"/>
        <v>20.188277277604751</v>
      </c>
      <c r="T318" s="131">
        <f t="shared" si="403"/>
        <v>0</v>
      </c>
      <c r="U318" s="131">
        <f t="shared" si="404"/>
        <v>0</v>
      </c>
      <c r="V318" s="131">
        <f t="shared" si="405"/>
        <v>0</v>
      </c>
      <c r="W318" s="131">
        <f t="shared" si="406"/>
        <v>1.6176646535417207</v>
      </c>
      <c r="X318" s="131">
        <f t="shared" si="407"/>
        <v>32.358373389611629</v>
      </c>
      <c r="Y318" s="131">
        <f t="shared" si="408"/>
        <v>18.576126603841644</v>
      </c>
      <c r="Z318" s="131">
        <f t="shared" si="409"/>
        <v>0</v>
      </c>
      <c r="AA318" s="131">
        <f t="shared" si="410"/>
        <v>9.7773555332659203</v>
      </c>
      <c r="AC318" s="130">
        <v>29</v>
      </c>
      <c r="AD318" s="131">
        <f>'Sta. Meteorologi pnk'!Q216</f>
        <v>4.8</v>
      </c>
      <c r="AE318" s="131">
        <f>'Sta. Meteorologi pnk'!R216</f>
        <v>0</v>
      </c>
      <c r="AF318" s="131">
        <f>'Sta. Meteorologi pnk'!S216</f>
        <v>0</v>
      </c>
      <c r="AG318" s="131">
        <f>'Sta. Meteorologi pnk'!T216</f>
        <v>27.6</v>
      </c>
      <c r="AH318" s="131">
        <f>'Sta. Meteorologi pnk'!U216</f>
        <v>0</v>
      </c>
      <c r="AI318" s="131">
        <f>'Sta. Meteorologi pnk'!V216</f>
        <v>0</v>
      </c>
      <c r="AJ318" s="131">
        <f>'Sta. Meteorologi pnk'!W216</f>
        <v>0</v>
      </c>
      <c r="AK318" s="131">
        <f>'Sta. Meteorologi pnk'!X216</f>
        <v>2.2000000000000002</v>
      </c>
      <c r="AL318" s="131">
        <f>'Sta. Meteorologi pnk'!Y216</f>
        <v>26.1</v>
      </c>
      <c r="AM318" s="131">
        <f>'Sta. Meteorologi pnk'!Z216</f>
        <v>18.8</v>
      </c>
      <c r="AN318" s="131">
        <f>'Sta. Meteorologi pnk'!AA216</f>
        <v>0</v>
      </c>
      <c r="AO318" s="131">
        <f>'Sta. Meteorologi pnk'!AB216</f>
        <v>6.6</v>
      </c>
      <c r="AQ318" s="130">
        <v>29</v>
      </c>
      <c r="AR318" s="131">
        <f>'Sta. Meteorologi Supadio'!Q81</f>
        <v>5.0999999999999996</v>
      </c>
      <c r="AS318" s="131">
        <f>'Sta. Meteorologi Supadio'!R81</f>
        <v>0</v>
      </c>
      <c r="AT318" s="131">
        <f>'Sta. Meteorologi Supadio'!S81</f>
        <v>2.5</v>
      </c>
      <c r="AU318" s="131">
        <f>'Sta. Meteorologi Supadio'!T81</f>
        <v>4.2</v>
      </c>
      <c r="AV318" s="131">
        <f>'Sta. Meteorologi Supadio'!U81</f>
        <v>0</v>
      </c>
      <c r="AW318" s="131">
        <f>'Sta. Meteorologi Supadio'!V81</f>
        <v>0</v>
      </c>
      <c r="AX318" s="131">
        <f>'Sta. Meteorologi Supadio'!W81</f>
        <v>0</v>
      </c>
      <c r="AY318" s="131">
        <f>'Sta. Meteorologi Supadio'!X81</f>
        <v>0.8</v>
      </c>
      <c r="AZ318" s="131">
        <f>'Sta. Meteorologi Supadio'!Y81</f>
        <v>119.7</v>
      </c>
      <c r="BA318" s="131">
        <f>'Sta. Meteorologi Supadio'!Z81</f>
        <v>17.5</v>
      </c>
      <c r="BB318" s="131">
        <f>'Sta. Meteorologi Supadio'!AA81</f>
        <v>0</v>
      </c>
      <c r="BC318" s="131">
        <f>'Sta. Meteorologi Supadio'!AB81</f>
        <v>15.8</v>
      </c>
    </row>
    <row r="319" spans="1:55">
      <c r="A319" s="130">
        <v>30</v>
      </c>
      <c r="B319" s="131">
        <f>'Sta. Klimatologi Kalbar'!Q82</f>
        <v>13</v>
      </c>
      <c r="C319" s="131">
        <f>'Sta. Klimatologi Kalbar'!R82</f>
        <v>0</v>
      </c>
      <c r="D319" s="131">
        <f>'Sta. Klimatologi Kalbar'!S82</f>
        <v>0</v>
      </c>
      <c r="E319" s="131">
        <f>'Sta. Klimatologi Kalbar'!T82</f>
        <v>0</v>
      </c>
      <c r="F319" s="131">
        <f>'Sta. Klimatologi Kalbar'!U82</f>
        <v>0</v>
      </c>
      <c r="G319" s="131">
        <f>'Sta. Klimatologi Kalbar'!V82</f>
        <v>0</v>
      </c>
      <c r="H319" s="131">
        <f>'Sta. Klimatologi Kalbar'!W82</f>
        <v>0</v>
      </c>
      <c r="I319" s="131">
        <f>'Sta. Klimatologi Kalbar'!X82</f>
        <v>0</v>
      </c>
      <c r="J319" s="131">
        <f>'Sta. Klimatologi Kalbar'!Y82</f>
        <v>48.5</v>
      </c>
      <c r="K319" s="131">
        <f>'Sta. Klimatologi Kalbar'!Z82</f>
        <v>21.4</v>
      </c>
      <c r="L319" s="131">
        <f>'Sta. Klimatologi Kalbar'!AA82</f>
        <v>0</v>
      </c>
      <c r="M319" s="131">
        <f>'Sta. Klimatologi Kalbar'!AB82</f>
        <v>5</v>
      </c>
      <c r="O319" s="130">
        <v>30</v>
      </c>
      <c r="P319" s="131">
        <f t="shared" si="411"/>
        <v>9.7914787373431782</v>
      </c>
      <c r="Q319" s="131">
        <f t="shared" si="400"/>
        <v>0</v>
      </c>
      <c r="R319" s="131">
        <f t="shared" si="401"/>
        <v>0.21255484703972152</v>
      </c>
      <c r="S319" s="131">
        <f t="shared" si="402"/>
        <v>0.46823370422552468</v>
      </c>
      <c r="T319" s="131">
        <f t="shared" si="403"/>
        <v>0.42572273481758033</v>
      </c>
      <c r="U319" s="131">
        <f t="shared" si="404"/>
        <v>0</v>
      </c>
      <c r="V319" s="131">
        <f t="shared" si="405"/>
        <v>0</v>
      </c>
      <c r="W319" s="131">
        <f t="shared" si="406"/>
        <v>0</v>
      </c>
      <c r="X319" s="131">
        <f t="shared" si="407"/>
        <v>13.786837259742898</v>
      </c>
      <c r="Y319" s="131">
        <f t="shared" si="408"/>
        <v>7.5661567610121168</v>
      </c>
      <c r="Z319" s="131">
        <f t="shared" si="409"/>
        <v>0.43219485564743376</v>
      </c>
      <c r="AA319" s="131">
        <f t="shared" si="410"/>
        <v>14.577841972288352</v>
      </c>
      <c r="AC319" s="130">
        <v>30</v>
      </c>
      <c r="AD319" s="131">
        <f>'Sta. Meteorologi pnk'!Q217</f>
        <v>7.1</v>
      </c>
      <c r="AE319" s="131">
        <f>'Sta. Meteorologi pnk'!R217</f>
        <v>0</v>
      </c>
      <c r="AF319" s="131">
        <f>'Sta. Meteorologi pnk'!S217</f>
        <v>0</v>
      </c>
      <c r="AG319" s="131">
        <f>'Sta. Meteorologi pnk'!T217</f>
        <v>0.6</v>
      </c>
      <c r="AH319" s="131">
        <f>'Sta. Meteorologi pnk'!U217</f>
        <v>0.6</v>
      </c>
      <c r="AI319" s="131">
        <f>'Sta. Meteorologi pnk'!V217</f>
        <v>0</v>
      </c>
      <c r="AJ319" s="131">
        <f>'Sta. Meteorologi pnk'!W217</f>
        <v>0</v>
      </c>
      <c r="AK319" s="131">
        <f>'Sta. Meteorologi pnk'!X217</f>
        <v>0</v>
      </c>
      <c r="AL319" s="131">
        <f>'Sta. Meteorologi pnk'!Y217</f>
        <v>4</v>
      </c>
      <c r="AM319" s="131">
        <f>'Sta. Meteorologi pnk'!Z217</f>
        <v>4</v>
      </c>
      <c r="AN319" s="131">
        <f>'Sta. Meteorologi pnk'!AA217</f>
        <v>0</v>
      </c>
      <c r="AO319" s="131">
        <f>'Sta. Meteorologi pnk'!AB217</f>
        <v>17.600000000000001</v>
      </c>
      <c r="AQ319" s="130">
        <v>30</v>
      </c>
      <c r="AR319" s="131">
        <f>'Sta. Meteorologi Supadio'!Q82</f>
        <v>26.8</v>
      </c>
      <c r="AS319" s="131">
        <f>'Sta. Meteorologi Supadio'!R82</f>
        <v>0</v>
      </c>
      <c r="AT319" s="131">
        <f>'Sta. Meteorologi Supadio'!S82</f>
        <v>3</v>
      </c>
      <c r="AU319" s="131">
        <f>'Sta. Meteorologi Supadio'!T82</f>
        <v>0.6</v>
      </c>
      <c r="AV319" s="131">
        <f>'Sta. Meteorologi Supadio'!U82</f>
        <v>0</v>
      </c>
      <c r="AW319" s="131">
        <f>'Sta. Meteorologi Supadio'!V82</f>
        <v>0</v>
      </c>
      <c r="AX319" s="131">
        <f>'Sta. Meteorologi Supadio'!W82</f>
        <v>0</v>
      </c>
      <c r="AY319" s="131">
        <f>'Sta. Meteorologi Supadio'!X82</f>
        <v>0</v>
      </c>
      <c r="AZ319" s="131">
        <f>'Sta. Meteorologi Supadio'!Y82</f>
        <v>4.2</v>
      </c>
      <c r="BA319" s="131">
        <f>'Sta. Meteorologi Supadio'!Z82</f>
        <v>0.4</v>
      </c>
      <c r="BB319" s="131">
        <f>'Sta. Meteorologi Supadio'!AA82</f>
        <v>6.1</v>
      </c>
      <c r="BC319" s="131">
        <f>'Sta. Meteorologi Supadio'!AB82</f>
        <v>14</v>
      </c>
    </row>
    <row r="320" spans="1:55" ht="15.75" thickBot="1">
      <c r="A320" s="133">
        <v>31</v>
      </c>
      <c r="B320" s="131">
        <f>'Sta. Klimatologi Kalbar'!Q83</f>
        <v>48.3</v>
      </c>
      <c r="C320" s="131">
        <f>'Sta. Klimatologi Kalbar'!R83</f>
        <v>0</v>
      </c>
      <c r="D320" s="131">
        <f>'Sta. Klimatologi Kalbar'!S83</f>
        <v>0</v>
      </c>
      <c r="E320" s="131">
        <f>'Sta. Klimatologi Kalbar'!T83</f>
        <v>0</v>
      </c>
      <c r="F320" s="131">
        <f>'Sta. Klimatologi Kalbar'!U83</f>
        <v>1.8</v>
      </c>
      <c r="G320" s="131">
        <f>'Sta. Klimatologi Kalbar'!V83</f>
        <v>0</v>
      </c>
      <c r="H320" s="131">
        <f>'Sta. Klimatologi Kalbar'!W83</f>
        <v>0</v>
      </c>
      <c r="I320" s="131">
        <f>'Sta. Klimatologi Kalbar'!X83</f>
        <v>0</v>
      </c>
      <c r="J320" s="131">
        <f>'Sta. Klimatologi Kalbar'!Y83</f>
        <v>0</v>
      </c>
      <c r="K320" s="131">
        <f>'Sta. Klimatologi Kalbar'!Z83</f>
        <v>0</v>
      </c>
      <c r="L320" s="131">
        <f>'Sta. Klimatologi Kalbar'!AA83</f>
        <v>0</v>
      </c>
      <c r="M320" s="131">
        <f>'Sta. Klimatologi Kalbar'!AB83</f>
        <v>20.2</v>
      </c>
      <c r="O320" s="133">
        <v>31</v>
      </c>
      <c r="P320" s="131">
        <f t="shared" si="411"/>
        <v>29.217619834055746</v>
      </c>
      <c r="Q320" s="131">
        <f t="shared" si="400"/>
        <v>0</v>
      </c>
      <c r="R320" s="131">
        <f t="shared" si="401"/>
        <v>18.426867057260274</v>
      </c>
      <c r="S320" s="131">
        <f t="shared" si="402"/>
        <v>0</v>
      </c>
      <c r="T320" s="131">
        <f t="shared" si="403"/>
        <v>50.827944385138096</v>
      </c>
      <c r="U320" s="131">
        <f t="shared" si="404"/>
        <v>0</v>
      </c>
      <c r="V320" s="131">
        <f t="shared" si="405"/>
        <v>0</v>
      </c>
      <c r="W320" s="131">
        <f t="shared" si="406"/>
        <v>0</v>
      </c>
      <c r="X320" s="131">
        <f t="shared" si="407"/>
        <v>0</v>
      </c>
      <c r="Y320" s="131">
        <f t="shared" si="408"/>
        <v>2.2127160517965847</v>
      </c>
      <c r="Z320" s="131">
        <f t="shared" si="409"/>
        <v>0</v>
      </c>
      <c r="AA320" s="131">
        <f t="shared" si="410"/>
        <v>10.254342666914265</v>
      </c>
      <c r="AC320" s="133">
        <v>31</v>
      </c>
      <c r="AD320" s="131">
        <f>'Sta. Meteorologi pnk'!Q218</f>
        <v>25.5</v>
      </c>
      <c r="AE320" s="131">
        <f>'Sta. Meteorologi pnk'!R218</f>
        <v>0</v>
      </c>
      <c r="AF320" s="131">
        <f>'Sta. Meteorologi pnk'!S218</f>
        <v>19.2</v>
      </c>
      <c r="AG320" s="131">
        <f>'Sta. Meteorologi pnk'!T218</f>
        <v>0</v>
      </c>
      <c r="AH320" s="131">
        <f>'Sta. Meteorologi pnk'!U218</f>
        <v>69.8</v>
      </c>
      <c r="AI320" s="131">
        <f>'Sta. Meteorologi pnk'!V218</f>
        <v>0</v>
      </c>
      <c r="AJ320" s="131">
        <f>'Sta. Meteorologi pnk'!W218</f>
        <v>0</v>
      </c>
      <c r="AK320" s="131">
        <f>'Sta. Meteorologi pnk'!X218</f>
        <v>0</v>
      </c>
      <c r="AL320" s="131">
        <f>'Sta. Meteorologi pnk'!Y218</f>
        <v>0</v>
      </c>
      <c r="AM320" s="131">
        <f>'Sta. Meteorologi pnk'!Z218</f>
        <v>2.1</v>
      </c>
      <c r="AN320" s="131">
        <f>'Sta. Meteorologi pnk'!AA218</f>
        <v>0</v>
      </c>
      <c r="AO320" s="131">
        <f>'Sta. Meteorologi pnk'!AB218</f>
        <v>8.1999999999999993</v>
      </c>
      <c r="AQ320" s="133">
        <v>31</v>
      </c>
      <c r="AR320" s="131">
        <f>'Sta. Meteorologi Supadio'!Q83</f>
        <v>7.3</v>
      </c>
      <c r="AS320" s="131">
        <f>'Sta. Meteorologi Supadio'!R83</f>
        <v>0</v>
      </c>
      <c r="AT320" s="131">
        <f>'Sta. Meteorologi Supadio'!S83</f>
        <v>67.8</v>
      </c>
      <c r="AU320" s="131">
        <f>'Sta. Meteorologi Supadio'!T83</f>
        <v>0</v>
      </c>
      <c r="AV320" s="131">
        <f>'Sta. Meteorologi Supadio'!U83</f>
        <v>12.8</v>
      </c>
      <c r="AW320" s="131">
        <f>'Sta. Meteorologi Supadio'!V83</f>
        <v>0</v>
      </c>
      <c r="AX320" s="131">
        <f>'Sta. Meteorologi Supadio'!W83</f>
        <v>0</v>
      </c>
      <c r="AY320" s="131">
        <f>'Sta. Meteorologi Supadio'!X83</f>
        <v>0</v>
      </c>
      <c r="AZ320" s="131">
        <f>'Sta. Meteorologi Supadio'!Y83</f>
        <v>0</v>
      </c>
      <c r="BA320" s="131">
        <f>'Sta. Meteorologi Supadio'!Z83</f>
        <v>10.199999999999999</v>
      </c>
      <c r="BB320" s="131">
        <f>'Sta. Meteorologi Supadio'!AA83</f>
        <v>0</v>
      </c>
      <c r="BC320" s="131">
        <f>'Sta. Meteorologi Supadio'!AB83</f>
        <v>0</v>
      </c>
    </row>
    <row r="321" spans="1:55">
      <c r="A321" s="135" t="s">
        <v>28</v>
      </c>
      <c r="B321" s="136">
        <f>SUM(B290:B320)</f>
        <v>299.40000000000003</v>
      </c>
      <c r="C321" s="136">
        <f t="shared" ref="C321:M321" si="412">SUM(C290:C320)</f>
        <v>107.39999999999999</v>
      </c>
      <c r="D321" s="136">
        <f t="shared" si="412"/>
        <v>300.59999999999997</v>
      </c>
      <c r="E321" s="136">
        <f t="shared" si="412"/>
        <v>65.400000000000006</v>
      </c>
      <c r="F321" s="136">
        <f t="shared" si="412"/>
        <v>104.00000000000001</v>
      </c>
      <c r="G321" s="136">
        <f t="shared" si="412"/>
        <v>159.9</v>
      </c>
      <c r="H321" s="136">
        <f t="shared" si="412"/>
        <v>320.89999999999998</v>
      </c>
      <c r="I321" s="136">
        <f t="shared" si="412"/>
        <v>110.60000000000001</v>
      </c>
      <c r="J321" s="136">
        <f t="shared" si="412"/>
        <v>169.9</v>
      </c>
      <c r="K321" s="136">
        <f t="shared" si="412"/>
        <v>173.7</v>
      </c>
      <c r="L321" s="136">
        <f t="shared" si="412"/>
        <v>296.89999999999998</v>
      </c>
      <c r="M321" s="136">
        <f t="shared" si="412"/>
        <v>322</v>
      </c>
      <c r="O321" s="135" t="s">
        <v>28</v>
      </c>
      <c r="P321" s="136">
        <f>SUM(P290:P320)</f>
        <v>208.86746069420752</v>
      </c>
      <c r="Q321" s="136">
        <f t="shared" ref="Q321:AA321" si="413">SUM(Q290:Q320)</f>
        <v>132.57915999230929</v>
      </c>
      <c r="R321" s="136">
        <f t="shared" si="413"/>
        <v>193.02039621357045</v>
      </c>
      <c r="S321" s="136">
        <f t="shared" si="413"/>
        <v>181.76888237516684</v>
      </c>
      <c r="T321" s="136">
        <f t="shared" si="413"/>
        <v>195.67055861529425</v>
      </c>
      <c r="U321" s="136">
        <f t="shared" si="413"/>
        <v>222.35139431354372</v>
      </c>
      <c r="V321" s="136">
        <f t="shared" si="413"/>
        <v>308.45835751893378</v>
      </c>
      <c r="W321" s="136">
        <f t="shared" si="413"/>
        <v>97.129645643563123</v>
      </c>
      <c r="X321" s="136">
        <f t="shared" si="413"/>
        <v>236.37211962703114</v>
      </c>
      <c r="Y321" s="136">
        <f t="shared" si="413"/>
        <v>260.35777672153421</v>
      </c>
      <c r="Z321" s="136">
        <f t="shared" si="413"/>
        <v>339.28271447396219</v>
      </c>
      <c r="AA321" s="136">
        <f t="shared" si="413"/>
        <v>347.22940435710274</v>
      </c>
      <c r="AC321" s="135" t="s">
        <v>28</v>
      </c>
      <c r="AD321" s="136">
        <f>SUM(AD290:AD320)</f>
        <v>176.20000000000002</v>
      </c>
      <c r="AE321" s="136">
        <f t="shared" ref="AE321:AO321" si="414">SUM(AE290:AE320)</f>
        <v>140.6</v>
      </c>
      <c r="AF321" s="136">
        <f t="shared" si="414"/>
        <v>149.5</v>
      </c>
      <c r="AG321" s="136">
        <f t="shared" si="414"/>
        <v>220.09999999999997</v>
      </c>
      <c r="AH321" s="136">
        <f t="shared" si="414"/>
        <v>231.5</v>
      </c>
      <c r="AI321" s="136">
        <f t="shared" si="414"/>
        <v>238.89999999999998</v>
      </c>
      <c r="AJ321" s="136">
        <f t="shared" si="414"/>
        <v>300</v>
      </c>
      <c r="AK321" s="136">
        <f t="shared" si="414"/>
        <v>95.3</v>
      </c>
      <c r="AL321" s="136">
        <f t="shared" si="414"/>
        <v>259.19999999999993</v>
      </c>
      <c r="AM321" s="136">
        <f t="shared" si="414"/>
        <v>276.90000000000003</v>
      </c>
      <c r="AN321" s="136">
        <f t="shared" si="414"/>
        <v>337.80000000000007</v>
      </c>
      <c r="AO321" s="136">
        <f t="shared" si="414"/>
        <v>348.90000000000003</v>
      </c>
      <c r="AQ321" s="135" t="s">
        <v>28</v>
      </c>
      <c r="AR321" s="136">
        <f>SUM(AR290:AR320)</f>
        <v>255.4</v>
      </c>
      <c r="AS321" s="136">
        <f t="shared" ref="AS321:BC321" si="415">SUM(AS290:AS320)</f>
        <v>130.30000000000001</v>
      </c>
      <c r="AT321" s="136">
        <f t="shared" si="415"/>
        <v>295.40000000000003</v>
      </c>
      <c r="AU321" s="136">
        <f t="shared" si="415"/>
        <v>158.6</v>
      </c>
      <c r="AV321" s="136">
        <f t="shared" si="415"/>
        <v>120.99999999999999</v>
      </c>
      <c r="AW321" s="136">
        <f t="shared" si="415"/>
        <v>250.19999999999996</v>
      </c>
      <c r="AX321" s="136">
        <f t="shared" si="415"/>
        <v>354.6</v>
      </c>
      <c r="AY321" s="136">
        <f t="shared" si="415"/>
        <v>73.7</v>
      </c>
      <c r="AZ321" s="136">
        <f t="shared" si="415"/>
        <v>213.79999999999998</v>
      </c>
      <c r="BA321" s="136">
        <f t="shared" si="415"/>
        <v>363.2999999999999</v>
      </c>
      <c r="BB321" s="136">
        <f t="shared" si="415"/>
        <v>485.5</v>
      </c>
      <c r="BC321" s="136">
        <f t="shared" si="415"/>
        <v>408.70000000000005</v>
      </c>
    </row>
    <row r="322" spans="1:55">
      <c r="A322" s="138" t="s">
        <v>29</v>
      </c>
      <c r="B322" s="139">
        <f>MAX(B290:B320)</f>
        <v>48.3</v>
      </c>
      <c r="C322" s="139">
        <f t="shared" ref="C322:M322" si="416">MAX(C290:C320)</f>
        <v>36</v>
      </c>
      <c r="D322" s="139">
        <f t="shared" si="416"/>
        <v>67.8</v>
      </c>
      <c r="E322" s="139">
        <f t="shared" si="416"/>
        <v>30</v>
      </c>
      <c r="F322" s="139">
        <f t="shared" si="416"/>
        <v>36.4</v>
      </c>
      <c r="G322" s="139">
        <f t="shared" si="416"/>
        <v>107.3</v>
      </c>
      <c r="H322" s="139">
        <f t="shared" si="416"/>
        <v>58.5</v>
      </c>
      <c r="I322" s="139">
        <f t="shared" si="416"/>
        <v>31.5</v>
      </c>
      <c r="J322" s="139">
        <f t="shared" si="416"/>
        <v>48.5</v>
      </c>
      <c r="K322" s="139">
        <f t="shared" si="416"/>
        <v>45.5</v>
      </c>
      <c r="L322" s="139">
        <f t="shared" si="416"/>
        <v>87.4</v>
      </c>
      <c r="M322" s="139">
        <f t="shared" si="416"/>
        <v>78.2</v>
      </c>
      <c r="O322" s="138" t="s">
        <v>29</v>
      </c>
      <c r="P322" s="139">
        <f>MAX(P290:P320)</f>
        <v>29.217619834055746</v>
      </c>
      <c r="Q322" s="139">
        <f t="shared" ref="Q322:AA322" si="417">MAX(Q290:Q320)</f>
        <v>37.612112093819071</v>
      </c>
      <c r="R322" s="139">
        <f t="shared" si="417"/>
        <v>24.132855582286389</v>
      </c>
      <c r="S322" s="139">
        <f t="shared" si="417"/>
        <v>43.35082617088824</v>
      </c>
      <c r="T322" s="139">
        <f t="shared" si="417"/>
        <v>50.827944385138096</v>
      </c>
      <c r="U322" s="139">
        <f t="shared" si="417"/>
        <v>73.823266636625164</v>
      </c>
      <c r="V322" s="139">
        <f t="shared" si="417"/>
        <v>88.501121603717834</v>
      </c>
      <c r="W322" s="139">
        <f t="shared" si="417"/>
        <v>25.11824022482385</v>
      </c>
      <c r="X322" s="139">
        <f t="shared" si="417"/>
        <v>53.978100198251497</v>
      </c>
      <c r="Y322" s="139">
        <f t="shared" si="417"/>
        <v>33.309731418054746</v>
      </c>
      <c r="Z322" s="139">
        <f t="shared" si="417"/>
        <v>50.631971251192283</v>
      </c>
      <c r="AA322" s="139">
        <f t="shared" si="417"/>
        <v>41.868150871637617</v>
      </c>
      <c r="AB322" s="129">
        <f>MAX(P322:AA322)</f>
        <v>88.501121603717834</v>
      </c>
      <c r="AC322" s="138" t="s">
        <v>29</v>
      </c>
      <c r="AD322" s="139">
        <f>MAX(AD290:AD320)</f>
        <v>25.5</v>
      </c>
      <c r="AE322" s="139">
        <f t="shared" ref="AE322:AO322" si="418">MAX(AE290:AE320)</f>
        <v>39.700000000000003</v>
      </c>
      <c r="AF322" s="139">
        <f t="shared" si="418"/>
        <v>23.8</v>
      </c>
      <c r="AG322" s="139">
        <f t="shared" si="418"/>
        <v>46.2</v>
      </c>
      <c r="AH322" s="139">
        <f t="shared" si="418"/>
        <v>69.8</v>
      </c>
      <c r="AI322" s="139">
        <f t="shared" si="418"/>
        <v>59.4</v>
      </c>
      <c r="AJ322" s="139">
        <f t="shared" si="418"/>
        <v>102.6</v>
      </c>
      <c r="AK322" s="139">
        <f t="shared" si="418"/>
        <v>27.5</v>
      </c>
      <c r="AL322" s="139">
        <f t="shared" si="418"/>
        <v>74.8</v>
      </c>
      <c r="AM322" s="139">
        <f t="shared" si="418"/>
        <v>41.9</v>
      </c>
      <c r="AN322" s="139">
        <f t="shared" si="418"/>
        <v>50.3</v>
      </c>
      <c r="AO322" s="139">
        <f t="shared" si="418"/>
        <v>43</v>
      </c>
      <c r="AQ322" s="138" t="s">
        <v>29</v>
      </c>
      <c r="AR322" s="139">
        <f>MAX(AR290:AR320)</f>
        <v>70.900000000000006</v>
      </c>
      <c r="AS322" s="139">
        <f t="shared" ref="AS322:BC322" si="419">MAX(AS290:AS320)</f>
        <v>47.3</v>
      </c>
      <c r="AT322" s="139">
        <f t="shared" si="419"/>
        <v>80.8</v>
      </c>
      <c r="AU322" s="139">
        <f t="shared" si="419"/>
        <v>56.2</v>
      </c>
      <c r="AV322" s="139">
        <f t="shared" si="419"/>
        <v>68</v>
      </c>
      <c r="AW322" s="139">
        <f t="shared" si="419"/>
        <v>114.5</v>
      </c>
      <c r="AX322" s="139">
        <f t="shared" si="419"/>
        <v>85.9</v>
      </c>
      <c r="AY322" s="139">
        <f t="shared" si="419"/>
        <v>22.4</v>
      </c>
      <c r="AZ322" s="139">
        <f t="shared" si="419"/>
        <v>119.7</v>
      </c>
      <c r="BA322" s="139">
        <f t="shared" si="419"/>
        <v>103.5</v>
      </c>
      <c r="BB322" s="139">
        <f t="shared" si="419"/>
        <v>85.2</v>
      </c>
      <c r="BC322" s="139">
        <f t="shared" si="419"/>
        <v>69.3</v>
      </c>
    </row>
    <row r="323" spans="1:55">
      <c r="A323" s="130" t="s">
        <v>30</v>
      </c>
      <c r="B323" s="131">
        <f>SUM(B290:B304)</f>
        <v>65.7</v>
      </c>
      <c r="C323" s="131">
        <f t="shared" ref="C323:M323" si="420">SUM(C290:C304)</f>
        <v>66.8</v>
      </c>
      <c r="D323" s="131">
        <f t="shared" si="420"/>
        <v>133.20000000000002</v>
      </c>
      <c r="E323" s="131">
        <f t="shared" si="420"/>
        <v>8.1</v>
      </c>
      <c r="F323" s="131">
        <f t="shared" si="420"/>
        <v>60.5</v>
      </c>
      <c r="G323" s="131">
        <f t="shared" si="420"/>
        <v>148</v>
      </c>
      <c r="H323" s="131">
        <f t="shared" si="420"/>
        <v>253.79999999999998</v>
      </c>
      <c r="I323" s="131">
        <f t="shared" si="420"/>
        <v>56.4</v>
      </c>
      <c r="J323" s="131">
        <f t="shared" si="420"/>
        <v>29.4</v>
      </c>
      <c r="K323" s="131">
        <f t="shared" si="420"/>
        <v>35.1</v>
      </c>
      <c r="L323" s="131">
        <f t="shared" si="420"/>
        <v>195.6</v>
      </c>
      <c r="M323" s="131">
        <f t="shared" si="420"/>
        <v>173.9</v>
      </c>
      <c r="O323" s="130" t="s">
        <v>30</v>
      </c>
      <c r="P323" s="131">
        <f>SUM(P290:P304)</f>
        <v>40.627015257754174</v>
      </c>
      <c r="Q323" s="131">
        <f t="shared" ref="Q323:AA323" si="421">SUM(Q290:Q304)</f>
        <v>85.129376550987047</v>
      </c>
      <c r="R323" s="131">
        <f t="shared" si="421"/>
        <v>79.277981113217777</v>
      </c>
      <c r="S323" s="131">
        <f t="shared" si="421"/>
        <v>32.887841330768133</v>
      </c>
      <c r="T323" s="131">
        <f t="shared" si="421"/>
        <v>106.65263006308955</v>
      </c>
      <c r="U323" s="131">
        <f t="shared" si="421"/>
        <v>140.98010570066901</v>
      </c>
      <c r="V323" s="131">
        <f t="shared" si="421"/>
        <v>208.51567743262626</v>
      </c>
      <c r="W323" s="131">
        <f t="shared" si="421"/>
        <v>35.204300391123745</v>
      </c>
      <c r="X323" s="131">
        <f t="shared" si="421"/>
        <v>44.974203455225279</v>
      </c>
      <c r="Y323" s="131">
        <f t="shared" si="421"/>
        <v>88.754794429028152</v>
      </c>
      <c r="Z323" s="131">
        <f t="shared" si="421"/>
        <v>169.79073970812371</v>
      </c>
      <c r="AA323" s="131">
        <f t="shared" si="421"/>
        <v>220.66301088557972</v>
      </c>
      <c r="AC323" s="130" t="s">
        <v>30</v>
      </c>
      <c r="AD323" s="131">
        <f>SUM(AD290:AD304)</f>
        <v>32.4</v>
      </c>
      <c r="AE323" s="131">
        <f t="shared" ref="AE323:AO323" si="422">SUM(AE290:AE304)</f>
        <v>94.6</v>
      </c>
      <c r="AF323" s="131">
        <f t="shared" si="422"/>
        <v>60</v>
      </c>
      <c r="AG323" s="131">
        <f t="shared" si="422"/>
        <v>39.700000000000003</v>
      </c>
      <c r="AH323" s="131">
        <f t="shared" si="422"/>
        <v>122.8</v>
      </c>
      <c r="AI323" s="131">
        <f t="shared" si="422"/>
        <v>135.6</v>
      </c>
      <c r="AJ323" s="131">
        <f t="shared" si="422"/>
        <v>188.4</v>
      </c>
      <c r="AK323" s="131">
        <f t="shared" si="422"/>
        <v>31.7</v>
      </c>
      <c r="AL323" s="131">
        <f t="shared" si="422"/>
        <v>51.2</v>
      </c>
      <c r="AM323" s="131">
        <f t="shared" si="422"/>
        <v>96.399999999999991</v>
      </c>
      <c r="AN323" s="131">
        <f t="shared" si="422"/>
        <v>149</v>
      </c>
      <c r="AO323" s="131">
        <f t="shared" si="422"/>
        <v>230.29999999999998</v>
      </c>
      <c r="AQ323" s="130" t="s">
        <v>30</v>
      </c>
      <c r="AR323" s="131">
        <f>SUM(AR290:AR304)</f>
        <v>45.29999999999999</v>
      </c>
      <c r="AS323" s="131">
        <f t="shared" ref="AS323:BC323" si="423">SUM(AS290:AS304)</f>
        <v>47.1</v>
      </c>
      <c r="AT323" s="131">
        <f t="shared" si="423"/>
        <v>105.2</v>
      </c>
      <c r="AU323" s="131">
        <f t="shared" si="423"/>
        <v>41.5</v>
      </c>
      <c r="AV323" s="131">
        <f t="shared" si="423"/>
        <v>87.999999999999986</v>
      </c>
      <c r="AW323" s="131">
        <f t="shared" si="423"/>
        <v>173.1</v>
      </c>
      <c r="AX323" s="131">
        <f t="shared" si="423"/>
        <v>269.60000000000002</v>
      </c>
      <c r="AY323" s="131">
        <f t="shared" si="423"/>
        <v>4.5999999999999996</v>
      </c>
      <c r="AZ323" s="131">
        <f t="shared" si="423"/>
        <v>30.9</v>
      </c>
      <c r="BA323" s="131">
        <f t="shared" si="423"/>
        <v>178.49999999999997</v>
      </c>
      <c r="BB323" s="131">
        <f t="shared" si="423"/>
        <v>298</v>
      </c>
      <c r="BC323" s="131">
        <f t="shared" si="423"/>
        <v>269.09999999999997</v>
      </c>
    </row>
    <row r="324" spans="1:55">
      <c r="A324" s="140" t="s">
        <v>31</v>
      </c>
      <c r="B324" s="141">
        <f>SUM(B305:B320)</f>
        <v>233.7</v>
      </c>
      <c r="C324" s="141">
        <f t="shared" ref="C324:M324" si="424">SUM(C305:C320)</f>
        <v>40.599999999999994</v>
      </c>
      <c r="D324" s="141">
        <f t="shared" si="424"/>
        <v>167.39999999999998</v>
      </c>
      <c r="E324" s="141">
        <f t="shared" si="424"/>
        <v>57.3</v>
      </c>
      <c r="F324" s="141">
        <f t="shared" si="424"/>
        <v>43.499999999999993</v>
      </c>
      <c r="G324" s="141">
        <f t="shared" si="424"/>
        <v>11.9</v>
      </c>
      <c r="H324" s="141">
        <f t="shared" si="424"/>
        <v>67.099999999999994</v>
      </c>
      <c r="I324" s="141">
        <f t="shared" si="424"/>
        <v>54.199999999999996</v>
      </c>
      <c r="J324" s="141">
        <f t="shared" si="424"/>
        <v>140.5</v>
      </c>
      <c r="K324" s="141">
        <f t="shared" si="424"/>
        <v>138.6</v>
      </c>
      <c r="L324" s="141">
        <f t="shared" si="424"/>
        <v>101.30000000000001</v>
      </c>
      <c r="M324" s="141">
        <f t="shared" si="424"/>
        <v>148.1</v>
      </c>
      <c r="O324" s="140" t="s">
        <v>31</v>
      </c>
      <c r="P324" s="141">
        <f>SUM(P305:P320)</f>
        <v>168.24044543645337</v>
      </c>
      <c r="Q324" s="141">
        <f t="shared" ref="Q324:AA324" si="425">SUM(Q305:Q320)</f>
        <v>47.449783441322268</v>
      </c>
      <c r="R324" s="141">
        <f t="shared" si="425"/>
        <v>113.7424151003527</v>
      </c>
      <c r="S324" s="141">
        <f t="shared" si="425"/>
        <v>148.8810410443987</v>
      </c>
      <c r="T324" s="141">
        <f t="shared" si="425"/>
        <v>89.017928552204722</v>
      </c>
      <c r="U324" s="141">
        <f t="shared" si="425"/>
        <v>81.371288612874693</v>
      </c>
      <c r="V324" s="141">
        <f t="shared" si="425"/>
        <v>99.942680086307547</v>
      </c>
      <c r="W324" s="141">
        <f t="shared" si="425"/>
        <v>61.925345252439378</v>
      </c>
      <c r="X324" s="141">
        <f t="shared" si="425"/>
        <v>191.39791617180586</v>
      </c>
      <c r="Y324" s="141">
        <f t="shared" si="425"/>
        <v>171.60298229250606</v>
      </c>
      <c r="Z324" s="141">
        <f t="shared" si="425"/>
        <v>169.49197476583842</v>
      </c>
      <c r="AA324" s="141">
        <f t="shared" si="425"/>
        <v>126.56639347152309</v>
      </c>
      <c r="AC324" s="140" t="s">
        <v>31</v>
      </c>
      <c r="AD324" s="141">
        <f>SUM(AD305:AD320)</f>
        <v>143.80000000000001</v>
      </c>
      <c r="AE324" s="141">
        <f t="shared" ref="AE324:AO324" si="426">SUM(AE305:AE320)</f>
        <v>46</v>
      </c>
      <c r="AF324" s="141">
        <f t="shared" si="426"/>
        <v>89.500000000000014</v>
      </c>
      <c r="AG324" s="141">
        <f t="shared" si="426"/>
        <v>180.4</v>
      </c>
      <c r="AH324" s="141">
        <f t="shared" si="426"/>
        <v>108.7</v>
      </c>
      <c r="AI324" s="141">
        <f t="shared" si="426"/>
        <v>103.3</v>
      </c>
      <c r="AJ324" s="141">
        <f t="shared" si="426"/>
        <v>111.6</v>
      </c>
      <c r="AK324" s="141">
        <f t="shared" si="426"/>
        <v>63.6</v>
      </c>
      <c r="AL324" s="141">
        <f t="shared" si="426"/>
        <v>207.99999999999997</v>
      </c>
      <c r="AM324" s="141">
        <f t="shared" si="426"/>
        <v>180.49999999999997</v>
      </c>
      <c r="AN324" s="141">
        <f t="shared" si="426"/>
        <v>188.79999999999998</v>
      </c>
      <c r="AO324" s="141">
        <f t="shared" si="426"/>
        <v>118.59999999999998</v>
      </c>
      <c r="AQ324" s="140" t="s">
        <v>31</v>
      </c>
      <c r="AR324" s="141">
        <f>SUM(AR305:AR320)</f>
        <v>210.10000000000002</v>
      </c>
      <c r="AS324" s="141">
        <f t="shared" ref="AS324:BC324" si="427">SUM(AS305:AS320)</f>
        <v>83.199999999999989</v>
      </c>
      <c r="AT324" s="141">
        <f t="shared" si="427"/>
        <v>190.2</v>
      </c>
      <c r="AU324" s="141">
        <f t="shared" si="427"/>
        <v>117.1</v>
      </c>
      <c r="AV324" s="141">
        <f t="shared" si="427"/>
        <v>33</v>
      </c>
      <c r="AW324" s="141">
        <f t="shared" si="427"/>
        <v>77.100000000000009</v>
      </c>
      <c r="AX324" s="141">
        <f t="shared" si="427"/>
        <v>84.999999999999986</v>
      </c>
      <c r="AY324" s="141">
        <f t="shared" si="427"/>
        <v>69.099999999999994</v>
      </c>
      <c r="AZ324" s="141">
        <f t="shared" si="427"/>
        <v>182.89999999999998</v>
      </c>
      <c r="BA324" s="141">
        <f t="shared" si="427"/>
        <v>184.79999999999998</v>
      </c>
      <c r="BB324" s="141">
        <f t="shared" si="427"/>
        <v>187.5</v>
      </c>
      <c r="BC324" s="141">
        <f t="shared" si="427"/>
        <v>139.59999999999997</v>
      </c>
    </row>
    <row r="325" spans="1:55" ht="15.75" thickBot="1">
      <c r="A325" s="133" t="s">
        <v>32</v>
      </c>
      <c r="B325" s="134">
        <f>COUNTIF(B292:B322,"&gt;0")</f>
        <v>19</v>
      </c>
      <c r="C325" s="134">
        <f t="shared" ref="C325:M325" si="428">COUNTIF(C292:C322,"&gt;0")</f>
        <v>10</v>
      </c>
      <c r="D325" s="134">
        <f t="shared" si="428"/>
        <v>20</v>
      </c>
      <c r="E325" s="134">
        <f t="shared" si="428"/>
        <v>11</v>
      </c>
      <c r="F325" s="134">
        <f t="shared" si="428"/>
        <v>15</v>
      </c>
      <c r="G325" s="134">
        <f t="shared" si="428"/>
        <v>13</v>
      </c>
      <c r="H325" s="134">
        <f t="shared" si="428"/>
        <v>11</v>
      </c>
      <c r="I325" s="134">
        <f t="shared" si="428"/>
        <v>7</v>
      </c>
      <c r="J325" s="134">
        <f t="shared" si="428"/>
        <v>13</v>
      </c>
      <c r="K325" s="134">
        <f t="shared" si="428"/>
        <v>18</v>
      </c>
      <c r="L325" s="134">
        <f t="shared" si="428"/>
        <v>25</v>
      </c>
      <c r="M325" s="134">
        <f t="shared" si="428"/>
        <v>21</v>
      </c>
      <c r="O325" s="133" t="s">
        <v>32</v>
      </c>
      <c r="P325" s="134">
        <f>COUNTIF(P292:P322,"&gt;0")</f>
        <v>24</v>
      </c>
      <c r="Q325" s="134">
        <f t="shared" ref="Q325:AA325" si="429">COUNTIF(Q292:Q322,"&gt;0")</f>
        <v>11</v>
      </c>
      <c r="R325" s="134">
        <f t="shared" si="429"/>
        <v>29</v>
      </c>
      <c r="S325" s="134">
        <f t="shared" si="429"/>
        <v>19</v>
      </c>
      <c r="T325" s="134">
        <f t="shared" si="429"/>
        <v>21</v>
      </c>
      <c r="U325" s="134">
        <f t="shared" si="429"/>
        <v>21</v>
      </c>
      <c r="V325" s="134">
        <f t="shared" si="429"/>
        <v>14</v>
      </c>
      <c r="W325" s="134">
        <f t="shared" si="429"/>
        <v>13</v>
      </c>
      <c r="X325" s="134">
        <f t="shared" si="429"/>
        <v>15</v>
      </c>
      <c r="Y325" s="134">
        <f t="shared" si="429"/>
        <v>27</v>
      </c>
      <c r="Z325" s="134">
        <f t="shared" si="429"/>
        <v>27</v>
      </c>
      <c r="AA325" s="134">
        <f t="shared" si="429"/>
        <v>30</v>
      </c>
      <c r="AC325" s="133" t="s">
        <v>32</v>
      </c>
      <c r="AD325" s="134">
        <f>COUNTIF(AD292:AD322,"&gt;0")</f>
        <v>23</v>
      </c>
      <c r="AE325" s="134">
        <f t="shared" ref="AE325:AO325" si="430">COUNTIF(AE292:AE322,"&gt;0")</f>
        <v>10</v>
      </c>
      <c r="AF325" s="134">
        <f t="shared" si="430"/>
        <v>25</v>
      </c>
      <c r="AG325" s="134">
        <f t="shared" si="430"/>
        <v>18</v>
      </c>
      <c r="AH325" s="134">
        <f t="shared" si="430"/>
        <v>16</v>
      </c>
      <c r="AI325" s="134">
        <f t="shared" si="430"/>
        <v>19</v>
      </c>
      <c r="AJ325" s="134">
        <f t="shared" si="430"/>
        <v>12</v>
      </c>
      <c r="AK325" s="134">
        <f t="shared" si="430"/>
        <v>11</v>
      </c>
      <c r="AL325" s="134">
        <f t="shared" si="430"/>
        <v>15</v>
      </c>
      <c r="AM325" s="134">
        <f t="shared" si="430"/>
        <v>23</v>
      </c>
      <c r="AN325" s="134">
        <f t="shared" si="430"/>
        <v>24</v>
      </c>
      <c r="AO325" s="134">
        <f t="shared" si="430"/>
        <v>23</v>
      </c>
      <c r="AQ325" s="133" t="s">
        <v>32</v>
      </c>
      <c r="AR325" s="134">
        <f>COUNTIF(AR292:AR322,"&gt;0")</f>
        <v>22</v>
      </c>
      <c r="AS325" s="134">
        <f t="shared" ref="AS325:BC325" si="431">COUNTIF(AS292:AS322,"&gt;0")</f>
        <v>9</v>
      </c>
      <c r="AT325" s="134">
        <f t="shared" si="431"/>
        <v>21</v>
      </c>
      <c r="AU325" s="134">
        <f t="shared" si="431"/>
        <v>16</v>
      </c>
      <c r="AV325" s="134">
        <f t="shared" si="431"/>
        <v>11</v>
      </c>
      <c r="AW325" s="134">
        <f t="shared" si="431"/>
        <v>15</v>
      </c>
      <c r="AX325" s="134">
        <f t="shared" si="431"/>
        <v>10</v>
      </c>
      <c r="AY325" s="134">
        <f t="shared" si="431"/>
        <v>10</v>
      </c>
      <c r="AZ325" s="134">
        <f t="shared" si="431"/>
        <v>13</v>
      </c>
      <c r="BA325" s="134">
        <f t="shared" si="431"/>
        <v>22</v>
      </c>
      <c r="BB325" s="134">
        <f t="shared" si="431"/>
        <v>24</v>
      </c>
      <c r="BC325" s="134">
        <f t="shared" si="431"/>
        <v>27</v>
      </c>
    </row>
    <row r="326" spans="1:55" ht="15.75" thickBot="1"/>
    <row r="327" spans="1:55">
      <c r="A327" s="147" t="s">
        <v>91</v>
      </c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9"/>
      <c r="O327" s="147" t="s">
        <v>91</v>
      </c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  <c r="AA327" s="149"/>
      <c r="AC327" s="147" t="s">
        <v>91</v>
      </c>
      <c r="AD327" s="148"/>
      <c r="AE327" s="148"/>
      <c r="AF327" s="148"/>
      <c r="AG327" s="148"/>
      <c r="AH327" s="148"/>
      <c r="AI327" s="148"/>
      <c r="AJ327" s="148"/>
      <c r="AK327" s="148"/>
      <c r="AL327" s="148"/>
      <c r="AM327" s="148"/>
      <c r="AN327" s="148"/>
      <c r="AO327" s="149"/>
      <c r="AQ327" s="147" t="s">
        <v>91</v>
      </c>
      <c r="AR327" s="148"/>
      <c r="AS327" s="148"/>
      <c r="AT327" s="148"/>
      <c r="AU327" s="148"/>
      <c r="AV327" s="148"/>
      <c r="AW327" s="148"/>
      <c r="AX327" s="148"/>
      <c r="AY327" s="148"/>
      <c r="AZ327" s="148"/>
      <c r="BA327" s="148"/>
      <c r="BB327" s="148"/>
      <c r="BC327" s="149"/>
    </row>
    <row r="328" spans="1:55">
      <c r="A328" s="144"/>
      <c r="B328" s="145" t="s">
        <v>15</v>
      </c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6"/>
      <c r="O328" s="144"/>
      <c r="P328" s="145" t="s">
        <v>15</v>
      </c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  <c r="AA328" s="146"/>
      <c r="AC328" s="144"/>
      <c r="AD328" s="145" t="s">
        <v>15</v>
      </c>
      <c r="AE328" s="145"/>
      <c r="AF328" s="145"/>
      <c r="AG328" s="145"/>
      <c r="AH328" s="145"/>
      <c r="AI328" s="145"/>
      <c r="AJ328" s="145"/>
      <c r="AK328" s="145"/>
      <c r="AL328" s="145"/>
      <c r="AM328" s="145"/>
      <c r="AN328" s="145"/>
      <c r="AO328" s="146"/>
      <c r="AQ328" s="144"/>
      <c r="AR328" s="145" t="s">
        <v>15</v>
      </c>
      <c r="AS328" s="145"/>
      <c r="AT328" s="145"/>
      <c r="AU328" s="145"/>
      <c r="AV328" s="145"/>
      <c r="AW328" s="145"/>
      <c r="AX328" s="145"/>
      <c r="AY328" s="145"/>
      <c r="AZ328" s="145"/>
      <c r="BA328" s="145"/>
      <c r="BB328" s="145"/>
      <c r="BC328" s="146"/>
    </row>
    <row r="329" spans="1:55">
      <c r="A329" s="144"/>
      <c r="B329" s="131" t="s">
        <v>16</v>
      </c>
      <c r="C329" s="131" t="s">
        <v>17</v>
      </c>
      <c r="D329" s="131" t="s">
        <v>18</v>
      </c>
      <c r="E329" s="131" t="s">
        <v>19</v>
      </c>
      <c r="F329" s="131" t="s">
        <v>20</v>
      </c>
      <c r="G329" s="131" t="s">
        <v>21</v>
      </c>
      <c r="H329" s="131" t="s">
        <v>22</v>
      </c>
      <c r="I329" s="131" t="s">
        <v>23</v>
      </c>
      <c r="J329" s="131" t="s">
        <v>24</v>
      </c>
      <c r="K329" s="131" t="s">
        <v>25</v>
      </c>
      <c r="L329" s="131" t="s">
        <v>26</v>
      </c>
      <c r="M329" s="132" t="s">
        <v>27</v>
      </c>
      <c r="O329" s="144"/>
      <c r="P329" s="131" t="s">
        <v>16</v>
      </c>
      <c r="Q329" s="131" t="s">
        <v>17</v>
      </c>
      <c r="R329" s="131" t="s">
        <v>18</v>
      </c>
      <c r="S329" s="131" t="s">
        <v>19</v>
      </c>
      <c r="T329" s="131" t="s">
        <v>20</v>
      </c>
      <c r="U329" s="131" t="s">
        <v>21</v>
      </c>
      <c r="V329" s="131" t="s">
        <v>22</v>
      </c>
      <c r="W329" s="131" t="s">
        <v>23</v>
      </c>
      <c r="X329" s="131" t="s">
        <v>24</v>
      </c>
      <c r="Y329" s="131" t="s">
        <v>25</v>
      </c>
      <c r="Z329" s="131" t="s">
        <v>26</v>
      </c>
      <c r="AA329" s="132" t="s">
        <v>27</v>
      </c>
      <c r="AC329" s="144"/>
      <c r="AD329" s="131" t="s">
        <v>16</v>
      </c>
      <c r="AE329" s="131" t="s">
        <v>17</v>
      </c>
      <c r="AF329" s="131" t="s">
        <v>18</v>
      </c>
      <c r="AG329" s="131" t="s">
        <v>19</v>
      </c>
      <c r="AH329" s="131" t="s">
        <v>20</v>
      </c>
      <c r="AI329" s="131" t="s">
        <v>21</v>
      </c>
      <c r="AJ329" s="131" t="s">
        <v>22</v>
      </c>
      <c r="AK329" s="131" t="s">
        <v>23</v>
      </c>
      <c r="AL329" s="131" t="s">
        <v>24</v>
      </c>
      <c r="AM329" s="131" t="s">
        <v>25</v>
      </c>
      <c r="AN329" s="131" t="s">
        <v>26</v>
      </c>
      <c r="AO329" s="132" t="s">
        <v>27</v>
      </c>
      <c r="AQ329" s="144"/>
      <c r="AR329" s="131" t="s">
        <v>16</v>
      </c>
      <c r="AS329" s="131" t="s">
        <v>17</v>
      </c>
      <c r="AT329" s="131" t="s">
        <v>18</v>
      </c>
      <c r="AU329" s="131" t="s">
        <v>19</v>
      </c>
      <c r="AV329" s="131" t="s">
        <v>20</v>
      </c>
      <c r="AW329" s="131" t="s">
        <v>21</v>
      </c>
      <c r="AX329" s="131" t="s">
        <v>22</v>
      </c>
      <c r="AY329" s="131" t="s">
        <v>23</v>
      </c>
      <c r="AZ329" s="131" t="s">
        <v>24</v>
      </c>
      <c r="BA329" s="131" t="s">
        <v>25</v>
      </c>
      <c r="BB329" s="131" t="s">
        <v>26</v>
      </c>
      <c r="BC329" s="132" t="s">
        <v>27</v>
      </c>
    </row>
    <row r="330" spans="1:55">
      <c r="A330" s="130">
        <v>1</v>
      </c>
      <c r="B330" s="131">
        <f>'Sta. Klimatologi Kalbar'!Q98</f>
        <v>1.4</v>
      </c>
      <c r="C330" s="131">
        <f>'Sta. Klimatologi Kalbar'!R98</f>
        <v>0.6</v>
      </c>
      <c r="D330" s="131">
        <f>'Sta. Klimatologi Kalbar'!S98</f>
        <v>4.3</v>
      </c>
      <c r="E330" s="131">
        <f>'Sta. Klimatologi Kalbar'!T98</f>
        <v>36.799999999999997</v>
      </c>
      <c r="F330" s="131">
        <f>'Sta. Klimatologi Kalbar'!U98</f>
        <v>0</v>
      </c>
      <c r="G330" s="131">
        <f>'Sta. Klimatologi Kalbar'!V98</f>
        <v>0</v>
      </c>
      <c r="H330" s="131"/>
      <c r="I330" s="131"/>
      <c r="J330" s="131"/>
      <c r="K330" s="131"/>
      <c r="L330" s="131"/>
      <c r="M330" s="131"/>
      <c r="O330" s="130">
        <v>1</v>
      </c>
      <c r="P330" s="131">
        <f>((B330/($T$1^2))+(AD330/($T$2^2))+(AR330/($T$3^2)))/((1/($T$1^2))+(1/($T$2^2))+(1/($T$3^2)))</f>
        <v>7.7990917842924805</v>
      </c>
      <c r="Q330" s="131">
        <f t="shared" ref="Q330:Q360" si="432">((C330/($T$1^2))+(AE330/($T$2^2))+(AS330/($T$3^2)))/((1/($T$1^2))+(1/($T$2^2))+(1/($T$3^2)))</f>
        <v>13.523264313856245</v>
      </c>
      <c r="R330" s="131">
        <f t="shared" ref="R330:R360" si="433">((D330/($T$1^2))+(AF330/($T$2^2))+(AT330/($T$3^2)))/((1/($T$1^2))+(1/($T$2^2))+(1/($T$3^2)))</f>
        <v>1.1285393204848315</v>
      </c>
      <c r="S330" s="131">
        <f t="shared" ref="S330:S360" si="434">((E330/($T$1^2))+(AG330/($T$2^2))+(AU330/($T$3^2)))/((1/($T$1^2))+(1/($T$2^2))+(1/($T$3^2)))</f>
        <v>34.821400800316169</v>
      </c>
      <c r="T330" s="131">
        <f t="shared" ref="T330:T360" si="435">((F330/($T$1^2))+(AH330/($T$2^2))+(AV330/($T$3^2)))/((1/($T$1^2))+(1/($T$2^2))+(1/($T$3^2)))</f>
        <v>18.731800331973535</v>
      </c>
      <c r="U330" s="131">
        <f t="shared" ref="U330:U360" si="436">((G330/($T$1^2))+(AI330/($T$2^2))+(AW330/($T$3^2)))/((1/($T$1^2))+(1/($T$2^2))+(1/($T$3^2)))</f>
        <v>4.8526874402560924</v>
      </c>
      <c r="V330" s="131"/>
      <c r="W330" s="131"/>
      <c r="X330" s="131"/>
      <c r="Y330" s="131"/>
      <c r="Z330" s="131"/>
      <c r="AA330" s="131"/>
      <c r="AC330" s="130">
        <v>1</v>
      </c>
      <c r="AD330" s="131">
        <f>'Sta. Meteorologi pnk'!Q233</f>
        <v>9.5</v>
      </c>
      <c r="AE330" s="131">
        <f>'Sta. Meteorologi pnk'!R233</f>
        <v>14.4</v>
      </c>
      <c r="AF330" s="131">
        <f>'Sta. Meteorologi pnk'!S233</f>
        <v>0</v>
      </c>
      <c r="AG330" s="131">
        <f>'Sta. Meteorologi pnk'!T233</f>
        <v>35</v>
      </c>
      <c r="AH330" s="131">
        <f>'Sta. Meteorologi pnk'!U233</f>
        <v>26.4</v>
      </c>
      <c r="AI330" s="131">
        <f>'Sta. Meteorologi pnk'!V233</f>
        <v>6.3</v>
      </c>
      <c r="AJ330" s="131"/>
      <c r="AK330" s="131"/>
      <c r="AL330" s="131"/>
      <c r="AM330" s="131"/>
      <c r="AN330" s="131"/>
      <c r="AO330" s="131"/>
      <c r="AQ330" s="130">
        <v>1</v>
      </c>
      <c r="AR330" s="131">
        <f>'Sta. Meteorologi Supadio'!Q98</f>
        <v>10.6</v>
      </c>
      <c r="AS330" s="131">
        <f>'Sta. Meteorologi Supadio'!R98</f>
        <v>44.8</v>
      </c>
      <c r="AT330" s="131">
        <f>'Sta. Meteorologi Supadio'!S98</f>
        <v>2.6</v>
      </c>
      <c r="AU330" s="131">
        <f>'Sta. Meteorologi Supadio'!T98</f>
        <v>26.9</v>
      </c>
      <c r="AV330" s="131">
        <f>'Sta. Meteorologi Supadio'!U98</f>
        <v>0</v>
      </c>
      <c r="AW330" s="131">
        <f>'Sta. Meteorologi Supadio'!V98</f>
        <v>5.4</v>
      </c>
      <c r="AX330" s="131"/>
      <c r="AY330" s="131"/>
      <c r="AZ330" s="131"/>
      <c r="BA330" s="131"/>
      <c r="BB330" s="131"/>
      <c r="BC330" s="131"/>
    </row>
    <row r="331" spans="1:55">
      <c r="A331" s="130">
        <v>2</v>
      </c>
      <c r="B331" s="131">
        <f>'Sta. Klimatologi Kalbar'!Q99</f>
        <v>50</v>
      </c>
      <c r="C331" s="131">
        <f>'Sta. Klimatologi Kalbar'!R99</f>
        <v>15.1</v>
      </c>
      <c r="D331" s="131">
        <f>'Sta. Klimatologi Kalbar'!S99</f>
        <v>10.6</v>
      </c>
      <c r="E331" s="131">
        <f>'Sta. Klimatologi Kalbar'!T99</f>
        <v>7</v>
      </c>
      <c r="F331" s="131">
        <f>'Sta. Klimatologi Kalbar'!U99</f>
        <v>0</v>
      </c>
      <c r="G331" s="131">
        <f>'Sta. Klimatologi Kalbar'!V99</f>
        <v>33.6</v>
      </c>
      <c r="H331" s="131"/>
      <c r="I331" s="131"/>
      <c r="J331" s="131"/>
      <c r="K331" s="131"/>
      <c r="L331" s="131"/>
      <c r="M331" s="131"/>
      <c r="O331" s="130">
        <v>2</v>
      </c>
      <c r="P331" s="131">
        <f t="shared" ref="P331:P360" si="437">((B331/($T$1^2))+(AD331/($T$2^2))+(AR331/($T$3^2)))/((1/($T$1^2))+(1/($T$2^2))+(1/($T$3^2)))</f>
        <v>51.097245288851944</v>
      </c>
      <c r="Q331" s="131">
        <f t="shared" si="432"/>
        <v>10.155205459360028</v>
      </c>
      <c r="R331" s="131">
        <f t="shared" si="433"/>
        <v>22.043895974535172</v>
      </c>
      <c r="S331" s="131">
        <f t="shared" si="434"/>
        <v>21.556631892379293</v>
      </c>
      <c r="T331" s="131">
        <f t="shared" si="435"/>
        <v>25.954609980367351</v>
      </c>
      <c r="U331" s="131">
        <f t="shared" si="436"/>
        <v>29.024451248546395</v>
      </c>
      <c r="V331" s="131"/>
      <c r="W331" s="131"/>
      <c r="X331" s="131"/>
      <c r="Y331" s="131"/>
      <c r="Z331" s="131"/>
      <c r="AA331" s="131"/>
      <c r="AC331" s="130">
        <v>2</v>
      </c>
      <c r="AD331" s="131">
        <f>'Sta. Meteorologi pnk'!Q234</f>
        <v>56</v>
      </c>
      <c r="AE331" s="131">
        <f>'Sta. Meteorologi pnk'!R234</f>
        <v>8.8000000000000007</v>
      </c>
      <c r="AF331" s="131">
        <f>'Sta. Meteorologi pnk'!S234</f>
        <v>25.8</v>
      </c>
      <c r="AG331" s="131">
        <f>'Sta. Meteorologi pnk'!T234</f>
        <v>24.5</v>
      </c>
      <c r="AH331" s="131">
        <f>'Sta. Meteorologi pnk'!U234</f>
        <v>36.299999999999997</v>
      </c>
      <c r="AI331" s="131">
        <f>'Sta. Meteorologi pnk'!V234</f>
        <v>28.1</v>
      </c>
      <c r="AJ331" s="131"/>
      <c r="AK331" s="131"/>
      <c r="AL331" s="131"/>
      <c r="AM331" s="131"/>
      <c r="AN331" s="131"/>
      <c r="AO331" s="131"/>
      <c r="AQ331" s="130">
        <v>2</v>
      </c>
      <c r="AR331" s="131">
        <f>'Sta. Meteorologi Supadio'!Q99</f>
        <v>5.4</v>
      </c>
      <c r="AS331" s="131">
        <f>'Sta. Meteorologi Supadio'!R99</f>
        <v>8.4</v>
      </c>
      <c r="AT331" s="131">
        <f>'Sta. Meteorologi Supadio'!S99</f>
        <v>19.899999999999999</v>
      </c>
      <c r="AU331" s="131">
        <f>'Sta. Meteorologi Supadio'!T99</f>
        <v>37.200000000000003</v>
      </c>
      <c r="AV331" s="131">
        <f>'Sta. Meteorologi Supadio'!U99</f>
        <v>2.8</v>
      </c>
      <c r="AW331" s="131">
        <f>'Sta. Meteorologi Supadio'!V99</f>
        <v>24.1</v>
      </c>
      <c r="AX331" s="131"/>
      <c r="AY331" s="131"/>
      <c r="AZ331" s="131"/>
      <c r="BA331" s="131"/>
      <c r="BB331" s="131"/>
      <c r="BC331" s="131"/>
    </row>
    <row r="332" spans="1:55">
      <c r="A332" s="130">
        <v>3</v>
      </c>
      <c r="B332" s="131">
        <f>'Sta. Klimatologi Kalbar'!Q100</f>
        <v>2.2999999999999998</v>
      </c>
      <c r="C332" s="131">
        <f>'Sta. Klimatologi Kalbar'!R100</f>
        <v>0</v>
      </c>
      <c r="D332" s="131">
        <f>'Sta. Klimatologi Kalbar'!S100</f>
        <v>2.4</v>
      </c>
      <c r="E332" s="131">
        <f>'Sta. Klimatologi Kalbar'!T100</f>
        <v>0</v>
      </c>
      <c r="F332" s="131">
        <f>'Sta. Klimatologi Kalbar'!U100</f>
        <v>1.8</v>
      </c>
      <c r="G332" s="131">
        <f>'Sta. Klimatologi Kalbar'!V100</f>
        <v>1.3</v>
      </c>
      <c r="H332" s="131"/>
      <c r="I332" s="131"/>
      <c r="J332" s="131"/>
      <c r="K332" s="131"/>
      <c r="L332" s="131"/>
      <c r="M332" s="131"/>
      <c r="O332" s="130">
        <v>3</v>
      </c>
      <c r="P332" s="131">
        <f t="shared" si="437"/>
        <v>9.4006249529799177</v>
      </c>
      <c r="Q332" s="131">
        <f t="shared" si="432"/>
        <v>0</v>
      </c>
      <c r="R332" s="131">
        <f t="shared" si="433"/>
        <v>1.4847880762529224</v>
      </c>
      <c r="S332" s="131">
        <f t="shared" si="434"/>
        <v>7.8545129359649088</v>
      </c>
      <c r="T332" s="131">
        <f t="shared" si="435"/>
        <v>4.0414653918939729</v>
      </c>
      <c r="U332" s="131">
        <f t="shared" si="436"/>
        <v>0.28549364084469647</v>
      </c>
      <c r="V332" s="131"/>
      <c r="W332" s="131"/>
      <c r="X332" s="131"/>
      <c r="Y332" s="131"/>
      <c r="Z332" s="131"/>
      <c r="AA332" s="131"/>
      <c r="AC332" s="130">
        <v>3</v>
      </c>
      <c r="AD332" s="131">
        <f>'Sta. Meteorologi pnk'!Q235</f>
        <v>10.5</v>
      </c>
      <c r="AE332" s="131">
        <f>'Sta. Meteorologi pnk'!R235</f>
        <v>0</v>
      </c>
      <c r="AF332" s="131">
        <f>'Sta. Meteorologi pnk'!S235</f>
        <v>1.2</v>
      </c>
      <c r="AG332" s="131">
        <f>'Sta. Meteorologi pnk'!T235</f>
        <v>11</v>
      </c>
      <c r="AH332" s="131">
        <f>'Sta. Meteorologi pnk'!U235</f>
        <v>4.3</v>
      </c>
      <c r="AI332" s="131">
        <f>'Sta. Meteorologi pnk'!V235</f>
        <v>0</v>
      </c>
      <c r="AJ332" s="131"/>
      <c r="AK332" s="131"/>
      <c r="AL332" s="131"/>
      <c r="AM332" s="131"/>
      <c r="AN332" s="131"/>
      <c r="AO332" s="131"/>
      <c r="AQ332" s="130">
        <v>3</v>
      </c>
      <c r="AR332" s="131">
        <f>'Sta. Meteorologi Supadio'!Q100</f>
        <v>20.399999999999999</v>
      </c>
      <c r="AS332" s="131">
        <f>'Sta. Meteorologi Supadio'!R100</f>
        <v>0</v>
      </c>
      <c r="AT332" s="131">
        <f>'Sta. Meteorologi Supadio'!S100</f>
        <v>1.5</v>
      </c>
      <c r="AU332" s="131">
        <f>'Sta. Meteorologi Supadio'!T100</f>
        <v>0.7</v>
      </c>
      <c r="AV332" s="131">
        <f>'Sta. Meteorologi Supadio'!U100</f>
        <v>8.4</v>
      </c>
      <c r="AW332" s="131">
        <f>'Sta. Meteorologi Supadio'!V100</f>
        <v>0</v>
      </c>
      <c r="AX332" s="131"/>
      <c r="AY332" s="131"/>
      <c r="AZ332" s="131"/>
      <c r="BA332" s="131"/>
      <c r="BB332" s="131"/>
      <c r="BC332" s="131"/>
    </row>
    <row r="333" spans="1:55">
      <c r="A333" s="130">
        <v>4</v>
      </c>
      <c r="B333" s="131">
        <f>'Sta. Klimatologi Kalbar'!Q101</f>
        <v>24.5</v>
      </c>
      <c r="C333" s="131">
        <f>'Sta. Klimatologi Kalbar'!R101</f>
        <v>12.5</v>
      </c>
      <c r="D333" s="131">
        <f>'Sta. Klimatologi Kalbar'!S101</f>
        <v>10.7</v>
      </c>
      <c r="E333" s="131">
        <f>'Sta. Klimatologi Kalbar'!T101</f>
        <v>1</v>
      </c>
      <c r="F333" s="131">
        <f>'Sta. Klimatologi Kalbar'!U101</f>
        <v>35.1</v>
      </c>
      <c r="G333" s="131">
        <f>'Sta. Klimatologi Kalbar'!V101</f>
        <v>1.3</v>
      </c>
      <c r="H333" s="131"/>
      <c r="I333" s="131"/>
      <c r="J333" s="131"/>
      <c r="K333" s="131"/>
      <c r="L333" s="131"/>
      <c r="M333" s="131"/>
      <c r="O333" s="130">
        <v>4</v>
      </c>
      <c r="P333" s="131">
        <f t="shared" si="437"/>
        <v>10.815353847765346</v>
      </c>
      <c r="Q333" s="131">
        <f t="shared" si="432"/>
        <v>15.592195647334638</v>
      </c>
      <c r="R333" s="131">
        <f t="shared" si="433"/>
        <v>18.824055595917624</v>
      </c>
      <c r="S333" s="131">
        <f t="shared" si="434"/>
        <v>0.43216533999718032</v>
      </c>
      <c r="T333" s="131">
        <f t="shared" si="435"/>
        <v>7.7083283028068035</v>
      </c>
      <c r="U333" s="131">
        <f t="shared" si="436"/>
        <v>0.28549364084469647</v>
      </c>
      <c r="V333" s="131"/>
      <c r="W333" s="131"/>
      <c r="X333" s="131"/>
      <c r="Y333" s="131"/>
      <c r="Z333" s="131"/>
      <c r="AA333" s="131"/>
      <c r="AC333" s="130">
        <v>4</v>
      </c>
      <c r="AD333" s="131">
        <f>'Sta. Meteorologi pnk'!Q236</f>
        <v>7.5</v>
      </c>
      <c r="AE333" s="131">
        <f>'Sta. Meteorologi pnk'!R236</f>
        <v>15.5</v>
      </c>
      <c r="AF333" s="131">
        <f>'Sta. Meteorologi pnk'!S236</f>
        <v>22</v>
      </c>
      <c r="AG333" s="131">
        <f>'Sta. Meteorologi pnk'!T236</f>
        <v>0</v>
      </c>
      <c r="AH333" s="131">
        <f>'Sta. Meteorologi pnk'!U236</f>
        <v>0</v>
      </c>
      <c r="AI333" s="131">
        <f>'Sta. Meteorologi pnk'!V236</f>
        <v>0</v>
      </c>
      <c r="AJ333" s="131"/>
      <c r="AK333" s="131"/>
      <c r="AL333" s="131"/>
      <c r="AM333" s="131"/>
      <c r="AN333" s="131"/>
      <c r="AO333" s="131"/>
      <c r="AQ333" s="130">
        <v>4</v>
      </c>
      <c r="AR333" s="131">
        <f>'Sta. Meteorologi Supadio'!Q101</f>
        <v>1.6</v>
      </c>
      <c r="AS333" s="131">
        <f>'Sta. Meteorologi Supadio'!R101</f>
        <v>26.1</v>
      </c>
      <c r="AT333" s="131">
        <f>'Sta. Meteorologi Supadio'!S101</f>
        <v>12.2</v>
      </c>
      <c r="AU333" s="131">
        <f>'Sta. Meteorologi Supadio'!T101</f>
        <v>3</v>
      </c>
      <c r="AV333" s="131">
        <f>'Sta. Meteorologi Supadio'!U101</f>
        <v>0</v>
      </c>
      <c r="AW333" s="131">
        <f>'Sta. Meteorologi Supadio'!V101</f>
        <v>0</v>
      </c>
      <c r="AX333" s="131"/>
      <c r="AY333" s="131"/>
      <c r="AZ333" s="131"/>
      <c r="BA333" s="131"/>
      <c r="BB333" s="131"/>
      <c r="BC333" s="131"/>
    </row>
    <row r="334" spans="1:55">
      <c r="A334" s="130">
        <v>5</v>
      </c>
      <c r="B334" s="131">
        <f>'Sta. Klimatologi Kalbar'!Q102</f>
        <v>9.9</v>
      </c>
      <c r="C334" s="131">
        <f>'Sta. Klimatologi Kalbar'!R102</f>
        <v>0</v>
      </c>
      <c r="D334" s="131">
        <f>'Sta. Klimatologi Kalbar'!S102</f>
        <v>38.5</v>
      </c>
      <c r="E334" s="131">
        <f>'Sta. Klimatologi Kalbar'!T102</f>
        <v>0</v>
      </c>
      <c r="F334" s="131">
        <f>'Sta. Klimatologi Kalbar'!U102</f>
        <v>130.4</v>
      </c>
      <c r="G334" s="131">
        <f>'Sta. Klimatologi Kalbar'!V102</f>
        <v>3</v>
      </c>
      <c r="H334" s="131"/>
      <c r="I334" s="131"/>
      <c r="J334" s="131"/>
      <c r="K334" s="131"/>
      <c r="L334" s="131"/>
      <c r="M334" s="131"/>
      <c r="O334" s="130">
        <v>5</v>
      </c>
      <c r="P334" s="131">
        <f t="shared" si="437"/>
        <v>23.556407679419046</v>
      </c>
      <c r="Q334" s="131">
        <f t="shared" si="432"/>
        <v>0</v>
      </c>
      <c r="R334" s="131">
        <f t="shared" si="433"/>
        <v>20.551552205303331</v>
      </c>
      <c r="S334" s="131">
        <f t="shared" si="434"/>
        <v>0</v>
      </c>
      <c r="T334" s="131">
        <f t="shared" si="435"/>
        <v>111.29472957405007</v>
      </c>
      <c r="U334" s="131">
        <f t="shared" si="436"/>
        <v>0.97057858786396789</v>
      </c>
      <c r="V334" s="131"/>
      <c r="W334" s="131"/>
      <c r="X334" s="131"/>
      <c r="Y334" s="131"/>
      <c r="Z334" s="131"/>
      <c r="AA334" s="131"/>
      <c r="AC334" s="130">
        <v>5</v>
      </c>
      <c r="AD334" s="131">
        <f>'Sta. Meteorologi pnk'!Q237</f>
        <v>27</v>
      </c>
      <c r="AE334" s="131">
        <f>'Sta. Meteorologi pnk'!R237</f>
        <v>0</v>
      </c>
      <c r="AF334" s="131">
        <f>'Sta. Meteorologi pnk'!S237</f>
        <v>16</v>
      </c>
      <c r="AG334" s="131">
        <f>'Sta. Meteorologi pnk'!T237</f>
        <v>0</v>
      </c>
      <c r="AH334" s="131">
        <f>'Sta. Meteorologi pnk'!U237</f>
        <v>106</v>
      </c>
      <c r="AI334" s="131">
        <f>'Sta. Meteorologi pnk'!V237</f>
        <v>0</v>
      </c>
      <c r="AJ334" s="131"/>
      <c r="AK334" s="131"/>
      <c r="AL334" s="131"/>
      <c r="AM334" s="131"/>
      <c r="AN334" s="131"/>
      <c r="AO334" s="131"/>
      <c r="AQ334" s="130">
        <v>5</v>
      </c>
      <c r="AR334" s="131">
        <f>'Sta. Meteorologi Supadio'!Q102</f>
        <v>31.4</v>
      </c>
      <c r="AS334" s="131">
        <f>'Sta. Meteorologi Supadio'!R102</f>
        <v>0</v>
      </c>
      <c r="AT334" s="131">
        <f>'Sta. Meteorologi Supadio'!S102</f>
        <v>10.5</v>
      </c>
      <c r="AU334" s="131">
        <f>'Sta. Meteorologi Supadio'!T102</f>
        <v>0</v>
      </c>
      <c r="AV334" s="131">
        <f>'Sta. Meteorologi Supadio'!U102</f>
        <v>105.1</v>
      </c>
      <c r="AW334" s="131">
        <f>'Sta. Meteorologi Supadio'!V102</f>
        <v>4.4000000000000004</v>
      </c>
      <c r="AX334" s="131"/>
      <c r="AY334" s="131"/>
      <c r="AZ334" s="131"/>
      <c r="BA334" s="131"/>
      <c r="BB334" s="131"/>
      <c r="BC334" s="131"/>
    </row>
    <row r="335" spans="1:55">
      <c r="A335" s="130">
        <v>6</v>
      </c>
      <c r="B335" s="131">
        <f>'Sta. Klimatologi Kalbar'!Q103</f>
        <v>0</v>
      </c>
      <c r="C335" s="131">
        <f>'Sta. Klimatologi Kalbar'!R103</f>
        <v>3.1</v>
      </c>
      <c r="D335" s="131">
        <f>'Sta. Klimatologi Kalbar'!S103</f>
        <v>69</v>
      </c>
      <c r="E335" s="131">
        <f>'Sta. Klimatologi Kalbar'!T103</f>
        <v>0</v>
      </c>
      <c r="F335" s="131">
        <f>'Sta. Klimatologi Kalbar'!U103</f>
        <v>0</v>
      </c>
      <c r="G335" s="131">
        <f>'Sta. Klimatologi Kalbar'!V103</f>
        <v>1.6</v>
      </c>
      <c r="H335" s="131"/>
      <c r="I335" s="131"/>
      <c r="J335" s="131"/>
      <c r="K335" s="131"/>
      <c r="L335" s="131"/>
      <c r="M335" s="131"/>
      <c r="O335" s="130">
        <v>6</v>
      </c>
      <c r="P335" s="131">
        <f t="shared" si="437"/>
        <v>0.37551356310350803</v>
      </c>
      <c r="Q335" s="131">
        <f t="shared" si="432"/>
        <v>6.357095659069194</v>
      </c>
      <c r="R335" s="131">
        <f t="shared" si="433"/>
        <v>48.974986825143915</v>
      </c>
      <c r="S335" s="131">
        <f t="shared" si="434"/>
        <v>0</v>
      </c>
      <c r="T335" s="131">
        <f t="shared" si="435"/>
        <v>0</v>
      </c>
      <c r="U335" s="131">
        <f t="shared" si="436"/>
        <v>0.35137678873193406</v>
      </c>
      <c r="V335" s="131"/>
      <c r="W335" s="131"/>
      <c r="X335" s="131"/>
      <c r="Y335" s="131"/>
      <c r="Z335" s="131"/>
      <c r="AA335" s="131"/>
      <c r="AC335" s="130">
        <v>6</v>
      </c>
      <c r="AD335" s="131">
        <f>'Sta. Meteorologi pnk'!Q238</f>
        <v>0</v>
      </c>
      <c r="AE335" s="131">
        <f>'Sta. Meteorologi pnk'!R238</f>
        <v>8</v>
      </c>
      <c r="AF335" s="131">
        <f>'Sta. Meteorologi pnk'!S238</f>
        <v>45.9</v>
      </c>
      <c r="AG335" s="131">
        <f>'Sta. Meteorologi pnk'!T238</f>
        <v>0</v>
      </c>
      <c r="AH335" s="131">
        <f>'Sta. Meteorologi pnk'!U238</f>
        <v>0</v>
      </c>
      <c r="AI335" s="131">
        <f>'Sta. Meteorologi pnk'!V238</f>
        <v>0</v>
      </c>
      <c r="AJ335" s="131"/>
      <c r="AK335" s="131"/>
      <c r="AL335" s="131"/>
      <c r="AM335" s="131"/>
      <c r="AN335" s="131"/>
      <c r="AO335" s="131"/>
      <c r="AQ335" s="130">
        <v>6</v>
      </c>
      <c r="AR335" s="131">
        <f>'Sta. Meteorologi Supadio'!Q103</f>
        <v>5.3</v>
      </c>
      <c r="AS335" s="131">
        <f>'Sta. Meteorologi Supadio'!R103</f>
        <v>0</v>
      </c>
      <c r="AT335" s="131">
        <f>'Sta. Meteorologi Supadio'!S103</f>
        <v>17.7</v>
      </c>
      <c r="AU335" s="131">
        <f>'Sta. Meteorologi Supadio'!T103</f>
        <v>0</v>
      </c>
      <c r="AV335" s="131">
        <f>'Sta. Meteorologi Supadio'!U103</f>
        <v>0</v>
      </c>
      <c r="AW335" s="131">
        <f>'Sta. Meteorologi Supadio'!V103</f>
        <v>0</v>
      </c>
      <c r="AX335" s="131"/>
      <c r="AY335" s="131"/>
      <c r="AZ335" s="131"/>
      <c r="BA335" s="131"/>
      <c r="BB335" s="131"/>
      <c r="BC335" s="131"/>
    </row>
    <row r="336" spans="1:55">
      <c r="A336" s="130">
        <v>7</v>
      </c>
      <c r="B336" s="131">
        <f>'Sta. Klimatologi Kalbar'!Q104</f>
        <v>3.5</v>
      </c>
      <c r="C336" s="131">
        <f>'Sta. Klimatologi Kalbar'!R104</f>
        <v>0</v>
      </c>
      <c r="D336" s="131">
        <f>'Sta. Klimatologi Kalbar'!S104</f>
        <v>6.5</v>
      </c>
      <c r="E336" s="131">
        <f>'Sta. Klimatologi Kalbar'!T104</f>
        <v>0</v>
      </c>
      <c r="F336" s="131">
        <f>'Sta. Klimatologi Kalbar'!U104</f>
        <v>0</v>
      </c>
      <c r="G336" s="131">
        <f>'Sta. Klimatologi Kalbar'!V104</f>
        <v>0</v>
      </c>
      <c r="H336" s="131"/>
      <c r="I336" s="131"/>
      <c r="J336" s="131"/>
      <c r="K336" s="131"/>
      <c r="L336" s="131"/>
      <c r="M336" s="131"/>
      <c r="O336" s="130">
        <v>7</v>
      </c>
      <c r="P336" s="131">
        <f t="shared" si="437"/>
        <v>7.6791883974715489</v>
      </c>
      <c r="Q336" s="131">
        <f t="shared" si="432"/>
        <v>0</v>
      </c>
      <c r="R336" s="131">
        <f t="shared" si="433"/>
        <v>7.2158056652797748</v>
      </c>
      <c r="S336" s="131">
        <f t="shared" si="434"/>
        <v>0</v>
      </c>
      <c r="T336" s="131">
        <f t="shared" si="435"/>
        <v>0</v>
      </c>
      <c r="U336" s="131">
        <f t="shared" si="436"/>
        <v>0</v>
      </c>
      <c r="V336" s="131"/>
      <c r="W336" s="131"/>
      <c r="X336" s="131"/>
      <c r="Y336" s="131"/>
      <c r="Z336" s="131"/>
      <c r="AA336" s="131"/>
      <c r="AC336" s="130">
        <v>7</v>
      </c>
      <c r="AD336" s="131">
        <f>'Sta. Meteorologi pnk'!Q239</f>
        <v>9.4</v>
      </c>
      <c r="AE336" s="131">
        <f>'Sta. Meteorologi pnk'!R239</f>
        <v>0</v>
      </c>
      <c r="AF336" s="131">
        <f>'Sta. Meteorologi pnk'!S239</f>
        <v>6.7</v>
      </c>
      <c r="AG336" s="131">
        <f>'Sta. Meteorologi pnk'!T239</f>
        <v>0</v>
      </c>
      <c r="AH336" s="131">
        <f>'Sta. Meteorologi pnk'!U239</f>
        <v>0</v>
      </c>
      <c r="AI336" s="131">
        <f>'Sta. Meteorologi pnk'!V239</f>
        <v>0</v>
      </c>
      <c r="AJ336" s="131"/>
      <c r="AK336" s="131"/>
      <c r="AL336" s="131"/>
      <c r="AM336" s="131"/>
      <c r="AN336" s="131"/>
      <c r="AO336" s="131"/>
      <c r="AQ336" s="130">
        <v>7</v>
      </c>
      <c r="AR336" s="131">
        <f>'Sta. Meteorologi Supadio'!Q104</f>
        <v>3.4</v>
      </c>
      <c r="AS336" s="131">
        <f>'Sta. Meteorologi Supadio'!R104</f>
        <v>0</v>
      </c>
      <c r="AT336" s="131">
        <f>'Sta. Meteorologi Supadio'!S104</f>
        <v>14.6</v>
      </c>
      <c r="AU336" s="131">
        <f>'Sta. Meteorologi Supadio'!T104</f>
        <v>0</v>
      </c>
      <c r="AV336" s="131">
        <f>'Sta. Meteorologi Supadio'!U104</f>
        <v>0</v>
      </c>
      <c r="AW336" s="131">
        <f>'Sta. Meteorologi Supadio'!V104</f>
        <v>0</v>
      </c>
      <c r="AX336" s="131"/>
      <c r="AY336" s="131"/>
      <c r="AZ336" s="131"/>
      <c r="BA336" s="131"/>
      <c r="BB336" s="131"/>
      <c r="BC336" s="131"/>
    </row>
    <row r="337" spans="1:55">
      <c r="A337" s="130">
        <v>8</v>
      </c>
      <c r="B337" s="131">
        <f>'Sta. Klimatologi Kalbar'!Q105</f>
        <v>1</v>
      </c>
      <c r="C337" s="131">
        <f>'Sta. Klimatologi Kalbar'!R105</f>
        <v>0</v>
      </c>
      <c r="D337" s="131">
        <f>'Sta. Klimatologi Kalbar'!S105</f>
        <v>1.2</v>
      </c>
      <c r="E337" s="131">
        <f>'Sta. Klimatologi Kalbar'!T105</f>
        <v>1</v>
      </c>
      <c r="F337" s="131">
        <f>'Sta. Klimatologi Kalbar'!U105</f>
        <v>18.8</v>
      </c>
      <c r="G337" s="131">
        <f>'Sta. Klimatologi Kalbar'!V105</f>
        <v>0</v>
      </c>
      <c r="H337" s="131"/>
      <c r="I337" s="131"/>
      <c r="J337" s="131"/>
      <c r="K337" s="131"/>
      <c r="L337" s="131"/>
      <c r="M337" s="131"/>
      <c r="O337" s="130">
        <v>8</v>
      </c>
      <c r="P337" s="131">
        <f t="shared" si="437"/>
        <v>3.0577620584079948</v>
      </c>
      <c r="Q337" s="131">
        <f t="shared" si="432"/>
        <v>0</v>
      </c>
      <c r="R337" s="131">
        <f t="shared" si="433"/>
        <v>4.305650756276127</v>
      </c>
      <c r="S337" s="131">
        <f t="shared" si="434"/>
        <v>1.4825062008178624</v>
      </c>
      <c r="T337" s="131">
        <f t="shared" si="435"/>
        <v>4.1286772676002252</v>
      </c>
      <c r="U337" s="131">
        <f t="shared" si="436"/>
        <v>0.12044774665584219</v>
      </c>
      <c r="V337" s="131"/>
      <c r="W337" s="131"/>
      <c r="X337" s="131"/>
      <c r="Y337" s="131"/>
      <c r="Z337" s="131"/>
      <c r="AA337" s="131"/>
      <c r="AC337" s="130">
        <v>8</v>
      </c>
      <c r="AD337" s="131">
        <f>'Sta. Meteorologi pnk'!Q240</f>
        <v>4</v>
      </c>
      <c r="AE337" s="131">
        <f>'Sta. Meteorologi pnk'!R240</f>
        <v>0</v>
      </c>
      <c r="AF337" s="131">
        <f>'Sta. Meteorologi pnk'!S240</f>
        <v>3.5</v>
      </c>
      <c r="AG337" s="131">
        <f>'Sta. Meteorologi pnk'!T240</f>
        <v>1.7</v>
      </c>
      <c r="AH337" s="131">
        <f>'Sta. Meteorologi pnk'!U240</f>
        <v>0</v>
      </c>
      <c r="AI337" s="131">
        <f>'Sta. Meteorologi pnk'!V240</f>
        <v>0</v>
      </c>
      <c r="AJ337" s="131"/>
      <c r="AK337" s="131"/>
      <c r="AL337" s="131"/>
      <c r="AM337" s="131"/>
      <c r="AN337" s="131"/>
      <c r="AO337" s="131"/>
      <c r="AQ337" s="130">
        <v>8</v>
      </c>
      <c r="AR337" s="131">
        <f>'Sta. Meteorologi Supadio'!Q105</f>
        <v>0</v>
      </c>
      <c r="AS337" s="131">
        <f>'Sta. Meteorologi Supadio'!R105</f>
        <v>0</v>
      </c>
      <c r="AT337" s="131">
        <f>'Sta. Meteorologi Supadio'!S105</f>
        <v>22</v>
      </c>
      <c r="AU337" s="131">
        <f>'Sta. Meteorologi Supadio'!T105</f>
        <v>0.8</v>
      </c>
      <c r="AV337" s="131">
        <f>'Sta. Meteorologi Supadio'!U105</f>
        <v>0</v>
      </c>
      <c r="AW337" s="131">
        <f>'Sta. Meteorologi Supadio'!V105</f>
        <v>1.7</v>
      </c>
      <c r="AX337" s="131"/>
      <c r="AY337" s="131"/>
      <c r="AZ337" s="131"/>
      <c r="BA337" s="131"/>
      <c r="BB337" s="131"/>
      <c r="BC337" s="131"/>
    </row>
    <row r="338" spans="1:55">
      <c r="A338" s="130">
        <v>9</v>
      </c>
      <c r="B338" s="131">
        <f>'Sta. Klimatologi Kalbar'!Q106</f>
        <v>1.3</v>
      </c>
      <c r="C338" s="131">
        <f>'Sta. Klimatologi Kalbar'!R106</f>
        <v>0</v>
      </c>
      <c r="D338" s="131">
        <f>'Sta. Klimatologi Kalbar'!S106</f>
        <v>29.9</v>
      </c>
      <c r="E338" s="131">
        <f>'Sta. Klimatologi Kalbar'!T106</f>
        <v>0</v>
      </c>
      <c r="F338" s="131">
        <f>'Sta. Klimatologi Kalbar'!U106</f>
        <v>4.2</v>
      </c>
      <c r="G338" s="131">
        <f>'Sta. Klimatologi Kalbar'!V106</f>
        <v>0</v>
      </c>
      <c r="H338" s="131"/>
      <c r="I338" s="131"/>
      <c r="J338" s="131"/>
      <c r="K338" s="131"/>
      <c r="L338" s="131"/>
      <c r="M338" s="131"/>
      <c r="O338" s="130">
        <v>9</v>
      </c>
      <c r="P338" s="131">
        <f t="shared" si="437"/>
        <v>1.8464770018424912</v>
      </c>
      <c r="Q338" s="131">
        <f t="shared" si="432"/>
        <v>0</v>
      </c>
      <c r="R338" s="131">
        <f t="shared" si="433"/>
        <v>58.447472593882885</v>
      </c>
      <c r="S338" s="131">
        <f t="shared" si="434"/>
        <v>0</v>
      </c>
      <c r="T338" s="131">
        <f t="shared" si="435"/>
        <v>21.844705408380271</v>
      </c>
      <c r="U338" s="131">
        <f t="shared" si="436"/>
        <v>0</v>
      </c>
      <c r="V338" s="131"/>
      <c r="W338" s="131"/>
      <c r="X338" s="131"/>
      <c r="Y338" s="131"/>
      <c r="Z338" s="131"/>
      <c r="AA338" s="131"/>
      <c r="AC338" s="130">
        <v>9</v>
      </c>
      <c r="AD338" s="131">
        <f>'Sta. Meteorologi pnk'!Q241</f>
        <v>2.2000000000000002</v>
      </c>
      <c r="AE338" s="131">
        <f>'Sta. Meteorologi pnk'!R241</f>
        <v>0</v>
      </c>
      <c r="AF338" s="131">
        <f>'Sta. Meteorologi pnk'!S241</f>
        <v>65.900000000000006</v>
      </c>
      <c r="AG338" s="131">
        <f>'Sta. Meteorologi pnk'!T241</f>
        <v>0</v>
      </c>
      <c r="AH338" s="131">
        <f>'Sta. Meteorologi pnk'!U241</f>
        <v>27.6</v>
      </c>
      <c r="AI338" s="131">
        <f>'Sta. Meteorologi pnk'!V241</f>
        <v>0</v>
      </c>
      <c r="AJ338" s="131"/>
      <c r="AK338" s="131"/>
      <c r="AL338" s="131"/>
      <c r="AM338" s="131"/>
      <c r="AN338" s="131"/>
      <c r="AO338" s="131"/>
      <c r="AQ338" s="130">
        <v>9</v>
      </c>
      <c r="AR338" s="131">
        <f>'Sta. Meteorologi Supadio'!Q106</f>
        <v>0</v>
      </c>
      <c r="AS338" s="131">
        <f>'Sta. Meteorologi Supadio'!R106</f>
        <v>0</v>
      </c>
      <c r="AT338" s="131">
        <f>'Sta. Meteorologi Supadio'!S106</f>
        <v>72.3</v>
      </c>
      <c r="AU338" s="131">
        <f>'Sta. Meteorologi Supadio'!T106</f>
        <v>0</v>
      </c>
      <c r="AV338" s="131">
        <f>'Sta. Meteorologi Supadio'!U106</f>
        <v>18.899999999999999</v>
      </c>
      <c r="AW338" s="131">
        <f>'Sta. Meteorologi Supadio'!V106</f>
        <v>0</v>
      </c>
      <c r="AX338" s="131"/>
      <c r="AY338" s="131"/>
      <c r="AZ338" s="131"/>
      <c r="BA338" s="131"/>
      <c r="BB338" s="131"/>
      <c r="BC338" s="131"/>
    </row>
    <row r="339" spans="1:55">
      <c r="A339" s="130">
        <v>10</v>
      </c>
      <c r="B339" s="131">
        <f>'Sta. Klimatologi Kalbar'!Q107</f>
        <v>1</v>
      </c>
      <c r="C339" s="131">
        <f>'Sta. Klimatologi Kalbar'!R107</f>
        <v>0</v>
      </c>
      <c r="D339" s="131">
        <f>'Sta. Klimatologi Kalbar'!S107</f>
        <v>0</v>
      </c>
      <c r="E339" s="131">
        <f>'Sta. Klimatologi Kalbar'!T107</f>
        <v>0</v>
      </c>
      <c r="F339" s="131">
        <f>'Sta. Klimatologi Kalbar'!U107</f>
        <v>0</v>
      </c>
      <c r="G339" s="131">
        <f>'Sta. Klimatologi Kalbar'!V107</f>
        <v>0</v>
      </c>
      <c r="H339" s="131"/>
      <c r="I339" s="131"/>
      <c r="J339" s="131"/>
      <c r="K339" s="131"/>
      <c r="L339" s="131"/>
      <c r="M339" s="131"/>
      <c r="O339" s="130">
        <v>10</v>
      </c>
      <c r="P339" s="131">
        <f t="shared" si="437"/>
        <v>20.583347975065053</v>
      </c>
      <c r="Q339" s="131">
        <f t="shared" si="432"/>
        <v>0.4676206634873874</v>
      </c>
      <c r="R339" s="131">
        <f t="shared" si="433"/>
        <v>0</v>
      </c>
      <c r="S339" s="131">
        <f t="shared" si="434"/>
        <v>31.219667219955895</v>
      </c>
      <c r="T339" s="131">
        <f t="shared" si="435"/>
        <v>0</v>
      </c>
      <c r="U339" s="131">
        <f t="shared" si="436"/>
        <v>3.9946676763347218</v>
      </c>
      <c r="V339" s="131"/>
      <c r="W339" s="131"/>
      <c r="X339" s="131"/>
      <c r="Y339" s="131"/>
      <c r="Z339" s="131"/>
      <c r="AA339" s="131"/>
      <c r="AC339" s="130">
        <v>10</v>
      </c>
      <c r="AD339" s="131">
        <f>'Sta. Meteorologi pnk'!Q242</f>
        <v>28.7</v>
      </c>
      <c r="AE339" s="131">
        <f>'Sta. Meteorologi pnk'!R242</f>
        <v>0</v>
      </c>
      <c r="AF339" s="131">
        <f>'Sta. Meteorologi pnk'!S242</f>
        <v>0</v>
      </c>
      <c r="AG339" s="131">
        <f>'Sta. Meteorologi pnk'!T242</f>
        <v>44</v>
      </c>
      <c r="AH339" s="131">
        <f>'Sta. Meteorologi pnk'!U242</f>
        <v>0</v>
      </c>
      <c r="AI339" s="131">
        <f>'Sta. Meteorologi pnk'!V242</f>
        <v>5.6</v>
      </c>
      <c r="AJ339" s="131"/>
      <c r="AK339" s="131"/>
      <c r="AL339" s="131"/>
      <c r="AM339" s="131"/>
      <c r="AN339" s="131"/>
      <c r="AO339" s="131"/>
      <c r="AQ339" s="130">
        <v>10</v>
      </c>
      <c r="AR339" s="131">
        <f>'Sta. Meteorologi Supadio'!Q107</f>
        <v>0</v>
      </c>
      <c r="AS339" s="131">
        <f>'Sta. Meteorologi Supadio'!R107</f>
        <v>6.6</v>
      </c>
      <c r="AT339" s="131">
        <f>'Sta. Meteorologi Supadio'!S107</f>
        <v>0</v>
      </c>
      <c r="AU339" s="131">
        <f>'Sta. Meteorologi Supadio'!T107</f>
        <v>0</v>
      </c>
      <c r="AV339" s="131">
        <f>'Sta. Meteorologi Supadio'!U107</f>
        <v>0</v>
      </c>
      <c r="AW339" s="131">
        <f>'Sta. Meteorologi Supadio'!V107</f>
        <v>0.3</v>
      </c>
      <c r="AX339" s="131"/>
      <c r="AY339" s="131"/>
      <c r="AZ339" s="131"/>
      <c r="BA339" s="131"/>
      <c r="BB339" s="131"/>
      <c r="BC339" s="131"/>
    </row>
    <row r="340" spans="1:55">
      <c r="A340" s="130">
        <v>11</v>
      </c>
      <c r="B340" s="131">
        <f>'Sta. Klimatologi Kalbar'!Q108</f>
        <v>3.8</v>
      </c>
      <c r="C340" s="131">
        <f>'Sta. Klimatologi Kalbar'!R108</f>
        <v>16.399999999999999</v>
      </c>
      <c r="D340" s="131">
        <f>'Sta. Klimatologi Kalbar'!S108</f>
        <v>0.5</v>
      </c>
      <c r="E340" s="131">
        <f>'Sta. Klimatologi Kalbar'!T108</f>
        <v>4.3</v>
      </c>
      <c r="F340" s="131">
        <f>'Sta. Klimatologi Kalbar'!U108</f>
        <v>12.4</v>
      </c>
      <c r="G340" s="131">
        <f>'Sta. Klimatologi Kalbar'!V108</f>
        <v>10.5</v>
      </c>
      <c r="H340" s="131"/>
      <c r="I340" s="131"/>
      <c r="J340" s="131"/>
      <c r="K340" s="131"/>
      <c r="L340" s="131"/>
      <c r="M340" s="131"/>
      <c r="O340" s="130">
        <v>11</v>
      </c>
      <c r="P340" s="131">
        <f t="shared" si="437"/>
        <v>6.516375563862062</v>
      </c>
      <c r="Q340" s="131">
        <f t="shared" si="432"/>
        <v>9.7165821918806827</v>
      </c>
      <c r="R340" s="131">
        <f t="shared" si="433"/>
        <v>4.5089401729270602</v>
      </c>
      <c r="S340" s="131">
        <f t="shared" si="434"/>
        <v>18.347828514416591</v>
      </c>
      <c r="T340" s="131">
        <f t="shared" si="435"/>
        <v>3.1061775311694126</v>
      </c>
      <c r="U340" s="131">
        <f t="shared" si="436"/>
        <v>29.571172873042599</v>
      </c>
      <c r="V340" s="131"/>
      <c r="W340" s="131"/>
      <c r="X340" s="131"/>
      <c r="Y340" s="131"/>
      <c r="Z340" s="131"/>
      <c r="AA340" s="131"/>
      <c r="AC340" s="130">
        <v>11</v>
      </c>
      <c r="AD340" s="131">
        <f>'Sta. Meteorologi pnk'!Q243</f>
        <v>6.5</v>
      </c>
      <c r="AE340" s="131">
        <f>'Sta. Meteorologi pnk'!R243</f>
        <v>7.4</v>
      </c>
      <c r="AF340" s="131">
        <f>'Sta. Meteorologi pnk'!S243</f>
        <v>6.2</v>
      </c>
      <c r="AG340" s="131">
        <f>'Sta. Meteorologi pnk'!T243</f>
        <v>23.1</v>
      </c>
      <c r="AH340" s="131">
        <f>'Sta. Meteorologi pnk'!U243</f>
        <v>0.4</v>
      </c>
      <c r="AI340" s="131">
        <f>'Sta. Meteorologi pnk'!V243</f>
        <v>36.200000000000003</v>
      </c>
      <c r="AJ340" s="131"/>
      <c r="AK340" s="131"/>
      <c r="AL340" s="131"/>
      <c r="AM340" s="131"/>
      <c r="AN340" s="131"/>
      <c r="AO340" s="131"/>
      <c r="AQ340" s="130">
        <v>11</v>
      </c>
      <c r="AR340" s="131">
        <f>'Sta. Meteorologi Supadio'!Q108</f>
        <v>15.1</v>
      </c>
      <c r="AS340" s="131">
        <f>'Sta. Meteorologi Supadio'!R108</f>
        <v>12.2</v>
      </c>
      <c r="AT340" s="131">
        <f>'Sta. Meteorologi Supadio'!S108</f>
        <v>0</v>
      </c>
      <c r="AU340" s="131">
        <f>'Sta. Meteorologi Supadio'!T108</f>
        <v>14.3</v>
      </c>
      <c r="AV340" s="131">
        <f>'Sta. Meteorologi Supadio'!U108</f>
        <v>1.4</v>
      </c>
      <c r="AW340" s="131">
        <f>'Sta. Meteorologi Supadio'!V108</f>
        <v>22.3</v>
      </c>
      <c r="AX340" s="131"/>
      <c r="AY340" s="131"/>
      <c r="AZ340" s="131"/>
      <c r="BA340" s="131"/>
      <c r="BB340" s="131"/>
      <c r="BC340" s="131"/>
    </row>
    <row r="341" spans="1:55">
      <c r="A341" s="130">
        <v>12</v>
      </c>
      <c r="B341" s="131">
        <f>'Sta. Klimatologi Kalbar'!Q109</f>
        <v>0</v>
      </c>
      <c r="C341" s="131">
        <f>'Sta. Klimatologi Kalbar'!R109</f>
        <v>5.9</v>
      </c>
      <c r="D341" s="131">
        <f>'Sta. Klimatologi Kalbar'!S109</f>
        <v>2.2000000000000002</v>
      </c>
      <c r="E341" s="131">
        <f>'Sta. Klimatologi Kalbar'!T109</f>
        <v>0.2</v>
      </c>
      <c r="F341" s="131">
        <f>'Sta. Klimatologi Kalbar'!U109</f>
        <v>14.3</v>
      </c>
      <c r="G341" s="131">
        <f>'Sta. Klimatologi Kalbar'!V109</f>
        <v>0</v>
      </c>
      <c r="H341" s="131"/>
      <c r="I341" s="131"/>
      <c r="J341" s="131"/>
      <c r="K341" s="131"/>
      <c r="L341" s="131"/>
      <c r="M341" s="131"/>
      <c r="O341" s="130">
        <v>12</v>
      </c>
      <c r="P341" s="131">
        <f t="shared" si="437"/>
        <v>0</v>
      </c>
      <c r="Q341" s="131">
        <f t="shared" si="432"/>
        <v>21.26801855555906</v>
      </c>
      <c r="R341" s="131">
        <f t="shared" si="433"/>
        <v>1.3203160575492325</v>
      </c>
      <c r="S341" s="131">
        <f t="shared" si="434"/>
        <v>16.718062545613389</v>
      </c>
      <c r="T341" s="131">
        <f t="shared" si="435"/>
        <v>56.15319826587487</v>
      </c>
      <c r="U341" s="131">
        <f t="shared" si="436"/>
        <v>0.67390773660996794</v>
      </c>
      <c r="V341" s="131"/>
      <c r="W341" s="131"/>
      <c r="X341" s="131"/>
      <c r="Y341" s="131"/>
      <c r="Z341" s="131"/>
      <c r="AA341" s="131"/>
      <c r="AC341" s="130">
        <v>12</v>
      </c>
      <c r="AD341" s="131">
        <f>'Sta. Meteorologi pnk'!Q244</f>
        <v>0</v>
      </c>
      <c r="AE341" s="131">
        <f>'Sta. Meteorologi pnk'!R244</f>
        <v>27</v>
      </c>
      <c r="AF341" s="131">
        <f>'Sta. Meteorologi pnk'!S244</f>
        <v>1.1000000000000001</v>
      </c>
      <c r="AG341" s="131">
        <f>'Sta. Meteorologi pnk'!T244</f>
        <v>23.5</v>
      </c>
      <c r="AH341" s="131">
        <f>'Sta. Meteorologi pnk'!U244</f>
        <v>70.900000000000006</v>
      </c>
      <c r="AI341" s="131">
        <f>'Sta. Meteorologi pnk'!V244</f>
        <v>0.8</v>
      </c>
      <c r="AJ341" s="131"/>
      <c r="AK341" s="131"/>
      <c r="AL341" s="131"/>
      <c r="AM341" s="131"/>
      <c r="AN341" s="131"/>
      <c r="AO341" s="131"/>
      <c r="AQ341" s="130">
        <v>12</v>
      </c>
      <c r="AR341" s="131">
        <f>'Sta. Meteorologi Supadio'!Q109</f>
        <v>0</v>
      </c>
      <c r="AS341" s="131">
        <f>'Sta. Meteorologi Supadio'!R109</f>
        <v>11.5</v>
      </c>
      <c r="AT341" s="131">
        <f>'Sta. Meteorologi Supadio'!S109</f>
        <v>0.8</v>
      </c>
      <c r="AU341" s="131">
        <f>'Sta. Meteorologi Supadio'!T109</f>
        <v>0</v>
      </c>
      <c r="AV341" s="131">
        <f>'Sta. Meteorologi Supadio'!U109</f>
        <v>38.200000000000003</v>
      </c>
      <c r="AW341" s="131">
        <f>'Sta. Meteorologi Supadio'!V109</f>
        <v>1.5</v>
      </c>
      <c r="AX341" s="131"/>
      <c r="AY341" s="131"/>
      <c r="AZ341" s="131"/>
      <c r="BA341" s="131"/>
      <c r="BB341" s="131"/>
      <c r="BC341" s="131"/>
    </row>
    <row r="342" spans="1:55">
      <c r="A342" s="130">
        <v>13</v>
      </c>
      <c r="B342" s="131">
        <f>'Sta. Klimatologi Kalbar'!Q110</f>
        <v>8.1</v>
      </c>
      <c r="C342" s="131">
        <f>'Sta. Klimatologi Kalbar'!R110</f>
        <v>3.2</v>
      </c>
      <c r="D342" s="131">
        <f>'Sta. Klimatologi Kalbar'!S110</f>
        <v>0</v>
      </c>
      <c r="E342" s="131">
        <f>'Sta. Klimatologi Kalbar'!T110</f>
        <v>15.3</v>
      </c>
      <c r="F342" s="131">
        <f>'Sta. Klimatologi Kalbar'!U110</f>
        <v>8</v>
      </c>
      <c r="G342" s="131">
        <f>'Sta. Klimatologi Kalbar'!V110</f>
        <v>2.5</v>
      </c>
      <c r="H342" s="131"/>
      <c r="I342" s="131"/>
      <c r="J342" s="131"/>
      <c r="K342" s="131"/>
      <c r="L342" s="131"/>
      <c r="M342" s="131"/>
      <c r="O342" s="130">
        <v>13</v>
      </c>
      <c r="P342" s="131">
        <f t="shared" si="437"/>
        <v>17.886718574899252</v>
      </c>
      <c r="Q342" s="131">
        <f t="shared" si="432"/>
        <v>2.1287101748444144</v>
      </c>
      <c r="R342" s="131">
        <f t="shared" si="433"/>
        <v>1.277168204452741</v>
      </c>
      <c r="S342" s="131">
        <f t="shared" si="434"/>
        <v>7.6169613700558552</v>
      </c>
      <c r="T342" s="131">
        <f t="shared" si="435"/>
        <v>1.8420080559319154</v>
      </c>
      <c r="U342" s="131">
        <f t="shared" si="436"/>
        <v>35.812446392378419</v>
      </c>
      <c r="V342" s="131"/>
      <c r="W342" s="131"/>
      <c r="X342" s="131"/>
      <c r="Y342" s="131"/>
      <c r="Z342" s="131"/>
      <c r="AA342" s="131"/>
      <c r="AC342" s="130">
        <v>13</v>
      </c>
      <c r="AD342" s="131">
        <f>'Sta. Meteorologi pnk'!Q245</f>
        <v>17.100000000000001</v>
      </c>
      <c r="AE342" s="131">
        <f>'Sta. Meteorologi pnk'!R245</f>
        <v>1.8</v>
      </c>
      <c r="AF342" s="131">
        <f>'Sta. Meteorologi pnk'!S245</f>
        <v>1.8</v>
      </c>
      <c r="AG342" s="131">
        <f>'Sta. Meteorologi pnk'!T245</f>
        <v>5.7</v>
      </c>
      <c r="AH342" s="131">
        <f>'Sta. Meteorologi pnk'!U245</f>
        <v>0.1</v>
      </c>
      <c r="AI342" s="131">
        <f>'Sta. Meteorologi pnk'!V245</f>
        <v>49.1</v>
      </c>
      <c r="AJ342" s="131"/>
      <c r="AK342" s="131"/>
      <c r="AL342" s="131"/>
      <c r="AM342" s="131"/>
      <c r="AN342" s="131"/>
      <c r="AO342" s="131"/>
      <c r="AQ342" s="130">
        <v>13</v>
      </c>
      <c r="AR342" s="131">
        <f>'Sta. Meteorologi Supadio'!Q110</f>
        <v>56.1</v>
      </c>
      <c r="AS342" s="131">
        <f>'Sta. Meteorologi Supadio'!R110</f>
        <v>2.1</v>
      </c>
      <c r="AT342" s="131">
        <f>'Sta. Meteorologi Supadio'!S110</f>
        <v>0</v>
      </c>
      <c r="AU342" s="131">
        <f>'Sta. Meteorologi Supadio'!T110</f>
        <v>3</v>
      </c>
      <c r="AV342" s="131">
        <f>'Sta. Meteorologi Supadio'!U110</f>
        <v>0.2</v>
      </c>
      <c r="AW342" s="131">
        <f>'Sta. Meteorologi Supadio'!V110</f>
        <v>6</v>
      </c>
      <c r="AX342" s="131"/>
      <c r="AY342" s="131"/>
      <c r="AZ342" s="131"/>
      <c r="BA342" s="131"/>
      <c r="BB342" s="131"/>
      <c r="BC342" s="131"/>
    </row>
    <row r="343" spans="1:55">
      <c r="A343" s="130">
        <v>14</v>
      </c>
      <c r="B343" s="131">
        <f>'Sta. Klimatologi Kalbar'!Q111</f>
        <v>7.4</v>
      </c>
      <c r="C343" s="131">
        <f>'Sta. Klimatologi Kalbar'!R111</f>
        <v>18</v>
      </c>
      <c r="D343" s="131">
        <f>'Sta. Klimatologi Kalbar'!S111</f>
        <v>0</v>
      </c>
      <c r="E343" s="131">
        <f>'Sta. Klimatologi Kalbar'!T111</f>
        <v>1</v>
      </c>
      <c r="F343" s="131">
        <f>'Sta. Klimatologi Kalbar'!U111</f>
        <v>0</v>
      </c>
      <c r="G343" s="131">
        <f>'Sta. Klimatologi Kalbar'!V111</f>
        <v>0</v>
      </c>
      <c r="H343" s="131"/>
      <c r="I343" s="131"/>
      <c r="J343" s="131"/>
      <c r="K343" s="131"/>
      <c r="L343" s="131"/>
      <c r="M343" s="131"/>
      <c r="O343" s="130">
        <v>14</v>
      </c>
      <c r="P343" s="131">
        <f t="shared" si="437"/>
        <v>9.0672607845176554</v>
      </c>
      <c r="Q343" s="131">
        <f t="shared" si="432"/>
        <v>19.099221777602121</v>
      </c>
      <c r="R343" s="131">
        <f t="shared" si="433"/>
        <v>0</v>
      </c>
      <c r="S343" s="131">
        <f t="shared" si="434"/>
        <v>11.641637942050522</v>
      </c>
      <c r="T343" s="131">
        <f t="shared" si="435"/>
        <v>1.8160491774454608</v>
      </c>
      <c r="U343" s="131">
        <f t="shared" si="436"/>
        <v>0</v>
      </c>
      <c r="V343" s="131"/>
      <c r="W343" s="131"/>
      <c r="X343" s="131"/>
      <c r="Y343" s="131"/>
      <c r="Z343" s="131"/>
      <c r="AA343" s="131"/>
      <c r="AC343" s="130">
        <v>14</v>
      </c>
      <c r="AD343" s="131">
        <f>'Sta. Meteorologi pnk'!Q246</f>
        <v>9.6</v>
      </c>
      <c r="AE343" s="131">
        <f>'Sta. Meteorologi pnk'!R246</f>
        <v>19</v>
      </c>
      <c r="AF343" s="131">
        <f>'Sta. Meteorologi pnk'!S246</f>
        <v>0</v>
      </c>
      <c r="AG343" s="131">
        <f>'Sta. Meteorologi pnk'!T246</f>
        <v>14.6</v>
      </c>
      <c r="AH343" s="131">
        <f>'Sta. Meteorologi pnk'!U246</f>
        <v>2.2000000000000002</v>
      </c>
      <c r="AI343" s="131">
        <f>'Sta. Meteorologi pnk'!V246</f>
        <v>0</v>
      </c>
      <c r="AJ343" s="131"/>
      <c r="AK343" s="131"/>
      <c r="AL343" s="131"/>
      <c r="AM343" s="131"/>
      <c r="AN343" s="131"/>
      <c r="AO343" s="131"/>
      <c r="AQ343" s="130">
        <v>14</v>
      </c>
      <c r="AR343" s="131">
        <f>'Sta. Meteorologi Supadio'!Q111</f>
        <v>8.9</v>
      </c>
      <c r="AS343" s="131">
        <f>'Sta. Meteorologi Supadio'!R111</f>
        <v>23.5</v>
      </c>
      <c r="AT343" s="131">
        <f>'Sta. Meteorologi Supadio'!S111</f>
        <v>0</v>
      </c>
      <c r="AU343" s="131">
        <f>'Sta. Meteorologi Supadio'!T111</f>
        <v>15</v>
      </c>
      <c r="AV343" s="131">
        <f>'Sta. Meteorologi Supadio'!U111</f>
        <v>3.6</v>
      </c>
      <c r="AW343" s="131">
        <f>'Sta. Meteorologi Supadio'!V111</f>
        <v>0</v>
      </c>
      <c r="AX343" s="131"/>
      <c r="AY343" s="131"/>
      <c r="AZ343" s="131"/>
      <c r="BA343" s="131"/>
      <c r="BB343" s="131"/>
      <c r="BC343" s="131"/>
    </row>
    <row r="344" spans="1:55">
      <c r="A344" s="130">
        <v>15</v>
      </c>
      <c r="B344" s="131">
        <f>'Sta. Klimatologi Kalbar'!Q112</f>
        <v>22.8</v>
      </c>
      <c r="C344" s="131">
        <f>'Sta. Klimatologi Kalbar'!R112</f>
        <v>3.2</v>
      </c>
      <c r="D344" s="131">
        <f>'Sta. Klimatologi Kalbar'!S112</f>
        <v>0</v>
      </c>
      <c r="E344" s="131">
        <f>'Sta. Klimatologi Kalbar'!T112</f>
        <v>0</v>
      </c>
      <c r="F344" s="131">
        <f>'Sta. Klimatologi Kalbar'!U112</f>
        <v>1</v>
      </c>
      <c r="G344" s="131">
        <f>'Sta. Klimatologi Kalbar'!V112</f>
        <v>0</v>
      </c>
      <c r="H344" s="131"/>
      <c r="I344" s="131"/>
      <c r="J344" s="131"/>
      <c r="K344" s="131"/>
      <c r="L344" s="131"/>
      <c r="M344" s="131"/>
      <c r="O344" s="130">
        <v>15</v>
      </c>
      <c r="P344" s="131">
        <f t="shared" si="437"/>
        <v>10.015782407638305</v>
      </c>
      <c r="Q344" s="131">
        <f t="shared" si="432"/>
        <v>8.7050331717930192</v>
      </c>
      <c r="R344" s="131">
        <f t="shared" si="433"/>
        <v>0</v>
      </c>
      <c r="S344" s="131">
        <f t="shared" si="434"/>
        <v>1.1350562792675019</v>
      </c>
      <c r="T344" s="131">
        <f t="shared" si="435"/>
        <v>9.1597879241266469</v>
      </c>
      <c r="U344" s="131">
        <f t="shared" si="436"/>
        <v>8.2306395398065533</v>
      </c>
      <c r="V344" s="131"/>
      <c r="W344" s="131"/>
      <c r="X344" s="131"/>
      <c r="Y344" s="131"/>
      <c r="Z344" s="131"/>
      <c r="AA344" s="131"/>
      <c r="AC344" s="130">
        <v>15</v>
      </c>
      <c r="AD344" s="131">
        <f>'Sta. Meteorologi pnk'!Q247</f>
        <v>6.4</v>
      </c>
      <c r="AE344" s="131">
        <f>'Sta. Meteorologi pnk'!R247</f>
        <v>10</v>
      </c>
      <c r="AF344" s="131">
        <f>'Sta. Meteorologi pnk'!S247</f>
        <v>0</v>
      </c>
      <c r="AG344" s="131">
        <f>'Sta. Meteorologi pnk'!T247</f>
        <v>1.4</v>
      </c>
      <c r="AH344" s="131">
        <f>'Sta. Meteorologi pnk'!U247</f>
        <v>12.6</v>
      </c>
      <c r="AI344" s="131">
        <f>'Sta. Meteorologi pnk'!V247</f>
        <v>11.6</v>
      </c>
      <c r="AJ344" s="131"/>
      <c r="AK344" s="131"/>
      <c r="AL344" s="131"/>
      <c r="AM344" s="131"/>
      <c r="AN344" s="131"/>
      <c r="AO344" s="131"/>
      <c r="AQ344" s="130">
        <v>15</v>
      </c>
      <c r="AR344" s="131">
        <f>'Sta. Meteorologi Supadio'!Q112</f>
        <v>6.6</v>
      </c>
      <c r="AS344" s="131">
        <f>'Sta. Meteorologi Supadio'!R112</f>
        <v>12.8</v>
      </c>
      <c r="AT344" s="131">
        <f>'Sta. Meteorologi Supadio'!S112</f>
        <v>0</v>
      </c>
      <c r="AU344" s="131">
        <f>'Sta. Meteorologi Supadio'!T112</f>
        <v>2</v>
      </c>
      <c r="AV344" s="131">
        <f>'Sta. Meteorologi Supadio'!U112</f>
        <v>0</v>
      </c>
      <c r="AW344" s="131">
        <f>'Sta. Meteorologi Supadio'!V112</f>
        <v>0</v>
      </c>
      <c r="AX344" s="131"/>
      <c r="AY344" s="131"/>
      <c r="AZ344" s="131"/>
      <c r="BA344" s="131"/>
      <c r="BB344" s="131"/>
      <c r="BC344" s="131"/>
    </row>
    <row r="345" spans="1:55">
      <c r="A345" s="130">
        <v>16</v>
      </c>
      <c r="B345" s="131">
        <f>'Sta. Klimatologi Kalbar'!Q113</f>
        <v>12</v>
      </c>
      <c r="C345" s="131">
        <f>'Sta. Klimatologi Kalbar'!R113</f>
        <v>8.5</v>
      </c>
      <c r="D345" s="131">
        <f>'Sta. Klimatologi Kalbar'!S113</f>
        <v>0</v>
      </c>
      <c r="E345" s="131">
        <f>'Sta. Klimatologi Kalbar'!T113</f>
        <v>0</v>
      </c>
      <c r="F345" s="131">
        <f>'Sta. Klimatologi Kalbar'!U113</f>
        <v>0.2</v>
      </c>
      <c r="G345" s="131">
        <f>'Sta. Klimatologi Kalbar'!V113</f>
        <v>0</v>
      </c>
      <c r="H345" s="131"/>
      <c r="I345" s="131"/>
      <c r="J345" s="131"/>
      <c r="K345" s="131"/>
      <c r="L345" s="131"/>
      <c r="M345" s="131"/>
      <c r="O345" s="130">
        <v>16</v>
      </c>
      <c r="P345" s="131">
        <f t="shared" si="437"/>
        <v>3.0181289870737165</v>
      </c>
      <c r="Q345" s="131">
        <f t="shared" si="432"/>
        <v>9.1722729613082681</v>
      </c>
      <c r="R345" s="131">
        <f t="shared" si="433"/>
        <v>0</v>
      </c>
      <c r="S345" s="131">
        <f t="shared" si="434"/>
        <v>19.597416124744679</v>
      </c>
      <c r="T345" s="131">
        <f t="shared" si="435"/>
        <v>11.607141911762589</v>
      </c>
      <c r="U345" s="131">
        <f t="shared" si="436"/>
        <v>0</v>
      </c>
      <c r="V345" s="131"/>
      <c r="W345" s="131"/>
      <c r="X345" s="131"/>
      <c r="Y345" s="131"/>
      <c r="Z345" s="131"/>
      <c r="AA345" s="131"/>
      <c r="AC345" s="130">
        <v>16</v>
      </c>
      <c r="AD345" s="131">
        <f>'Sta. Meteorologi pnk'!Q248</f>
        <v>0.2</v>
      </c>
      <c r="AE345" s="131">
        <f>'Sta. Meteorologi pnk'!R248</f>
        <v>7.7</v>
      </c>
      <c r="AF345" s="131">
        <f>'Sta. Meteorologi pnk'!S248</f>
        <v>0</v>
      </c>
      <c r="AG345" s="131">
        <f>'Sta. Meteorologi pnk'!T248</f>
        <v>27.6</v>
      </c>
      <c r="AH345" s="131">
        <f>'Sta. Meteorologi pnk'!U248</f>
        <v>14.1</v>
      </c>
      <c r="AI345" s="131">
        <f>'Sta. Meteorologi pnk'!V248</f>
        <v>0</v>
      </c>
      <c r="AJ345" s="131"/>
      <c r="AK345" s="131"/>
      <c r="AL345" s="131"/>
      <c r="AM345" s="131"/>
      <c r="AN345" s="131"/>
      <c r="AO345" s="131"/>
      <c r="AQ345" s="130">
        <v>16</v>
      </c>
      <c r="AR345" s="131">
        <f>'Sta. Meteorologi Supadio'!Q113</f>
        <v>3.4</v>
      </c>
      <c r="AS345" s="131">
        <f>'Sta. Meteorologi Supadio'!R113</f>
        <v>26</v>
      </c>
      <c r="AT345" s="131">
        <f>'Sta. Meteorologi Supadio'!S113</f>
        <v>0</v>
      </c>
      <c r="AU345" s="131">
        <f>'Sta. Meteorologi Supadio'!T113</f>
        <v>0.2</v>
      </c>
      <c r="AV345" s="131">
        <f>'Sta. Meteorologi Supadio'!U113</f>
        <v>22</v>
      </c>
      <c r="AW345" s="131">
        <f>'Sta. Meteorologi Supadio'!V113</f>
        <v>0</v>
      </c>
      <c r="AX345" s="131"/>
      <c r="AY345" s="131"/>
      <c r="AZ345" s="131"/>
      <c r="BA345" s="131"/>
      <c r="BB345" s="131"/>
      <c r="BC345" s="131"/>
    </row>
    <row r="346" spans="1:55">
      <c r="A346" s="130">
        <v>17</v>
      </c>
      <c r="B346" s="131">
        <f>'Sta. Klimatologi Kalbar'!Q114</f>
        <v>1</v>
      </c>
      <c r="C346" s="131">
        <f>'Sta. Klimatologi Kalbar'!R114</f>
        <v>6</v>
      </c>
      <c r="D346" s="131">
        <f>'Sta. Klimatologi Kalbar'!S114</f>
        <v>0</v>
      </c>
      <c r="E346" s="131">
        <f>'Sta. Klimatologi Kalbar'!T114</f>
        <v>32.4</v>
      </c>
      <c r="F346" s="131">
        <f>'Sta. Klimatologi Kalbar'!U114</f>
        <v>10.5</v>
      </c>
      <c r="G346" s="131">
        <f>'Sta. Klimatologi Kalbar'!V114</f>
        <v>0</v>
      </c>
      <c r="H346" s="131"/>
      <c r="I346" s="131"/>
      <c r="J346" s="131"/>
      <c r="K346" s="131"/>
      <c r="L346" s="131"/>
      <c r="M346" s="131"/>
      <c r="O346" s="130">
        <v>17</v>
      </c>
      <c r="P346" s="131">
        <f t="shared" si="437"/>
        <v>22.924823016561746</v>
      </c>
      <c r="Q346" s="131">
        <f t="shared" si="432"/>
        <v>20.119088823921921</v>
      </c>
      <c r="R346" s="131">
        <f t="shared" si="433"/>
        <v>0</v>
      </c>
      <c r="S346" s="131">
        <f t="shared" si="434"/>
        <v>24.269063589427095</v>
      </c>
      <c r="T346" s="131">
        <f t="shared" si="435"/>
        <v>6.634091313365384</v>
      </c>
      <c r="U346" s="131">
        <f t="shared" si="436"/>
        <v>0</v>
      </c>
      <c r="V346" s="131"/>
      <c r="W346" s="131"/>
      <c r="X346" s="131"/>
      <c r="Y346" s="131"/>
      <c r="Z346" s="131"/>
      <c r="AA346" s="131"/>
      <c r="AC346" s="130">
        <v>17</v>
      </c>
      <c r="AD346" s="131">
        <f>'Sta. Meteorologi pnk'!Q249</f>
        <v>32</v>
      </c>
      <c r="AE346" s="131">
        <f>'Sta. Meteorologi pnk'!R249</f>
        <v>25.2</v>
      </c>
      <c r="AF346" s="131">
        <f>'Sta. Meteorologi pnk'!S249</f>
        <v>0</v>
      </c>
      <c r="AG346" s="131">
        <f>'Sta. Meteorologi pnk'!T249</f>
        <v>21.3</v>
      </c>
      <c r="AH346" s="131">
        <f>'Sta. Meteorologi pnk'!U249</f>
        <v>6.1</v>
      </c>
      <c r="AI346" s="131">
        <f>'Sta. Meteorologi pnk'!V249</f>
        <v>0</v>
      </c>
      <c r="AJ346" s="131"/>
      <c r="AK346" s="131"/>
      <c r="AL346" s="131"/>
      <c r="AM346" s="131"/>
      <c r="AN346" s="131"/>
      <c r="AO346" s="131"/>
      <c r="AQ346" s="130">
        <v>17</v>
      </c>
      <c r="AR346" s="131">
        <f>'Sta. Meteorologi Supadio'!Q114</f>
        <v>0</v>
      </c>
      <c r="AS346" s="131">
        <f>'Sta. Meteorologi Supadio'!R114</f>
        <v>13</v>
      </c>
      <c r="AT346" s="131">
        <f>'Sta. Meteorologi Supadio'!S114</f>
        <v>0</v>
      </c>
      <c r="AU346" s="131">
        <f>'Sta. Meteorologi Supadio'!T114</f>
        <v>28.8</v>
      </c>
      <c r="AV346" s="131">
        <f>'Sta. Meteorologi Supadio'!U114</f>
        <v>0</v>
      </c>
      <c r="AW346" s="131">
        <f>'Sta. Meteorologi Supadio'!V114</f>
        <v>0</v>
      </c>
      <c r="AX346" s="131"/>
      <c r="AY346" s="131"/>
      <c r="AZ346" s="131"/>
      <c r="BA346" s="131"/>
      <c r="BB346" s="131"/>
      <c r="BC346" s="131"/>
    </row>
    <row r="347" spans="1:55">
      <c r="A347" s="130">
        <v>18</v>
      </c>
      <c r="B347" s="131">
        <f>'Sta. Klimatologi Kalbar'!Q115</f>
        <v>5.8</v>
      </c>
      <c r="C347" s="131">
        <f>'Sta. Klimatologi Kalbar'!R115</f>
        <v>0</v>
      </c>
      <c r="D347" s="131">
        <f>'Sta. Klimatologi Kalbar'!S115</f>
        <v>0</v>
      </c>
      <c r="E347" s="131">
        <f>'Sta. Klimatologi Kalbar'!T115</f>
        <v>8</v>
      </c>
      <c r="F347" s="131">
        <f>'Sta. Klimatologi Kalbar'!U115</f>
        <v>1</v>
      </c>
      <c r="G347" s="131">
        <f>'Sta. Klimatologi Kalbar'!V115</f>
        <v>1.3</v>
      </c>
      <c r="H347" s="131"/>
      <c r="I347" s="131"/>
      <c r="J347" s="131"/>
      <c r="K347" s="131"/>
      <c r="L347" s="131"/>
      <c r="M347" s="131"/>
      <c r="O347" s="130">
        <v>18</v>
      </c>
      <c r="P347" s="131">
        <f t="shared" si="437"/>
        <v>2.3451328577652029</v>
      </c>
      <c r="Q347" s="131">
        <f t="shared" si="432"/>
        <v>13.871414689411317</v>
      </c>
      <c r="R347" s="131">
        <f t="shared" si="433"/>
        <v>0</v>
      </c>
      <c r="S347" s="131">
        <f t="shared" si="434"/>
        <v>3.4880133557455988</v>
      </c>
      <c r="T347" s="131">
        <f t="shared" si="435"/>
        <v>17.181621247481129</v>
      </c>
      <c r="U347" s="131">
        <f t="shared" si="436"/>
        <v>2.3427448319709101</v>
      </c>
      <c r="V347" s="131"/>
      <c r="W347" s="131"/>
      <c r="X347" s="131"/>
      <c r="Y347" s="131"/>
      <c r="Z347" s="131"/>
      <c r="AA347" s="131"/>
      <c r="AC347" s="130">
        <v>18</v>
      </c>
      <c r="AD347" s="131">
        <f>'Sta. Meteorologi pnk'!Q250</f>
        <v>1.5</v>
      </c>
      <c r="AE347" s="131">
        <f>'Sta. Meteorologi pnk'!R250</f>
        <v>19.5</v>
      </c>
      <c r="AF347" s="131">
        <f>'Sta. Meteorologi pnk'!S250</f>
        <v>0</v>
      </c>
      <c r="AG347" s="131">
        <f>'Sta. Meteorologi pnk'!T250</f>
        <v>2.2999999999999998</v>
      </c>
      <c r="AH347" s="131">
        <f>'Sta. Meteorologi pnk'!U250</f>
        <v>14</v>
      </c>
      <c r="AI347" s="131">
        <f>'Sta. Meteorologi pnk'!V250</f>
        <v>2.5</v>
      </c>
      <c r="AJ347" s="131"/>
      <c r="AK347" s="131"/>
      <c r="AL347" s="131"/>
      <c r="AM347" s="131"/>
      <c r="AN347" s="131"/>
      <c r="AO347" s="131"/>
      <c r="AQ347" s="130">
        <v>18</v>
      </c>
      <c r="AR347" s="131">
        <f>'Sta. Meteorologi Supadio'!Q115</f>
        <v>0.1</v>
      </c>
      <c r="AS347" s="131">
        <f>'Sta. Meteorologi Supadio'!R115</f>
        <v>0.5</v>
      </c>
      <c r="AT347" s="131">
        <f>'Sta. Meteorologi Supadio'!S115</f>
        <v>0</v>
      </c>
      <c r="AU347" s="131">
        <f>'Sta. Meteorologi Supadio'!T115</f>
        <v>1.4</v>
      </c>
      <c r="AV347" s="131">
        <f>'Sta. Meteorologi Supadio'!U115</f>
        <v>99.2</v>
      </c>
      <c r="AW347" s="131">
        <f>'Sta. Meteorologi Supadio'!V115</f>
        <v>4</v>
      </c>
      <c r="AX347" s="131"/>
      <c r="AY347" s="131"/>
      <c r="AZ347" s="131"/>
      <c r="BA347" s="131"/>
      <c r="BB347" s="131"/>
      <c r="BC347" s="131"/>
    </row>
    <row r="348" spans="1:55">
      <c r="A348" s="130">
        <v>19</v>
      </c>
      <c r="B348" s="131">
        <f>'Sta. Klimatologi Kalbar'!Q116</f>
        <v>12.1</v>
      </c>
      <c r="C348" s="131">
        <f>'Sta. Klimatologi Kalbar'!R116</f>
        <v>2.2999999999999998</v>
      </c>
      <c r="D348" s="131">
        <f>'Sta. Klimatologi Kalbar'!S116</f>
        <v>0</v>
      </c>
      <c r="E348" s="131">
        <f>'Sta. Klimatologi Kalbar'!T116</f>
        <v>0</v>
      </c>
      <c r="F348" s="131">
        <f>'Sta. Klimatologi Kalbar'!U116</f>
        <v>5.2</v>
      </c>
      <c r="G348" s="131">
        <f>'Sta. Klimatologi Kalbar'!V116</f>
        <v>0</v>
      </c>
      <c r="H348" s="131"/>
      <c r="I348" s="131"/>
      <c r="J348" s="131"/>
      <c r="K348" s="131"/>
      <c r="L348" s="131"/>
      <c r="M348" s="131"/>
      <c r="O348" s="130">
        <v>19</v>
      </c>
      <c r="P348" s="131">
        <f t="shared" si="437"/>
        <v>10.573318538822241</v>
      </c>
      <c r="Q348" s="131">
        <f t="shared" si="432"/>
        <v>4.7513637290684319</v>
      </c>
      <c r="R348" s="131">
        <f t="shared" si="433"/>
        <v>0</v>
      </c>
      <c r="S348" s="131">
        <f t="shared" si="434"/>
        <v>0.56681292543925743</v>
      </c>
      <c r="T348" s="131">
        <f t="shared" si="435"/>
        <v>5.2272167382520438</v>
      </c>
      <c r="U348" s="131">
        <f t="shared" si="436"/>
        <v>0</v>
      </c>
      <c r="V348" s="131"/>
      <c r="W348" s="131"/>
      <c r="X348" s="131"/>
      <c r="Y348" s="131"/>
      <c r="Z348" s="131"/>
      <c r="AA348" s="131"/>
      <c r="AC348" s="130">
        <v>19</v>
      </c>
      <c r="AD348" s="131">
        <f>'Sta. Meteorologi pnk'!Q251</f>
        <v>8.8000000000000007</v>
      </c>
      <c r="AE348" s="131">
        <f>'Sta. Meteorologi pnk'!R251</f>
        <v>2.2000000000000002</v>
      </c>
      <c r="AF348" s="131">
        <f>'Sta. Meteorologi pnk'!S251</f>
        <v>0</v>
      </c>
      <c r="AG348" s="131">
        <f>'Sta. Meteorologi pnk'!T251</f>
        <v>0</v>
      </c>
      <c r="AH348" s="131">
        <f>'Sta. Meteorologi pnk'!U251</f>
        <v>4.0999999999999996</v>
      </c>
      <c r="AI348" s="131">
        <f>'Sta. Meteorologi pnk'!V251</f>
        <v>0</v>
      </c>
      <c r="AJ348" s="131"/>
      <c r="AK348" s="131"/>
      <c r="AL348" s="131"/>
      <c r="AM348" s="131"/>
      <c r="AN348" s="131"/>
      <c r="AO348" s="131"/>
      <c r="AQ348" s="130">
        <v>19</v>
      </c>
      <c r="AR348" s="131">
        <f>'Sta. Meteorologi Supadio'!Q116</f>
        <v>23.6</v>
      </c>
      <c r="AS348" s="131">
        <f>'Sta. Meteorologi Supadio'!R116</f>
        <v>37.9</v>
      </c>
      <c r="AT348" s="131">
        <f>'Sta. Meteorologi Supadio'!S116</f>
        <v>0</v>
      </c>
      <c r="AU348" s="131">
        <f>'Sta. Meteorologi Supadio'!T116</f>
        <v>8</v>
      </c>
      <c r="AV348" s="131">
        <f>'Sta. Meteorologi Supadio'!U116</f>
        <v>16.600000000000001</v>
      </c>
      <c r="AW348" s="131">
        <f>'Sta. Meteorologi Supadio'!V116</f>
        <v>0</v>
      </c>
      <c r="AX348" s="131"/>
      <c r="AY348" s="131"/>
      <c r="AZ348" s="131"/>
      <c r="BA348" s="131"/>
      <c r="BB348" s="131"/>
      <c r="BC348" s="131"/>
    </row>
    <row r="349" spans="1:55">
      <c r="A349" s="130">
        <v>20</v>
      </c>
      <c r="B349" s="131">
        <f>'Sta. Klimatologi Kalbar'!Q117</f>
        <v>4.2</v>
      </c>
      <c r="C349" s="131">
        <f>'Sta. Klimatologi Kalbar'!R117</f>
        <v>12.5</v>
      </c>
      <c r="D349" s="131">
        <f>'Sta. Klimatologi Kalbar'!S117</f>
        <v>0</v>
      </c>
      <c r="E349" s="131">
        <f>'Sta. Klimatologi Kalbar'!T117</f>
        <v>0</v>
      </c>
      <c r="F349" s="131">
        <f>'Sta. Klimatologi Kalbar'!U117</f>
        <v>0</v>
      </c>
      <c r="G349" s="131">
        <f>'Sta. Klimatologi Kalbar'!V117</f>
        <v>14</v>
      </c>
      <c r="H349" s="131"/>
      <c r="I349" s="131"/>
      <c r="J349" s="131"/>
      <c r="K349" s="131"/>
      <c r="L349" s="131"/>
      <c r="M349" s="131"/>
      <c r="O349" s="130">
        <v>20</v>
      </c>
      <c r="P349" s="131">
        <f t="shared" si="437"/>
        <v>8.8751497072309</v>
      </c>
      <c r="Q349" s="131">
        <f t="shared" si="432"/>
        <v>8.137619136324254</v>
      </c>
      <c r="R349" s="131">
        <f t="shared" si="433"/>
        <v>0</v>
      </c>
      <c r="S349" s="131">
        <f t="shared" si="434"/>
        <v>0</v>
      </c>
      <c r="T349" s="131">
        <f t="shared" si="435"/>
        <v>30.076130543810827</v>
      </c>
      <c r="U349" s="131">
        <f t="shared" si="436"/>
        <v>5.3843095725693972</v>
      </c>
      <c r="V349" s="131"/>
      <c r="W349" s="131"/>
      <c r="X349" s="131"/>
      <c r="Y349" s="131"/>
      <c r="Z349" s="131"/>
      <c r="AA349" s="131"/>
      <c r="AC349" s="130">
        <v>20</v>
      </c>
      <c r="AD349" s="131">
        <f>'Sta. Meteorologi pnk'!Q252</f>
        <v>10.1</v>
      </c>
      <c r="AE349" s="131">
        <f>'Sta. Meteorologi pnk'!R252</f>
        <v>7.6</v>
      </c>
      <c r="AF349" s="131">
        <f>'Sta. Meteorologi pnk'!S252</f>
        <v>0</v>
      </c>
      <c r="AG349" s="131">
        <f>'Sta. Meteorologi pnk'!T252</f>
        <v>0</v>
      </c>
      <c r="AH349" s="131">
        <f>'Sta. Meteorologi pnk'!U252</f>
        <v>34.299999999999997</v>
      </c>
      <c r="AI349" s="131">
        <f>'Sta. Meteorologi pnk'!V252</f>
        <v>0</v>
      </c>
      <c r="AJ349" s="131"/>
      <c r="AK349" s="131"/>
      <c r="AL349" s="131"/>
      <c r="AM349" s="131"/>
      <c r="AN349" s="131"/>
      <c r="AO349" s="131"/>
      <c r="AQ349" s="130">
        <v>20</v>
      </c>
      <c r="AR349" s="131">
        <f>'Sta. Meteorologi Supadio'!Q117</f>
        <v>11.1</v>
      </c>
      <c r="AS349" s="131">
        <f>'Sta. Meteorologi Supadio'!R117</f>
        <v>0</v>
      </c>
      <c r="AT349" s="131">
        <f>'Sta. Meteorologi Supadio'!S117</f>
        <v>0</v>
      </c>
      <c r="AU349" s="131">
        <f>'Sta. Meteorologi Supadio'!T117</f>
        <v>0</v>
      </c>
      <c r="AV349" s="131">
        <f>'Sta. Meteorologi Supadio'!U117</f>
        <v>81</v>
      </c>
      <c r="AW349" s="131">
        <f>'Sta. Meteorologi Supadio'!V117</f>
        <v>32.6</v>
      </c>
      <c r="AX349" s="131"/>
      <c r="AY349" s="131"/>
      <c r="AZ349" s="131"/>
      <c r="BA349" s="131"/>
      <c r="BB349" s="131"/>
      <c r="BC349" s="131"/>
    </row>
    <row r="350" spans="1:55">
      <c r="A350" s="130">
        <v>21</v>
      </c>
      <c r="B350" s="131">
        <f>'Sta. Klimatologi Kalbar'!Q118</f>
        <v>8.3000000000000007</v>
      </c>
      <c r="C350" s="131">
        <f>'Sta. Klimatologi Kalbar'!R118</f>
        <v>0</v>
      </c>
      <c r="D350" s="131">
        <f>'Sta. Klimatologi Kalbar'!S118</f>
        <v>0</v>
      </c>
      <c r="E350" s="131">
        <f>'Sta. Klimatologi Kalbar'!T118</f>
        <v>1</v>
      </c>
      <c r="F350" s="131">
        <f>'Sta. Klimatologi Kalbar'!U118</f>
        <v>13.8</v>
      </c>
      <c r="G350" s="131">
        <f>'Sta. Klimatologi Kalbar'!V118</f>
        <v>10</v>
      </c>
      <c r="H350" s="131"/>
      <c r="I350" s="131"/>
      <c r="J350" s="131"/>
      <c r="K350" s="131"/>
      <c r="L350" s="131"/>
      <c r="M350" s="131"/>
      <c r="O350" s="130">
        <v>21</v>
      </c>
      <c r="P350" s="131">
        <f t="shared" si="437"/>
        <v>26.066072716143321</v>
      </c>
      <c r="Q350" s="131">
        <f t="shared" si="432"/>
        <v>61.10582665636359</v>
      </c>
      <c r="R350" s="131">
        <f t="shared" si="433"/>
        <v>0.12044774665584219</v>
      </c>
      <c r="S350" s="131">
        <f t="shared" si="434"/>
        <v>9.7500371699327673</v>
      </c>
      <c r="T350" s="131">
        <f t="shared" si="435"/>
        <v>22.50946749619559</v>
      </c>
      <c r="U350" s="131">
        <f t="shared" si="436"/>
        <v>27.46818940991864</v>
      </c>
      <c r="V350" s="131"/>
      <c r="W350" s="131"/>
      <c r="X350" s="131"/>
      <c r="Y350" s="131"/>
      <c r="Z350" s="131"/>
      <c r="AA350" s="131"/>
      <c r="AC350" s="130">
        <v>21</v>
      </c>
      <c r="AD350" s="131">
        <f>'Sta. Meteorologi pnk'!Q253</f>
        <v>32.6</v>
      </c>
      <c r="AE350" s="131">
        <f>'Sta. Meteorologi pnk'!R253</f>
        <v>79.599999999999994</v>
      </c>
      <c r="AF350" s="131">
        <f>'Sta. Meteorologi pnk'!S253</f>
        <v>0</v>
      </c>
      <c r="AG350" s="131">
        <f>'Sta. Meteorologi pnk'!T253</f>
        <v>7.8</v>
      </c>
      <c r="AH350" s="131">
        <f>'Sta. Meteorologi pnk'!U253</f>
        <v>22.5</v>
      </c>
      <c r="AI350" s="131">
        <f>'Sta. Meteorologi pnk'!V253</f>
        <v>34</v>
      </c>
      <c r="AJ350" s="131"/>
      <c r="AK350" s="131"/>
      <c r="AL350" s="131"/>
      <c r="AM350" s="131"/>
      <c r="AN350" s="131"/>
      <c r="AO350" s="131"/>
      <c r="AQ350" s="130">
        <v>21</v>
      </c>
      <c r="AR350" s="131">
        <f>'Sta. Meteorologi Supadio'!Q118</f>
        <v>15.7</v>
      </c>
      <c r="AS350" s="131">
        <f>'Sta. Meteorologi Supadio'!R118</f>
        <v>65.3</v>
      </c>
      <c r="AT350" s="131">
        <f>'Sta. Meteorologi Supadio'!S118</f>
        <v>1.7</v>
      </c>
      <c r="AU350" s="131">
        <f>'Sta. Meteorologi Supadio'!T118</f>
        <v>56.4</v>
      </c>
      <c r="AV350" s="131">
        <f>'Sta. Meteorologi Supadio'!U118</f>
        <v>49.6</v>
      </c>
      <c r="AW350" s="131">
        <f>'Sta. Meteorologi Supadio'!V118</f>
        <v>16.2</v>
      </c>
      <c r="AX350" s="131"/>
      <c r="AY350" s="131"/>
      <c r="AZ350" s="131"/>
      <c r="BA350" s="131"/>
      <c r="BB350" s="131"/>
      <c r="BC350" s="131"/>
    </row>
    <row r="351" spans="1:55">
      <c r="A351" s="130">
        <v>22</v>
      </c>
      <c r="B351" s="131">
        <f>'Sta. Klimatologi Kalbar'!Q119</f>
        <v>0</v>
      </c>
      <c r="C351" s="131">
        <f>'Sta. Klimatologi Kalbar'!R119</f>
        <v>2.2999999999999998</v>
      </c>
      <c r="D351" s="131">
        <f>'Sta. Klimatologi Kalbar'!S119</f>
        <v>0</v>
      </c>
      <c r="E351" s="131">
        <f>'Sta. Klimatologi Kalbar'!T119</f>
        <v>1.2</v>
      </c>
      <c r="F351" s="131">
        <f>'Sta. Klimatologi Kalbar'!U119</f>
        <v>10.1</v>
      </c>
      <c r="G351" s="131">
        <f>'Sta. Klimatologi Kalbar'!V119</f>
        <v>108.1</v>
      </c>
      <c r="H351" s="131"/>
      <c r="I351" s="131"/>
      <c r="J351" s="131"/>
      <c r="K351" s="131"/>
      <c r="L351" s="131"/>
      <c r="M351" s="131"/>
      <c r="O351" s="130">
        <v>22</v>
      </c>
      <c r="P351" s="131">
        <f t="shared" si="437"/>
        <v>0.14190757827252681</v>
      </c>
      <c r="Q351" s="131">
        <f t="shared" si="432"/>
        <v>2.7253140409921555</v>
      </c>
      <c r="R351" s="131">
        <f t="shared" si="433"/>
        <v>1.2399032743983758</v>
      </c>
      <c r="S351" s="131">
        <f t="shared" si="434"/>
        <v>14.992251830687144</v>
      </c>
      <c r="T351" s="131">
        <f t="shared" si="435"/>
        <v>45.839965107254557</v>
      </c>
      <c r="U351" s="131">
        <f t="shared" si="436"/>
        <v>105.54174580667356</v>
      </c>
      <c r="V351" s="131"/>
      <c r="W351" s="131"/>
      <c r="X351" s="131"/>
      <c r="Y351" s="131"/>
      <c r="Z351" s="131"/>
      <c r="AA351" s="131"/>
      <c r="AC351" s="130">
        <v>22</v>
      </c>
      <c r="AD351" s="131">
        <f>'Sta. Meteorologi pnk'!Q254</f>
        <v>0.2</v>
      </c>
      <c r="AE351" s="131">
        <f>'Sta. Meteorologi pnk'!R254</f>
        <v>2.5</v>
      </c>
      <c r="AF351" s="131">
        <f>'Sta. Meteorologi pnk'!S254</f>
        <v>0</v>
      </c>
      <c r="AG351" s="131">
        <f>'Sta. Meteorologi pnk'!T254</f>
        <v>19.5</v>
      </c>
      <c r="AH351" s="131">
        <f>'Sta. Meteorologi pnk'!U254</f>
        <v>61</v>
      </c>
      <c r="AI351" s="131">
        <f>'Sta. Meteorologi pnk'!V254</f>
        <v>107.6</v>
      </c>
      <c r="AJ351" s="131"/>
      <c r="AK351" s="131"/>
      <c r="AL351" s="131"/>
      <c r="AM351" s="131"/>
      <c r="AN351" s="131"/>
      <c r="AO351" s="131"/>
      <c r="AQ351" s="130">
        <v>22</v>
      </c>
      <c r="AR351" s="131">
        <f>'Sta. Meteorologi Supadio'!Q119</f>
        <v>0</v>
      </c>
      <c r="AS351" s="131">
        <f>'Sta. Meteorologi Supadio'!R119</f>
        <v>6.3</v>
      </c>
      <c r="AT351" s="131">
        <f>'Sta. Meteorologi Supadio'!S119</f>
        <v>17.5</v>
      </c>
      <c r="AU351" s="131">
        <f>'Sta. Meteorologi Supadio'!T119</f>
        <v>12.6</v>
      </c>
      <c r="AV351" s="131">
        <f>'Sta. Meteorologi Supadio'!U119</f>
        <v>4.8</v>
      </c>
      <c r="AW351" s="131">
        <f>'Sta. Meteorologi Supadio'!V119</f>
        <v>77</v>
      </c>
      <c r="AX351" s="131"/>
      <c r="AY351" s="131"/>
      <c r="AZ351" s="131"/>
      <c r="BA351" s="131"/>
      <c r="BB351" s="131"/>
      <c r="BC351" s="131"/>
    </row>
    <row r="352" spans="1:55">
      <c r="A352" s="130">
        <v>23</v>
      </c>
      <c r="B352" s="131">
        <f>'Sta. Klimatologi Kalbar'!Q120</f>
        <v>0</v>
      </c>
      <c r="C352" s="131">
        <f>'Sta. Klimatologi Kalbar'!R120</f>
        <v>0</v>
      </c>
      <c r="D352" s="131">
        <f>'Sta. Klimatologi Kalbar'!S120</f>
        <v>14.5</v>
      </c>
      <c r="E352" s="131">
        <f>'Sta. Klimatologi Kalbar'!T120</f>
        <v>3.5</v>
      </c>
      <c r="F352" s="131">
        <f>'Sta. Klimatologi Kalbar'!U120</f>
        <v>0</v>
      </c>
      <c r="G352" s="131">
        <f>'Sta. Klimatologi Kalbar'!V120</f>
        <v>0.3</v>
      </c>
      <c r="H352" s="131"/>
      <c r="I352" s="131"/>
      <c r="J352" s="131"/>
      <c r="K352" s="131"/>
      <c r="L352" s="131"/>
      <c r="M352" s="131"/>
      <c r="O352" s="130">
        <v>23</v>
      </c>
      <c r="P352" s="131">
        <f t="shared" si="437"/>
        <v>0</v>
      </c>
      <c r="Q352" s="131">
        <f t="shared" si="432"/>
        <v>0</v>
      </c>
      <c r="R352" s="131">
        <f t="shared" si="433"/>
        <v>9.9981989140836856</v>
      </c>
      <c r="S352" s="131">
        <f t="shared" si="434"/>
        <v>23.224335992230369</v>
      </c>
      <c r="T352" s="131">
        <f t="shared" si="435"/>
        <v>0.56763031309010725</v>
      </c>
      <c r="U352" s="131">
        <f t="shared" si="436"/>
        <v>0.34969830443229122</v>
      </c>
      <c r="V352" s="131"/>
      <c r="W352" s="131"/>
      <c r="X352" s="131"/>
      <c r="Y352" s="131"/>
      <c r="Z352" s="131"/>
      <c r="AA352" s="131"/>
      <c r="AC352" s="130">
        <v>23</v>
      </c>
      <c r="AD352" s="131">
        <f>'Sta. Meteorologi pnk'!Q255</f>
        <v>0</v>
      </c>
      <c r="AE352" s="131">
        <f>'Sta. Meteorologi pnk'!R255</f>
        <v>0</v>
      </c>
      <c r="AF352" s="131">
        <f>'Sta. Meteorologi pnk'!S255</f>
        <v>4.9000000000000004</v>
      </c>
      <c r="AG352" s="131">
        <f>'Sta. Meteorologi pnk'!T255</f>
        <v>30.5</v>
      </c>
      <c r="AH352" s="131">
        <f>'Sta. Meteorologi pnk'!U255</f>
        <v>0.8</v>
      </c>
      <c r="AI352" s="131">
        <f>'Sta. Meteorologi pnk'!V255</f>
        <v>0.4</v>
      </c>
      <c r="AJ352" s="131"/>
      <c r="AK352" s="131"/>
      <c r="AL352" s="131"/>
      <c r="AM352" s="131"/>
      <c r="AN352" s="131"/>
      <c r="AO352" s="131"/>
      <c r="AQ352" s="130">
        <v>23</v>
      </c>
      <c r="AR352" s="131">
        <f>'Sta. Meteorologi Supadio'!Q120</f>
        <v>0</v>
      </c>
      <c r="AS352" s="131">
        <f>'Sta. Meteorologi Supadio'!R120</f>
        <v>0</v>
      </c>
      <c r="AT352" s="131">
        <f>'Sta. Meteorologi Supadio'!S120</f>
        <v>47.1</v>
      </c>
      <c r="AU352" s="131">
        <f>'Sta. Meteorologi Supadio'!T120</f>
        <v>11.5</v>
      </c>
      <c r="AV352" s="131">
        <f>'Sta. Meteorologi Supadio'!U120</f>
        <v>0</v>
      </c>
      <c r="AW352" s="131">
        <f>'Sta. Meteorologi Supadio'!V120</f>
        <v>0</v>
      </c>
      <c r="AX352" s="131"/>
      <c r="AY352" s="131"/>
      <c r="AZ352" s="131"/>
      <c r="BA352" s="131"/>
      <c r="BB352" s="131"/>
      <c r="BC352" s="131"/>
    </row>
    <row r="353" spans="1:55">
      <c r="A353" s="130">
        <v>24</v>
      </c>
      <c r="B353" s="131">
        <f>'Sta. Klimatologi Kalbar'!Q121</f>
        <v>0</v>
      </c>
      <c r="C353" s="131">
        <f>'Sta. Klimatologi Kalbar'!R121</f>
        <v>0</v>
      </c>
      <c r="D353" s="131">
        <f>'Sta. Klimatologi Kalbar'!S121</f>
        <v>12.7</v>
      </c>
      <c r="E353" s="131">
        <f>'Sta. Klimatologi Kalbar'!T121</f>
        <v>1.3</v>
      </c>
      <c r="F353" s="131">
        <f>'Sta. Klimatologi Kalbar'!U121</f>
        <v>1.1000000000000001</v>
      </c>
      <c r="G353" s="131">
        <f>'Sta. Klimatologi Kalbar'!V121</f>
        <v>0.2</v>
      </c>
      <c r="H353" s="131"/>
      <c r="I353" s="131"/>
      <c r="J353" s="131"/>
      <c r="K353" s="131"/>
      <c r="L353" s="131"/>
      <c r="M353" s="131"/>
      <c r="O353" s="130">
        <v>24</v>
      </c>
      <c r="P353" s="131">
        <f t="shared" si="437"/>
        <v>0</v>
      </c>
      <c r="Q353" s="131">
        <f t="shared" si="432"/>
        <v>1.2471927828790788</v>
      </c>
      <c r="R353" s="131">
        <f t="shared" si="433"/>
        <v>16.347801279872247</v>
      </c>
      <c r="S353" s="131">
        <f t="shared" si="434"/>
        <v>19.427824649936269</v>
      </c>
      <c r="T353" s="131">
        <f t="shared" si="435"/>
        <v>44.743461133457259</v>
      </c>
      <c r="U353" s="131">
        <f t="shared" si="436"/>
        <v>4.3922098591491758E-2</v>
      </c>
      <c r="V353" s="131"/>
      <c r="W353" s="131"/>
      <c r="X353" s="131"/>
      <c r="Y353" s="131"/>
      <c r="Z353" s="131"/>
      <c r="AA353" s="131"/>
      <c r="AC353" s="130">
        <v>24</v>
      </c>
      <c r="AD353" s="131">
        <f>'Sta. Meteorologi pnk'!Q256</f>
        <v>0</v>
      </c>
      <c r="AE353" s="131">
        <f>'Sta. Meteorologi pnk'!R256</f>
        <v>0.2</v>
      </c>
      <c r="AF353" s="131">
        <f>'Sta. Meteorologi pnk'!S256</f>
        <v>18.600000000000001</v>
      </c>
      <c r="AG353" s="131">
        <f>'Sta. Meteorologi pnk'!T256</f>
        <v>26</v>
      </c>
      <c r="AH353" s="131">
        <f>'Sta. Meteorologi pnk'!U256</f>
        <v>62.4</v>
      </c>
      <c r="AI353" s="131">
        <f>'Sta. Meteorologi pnk'!V256</f>
        <v>0</v>
      </c>
      <c r="AJ353" s="131"/>
      <c r="AK353" s="131"/>
      <c r="AL353" s="131"/>
      <c r="AM353" s="131"/>
      <c r="AN353" s="131"/>
      <c r="AO353" s="131"/>
      <c r="AQ353" s="130">
        <v>24</v>
      </c>
      <c r="AR353" s="131">
        <f>'Sta. Meteorologi Supadio'!Q121</f>
        <v>0</v>
      </c>
      <c r="AS353" s="131">
        <f>'Sta. Meteorologi Supadio'!R121</f>
        <v>15.6</v>
      </c>
      <c r="AT353" s="131">
        <f>'Sta. Meteorologi Supadio'!S121</f>
        <v>5.0999999999999996</v>
      </c>
      <c r="AU353" s="131">
        <f>'Sta. Meteorologi Supadio'!T121</f>
        <v>9.8000000000000007</v>
      </c>
      <c r="AV353" s="131">
        <f>'Sta. Meteorologi Supadio'!U121</f>
        <v>3.2</v>
      </c>
      <c r="AW353" s="131">
        <f>'Sta. Meteorologi Supadio'!V121</f>
        <v>0</v>
      </c>
      <c r="AX353" s="131"/>
      <c r="AY353" s="131"/>
      <c r="AZ353" s="131"/>
      <c r="BA353" s="131"/>
      <c r="BB353" s="131"/>
      <c r="BC353" s="131"/>
    </row>
    <row r="354" spans="1:55">
      <c r="A354" s="130">
        <v>25</v>
      </c>
      <c r="B354" s="131">
        <f>'Sta. Klimatologi Kalbar'!Q122</f>
        <v>0</v>
      </c>
      <c r="C354" s="131">
        <f>'Sta. Klimatologi Kalbar'!R122</f>
        <v>0</v>
      </c>
      <c r="D354" s="131">
        <f>'Sta. Klimatologi Kalbar'!S122</f>
        <v>2.5</v>
      </c>
      <c r="E354" s="131">
        <f>'Sta. Klimatologi Kalbar'!T122</f>
        <v>0</v>
      </c>
      <c r="F354" s="131">
        <f>'Sta. Klimatologi Kalbar'!U122</f>
        <v>0</v>
      </c>
      <c r="G354" s="131">
        <f>'Sta. Klimatologi Kalbar'!V122</f>
        <v>1</v>
      </c>
      <c r="H354" s="131"/>
      <c r="I354" s="131"/>
      <c r="J354" s="131"/>
      <c r="K354" s="131"/>
      <c r="L354" s="131"/>
      <c r="M354" s="131"/>
      <c r="O354" s="130">
        <v>25</v>
      </c>
      <c r="P354" s="131">
        <f t="shared" si="437"/>
        <v>0</v>
      </c>
      <c r="Q354" s="131">
        <f t="shared" si="432"/>
        <v>0</v>
      </c>
      <c r="R354" s="131">
        <f t="shared" si="433"/>
        <v>33.887871975373258</v>
      </c>
      <c r="S354" s="131">
        <f t="shared" si="434"/>
        <v>29.316246114198353</v>
      </c>
      <c r="T354" s="131">
        <f t="shared" si="435"/>
        <v>0.29049162428761943</v>
      </c>
      <c r="U354" s="131">
        <f t="shared" si="436"/>
        <v>0.2196104929574588</v>
      </c>
      <c r="V354" s="131"/>
      <c r="W354" s="131"/>
      <c r="X354" s="131"/>
      <c r="Y354" s="131"/>
      <c r="Z354" s="131"/>
      <c r="AA354" s="131"/>
      <c r="AC354" s="130">
        <v>25</v>
      </c>
      <c r="AD354" s="131">
        <f>'Sta. Meteorologi pnk'!Q257</f>
        <v>0</v>
      </c>
      <c r="AE354" s="131">
        <f>'Sta. Meteorologi pnk'!R257</f>
        <v>0</v>
      </c>
      <c r="AF354" s="131">
        <f>'Sta. Meteorologi pnk'!S257</f>
        <v>44.7</v>
      </c>
      <c r="AG354" s="131">
        <f>'Sta. Meteorologi pnk'!T257</f>
        <v>39.5</v>
      </c>
      <c r="AH354" s="131">
        <f>'Sta. Meteorologi pnk'!U257</f>
        <v>0</v>
      </c>
      <c r="AI354" s="131">
        <f>'Sta. Meteorologi pnk'!V257</f>
        <v>0</v>
      </c>
      <c r="AJ354" s="131"/>
      <c r="AK354" s="131"/>
      <c r="AL354" s="131"/>
      <c r="AM354" s="131"/>
      <c r="AN354" s="131"/>
      <c r="AO354" s="131"/>
      <c r="AQ354" s="130">
        <v>25</v>
      </c>
      <c r="AR354" s="131">
        <f>'Sta. Meteorologi Supadio'!Q122</f>
        <v>0</v>
      </c>
      <c r="AS354" s="131">
        <f>'Sta. Meteorologi Supadio'!R122</f>
        <v>0</v>
      </c>
      <c r="AT354" s="131">
        <f>'Sta. Meteorologi Supadio'!S122</f>
        <v>22.9</v>
      </c>
      <c r="AU354" s="131">
        <f>'Sta. Meteorologi Supadio'!T122</f>
        <v>18.2</v>
      </c>
      <c r="AV354" s="131">
        <f>'Sta. Meteorologi Supadio'!U122</f>
        <v>4.0999999999999996</v>
      </c>
      <c r="AW354" s="131">
        <f>'Sta. Meteorologi Supadio'!V122</f>
        <v>0</v>
      </c>
      <c r="AX354" s="131"/>
      <c r="AY354" s="131"/>
      <c r="AZ354" s="131"/>
      <c r="BA354" s="131"/>
      <c r="BB354" s="131"/>
      <c r="BC354" s="131"/>
    </row>
    <row r="355" spans="1:55">
      <c r="A355" s="130">
        <v>26</v>
      </c>
      <c r="B355" s="131">
        <f>'Sta. Klimatologi Kalbar'!Q123</f>
        <v>0</v>
      </c>
      <c r="C355" s="131">
        <f>'Sta. Klimatologi Kalbar'!R123</f>
        <v>1.4</v>
      </c>
      <c r="D355" s="131">
        <f>'Sta. Klimatologi Kalbar'!S123</f>
        <v>0</v>
      </c>
      <c r="E355" s="131">
        <f>'Sta. Klimatologi Kalbar'!T123</f>
        <v>0</v>
      </c>
      <c r="F355" s="131">
        <f>'Sta. Klimatologi Kalbar'!U123</f>
        <v>4.2</v>
      </c>
      <c r="G355" s="131">
        <f>'Sta. Klimatologi Kalbar'!V123</f>
        <v>19.600000000000001</v>
      </c>
      <c r="H355" s="131"/>
      <c r="I355" s="131"/>
      <c r="J355" s="131"/>
      <c r="K355" s="131"/>
      <c r="L355" s="131"/>
      <c r="M355" s="131"/>
      <c r="O355" s="130">
        <v>26</v>
      </c>
      <c r="P355" s="131">
        <f t="shared" si="437"/>
        <v>14.239945264403191</v>
      </c>
      <c r="Q355" s="131">
        <f t="shared" si="432"/>
        <v>1.6196400086077121</v>
      </c>
      <c r="R355" s="131">
        <f t="shared" si="433"/>
        <v>10.14271360205684</v>
      </c>
      <c r="S355" s="131">
        <f t="shared" si="434"/>
        <v>2.8340646271962873E-2</v>
      </c>
      <c r="T355" s="131">
        <f t="shared" si="435"/>
        <v>1.4041550570446957</v>
      </c>
      <c r="U355" s="131">
        <f t="shared" si="436"/>
        <v>5.097903757581153</v>
      </c>
      <c r="V355" s="131"/>
      <c r="W355" s="131"/>
      <c r="X355" s="131"/>
      <c r="Y355" s="131"/>
      <c r="Z355" s="131"/>
      <c r="AA355" s="131"/>
      <c r="AC355" s="130">
        <v>26</v>
      </c>
      <c r="AD355" s="131">
        <f>'Sta. Meteorologi pnk'!Q258</f>
        <v>19.600000000000001</v>
      </c>
      <c r="AE355" s="131">
        <f>'Sta. Meteorologi pnk'!R258</f>
        <v>1.4</v>
      </c>
      <c r="AF355" s="131">
        <f>'Sta. Meteorologi pnk'!S258</f>
        <v>10.7</v>
      </c>
      <c r="AG355" s="131">
        <f>'Sta. Meteorologi pnk'!T258</f>
        <v>0</v>
      </c>
      <c r="AH355" s="131">
        <f>'Sta. Meteorologi pnk'!U258</f>
        <v>0</v>
      </c>
      <c r="AI355" s="131">
        <f>'Sta. Meteorologi pnk'!V258</f>
        <v>0</v>
      </c>
      <c r="AJ355" s="131"/>
      <c r="AK355" s="131"/>
      <c r="AL355" s="131"/>
      <c r="AM355" s="131"/>
      <c r="AN355" s="131"/>
      <c r="AO355" s="131"/>
      <c r="AQ355" s="130">
        <v>26</v>
      </c>
      <c r="AR355" s="131">
        <f>'Sta. Meteorologi Supadio'!Q123</f>
        <v>4.7</v>
      </c>
      <c r="AS355" s="131">
        <f>'Sta. Meteorologi Supadio'!R123</f>
        <v>4.5</v>
      </c>
      <c r="AT355" s="131">
        <f>'Sta. Meteorologi Supadio'!S123</f>
        <v>36</v>
      </c>
      <c r="AU355" s="131">
        <f>'Sta. Meteorologi Supadio'!T123</f>
        <v>0.4</v>
      </c>
      <c r="AV355" s="131">
        <f>'Sta. Meteorologi Supadio'!U123</f>
        <v>6.8</v>
      </c>
      <c r="AW355" s="131">
        <f>'Sta. Meteorologi Supadio'!V123</f>
        <v>11.2</v>
      </c>
      <c r="AX355" s="131"/>
      <c r="AY355" s="131"/>
      <c r="AZ355" s="131"/>
      <c r="BA355" s="131"/>
      <c r="BB355" s="131"/>
      <c r="BC355" s="131"/>
    </row>
    <row r="356" spans="1:55">
      <c r="A356" s="130">
        <v>27</v>
      </c>
      <c r="B356" s="131">
        <f>'Sta. Klimatologi Kalbar'!Q124</f>
        <v>0</v>
      </c>
      <c r="C356" s="131">
        <f>'Sta. Klimatologi Kalbar'!R124</f>
        <v>0.8</v>
      </c>
      <c r="D356" s="131">
        <f>'Sta. Klimatologi Kalbar'!S124</f>
        <v>3.1</v>
      </c>
      <c r="E356" s="131">
        <f>'Sta. Klimatologi Kalbar'!T124</f>
        <v>2</v>
      </c>
      <c r="F356" s="131">
        <f>'Sta. Klimatologi Kalbar'!U124</f>
        <v>24.5</v>
      </c>
      <c r="G356" s="131">
        <f>'Sta. Klimatologi Kalbar'!V124</f>
        <v>0</v>
      </c>
      <c r="H356" s="131"/>
      <c r="I356" s="131"/>
      <c r="J356" s="131"/>
      <c r="K356" s="131"/>
      <c r="L356" s="131"/>
      <c r="M356" s="131"/>
      <c r="O356" s="130">
        <v>27</v>
      </c>
      <c r="P356" s="131">
        <f t="shared" si="437"/>
        <v>0.56763031309010725</v>
      </c>
      <c r="Q356" s="131">
        <f t="shared" si="432"/>
        <v>1.2399952314099179</v>
      </c>
      <c r="R356" s="131">
        <f t="shared" si="433"/>
        <v>6.4669843466409338</v>
      </c>
      <c r="S356" s="131">
        <f t="shared" si="434"/>
        <v>17.694140334599343</v>
      </c>
      <c r="T356" s="131">
        <f t="shared" si="435"/>
        <v>15.774727405366724</v>
      </c>
      <c r="U356" s="131">
        <f t="shared" si="436"/>
        <v>1.673732905347509</v>
      </c>
      <c r="V356" s="131"/>
      <c r="W356" s="131"/>
      <c r="X356" s="131"/>
      <c r="Y356" s="131"/>
      <c r="Z356" s="131"/>
      <c r="AA356" s="131"/>
      <c r="AC356" s="130">
        <v>27</v>
      </c>
      <c r="AD356" s="131">
        <f>'Sta. Meteorologi pnk'!Q259</f>
        <v>0.8</v>
      </c>
      <c r="AE356" s="131">
        <f>'Sta. Meteorologi pnk'!R259</f>
        <v>1.5</v>
      </c>
      <c r="AF356" s="131">
        <f>'Sta. Meteorologi pnk'!S259</f>
        <v>4.5999999999999996</v>
      </c>
      <c r="AG356" s="131">
        <f>'Sta. Meteorologi pnk'!T259</f>
        <v>23.3</v>
      </c>
      <c r="AH356" s="131">
        <f>'Sta. Meteorologi pnk'!U259</f>
        <v>14.2</v>
      </c>
      <c r="AI356" s="131">
        <f>'Sta. Meteorologi pnk'!V259</f>
        <v>1.6</v>
      </c>
      <c r="AJ356" s="131"/>
      <c r="AK356" s="131"/>
      <c r="AL356" s="131"/>
      <c r="AM356" s="131"/>
      <c r="AN356" s="131"/>
      <c r="AO356" s="131"/>
      <c r="AQ356" s="130">
        <v>27</v>
      </c>
      <c r="AR356" s="131">
        <f>'Sta. Meteorologi Supadio'!Q124</f>
        <v>0</v>
      </c>
      <c r="AS356" s="131">
        <f>'Sta. Meteorologi Supadio'!R124</f>
        <v>0</v>
      </c>
      <c r="AT356" s="131">
        <f>'Sta. Meteorologi Supadio'!S124</f>
        <v>35.6</v>
      </c>
      <c r="AU356" s="131">
        <f>'Sta. Meteorologi Supadio'!T124</f>
        <v>10.199999999999999</v>
      </c>
      <c r="AV356" s="131">
        <f>'Sta. Meteorologi Supadio'!U124</f>
        <v>4.5</v>
      </c>
      <c r="AW356" s="131">
        <f>'Sta. Meteorologi Supadio'!V124</f>
        <v>7.6</v>
      </c>
      <c r="AX356" s="131"/>
      <c r="AY356" s="131"/>
      <c r="AZ356" s="131"/>
      <c r="BA356" s="131"/>
      <c r="BB356" s="131"/>
      <c r="BC356" s="131"/>
    </row>
    <row r="357" spans="1:55">
      <c r="A357" s="130">
        <v>28</v>
      </c>
      <c r="B357" s="131">
        <f>'Sta. Klimatologi Kalbar'!Q125</f>
        <v>22.3</v>
      </c>
      <c r="C357" s="131">
        <f>'Sta. Klimatologi Kalbar'!R125</f>
        <v>0</v>
      </c>
      <c r="D357" s="131">
        <f>'Sta. Klimatologi Kalbar'!S125</f>
        <v>77.5</v>
      </c>
      <c r="E357" s="131">
        <f>'Sta. Klimatologi Kalbar'!T125</f>
        <v>22</v>
      </c>
      <c r="F357" s="131">
        <f>'Sta. Klimatologi Kalbar'!U125</f>
        <v>13</v>
      </c>
      <c r="G357" s="131">
        <f>'Sta. Klimatologi Kalbar'!V125</f>
        <v>1.2</v>
      </c>
      <c r="H357" s="131"/>
      <c r="I357" s="131"/>
      <c r="J357" s="131"/>
      <c r="K357" s="131"/>
      <c r="L357" s="131"/>
      <c r="M357" s="131"/>
      <c r="O357" s="130">
        <v>28</v>
      </c>
      <c r="P357" s="131">
        <f t="shared" si="437"/>
        <v>18.094718772296325</v>
      </c>
      <c r="Q357" s="131">
        <f t="shared" si="432"/>
        <v>0.14190757827252681</v>
      </c>
      <c r="R357" s="131">
        <f t="shared" si="433"/>
        <v>129.12271310124498</v>
      </c>
      <c r="S357" s="131">
        <f t="shared" si="434"/>
        <v>50.155812218893217</v>
      </c>
      <c r="T357" s="131">
        <f t="shared" si="435"/>
        <v>4.4359491726724567</v>
      </c>
      <c r="U357" s="131">
        <f t="shared" si="436"/>
        <v>10.764693383715935</v>
      </c>
      <c r="V357" s="131"/>
      <c r="W357" s="131"/>
      <c r="X357" s="131"/>
      <c r="Y357" s="131"/>
      <c r="Z357" s="131"/>
      <c r="AA357" s="131"/>
      <c r="AC357" s="130">
        <v>28</v>
      </c>
      <c r="AD357" s="131">
        <f>'Sta. Meteorologi pnk'!Q260</f>
        <v>18.600000000000001</v>
      </c>
      <c r="AE357" s="131">
        <f>'Sta. Meteorologi pnk'!R260</f>
        <v>0.2</v>
      </c>
      <c r="AF357" s="131">
        <f>'Sta. Meteorologi pnk'!S260</f>
        <v>154</v>
      </c>
      <c r="AG357" s="131">
        <f>'Sta. Meteorologi pnk'!T260</f>
        <v>63</v>
      </c>
      <c r="AH357" s="131">
        <f>'Sta. Meteorologi pnk'!U260</f>
        <v>1</v>
      </c>
      <c r="AI357" s="131">
        <f>'Sta. Meteorologi pnk'!V260</f>
        <v>14.8</v>
      </c>
      <c r="AJ357" s="131"/>
      <c r="AK357" s="131"/>
      <c r="AL357" s="131"/>
      <c r="AM357" s="131"/>
      <c r="AN357" s="131"/>
      <c r="AO357" s="131"/>
      <c r="AQ357" s="130">
        <v>28</v>
      </c>
      <c r="AR357" s="131">
        <f>'Sta. Meteorologi Supadio'!Q125</f>
        <v>0</v>
      </c>
      <c r="AS357" s="131">
        <f>'Sta. Meteorologi Supadio'!R125</f>
        <v>0</v>
      </c>
      <c r="AT357" s="131">
        <f>'Sta. Meteorologi Supadio'!S125</f>
        <v>40</v>
      </c>
      <c r="AU357" s="131">
        <f>'Sta. Meteorologi Supadio'!T125</f>
        <v>8.8000000000000007</v>
      </c>
      <c r="AV357" s="131">
        <f>'Sta. Meteorologi Supadio'!U125</f>
        <v>12.3</v>
      </c>
      <c r="AW357" s="131">
        <f>'Sta. Meteorologi Supadio'!V125</f>
        <v>0</v>
      </c>
      <c r="AX357" s="131"/>
      <c r="AY357" s="131"/>
      <c r="AZ357" s="131"/>
      <c r="BA357" s="131"/>
      <c r="BB357" s="131"/>
      <c r="BC357" s="131"/>
    </row>
    <row r="358" spans="1:55">
      <c r="A358" s="130">
        <v>29</v>
      </c>
      <c r="B358" s="131">
        <f>'Sta. Klimatologi Kalbar'!Q126</f>
        <v>0</v>
      </c>
      <c r="C358" s="131">
        <f>'Sta. Klimatologi Kalbar'!R126</f>
        <v>2.7</v>
      </c>
      <c r="D358" s="131">
        <f>'Sta. Klimatologi Kalbar'!S126</f>
        <v>0</v>
      </c>
      <c r="E358" s="131">
        <f>'Sta. Klimatologi Kalbar'!T126</f>
        <v>12</v>
      </c>
      <c r="F358" s="131">
        <f>'Sta. Klimatologi Kalbar'!U126</f>
        <v>0</v>
      </c>
      <c r="G358" s="131">
        <f>'Sta. Klimatologi Kalbar'!V126</f>
        <v>0</v>
      </c>
      <c r="H358" s="131"/>
      <c r="I358" s="131"/>
      <c r="J358" s="131"/>
      <c r="K358" s="131"/>
      <c r="L358" s="131"/>
      <c r="M358" s="131"/>
      <c r="O358" s="130">
        <v>29</v>
      </c>
      <c r="P358" s="131">
        <f t="shared" si="437"/>
        <v>1.3611684087050675</v>
      </c>
      <c r="Q358" s="131">
        <f t="shared" si="432"/>
        <v>1.3024862223477727</v>
      </c>
      <c r="R358" s="131">
        <f t="shared" si="433"/>
        <v>0</v>
      </c>
      <c r="S358" s="131">
        <f t="shared" si="434"/>
        <v>5.7572926374850946</v>
      </c>
      <c r="T358" s="131">
        <f t="shared" si="435"/>
        <v>4.0159231610386943</v>
      </c>
      <c r="U358" s="131">
        <f t="shared" si="436"/>
        <v>6.6696561788087587</v>
      </c>
      <c r="V358" s="131"/>
      <c r="W358" s="131"/>
      <c r="X358" s="131"/>
      <c r="Y358" s="131"/>
      <c r="Z358" s="131"/>
      <c r="AA358" s="131"/>
      <c r="AC358" s="130">
        <v>29</v>
      </c>
      <c r="AD358" s="131">
        <f>'Sta. Meteorologi pnk'!Q261</f>
        <v>0.8</v>
      </c>
      <c r="AE358" s="131">
        <f>'Sta. Meteorologi pnk'!R261</f>
        <v>1</v>
      </c>
      <c r="AF358" s="131">
        <f>'Sta. Meteorologi pnk'!S261</f>
        <v>0</v>
      </c>
      <c r="AG358" s="131">
        <f>'Sta. Meteorologi pnk'!T261</f>
        <v>4.4000000000000004</v>
      </c>
      <c r="AH358" s="131">
        <f>'Sta. Meteorologi pnk'!U261</f>
        <v>5.6</v>
      </c>
      <c r="AI358" s="131">
        <f>'Sta. Meteorologi pnk'!V261</f>
        <v>9.4</v>
      </c>
      <c r="AJ358" s="131"/>
      <c r="AK358" s="131"/>
      <c r="AL358" s="131"/>
      <c r="AM358" s="131"/>
      <c r="AN358" s="131"/>
      <c r="AO358" s="131"/>
      <c r="AQ358" s="130">
        <v>29</v>
      </c>
      <c r="AR358" s="131">
        <f>'Sta. Meteorologi Supadio'!Q126</f>
        <v>11.2</v>
      </c>
      <c r="AS358" s="131">
        <f>'Sta. Meteorologi Supadio'!R126</f>
        <v>0</v>
      </c>
      <c r="AT358" s="131">
        <f>'Sta. Meteorologi Supadio'!S126</f>
        <v>0</v>
      </c>
      <c r="AU358" s="131">
        <f>'Sta. Meteorologi Supadio'!T126</f>
        <v>0</v>
      </c>
      <c r="AV358" s="131">
        <f>'Sta. Meteorologi Supadio'!U126</f>
        <v>0.6</v>
      </c>
      <c r="AW358" s="131">
        <f>'Sta. Meteorologi Supadio'!V126</f>
        <v>0</v>
      </c>
      <c r="AX358" s="131"/>
      <c r="AY358" s="131"/>
      <c r="AZ358" s="131"/>
      <c r="BA358" s="131"/>
      <c r="BB358" s="131"/>
      <c r="BC358" s="131"/>
    </row>
    <row r="359" spans="1:55">
      <c r="A359" s="130">
        <v>30</v>
      </c>
      <c r="B359" s="131">
        <f>'Sta. Klimatologi Kalbar'!Q127</f>
        <v>19.3</v>
      </c>
      <c r="C359" s="131">
        <f>'Sta. Klimatologi Kalbar'!R127</f>
        <v>0</v>
      </c>
      <c r="D359" s="131">
        <f>'Sta. Klimatologi Kalbar'!S127</f>
        <v>27.4</v>
      </c>
      <c r="E359" s="131">
        <f>'Sta. Klimatologi Kalbar'!T127</f>
        <v>0</v>
      </c>
      <c r="F359" s="131">
        <f>'Sta. Klimatologi Kalbar'!U127</f>
        <v>0</v>
      </c>
      <c r="G359" s="131">
        <f>'Sta. Klimatologi Kalbar'!V127</f>
        <v>23.9</v>
      </c>
      <c r="H359" s="131"/>
      <c r="I359" s="131"/>
      <c r="J359" s="131"/>
      <c r="K359" s="131"/>
      <c r="L359" s="131"/>
      <c r="M359" s="131"/>
      <c r="O359" s="130">
        <v>30</v>
      </c>
      <c r="P359" s="131">
        <f t="shared" si="437"/>
        <v>5.33739777131201</v>
      </c>
      <c r="Q359" s="131">
        <f t="shared" si="432"/>
        <v>0</v>
      </c>
      <c r="R359" s="131">
        <f t="shared" si="433"/>
        <v>19.510776470389633</v>
      </c>
      <c r="S359" s="131">
        <f t="shared" si="434"/>
        <v>0</v>
      </c>
      <c r="T359" s="131">
        <f t="shared" si="435"/>
        <v>7.0851615679907179E-2</v>
      </c>
      <c r="U359" s="131">
        <f t="shared" si="436"/>
        <v>17.217808273356958</v>
      </c>
      <c r="V359" s="131"/>
      <c r="W359" s="131"/>
      <c r="X359" s="131"/>
      <c r="Y359" s="131"/>
      <c r="Z359" s="131"/>
      <c r="AA359" s="131"/>
      <c r="AC359" s="130">
        <v>30</v>
      </c>
      <c r="AD359" s="131">
        <f>'Sta. Meteorologi pnk'!Q262</f>
        <v>0.7</v>
      </c>
      <c r="AE359" s="131">
        <f>'Sta. Meteorologi pnk'!R262</f>
        <v>0</v>
      </c>
      <c r="AF359" s="131">
        <f>'Sta. Meteorologi pnk'!S262</f>
        <v>17.100000000000001</v>
      </c>
      <c r="AG359" s="131">
        <f>'Sta. Meteorologi pnk'!T262</f>
        <v>0</v>
      </c>
      <c r="AH359" s="131">
        <f>'Sta. Meteorologi pnk'!U262</f>
        <v>0</v>
      </c>
      <c r="AI359" s="131">
        <f>'Sta. Meteorologi pnk'!V262</f>
        <v>16.100000000000001</v>
      </c>
      <c r="AJ359" s="131"/>
      <c r="AK359" s="131"/>
      <c r="AL359" s="131"/>
      <c r="AM359" s="131"/>
      <c r="AN359" s="131"/>
      <c r="AO359" s="131"/>
      <c r="AQ359" s="130">
        <v>30</v>
      </c>
      <c r="AR359" s="131">
        <f>'Sta. Meteorologi Supadio'!Q127</f>
        <v>8.5</v>
      </c>
      <c r="AS359" s="131">
        <f>'Sta. Meteorologi Supadio'!R127</f>
        <v>0</v>
      </c>
      <c r="AT359" s="131">
        <f>'Sta. Meteorologi Supadio'!S127</f>
        <v>19.2</v>
      </c>
      <c r="AU359" s="131">
        <f>'Sta. Meteorologi Supadio'!T127</f>
        <v>0</v>
      </c>
      <c r="AV359" s="131">
        <f>'Sta. Meteorologi Supadio'!U127</f>
        <v>1</v>
      </c>
      <c r="AW359" s="131">
        <f>'Sta. Meteorologi Supadio'!V127</f>
        <v>7.7</v>
      </c>
      <c r="AX359" s="131"/>
      <c r="AY359" s="131"/>
      <c r="AZ359" s="131"/>
      <c r="BA359" s="131"/>
      <c r="BB359" s="131"/>
      <c r="BC359" s="131"/>
    </row>
    <row r="360" spans="1:55" ht="15.75" thickBot="1">
      <c r="A360" s="133">
        <v>31</v>
      </c>
      <c r="B360" s="131">
        <f>'Sta. Klimatologi Kalbar'!Q128</f>
        <v>6</v>
      </c>
      <c r="C360" s="131">
        <f>'Sta. Klimatologi Kalbar'!R128</f>
        <v>0</v>
      </c>
      <c r="D360" s="131">
        <f>'Sta. Klimatologi Kalbar'!S128</f>
        <v>2.4</v>
      </c>
      <c r="E360" s="131">
        <f>'Sta. Klimatologi Kalbar'!T128</f>
        <v>0</v>
      </c>
      <c r="F360" s="131">
        <f>'Sta. Klimatologi Kalbar'!U128</f>
        <v>0</v>
      </c>
      <c r="G360" s="131">
        <f>'Sta. Klimatologi Kalbar'!V128</f>
        <v>0</v>
      </c>
      <c r="H360" s="131"/>
      <c r="I360" s="131"/>
      <c r="J360" s="131"/>
      <c r="K360" s="131"/>
      <c r="L360" s="131"/>
      <c r="M360" s="131"/>
      <c r="O360" s="133">
        <v>31</v>
      </c>
      <c r="P360" s="131">
        <f t="shared" si="437"/>
        <v>12.193009058082612</v>
      </c>
      <c r="Q360" s="131">
        <f t="shared" si="432"/>
        <v>0</v>
      </c>
      <c r="R360" s="131">
        <f t="shared" si="433"/>
        <v>5.6703464210979702</v>
      </c>
      <c r="S360" s="131">
        <f t="shared" si="434"/>
        <v>0</v>
      </c>
      <c r="T360" s="131">
        <f t="shared" si="435"/>
        <v>1.277168204452741</v>
      </c>
      <c r="U360" s="131">
        <f t="shared" si="436"/>
        <v>0</v>
      </c>
      <c r="V360" s="131"/>
      <c r="W360" s="131"/>
      <c r="X360" s="131"/>
      <c r="Y360" s="131"/>
      <c r="Z360" s="131"/>
      <c r="AA360" s="131"/>
      <c r="AC360" s="133">
        <v>31</v>
      </c>
      <c r="AD360" s="131">
        <f>'Sta. Meteorologi pnk'!Q263</f>
        <v>13.5</v>
      </c>
      <c r="AE360" s="131">
        <f>'Sta. Meteorologi pnk'!R263</f>
        <v>0</v>
      </c>
      <c r="AF360" s="131">
        <f>'Sta. Meteorologi pnk'!S263</f>
        <v>6.4</v>
      </c>
      <c r="AG360" s="131">
        <f>'Sta. Meteorologi pnk'!T263</f>
        <v>0</v>
      </c>
      <c r="AH360" s="131">
        <f>'Sta. Meteorologi pnk'!U263</f>
        <v>1.8</v>
      </c>
      <c r="AI360" s="131">
        <f>'Sta. Meteorologi pnk'!V263</f>
        <v>0</v>
      </c>
      <c r="AJ360" s="131"/>
      <c r="AK360" s="131"/>
      <c r="AL360" s="131"/>
      <c r="AM360" s="131"/>
      <c r="AN360" s="131"/>
      <c r="AO360" s="131"/>
      <c r="AQ360" s="133">
        <v>31</v>
      </c>
      <c r="AR360" s="131">
        <f>'Sta. Meteorologi Supadio'!Q128</f>
        <v>18.3</v>
      </c>
      <c r="AS360" s="131">
        <f>'Sta. Meteorologi Supadio'!R128</f>
        <v>0</v>
      </c>
      <c r="AT360" s="131">
        <f>'Sta. Meteorologi Supadio'!S128</f>
        <v>8.5</v>
      </c>
      <c r="AU360" s="131">
        <f>'Sta. Meteorologi Supadio'!T128</f>
        <v>0</v>
      </c>
      <c r="AV360" s="131">
        <f>'Sta. Meteorologi Supadio'!U128</f>
        <v>0</v>
      </c>
      <c r="AW360" s="131">
        <f>'Sta. Meteorologi Supadio'!V128</f>
        <v>0</v>
      </c>
      <c r="AX360" s="131"/>
      <c r="AY360" s="131"/>
      <c r="AZ360" s="131"/>
      <c r="BA360" s="131"/>
      <c r="BB360" s="131"/>
      <c r="BC360" s="131"/>
    </row>
    <row r="361" spans="1:55">
      <c r="A361" s="135" t="s">
        <v>28</v>
      </c>
      <c r="B361" s="136">
        <f>SUM(B330:B360)</f>
        <v>228.00000000000003</v>
      </c>
      <c r="C361" s="136">
        <f t="shared" ref="C361:M361" si="438">SUM(C330:C360)</f>
        <v>114.50000000000001</v>
      </c>
      <c r="D361" s="136">
        <f t="shared" si="438"/>
        <v>315.89999999999992</v>
      </c>
      <c r="E361" s="136">
        <f t="shared" si="438"/>
        <v>150</v>
      </c>
      <c r="F361" s="136">
        <f t="shared" si="438"/>
        <v>309.60000000000002</v>
      </c>
      <c r="G361" s="136">
        <f t="shared" si="438"/>
        <v>233.39999999999998</v>
      </c>
      <c r="H361" s="136">
        <f t="shared" si="438"/>
        <v>0</v>
      </c>
      <c r="I361" s="136">
        <f t="shared" si="438"/>
        <v>0</v>
      </c>
      <c r="J361" s="136">
        <f t="shared" si="438"/>
        <v>0</v>
      </c>
      <c r="K361" s="136">
        <f t="shared" si="438"/>
        <v>0</v>
      </c>
      <c r="L361" s="136">
        <f t="shared" si="438"/>
        <v>0</v>
      </c>
      <c r="M361" s="136">
        <f t="shared" si="438"/>
        <v>0</v>
      </c>
      <c r="O361" s="135" t="s">
        <v>28</v>
      </c>
      <c r="P361" s="136">
        <f>SUM(P330:P360)</f>
        <v>305.43555286987555</v>
      </c>
      <c r="Q361" s="136">
        <f t="shared" ref="Q361:AA361" si="439">SUM(Q330:Q360)</f>
        <v>232.44706947569372</v>
      </c>
      <c r="R361" s="136">
        <f t="shared" si="439"/>
        <v>422.59092857981938</v>
      </c>
      <c r="S361" s="136">
        <f t="shared" si="439"/>
        <v>371.09401863042638</v>
      </c>
      <c r="T361" s="136">
        <f t="shared" si="439"/>
        <v>477.43752925683287</v>
      </c>
      <c r="U361" s="136">
        <f t="shared" si="439"/>
        <v>296.94737832783994</v>
      </c>
      <c r="V361" s="136">
        <f t="shared" si="439"/>
        <v>0</v>
      </c>
      <c r="W361" s="136">
        <f t="shared" si="439"/>
        <v>0</v>
      </c>
      <c r="X361" s="136">
        <f t="shared" si="439"/>
        <v>0</v>
      </c>
      <c r="Y361" s="136">
        <f t="shared" si="439"/>
        <v>0</v>
      </c>
      <c r="Z361" s="136">
        <f t="shared" si="439"/>
        <v>0</v>
      </c>
      <c r="AA361" s="136">
        <f t="shared" si="439"/>
        <v>0</v>
      </c>
      <c r="AC361" s="135" t="s">
        <v>28</v>
      </c>
      <c r="AD361" s="136">
        <f>SUM(AD330:AD360)</f>
        <v>333.80000000000007</v>
      </c>
      <c r="AE361" s="136">
        <f t="shared" ref="AE361:AO361" si="440">SUM(AE330:AE360)</f>
        <v>260.49999999999989</v>
      </c>
      <c r="AF361" s="136">
        <f t="shared" si="440"/>
        <v>457.1</v>
      </c>
      <c r="AG361" s="136">
        <f t="shared" si="440"/>
        <v>449.7</v>
      </c>
      <c r="AH361" s="136">
        <f t="shared" si="440"/>
        <v>528.70000000000005</v>
      </c>
      <c r="AI361" s="136">
        <f t="shared" si="440"/>
        <v>324.09999999999997</v>
      </c>
      <c r="AJ361" s="136">
        <f t="shared" si="440"/>
        <v>0</v>
      </c>
      <c r="AK361" s="136">
        <f t="shared" si="440"/>
        <v>0</v>
      </c>
      <c r="AL361" s="136">
        <f t="shared" si="440"/>
        <v>0</v>
      </c>
      <c r="AM361" s="136">
        <f t="shared" si="440"/>
        <v>0</v>
      </c>
      <c r="AN361" s="136">
        <f t="shared" si="440"/>
        <v>0</v>
      </c>
      <c r="AO361" s="136">
        <f t="shared" si="440"/>
        <v>0</v>
      </c>
      <c r="AQ361" s="135" t="s">
        <v>28</v>
      </c>
      <c r="AR361" s="136">
        <f>SUM(AR330:AR360)</f>
        <v>261.39999999999998</v>
      </c>
      <c r="AS361" s="136">
        <f t="shared" ref="AS361:BC361" si="441">SUM(AS330:AS360)</f>
        <v>317.10000000000002</v>
      </c>
      <c r="AT361" s="136">
        <f t="shared" si="441"/>
        <v>407.7</v>
      </c>
      <c r="AU361" s="136">
        <f t="shared" si="441"/>
        <v>269.20000000000005</v>
      </c>
      <c r="AV361" s="136">
        <f t="shared" si="441"/>
        <v>484.30000000000013</v>
      </c>
      <c r="AW361" s="136">
        <f t="shared" si="441"/>
        <v>221.99999999999997</v>
      </c>
      <c r="AX361" s="136">
        <f t="shared" si="441"/>
        <v>0</v>
      </c>
      <c r="AY361" s="136">
        <f t="shared" si="441"/>
        <v>0</v>
      </c>
      <c r="AZ361" s="136">
        <f t="shared" si="441"/>
        <v>0</v>
      </c>
      <c r="BA361" s="136">
        <f t="shared" si="441"/>
        <v>0</v>
      </c>
      <c r="BB361" s="136">
        <f t="shared" si="441"/>
        <v>0</v>
      </c>
      <c r="BC361" s="136">
        <f t="shared" si="441"/>
        <v>0</v>
      </c>
    </row>
    <row r="362" spans="1:55">
      <c r="A362" s="138" t="s">
        <v>29</v>
      </c>
      <c r="B362" s="139">
        <f>MAX(B330:B360)</f>
        <v>50</v>
      </c>
      <c r="C362" s="139">
        <f t="shared" ref="C362:M362" si="442">MAX(C330:C360)</f>
        <v>18</v>
      </c>
      <c r="D362" s="139">
        <f t="shared" si="442"/>
        <v>77.5</v>
      </c>
      <c r="E362" s="139">
        <f t="shared" si="442"/>
        <v>36.799999999999997</v>
      </c>
      <c r="F362" s="139">
        <f t="shared" si="442"/>
        <v>130.4</v>
      </c>
      <c r="G362" s="139">
        <f t="shared" si="442"/>
        <v>108.1</v>
      </c>
      <c r="H362" s="139">
        <f t="shared" si="442"/>
        <v>0</v>
      </c>
      <c r="I362" s="139">
        <f t="shared" si="442"/>
        <v>0</v>
      </c>
      <c r="J362" s="139">
        <f t="shared" si="442"/>
        <v>0</v>
      </c>
      <c r="K362" s="139">
        <f t="shared" si="442"/>
        <v>0</v>
      </c>
      <c r="L362" s="139">
        <f t="shared" si="442"/>
        <v>0</v>
      </c>
      <c r="M362" s="139">
        <f t="shared" si="442"/>
        <v>0</v>
      </c>
      <c r="N362" s="129">
        <f>MAX(B362:M362)</f>
        <v>130.4</v>
      </c>
      <c r="O362" s="138" t="s">
        <v>29</v>
      </c>
      <c r="P362" s="139">
        <f>MAX(P330:P360)</f>
        <v>51.097245288851944</v>
      </c>
      <c r="Q362" s="139">
        <f t="shared" ref="Q362:AA362" si="443">MAX(Q330:Q360)</f>
        <v>61.10582665636359</v>
      </c>
      <c r="R362" s="139">
        <f t="shared" si="443"/>
        <v>129.12271310124498</v>
      </c>
      <c r="S362" s="139">
        <f t="shared" si="443"/>
        <v>50.155812218893217</v>
      </c>
      <c r="T362" s="139">
        <f t="shared" si="443"/>
        <v>111.29472957405007</v>
      </c>
      <c r="U362" s="139">
        <f t="shared" si="443"/>
        <v>105.54174580667356</v>
      </c>
      <c r="V362" s="139">
        <f t="shared" si="443"/>
        <v>0</v>
      </c>
      <c r="W362" s="139">
        <f t="shared" si="443"/>
        <v>0</v>
      </c>
      <c r="X362" s="139">
        <f t="shared" si="443"/>
        <v>0</v>
      </c>
      <c r="Y362" s="139">
        <f t="shared" si="443"/>
        <v>0</v>
      </c>
      <c r="Z362" s="139">
        <f t="shared" si="443"/>
        <v>0</v>
      </c>
      <c r="AA362" s="139">
        <f t="shared" si="443"/>
        <v>0</v>
      </c>
      <c r="AB362" s="129">
        <f>MAX(P362:AA362)</f>
        <v>129.12271310124498</v>
      </c>
      <c r="AC362" s="138" t="s">
        <v>29</v>
      </c>
      <c r="AD362" s="139">
        <f>MAX(AD330:AD360)</f>
        <v>56</v>
      </c>
      <c r="AE362" s="139">
        <f t="shared" ref="AE362:AO362" si="444">MAX(AE330:AE360)</f>
        <v>79.599999999999994</v>
      </c>
      <c r="AF362" s="139">
        <f t="shared" si="444"/>
        <v>154</v>
      </c>
      <c r="AG362" s="139">
        <f t="shared" si="444"/>
        <v>63</v>
      </c>
      <c r="AH362" s="139">
        <f t="shared" si="444"/>
        <v>106</v>
      </c>
      <c r="AI362" s="139">
        <f t="shared" si="444"/>
        <v>107.6</v>
      </c>
      <c r="AJ362" s="139">
        <f t="shared" si="444"/>
        <v>0</v>
      </c>
      <c r="AK362" s="139">
        <f t="shared" si="444"/>
        <v>0</v>
      </c>
      <c r="AL362" s="139">
        <f t="shared" si="444"/>
        <v>0</v>
      </c>
      <c r="AM362" s="139">
        <f t="shared" si="444"/>
        <v>0</v>
      </c>
      <c r="AN362" s="139">
        <f t="shared" si="444"/>
        <v>0</v>
      </c>
      <c r="AO362" s="139">
        <f t="shared" si="444"/>
        <v>0</v>
      </c>
      <c r="AQ362" s="138" t="s">
        <v>29</v>
      </c>
      <c r="AR362" s="139">
        <f>MAX(AR330:AR360)</f>
        <v>56.1</v>
      </c>
      <c r="AS362" s="139">
        <f t="shared" ref="AS362:BC362" si="445">MAX(AS330:AS360)</f>
        <v>65.3</v>
      </c>
      <c r="AT362" s="139">
        <f t="shared" si="445"/>
        <v>72.3</v>
      </c>
      <c r="AU362" s="139">
        <f t="shared" si="445"/>
        <v>56.4</v>
      </c>
      <c r="AV362" s="139">
        <f t="shared" si="445"/>
        <v>105.1</v>
      </c>
      <c r="AW362" s="139">
        <f t="shared" si="445"/>
        <v>77</v>
      </c>
      <c r="AX362" s="139">
        <f t="shared" si="445"/>
        <v>0</v>
      </c>
      <c r="AY362" s="139">
        <f t="shared" si="445"/>
        <v>0</v>
      </c>
      <c r="AZ362" s="139">
        <f t="shared" si="445"/>
        <v>0</v>
      </c>
      <c r="BA362" s="139">
        <f t="shared" si="445"/>
        <v>0</v>
      </c>
      <c r="BB362" s="139">
        <f t="shared" si="445"/>
        <v>0</v>
      </c>
      <c r="BC362" s="139">
        <f t="shared" si="445"/>
        <v>0</v>
      </c>
    </row>
    <row r="363" spans="1:55">
      <c r="A363" s="130" t="s">
        <v>30</v>
      </c>
      <c r="B363" s="131">
        <f>SUM(B330:B344)</f>
        <v>137</v>
      </c>
      <c r="C363" s="131">
        <f t="shared" ref="C363:M363" si="446">SUM(C330:C344)</f>
        <v>78.000000000000014</v>
      </c>
      <c r="D363" s="131">
        <f t="shared" si="446"/>
        <v>175.79999999999998</v>
      </c>
      <c r="E363" s="131">
        <f t="shared" si="446"/>
        <v>66.599999999999994</v>
      </c>
      <c r="F363" s="131">
        <f t="shared" si="446"/>
        <v>226.00000000000003</v>
      </c>
      <c r="G363" s="131">
        <f t="shared" si="446"/>
        <v>53.8</v>
      </c>
      <c r="H363" s="131">
        <f t="shared" si="446"/>
        <v>0</v>
      </c>
      <c r="I363" s="131">
        <f t="shared" si="446"/>
        <v>0</v>
      </c>
      <c r="J363" s="131">
        <f t="shared" si="446"/>
        <v>0</v>
      </c>
      <c r="K363" s="131">
        <f t="shared" si="446"/>
        <v>0</v>
      </c>
      <c r="L363" s="131">
        <f t="shared" si="446"/>
        <v>0</v>
      </c>
      <c r="M363" s="131">
        <f t="shared" si="446"/>
        <v>0</v>
      </c>
      <c r="O363" s="130" t="s">
        <v>30</v>
      </c>
      <c r="P363" s="131">
        <f>SUM(P330:P344)</f>
        <v>179.6971498801166</v>
      </c>
      <c r="Q363" s="131">
        <f t="shared" ref="Q363:AA363" si="447">SUM(Q330:Q344)</f>
        <v>107.0129476147868</v>
      </c>
      <c r="R363" s="131">
        <f t="shared" si="447"/>
        <v>190.0831714480056</v>
      </c>
      <c r="S363" s="131">
        <f t="shared" si="447"/>
        <v>152.82643104083519</v>
      </c>
      <c r="T363" s="131">
        <f t="shared" si="447"/>
        <v>265.78153721162056</v>
      </c>
      <c r="U363" s="131">
        <f t="shared" si="447"/>
        <v>114.17336331191589</v>
      </c>
      <c r="V363" s="131">
        <f t="shared" si="447"/>
        <v>0</v>
      </c>
      <c r="W363" s="131">
        <f t="shared" si="447"/>
        <v>0</v>
      </c>
      <c r="X363" s="131">
        <f t="shared" si="447"/>
        <v>0</v>
      </c>
      <c r="Y363" s="131">
        <f t="shared" si="447"/>
        <v>0</v>
      </c>
      <c r="Z363" s="131">
        <f t="shared" si="447"/>
        <v>0</v>
      </c>
      <c r="AA363" s="131">
        <f t="shared" si="447"/>
        <v>0</v>
      </c>
      <c r="AC363" s="130" t="s">
        <v>30</v>
      </c>
      <c r="AD363" s="131">
        <f>SUM(AD330:AD344)</f>
        <v>194.4</v>
      </c>
      <c r="AE363" s="131">
        <f t="shared" ref="AE363:AO363" si="448">SUM(AE330:AE344)</f>
        <v>111.89999999999999</v>
      </c>
      <c r="AF363" s="131">
        <f t="shared" si="448"/>
        <v>196.1</v>
      </c>
      <c r="AG363" s="131">
        <f t="shared" si="448"/>
        <v>184.5</v>
      </c>
      <c r="AH363" s="131">
        <f t="shared" si="448"/>
        <v>286.8</v>
      </c>
      <c r="AI363" s="131">
        <f t="shared" si="448"/>
        <v>137.69999999999999</v>
      </c>
      <c r="AJ363" s="131">
        <f t="shared" si="448"/>
        <v>0</v>
      </c>
      <c r="AK363" s="131">
        <f t="shared" si="448"/>
        <v>0</v>
      </c>
      <c r="AL363" s="131">
        <f t="shared" si="448"/>
        <v>0</v>
      </c>
      <c r="AM363" s="131">
        <f t="shared" si="448"/>
        <v>0</v>
      </c>
      <c r="AN363" s="131">
        <f t="shared" si="448"/>
        <v>0</v>
      </c>
      <c r="AO363" s="131">
        <f t="shared" si="448"/>
        <v>0</v>
      </c>
      <c r="AQ363" s="130" t="s">
        <v>30</v>
      </c>
      <c r="AR363" s="131">
        <f>SUM(AR330:AR344)</f>
        <v>164.8</v>
      </c>
      <c r="AS363" s="131">
        <f t="shared" ref="AS363:BC363" si="449">SUM(AS330:AS344)</f>
        <v>148</v>
      </c>
      <c r="AT363" s="131">
        <f t="shared" si="449"/>
        <v>174.10000000000002</v>
      </c>
      <c r="AU363" s="131">
        <f t="shared" si="449"/>
        <v>102.89999999999999</v>
      </c>
      <c r="AV363" s="131">
        <f t="shared" si="449"/>
        <v>178.6</v>
      </c>
      <c r="AW363" s="131">
        <f t="shared" si="449"/>
        <v>65.7</v>
      </c>
      <c r="AX363" s="131">
        <f t="shared" si="449"/>
        <v>0</v>
      </c>
      <c r="AY363" s="131">
        <f t="shared" si="449"/>
        <v>0</v>
      </c>
      <c r="AZ363" s="131">
        <f t="shared" si="449"/>
        <v>0</v>
      </c>
      <c r="BA363" s="131">
        <f t="shared" si="449"/>
        <v>0</v>
      </c>
      <c r="BB363" s="131">
        <f t="shared" si="449"/>
        <v>0</v>
      </c>
      <c r="BC363" s="131">
        <f t="shared" si="449"/>
        <v>0</v>
      </c>
    </row>
    <row r="364" spans="1:55">
      <c r="A364" s="140" t="s">
        <v>31</v>
      </c>
      <c r="B364" s="141">
        <f>SUM(B345:B360)</f>
        <v>91</v>
      </c>
      <c r="C364" s="141">
        <f t="shared" ref="C364:M364" si="450">SUM(C345:C360)</f>
        <v>36.5</v>
      </c>
      <c r="D364" s="141">
        <f t="shared" si="450"/>
        <v>140.1</v>
      </c>
      <c r="E364" s="141">
        <f t="shared" si="450"/>
        <v>83.4</v>
      </c>
      <c r="F364" s="141">
        <f t="shared" si="450"/>
        <v>83.6</v>
      </c>
      <c r="G364" s="141">
        <f t="shared" si="450"/>
        <v>179.6</v>
      </c>
      <c r="H364" s="141">
        <f t="shared" si="450"/>
        <v>0</v>
      </c>
      <c r="I364" s="141">
        <f t="shared" si="450"/>
        <v>0</v>
      </c>
      <c r="J364" s="141">
        <f t="shared" si="450"/>
        <v>0</v>
      </c>
      <c r="K364" s="141">
        <f t="shared" si="450"/>
        <v>0</v>
      </c>
      <c r="L364" s="141">
        <f t="shared" si="450"/>
        <v>0</v>
      </c>
      <c r="M364" s="141">
        <f t="shared" si="450"/>
        <v>0</v>
      </c>
      <c r="O364" s="140" t="s">
        <v>31</v>
      </c>
      <c r="P364" s="141">
        <f>SUM(P345:P360)</f>
        <v>125.73840298975897</v>
      </c>
      <c r="Q364" s="141">
        <f t="shared" ref="Q364:AA364" si="451">SUM(Q345:Q360)</f>
        <v>125.43412186090696</v>
      </c>
      <c r="R364" s="141">
        <f t="shared" si="451"/>
        <v>232.50775713181375</v>
      </c>
      <c r="S364" s="141">
        <f t="shared" si="451"/>
        <v>218.26758758959116</v>
      </c>
      <c r="T364" s="141">
        <f t="shared" si="451"/>
        <v>211.65599204521237</v>
      </c>
      <c r="U364" s="141">
        <f t="shared" si="451"/>
        <v>182.77401501592405</v>
      </c>
      <c r="V364" s="141">
        <f t="shared" si="451"/>
        <v>0</v>
      </c>
      <c r="W364" s="141">
        <f t="shared" si="451"/>
        <v>0</v>
      </c>
      <c r="X364" s="141">
        <f t="shared" si="451"/>
        <v>0</v>
      </c>
      <c r="Y364" s="141">
        <f t="shared" si="451"/>
        <v>0</v>
      </c>
      <c r="Z364" s="141">
        <f t="shared" si="451"/>
        <v>0</v>
      </c>
      <c r="AA364" s="141">
        <f t="shared" si="451"/>
        <v>0</v>
      </c>
      <c r="AC364" s="140" t="s">
        <v>31</v>
      </c>
      <c r="AD364" s="141">
        <f>SUM(AD345:AD360)</f>
        <v>139.4</v>
      </c>
      <c r="AE364" s="141">
        <f t="shared" ref="AE364:AO364" si="452">SUM(AE345:AE360)</f>
        <v>148.6</v>
      </c>
      <c r="AF364" s="141">
        <f t="shared" si="452"/>
        <v>261</v>
      </c>
      <c r="AG364" s="141">
        <f t="shared" si="452"/>
        <v>265.2</v>
      </c>
      <c r="AH364" s="141">
        <f t="shared" si="452"/>
        <v>241.9</v>
      </c>
      <c r="AI364" s="141">
        <f t="shared" si="452"/>
        <v>186.4</v>
      </c>
      <c r="AJ364" s="141">
        <f t="shared" si="452"/>
        <v>0</v>
      </c>
      <c r="AK364" s="141">
        <f t="shared" si="452"/>
        <v>0</v>
      </c>
      <c r="AL364" s="141">
        <f t="shared" si="452"/>
        <v>0</v>
      </c>
      <c r="AM364" s="141">
        <f t="shared" si="452"/>
        <v>0</v>
      </c>
      <c r="AN364" s="141">
        <f t="shared" si="452"/>
        <v>0</v>
      </c>
      <c r="AO364" s="141">
        <f t="shared" si="452"/>
        <v>0</v>
      </c>
      <c r="AQ364" s="140" t="s">
        <v>31</v>
      </c>
      <c r="AR364" s="141">
        <f>SUM(AR345:AR360)</f>
        <v>96.600000000000009</v>
      </c>
      <c r="AS364" s="141">
        <f t="shared" ref="AS364:BC364" si="453">SUM(AS345:AS360)</f>
        <v>169.1</v>
      </c>
      <c r="AT364" s="141">
        <f t="shared" si="453"/>
        <v>233.59999999999997</v>
      </c>
      <c r="AU364" s="141">
        <f t="shared" si="453"/>
        <v>166.29999999999998</v>
      </c>
      <c r="AV364" s="141">
        <f t="shared" si="453"/>
        <v>305.7000000000001</v>
      </c>
      <c r="AW364" s="141">
        <f t="shared" si="453"/>
        <v>156.29999999999998</v>
      </c>
      <c r="AX364" s="141">
        <f t="shared" si="453"/>
        <v>0</v>
      </c>
      <c r="AY364" s="141">
        <f t="shared" si="453"/>
        <v>0</v>
      </c>
      <c r="AZ364" s="141">
        <f t="shared" si="453"/>
        <v>0</v>
      </c>
      <c r="BA364" s="141">
        <f t="shared" si="453"/>
        <v>0</v>
      </c>
      <c r="BB364" s="141">
        <f t="shared" si="453"/>
        <v>0</v>
      </c>
      <c r="BC364" s="141">
        <f t="shared" si="453"/>
        <v>0</v>
      </c>
    </row>
    <row r="365" spans="1:55" ht="15.75" thickBot="1">
      <c r="A365" s="133" t="s">
        <v>32</v>
      </c>
      <c r="B365" s="134">
        <f>COUNTIF(B332:B362,"&gt;0")</f>
        <v>22</v>
      </c>
      <c r="C365" s="134">
        <f t="shared" ref="C365:M365" si="454">COUNTIF(C332:C362,"&gt;0")</f>
        <v>17</v>
      </c>
      <c r="D365" s="134">
        <f t="shared" si="454"/>
        <v>18</v>
      </c>
      <c r="E365" s="134">
        <f t="shared" si="454"/>
        <v>17</v>
      </c>
      <c r="F365" s="134">
        <f t="shared" si="454"/>
        <v>21</v>
      </c>
      <c r="G365" s="134">
        <f t="shared" si="454"/>
        <v>18</v>
      </c>
      <c r="H365" s="134">
        <f t="shared" si="454"/>
        <v>0</v>
      </c>
      <c r="I365" s="134">
        <f t="shared" si="454"/>
        <v>0</v>
      </c>
      <c r="J365" s="134">
        <f t="shared" si="454"/>
        <v>0</v>
      </c>
      <c r="K365" s="134">
        <f t="shared" si="454"/>
        <v>0</v>
      </c>
      <c r="L365" s="134">
        <f t="shared" si="454"/>
        <v>0</v>
      </c>
      <c r="M365" s="134">
        <f t="shared" si="454"/>
        <v>0</v>
      </c>
      <c r="O365" s="133" t="s">
        <v>32</v>
      </c>
      <c r="P365" s="134">
        <f>COUNTIF(P332:P362,"&gt;0")</f>
        <v>27</v>
      </c>
      <c r="Q365" s="134">
        <f t="shared" ref="Q365:AA365" si="455">COUNTIF(Q332:Q362,"&gt;0")</f>
        <v>22</v>
      </c>
      <c r="R365" s="134">
        <f t="shared" si="455"/>
        <v>22</v>
      </c>
      <c r="S365" s="134">
        <f t="shared" si="455"/>
        <v>24</v>
      </c>
      <c r="T365" s="134">
        <f t="shared" si="455"/>
        <v>28</v>
      </c>
      <c r="U365" s="134">
        <f t="shared" si="455"/>
        <v>24</v>
      </c>
      <c r="V365" s="134">
        <f t="shared" si="455"/>
        <v>0</v>
      </c>
      <c r="W365" s="134">
        <f t="shared" si="455"/>
        <v>0</v>
      </c>
      <c r="X365" s="134">
        <f t="shared" si="455"/>
        <v>0</v>
      </c>
      <c r="Y365" s="134">
        <f t="shared" si="455"/>
        <v>0</v>
      </c>
      <c r="Z365" s="134">
        <f t="shared" si="455"/>
        <v>0</v>
      </c>
      <c r="AA365" s="134">
        <f t="shared" si="455"/>
        <v>0</v>
      </c>
      <c r="AC365" s="133" t="s">
        <v>32</v>
      </c>
      <c r="AD365" s="134">
        <f>COUNTIF(AD332:AD362,"&gt;0")</f>
        <v>26</v>
      </c>
      <c r="AE365" s="134">
        <f t="shared" ref="AE365:AO365" si="456">COUNTIF(AE332:AE362,"&gt;0")</f>
        <v>21</v>
      </c>
      <c r="AF365" s="134">
        <f t="shared" si="456"/>
        <v>20</v>
      </c>
      <c r="AG365" s="134">
        <f t="shared" si="456"/>
        <v>21</v>
      </c>
      <c r="AH365" s="134">
        <f t="shared" si="456"/>
        <v>23</v>
      </c>
      <c r="AI365" s="134">
        <f t="shared" si="456"/>
        <v>15</v>
      </c>
      <c r="AJ365" s="134">
        <f t="shared" si="456"/>
        <v>0</v>
      </c>
      <c r="AK365" s="134">
        <f t="shared" si="456"/>
        <v>0</v>
      </c>
      <c r="AL365" s="134">
        <f t="shared" si="456"/>
        <v>0</v>
      </c>
      <c r="AM365" s="134">
        <f t="shared" si="456"/>
        <v>0</v>
      </c>
      <c r="AN365" s="134">
        <f t="shared" si="456"/>
        <v>0</v>
      </c>
      <c r="AO365" s="134">
        <f t="shared" si="456"/>
        <v>0</v>
      </c>
      <c r="AQ365" s="133" t="s">
        <v>32</v>
      </c>
      <c r="AR365" s="134">
        <f>COUNTIF(AR332:AR362,"&gt;0")</f>
        <v>20</v>
      </c>
      <c r="AS365" s="134">
        <f t="shared" ref="AS365:BC365" si="457">COUNTIF(AS332:AS362,"&gt;0")</f>
        <v>17</v>
      </c>
      <c r="AT365" s="134">
        <f t="shared" si="457"/>
        <v>20</v>
      </c>
      <c r="AU365" s="134">
        <f t="shared" si="457"/>
        <v>21</v>
      </c>
      <c r="AV365" s="134">
        <f t="shared" si="457"/>
        <v>22</v>
      </c>
      <c r="AW365" s="134">
        <f t="shared" si="457"/>
        <v>15</v>
      </c>
      <c r="AX365" s="134">
        <f t="shared" si="457"/>
        <v>0</v>
      </c>
      <c r="AY365" s="134">
        <f t="shared" si="457"/>
        <v>0</v>
      </c>
      <c r="AZ365" s="134">
        <f t="shared" si="457"/>
        <v>0</v>
      </c>
      <c r="BA365" s="134">
        <f t="shared" si="457"/>
        <v>0</v>
      </c>
      <c r="BB365" s="134">
        <f t="shared" si="457"/>
        <v>0</v>
      </c>
      <c r="BC365" s="134">
        <f t="shared" si="457"/>
        <v>0</v>
      </c>
    </row>
  </sheetData>
  <mergeCells count="131">
    <mergeCell ref="A207:M207"/>
    <mergeCell ref="O207:AA207"/>
    <mergeCell ref="AC207:AO207"/>
    <mergeCell ref="AQ207:BC207"/>
    <mergeCell ref="BE207:BQ207"/>
    <mergeCell ref="AQ208:AQ209"/>
    <mergeCell ref="AR208:BC208"/>
    <mergeCell ref="BE208:BE209"/>
    <mergeCell ref="BF208:BQ208"/>
    <mergeCell ref="A208:A209"/>
    <mergeCell ref="B208:M208"/>
    <mergeCell ref="O208:O209"/>
    <mergeCell ref="P208:AA208"/>
    <mergeCell ref="AC208:AC209"/>
    <mergeCell ref="AD208:AO208"/>
    <mergeCell ref="A167:M167"/>
    <mergeCell ref="O167:AA167"/>
    <mergeCell ref="AC167:AO167"/>
    <mergeCell ref="AQ167:BC167"/>
    <mergeCell ref="BE167:BQ167"/>
    <mergeCell ref="AQ168:AQ169"/>
    <mergeCell ref="AR168:BC168"/>
    <mergeCell ref="BE168:BE169"/>
    <mergeCell ref="BF168:BQ168"/>
    <mergeCell ref="A168:A169"/>
    <mergeCell ref="B168:M168"/>
    <mergeCell ref="O168:O169"/>
    <mergeCell ref="P168:AA168"/>
    <mergeCell ref="AC168:AC169"/>
    <mergeCell ref="AD168:AO168"/>
    <mergeCell ref="A127:M127"/>
    <mergeCell ref="O127:AA127"/>
    <mergeCell ref="AC127:AO127"/>
    <mergeCell ref="AQ127:BC127"/>
    <mergeCell ref="BE127:BQ127"/>
    <mergeCell ref="AQ128:AQ129"/>
    <mergeCell ref="AR128:BC128"/>
    <mergeCell ref="BE128:BE129"/>
    <mergeCell ref="BF128:BQ128"/>
    <mergeCell ref="A128:A129"/>
    <mergeCell ref="B128:M128"/>
    <mergeCell ref="O128:O129"/>
    <mergeCell ref="P128:AA128"/>
    <mergeCell ref="AC128:AC129"/>
    <mergeCell ref="AD128:AO128"/>
    <mergeCell ref="A87:M87"/>
    <mergeCell ref="O87:AA87"/>
    <mergeCell ref="AC87:AO87"/>
    <mergeCell ref="AQ87:BC87"/>
    <mergeCell ref="BE87:BQ87"/>
    <mergeCell ref="AQ88:AQ89"/>
    <mergeCell ref="AR88:BC88"/>
    <mergeCell ref="BE88:BE89"/>
    <mergeCell ref="BF88:BQ88"/>
    <mergeCell ref="A88:A89"/>
    <mergeCell ref="B88:M88"/>
    <mergeCell ref="O88:O89"/>
    <mergeCell ref="P88:AA88"/>
    <mergeCell ref="AC88:AC89"/>
    <mergeCell ref="AD88:AO88"/>
    <mergeCell ref="A47:M47"/>
    <mergeCell ref="O47:AA47"/>
    <mergeCell ref="AC47:AO47"/>
    <mergeCell ref="AQ47:BC47"/>
    <mergeCell ref="BE47:BQ47"/>
    <mergeCell ref="AQ48:AQ49"/>
    <mergeCell ref="AR48:BC48"/>
    <mergeCell ref="BE48:BE49"/>
    <mergeCell ref="BF48:BQ48"/>
    <mergeCell ref="A48:A49"/>
    <mergeCell ref="B48:M48"/>
    <mergeCell ref="O48:O49"/>
    <mergeCell ref="P48:AA48"/>
    <mergeCell ref="AC48:AC49"/>
    <mergeCell ref="AD48:AO48"/>
    <mergeCell ref="AQ8:AQ9"/>
    <mergeCell ref="AR8:BC8"/>
    <mergeCell ref="BE8:BE9"/>
    <mergeCell ref="BF8:BQ8"/>
    <mergeCell ref="A8:A9"/>
    <mergeCell ref="B8:M8"/>
    <mergeCell ref="O8:O9"/>
    <mergeCell ref="P8:AA8"/>
    <mergeCell ref="AC8:AC9"/>
    <mergeCell ref="AD8:AO8"/>
    <mergeCell ref="A5:M5"/>
    <mergeCell ref="O5:AA5"/>
    <mergeCell ref="AC5:AO5"/>
    <mergeCell ref="AQ5:BC5"/>
    <mergeCell ref="BE5:BQ5"/>
    <mergeCell ref="A7:M7"/>
    <mergeCell ref="O7:AA7"/>
    <mergeCell ref="AC7:AO7"/>
    <mergeCell ref="AQ7:BC7"/>
    <mergeCell ref="BE7:BQ7"/>
    <mergeCell ref="A287:M287"/>
    <mergeCell ref="A288:A289"/>
    <mergeCell ref="B288:M288"/>
    <mergeCell ref="A327:M327"/>
    <mergeCell ref="A328:A329"/>
    <mergeCell ref="B328:M328"/>
    <mergeCell ref="A247:M247"/>
    <mergeCell ref="A248:A249"/>
    <mergeCell ref="B248:M248"/>
    <mergeCell ref="O327:AA327"/>
    <mergeCell ref="O328:O329"/>
    <mergeCell ref="P328:AA328"/>
    <mergeCell ref="AC247:AO247"/>
    <mergeCell ref="AC248:AC249"/>
    <mergeCell ref="AD248:AO248"/>
    <mergeCell ref="AC287:AO287"/>
    <mergeCell ref="AC288:AC289"/>
    <mergeCell ref="AD288:AO288"/>
    <mergeCell ref="AC327:AO327"/>
    <mergeCell ref="AC328:AC329"/>
    <mergeCell ref="AD328:AO328"/>
    <mergeCell ref="O247:AA247"/>
    <mergeCell ref="O248:O249"/>
    <mergeCell ref="P248:AA248"/>
    <mergeCell ref="O287:AA287"/>
    <mergeCell ref="O288:O289"/>
    <mergeCell ref="P288:AA288"/>
    <mergeCell ref="AQ327:BC327"/>
    <mergeCell ref="AQ328:AQ329"/>
    <mergeCell ref="AR328:BC328"/>
    <mergeCell ref="AQ247:BC247"/>
    <mergeCell ref="AQ248:AQ249"/>
    <mergeCell ref="AR248:BC248"/>
    <mergeCell ref="AQ287:BC287"/>
    <mergeCell ref="AQ288:AQ289"/>
    <mergeCell ref="AR288:BC28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E89C8-39F1-44DA-8DA4-09E20FE880BA}">
  <dimension ref="A1:AC133"/>
  <sheetViews>
    <sheetView workbookViewId="0">
      <selection activeCell="P137" sqref="P137"/>
    </sheetView>
  </sheetViews>
  <sheetFormatPr defaultRowHeight="15"/>
  <sheetData>
    <row r="1" spans="1:29" ht="18">
      <c r="A1" s="44" t="s">
        <v>41</v>
      </c>
      <c r="B1" s="45"/>
      <c r="C1" s="45"/>
      <c r="D1" s="45"/>
      <c r="E1" s="46">
        <v>2019</v>
      </c>
      <c r="F1" s="47"/>
      <c r="G1" s="47"/>
      <c r="H1" s="48"/>
      <c r="I1" s="47"/>
      <c r="J1" s="47"/>
      <c r="K1" s="47"/>
      <c r="L1" s="47"/>
      <c r="M1" s="49"/>
      <c r="N1" s="7"/>
      <c r="P1" s="44" t="s">
        <v>41</v>
      </c>
      <c r="Q1" s="45"/>
      <c r="R1" s="45"/>
      <c r="S1" s="45"/>
      <c r="T1" s="46">
        <v>2022</v>
      </c>
      <c r="U1" s="47"/>
      <c r="V1" s="47"/>
      <c r="W1" s="48"/>
      <c r="X1" s="47"/>
      <c r="Y1" s="47"/>
      <c r="Z1" s="47"/>
      <c r="AA1" s="47"/>
      <c r="AB1" s="49"/>
      <c r="AC1" s="7"/>
    </row>
    <row r="2" spans="1:29">
      <c r="A2" s="50"/>
      <c r="B2" s="9"/>
      <c r="C2" s="9"/>
      <c r="D2" s="9"/>
      <c r="E2" s="10"/>
      <c r="F2" s="10"/>
      <c r="G2" s="10"/>
      <c r="H2" s="11"/>
      <c r="I2" s="9"/>
      <c r="J2" s="9"/>
      <c r="K2" s="9"/>
      <c r="L2" s="9"/>
      <c r="M2" s="51"/>
      <c r="N2" s="7"/>
      <c r="P2" s="50"/>
      <c r="Q2" s="9"/>
      <c r="R2" s="9"/>
      <c r="S2" s="9"/>
      <c r="T2" s="10"/>
      <c r="U2" s="10"/>
      <c r="V2" s="10"/>
      <c r="W2" s="11"/>
      <c r="X2" s="9"/>
      <c r="Y2" s="9"/>
      <c r="Z2" s="9"/>
      <c r="AA2" s="9"/>
      <c r="AB2" s="51"/>
      <c r="AC2" s="7"/>
    </row>
    <row r="3" spans="1:29" ht="15.75">
      <c r="A3" s="52" t="s">
        <v>42</v>
      </c>
      <c r="B3" s="14"/>
      <c r="C3" s="14" t="s">
        <v>43</v>
      </c>
      <c r="D3" s="14"/>
      <c r="E3" s="14"/>
      <c r="F3" s="14"/>
      <c r="G3" s="14"/>
      <c r="H3" s="15"/>
      <c r="I3" s="14"/>
      <c r="J3" s="14" t="s">
        <v>74</v>
      </c>
      <c r="K3" s="14" t="s">
        <v>92</v>
      </c>
      <c r="L3" s="14"/>
      <c r="M3" s="51"/>
      <c r="N3" s="7"/>
      <c r="P3" s="52" t="s">
        <v>42</v>
      </c>
      <c r="Q3" s="14"/>
      <c r="R3" s="14" t="s">
        <v>43</v>
      </c>
      <c r="S3" s="14"/>
      <c r="T3" s="14"/>
      <c r="U3" s="14"/>
      <c r="V3" s="14"/>
      <c r="W3" s="15"/>
      <c r="X3" s="14"/>
      <c r="Y3" s="14" t="s">
        <v>74</v>
      </c>
      <c r="Z3" s="14" t="s">
        <v>92</v>
      </c>
      <c r="AA3" s="14"/>
      <c r="AB3" s="51"/>
      <c r="AC3" s="7"/>
    </row>
    <row r="4" spans="1:29" ht="15.75">
      <c r="A4" s="52" t="s">
        <v>46</v>
      </c>
      <c r="B4" s="14"/>
      <c r="C4" s="14" t="s">
        <v>93</v>
      </c>
      <c r="D4" s="14"/>
      <c r="E4" s="14"/>
      <c r="F4" s="14"/>
      <c r="G4" s="14"/>
      <c r="H4" s="15"/>
      <c r="I4" s="14"/>
      <c r="J4" s="14" t="s">
        <v>77</v>
      </c>
      <c r="K4" s="14" t="s">
        <v>94</v>
      </c>
      <c r="L4" s="14"/>
      <c r="M4" s="51"/>
      <c r="N4" s="7"/>
      <c r="P4" s="52" t="s">
        <v>46</v>
      </c>
      <c r="Q4" s="14"/>
      <c r="R4" s="14" t="s">
        <v>93</v>
      </c>
      <c r="S4" s="14"/>
      <c r="T4" s="14"/>
      <c r="U4" s="14"/>
      <c r="V4" s="14"/>
      <c r="W4" s="15"/>
      <c r="X4" s="14"/>
      <c r="Y4" s="14" t="s">
        <v>77</v>
      </c>
      <c r="Z4" s="14" t="s">
        <v>94</v>
      </c>
      <c r="AA4" s="14"/>
      <c r="AB4" s="51"/>
      <c r="AC4" s="7"/>
    </row>
    <row r="5" spans="1:29" ht="15.75">
      <c r="A5" s="52" t="s">
        <v>49</v>
      </c>
      <c r="B5" s="14"/>
      <c r="C5" s="14" t="s">
        <v>80</v>
      </c>
      <c r="D5" s="14"/>
      <c r="E5" s="14"/>
      <c r="F5" s="14"/>
      <c r="G5" s="14"/>
      <c r="H5" s="15"/>
      <c r="I5" s="14"/>
      <c r="J5" s="14" t="s">
        <v>51</v>
      </c>
      <c r="K5" s="14" t="s">
        <v>95</v>
      </c>
      <c r="L5" s="14"/>
      <c r="M5" s="51"/>
      <c r="N5" s="7"/>
      <c r="P5" s="52" t="s">
        <v>49</v>
      </c>
      <c r="Q5" s="14"/>
      <c r="R5" s="14" t="s">
        <v>86</v>
      </c>
      <c r="S5" s="14"/>
      <c r="T5" s="14"/>
      <c r="U5" s="14"/>
      <c r="V5" s="14"/>
      <c r="W5" s="15"/>
      <c r="X5" s="14"/>
      <c r="Y5" s="14" t="s">
        <v>51</v>
      </c>
      <c r="Z5" s="14" t="s">
        <v>95</v>
      </c>
      <c r="AA5" s="14"/>
      <c r="AB5" s="51"/>
      <c r="AC5" s="7"/>
    </row>
    <row r="6" spans="1:29">
      <c r="A6" s="53"/>
      <c r="B6" s="10"/>
      <c r="C6" s="10"/>
      <c r="D6" s="10"/>
      <c r="E6" s="10"/>
      <c r="F6" s="10"/>
      <c r="G6" s="10"/>
      <c r="H6" s="17"/>
      <c r="I6" s="10"/>
      <c r="J6" s="10"/>
      <c r="K6" s="10"/>
      <c r="L6" s="10"/>
      <c r="M6" s="54"/>
      <c r="N6" s="19"/>
      <c r="P6" s="53"/>
      <c r="Q6" s="10"/>
      <c r="R6" s="10"/>
      <c r="S6" s="10"/>
      <c r="T6" s="10"/>
      <c r="U6" s="10"/>
      <c r="V6" s="10"/>
      <c r="W6" s="17"/>
      <c r="X6" s="10"/>
      <c r="Y6" s="10"/>
      <c r="Z6" s="10"/>
      <c r="AA6" s="10"/>
      <c r="AB6" s="54"/>
      <c r="AC6" s="19"/>
    </row>
    <row r="7" spans="1:29">
      <c r="A7" s="55" t="s">
        <v>53</v>
      </c>
      <c r="B7" s="21" t="s">
        <v>54</v>
      </c>
      <c r="C7" s="21" t="s">
        <v>55</v>
      </c>
      <c r="D7" s="21" t="s">
        <v>56</v>
      </c>
      <c r="E7" s="21" t="s">
        <v>57</v>
      </c>
      <c r="F7" s="21" t="s">
        <v>20</v>
      </c>
      <c r="G7" s="21" t="s">
        <v>58</v>
      </c>
      <c r="H7" s="21" t="s">
        <v>59</v>
      </c>
      <c r="I7" s="21" t="s">
        <v>60</v>
      </c>
      <c r="J7" s="21" t="s">
        <v>61</v>
      </c>
      <c r="K7" s="21" t="s">
        <v>62</v>
      </c>
      <c r="L7" s="21" t="s">
        <v>63</v>
      </c>
      <c r="M7" s="56" t="s">
        <v>64</v>
      </c>
      <c r="N7" s="19"/>
      <c r="P7" s="55" t="s">
        <v>53</v>
      </c>
      <c r="Q7" s="21" t="s">
        <v>54</v>
      </c>
      <c r="R7" s="21" t="s">
        <v>55</v>
      </c>
      <c r="S7" s="21" t="s">
        <v>56</v>
      </c>
      <c r="T7" s="21" t="s">
        <v>57</v>
      </c>
      <c r="U7" s="21" t="s">
        <v>20</v>
      </c>
      <c r="V7" s="21" t="s">
        <v>58</v>
      </c>
      <c r="W7" s="21" t="s">
        <v>59</v>
      </c>
      <c r="X7" s="21" t="s">
        <v>60</v>
      </c>
      <c r="Y7" s="21" t="s">
        <v>61</v>
      </c>
      <c r="Z7" s="21" t="s">
        <v>62</v>
      </c>
      <c r="AA7" s="21" t="s">
        <v>63</v>
      </c>
      <c r="AB7" s="56" t="s">
        <v>64</v>
      </c>
      <c r="AC7" s="19"/>
    </row>
    <row r="8" spans="1:29">
      <c r="A8" s="57">
        <v>1</v>
      </c>
      <c r="B8" s="36">
        <v>3.7</v>
      </c>
      <c r="C8" s="36">
        <v>2</v>
      </c>
      <c r="D8" s="36">
        <v>55.7</v>
      </c>
      <c r="E8" s="36">
        <v>0</v>
      </c>
      <c r="F8" s="36">
        <v>0</v>
      </c>
      <c r="G8" s="36">
        <v>7.9</v>
      </c>
      <c r="H8" s="36">
        <v>0</v>
      </c>
      <c r="I8" s="36">
        <v>0</v>
      </c>
      <c r="J8" s="36">
        <v>0</v>
      </c>
      <c r="K8" s="36">
        <v>84.4</v>
      </c>
      <c r="L8" s="36">
        <v>0</v>
      </c>
      <c r="M8" s="58">
        <v>0</v>
      </c>
      <c r="N8" s="7"/>
      <c r="P8" s="57">
        <v>1</v>
      </c>
      <c r="Q8" s="36">
        <v>2.2999999999999998</v>
      </c>
      <c r="R8" s="36">
        <v>0</v>
      </c>
      <c r="S8" s="36">
        <v>0</v>
      </c>
      <c r="T8" s="36">
        <v>10.5</v>
      </c>
      <c r="U8" s="36">
        <v>7.5</v>
      </c>
      <c r="V8" s="36">
        <v>18</v>
      </c>
      <c r="W8" s="36">
        <v>2</v>
      </c>
      <c r="X8" s="36">
        <v>0</v>
      </c>
      <c r="Y8" s="36">
        <v>26</v>
      </c>
      <c r="Z8" s="36">
        <v>4.3</v>
      </c>
      <c r="AA8" s="36">
        <v>0.3</v>
      </c>
      <c r="AB8" s="58">
        <v>18.8</v>
      </c>
      <c r="AC8" s="7"/>
    </row>
    <row r="9" spans="1:29">
      <c r="A9" s="57">
        <v>2</v>
      </c>
      <c r="B9" s="36">
        <v>1</v>
      </c>
      <c r="C9" s="36">
        <v>2</v>
      </c>
      <c r="D9" s="36">
        <v>17.7</v>
      </c>
      <c r="E9" s="36">
        <v>8</v>
      </c>
      <c r="F9" s="36">
        <v>0</v>
      </c>
      <c r="G9" s="36">
        <v>23.3</v>
      </c>
      <c r="H9" s="36">
        <v>0</v>
      </c>
      <c r="I9" s="36">
        <v>0</v>
      </c>
      <c r="J9" s="36">
        <v>4.0999999999999996</v>
      </c>
      <c r="K9" s="36">
        <v>1.3</v>
      </c>
      <c r="L9" s="36">
        <v>6.6</v>
      </c>
      <c r="M9" s="58">
        <v>21.5</v>
      </c>
      <c r="N9" s="7"/>
      <c r="P9" s="57">
        <v>2</v>
      </c>
      <c r="Q9" s="36">
        <v>5</v>
      </c>
      <c r="R9" s="36">
        <v>0</v>
      </c>
      <c r="S9" s="36">
        <v>0</v>
      </c>
      <c r="T9" s="36">
        <v>4</v>
      </c>
      <c r="U9" s="36">
        <v>3</v>
      </c>
      <c r="V9" s="36">
        <v>0</v>
      </c>
      <c r="W9" s="36">
        <v>0</v>
      </c>
      <c r="X9" s="36">
        <v>0</v>
      </c>
      <c r="Y9" s="36">
        <v>19</v>
      </c>
      <c r="Z9" s="36">
        <v>26.4</v>
      </c>
      <c r="AA9" s="36">
        <v>25.6</v>
      </c>
      <c r="AB9" s="58">
        <v>3.8</v>
      </c>
      <c r="AC9" s="7"/>
    </row>
    <row r="10" spans="1:29">
      <c r="A10" s="57">
        <v>3</v>
      </c>
      <c r="B10" s="36">
        <v>27.6</v>
      </c>
      <c r="C10" s="36">
        <v>2.5</v>
      </c>
      <c r="D10" s="36">
        <v>0.8</v>
      </c>
      <c r="E10" s="36">
        <v>4.7</v>
      </c>
      <c r="F10" s="36">
        <v>0</v>
      </c>
      <c r="G10" s="36">
        <v>23</v>
      </c>
      <c r="H10" s="36">
        <v>0</v>
      </c>
      <c r="I10" s="36">
        <v>0</v>
      </c>
      <c r="J10" s="36">
        <v>0</v>
      </c>
      <c r="K10" s="36">
        <v>74.5</v>
      </c>
      <c r="L10" s="36">
        <v>0</v>
      </c>
      <c r="M10" s="58">
        <v>40.5</v>
      </c>
      <c r="N10" s="7"/>
      <c r="P10" s="57">
        <v>3</v>
      </c>
      <c r="Q10" s="36">
        <v>12.5</v>
      </c>
      <c r="R10" s="36">
        <v>0</v>
      </c>
      <c r="S10" s="36">
        <v>0</v>
      </c>
      <c r="T10" s="36">
        <v>0</v>
      </c>
      <c r="U10" s="36">
        <v>4.2</v>
      </c>
      <c r="V10" s="36">
        <v>5.6</v>
      </c>
      <c r="W10" s="36">
        <v>6.6</v>
      </c>
      <c r="X10" s="36">
        <v>1.8</v>
      </c>
      <c r="Y10" s="36">
        <v>8.4</v>
      </c>
      <c r="Z10" s="36">
        <v>14.6</v>
      </c>
      <c r="AA10" s="36">
        <v>4.2</v>
      </c>
      <c r="AB10" s="58">
        <v>6.1</v>
      </c>
      <c r="AC10" s="7"/>
    </row>
    <row r="11" spans="1:29">
      <c r="A11" s="57">
        <v>4</v>
      </c>
      <c r="B11" s="36">
        <v>0</v>
      </c>
      <c r="C11" s="36">
        <v>0.5</v>
      </c>
      <c r="D11" s="36">
        <v>1.2</v>
      </c>
      <c r="E11" s="36">
        <v>0</v>
      </c>
      <c r="F11" s="36">
        <v>0</v>
      </c>
      <c r="G11" s="36">
        <v>3.5</v>
      </c>
      <c r="H11" s="36">
        <v>0</v>
      </c>
      <c r="I11" s="36">
        <v>0</v>
      </c>
      <c r="J11" s="36">
        <v>0</v>
      </c>
      <c r="K11" s="36">
        <v>7.1</v>
      </c>
      <c r="L11" s="36">
        <v>8.8000000000000007</v>
      </c>
      <c r="M11" s="71">
        <v>0</v>
      </c>
      <c r="N11" s="7"/>
      <c r="P11" s="57">
        <v>4</v>
      </c>
      <c r="Q11" s="36">
        <v>0</v>
      </c>
      <c r="R11" s="36">
        <v>0.9</v>
      </c>
      <c r="S11" s="36">
        <v>0</v>
      </c>
      <c r="T11" s="36">
        <v>0</v>
      </c>
      <c r="U11" s="36">
        <v>28.9</v>
      </c>
      <c r="V11" s="36">
        <v>5.9</v>
      </c>
      <c r="W11" s="36">
        <v>45.6</v>
      </c>
      <c r="X11" s="36">
        <v>0.6</v>
      </c>
      <c r="Y11" s="36">
        <v>0</v>
      </c>
      <c r="Z11" s="36">
        <v>6.6</v>
      </c>
      <c r="AA11" s="36">
        <v>1.3</v>
      </c>
      <c r="AB11" s="58">
        <v>0.7</v>
      </c>
      <c r="AC11" s="7"/>
    </row>
    <row r="12" spans="1:29">
      <c r="A12" s="57">
        <v>5</v>
      </c>
      <c r="B12" s="36">
        <v>42</v>
      </c>
      <c r="C12" s="36">
        <v>31.4</v>
      </c>
      <c r="D12" s="36">
        <v>0</v>
      </c>
      <c r="E12" s="36">
        <v>0</v>
      </c>
      <c r="F12" s="42">
        <v>0</v>
      </c>
      <c r="G12" s="36">
        <v>2.2000000000000002</v>
      </c>
      <c r="H12" s="36">
        <v>0</v>
      </c>
      <c r="I12" s="36">
        <v>0</v>
      </c>
      <c r="J12" s="36">
        <v>0</v>
      </c>
      <c r="K12" s="36">
        <v>2</v>
      </c>
      <c r="L12" s="36">
        <v>23.9</v>
      </c>
      <c r="M12" s="58">
        <v>21.5</v>
      </c>
      <c r="N12" s="7"/>
      <c r="P12" s="57">
        <v>5</v>
      </c>
      <c r="Q12" s="36">
        <v>0.6</v>
      </c>
      <c r="R12" s="36">
        <v>44</v>
      </c>
      <c r="S12" s="36">
        <v>2.5</v>
      </c>
      <c r="T12" s="36">
        <v>16.8</v>
      </c>
      <c r="U12" s="36">
        <v>3.1</v>
      </c>
      <c r="V12" s="36">
        <v>0.4</v>
      </c>
      <c r="W12" s="36">
        <v>0</v>
      </c>
      <c r="X12" s="36">
        <v>22.6</v>
      </c>
      <c r="Y12" s="36">
        <v>0</v>
      </c>
      <c r="Z12" s="36">
        <v>44.5</v>
      </c>
      <c r="AA12" s="36">
        <v>3.3</v>
      </c>
      <c r="AB12" s="58">
        <v>20.7</v>
      </c>
      <c r="AC12" s="7"/>
    </row>
    <row r="13" spans="1:29">
      <c r="A13" s="57">
        <v>6</v>
      </c>
      <c r="B13" s="36">
        <v>5.2</v>
      </c>
      <c r="C13" s="36">
        <v>0</v>
      </c>
      <c r="D13" s="36">
        <v>0</v>
      </c>
      <c r="E13" s="36">
        <v>0</v>
      </c>
      <c r="F13" s="36">
        <v>1.5</v>
      </c>
      <c r="G13" s="38">
        <v>0</v>
      </c>
      <c r="H13" s="36">
        <v>0</v>
      </c>
      <c r="I13" s="36">
        <v>0</v>
      </c>
      <c r="J13" s="36">
        <v>0</v>
      </c>
      <c r="K13" s="36">
        <v>0</v>
      </c>
      <c r="L13" s="36">
        <v>1</v>
      </c>
      <c r="M13" s="58">
        <v>10.199999999999999</v>
      </c>
      <c r="N13" s="7"/>
      <c r="P13" s="57">
        <v>6</v>
      </c>
      <c r="Q13" s="36">
        <v>8.1999999999999993</v>
      </c>
      <c r="R13" s="36">
        <v>0</v>
      </c>
      <c r="S13" s="36">
        <v>29.4</v>
      </c>
      <c r="T13" s="36">
        <v>30.4</v>
      </c>
      <c r="U13" s="36">
        <v>1</v>
      </c>
      <c r="V13" s="36">
        <v>27.9</v>
      </c>
      <c r="W13" s="36">
        <v>7.4</v>
      </c>
      <c r="X13" s="36">
        <v>0.4</v>
      </c>
      <c r="Y13" s="36">
        <v>2.2000000000000002</v>
      </c>
      <c r="Z13" s="36">
        <v>40.299999999999997</v>
      </c>
      <c r="AA13" s="36">
        <v>59.2</v>
      </c>
      <c r="AB13" s="58">
        <v>2.1</v>
      </c>
      <c r="AC13" s="7"/>
    </row>
    <row r="14" spans="1:29">
      <c r="A14" s="57">
        <v>7</v>
      </c>
      <c r="B14" s="36">
        <v>1.2</v>
      </c>
      <c r="C14" s="36">
        <v>7.4</v>
      </c>
      <c r="D14" s="36">
        <v>1.3</v>
      </c>
      <c r="E14" s="36">
        <v>0</v>
      </c>
      <c r="F14" s="36">
        <v>0.5</v>
      </c>
      <c r="G14" s="36">
        <v>67.400000000000006</v>
      </c>
      <c r="H14" s="36">
        <v>5.8</v>
      </c>
      <c r="I14" s="36">
        <v>0</v>
      </c>
      <c r="J14" s="36">
        <v>0</v>
      </c>
      <c r="K14" s="36">
        <v>28.2</v>
      </c>
      <c r="L14" s="36">
        <v>0</v>
      </c>
      <c r="M14" s="58">
        <v>7.5</v>
      </c>
      <c r="N14" s="7"/>
      <c r="P14" s="57">
        <v>7</v>
      </c>
      <c r="Q14" s="36">
        <v>22.9</v>
      </c>
      <c r="R14" s="36">
        <v>25</v>
      </c>
      <c r="S14" s="36">
        <v>0.5</v>
      </c>
      <c r="T14" s="36">
        <v>12</v>
      </c>
      <c r="U14" s="36">
        <v>16</v>
      </c>
      <c r="V14" s="36">
        <v>0</v>
      </c>
      <c r="W14" s="36">
        <v>0</v>
      </c>
      <c r="X14" s="36">
        <v>0</v>
      </c>
      <c r="Y14" s="36">
        <v>0</v>
      </c>
      <c r="Z14" s="36">
        <v>116.7</v>
      </c>
      <c r="AA14" s="36">
        <v>26.7</v>
      </c>
      <c r="AB14" s="58">
        <v>24.2</v>
      </c>
      <c r="AC14" s="7"/>
    </row>
    <row r="15" spans="1:29">
      <c r="A15" s="57">
        <v>8</v>
      </c>
      <c r="B15" s="36">
        <v>1.1000000000000001</v>
      </c>
      <c r="C15" s="38">
        <v>0</v>
      </c>
      <c r="D15" s="36">
        <v>0.5</v>
      </c>
      <c r="E15" s="36">
        <v>0</v>
      </c>
      <c r="F15" s="36">
        <v>0</v>
      </c>
      <c r="G15" s="36">
        <v>68.2</v>
      </c>
      <c r="H15" s="36">
        <v>31.7</v>
      </c>
      <c r="I15" s="36">
        <v>0</v>
      </c>
      <c r="J15" s="36">
        <v>0</v>
      </c>
      <c r="K15" s="36">
        <v>0</v>
      </c>
      <c r="L15" s="36">
        <v>0</v>
      </c>
      <c r="M15" s="58">
        <v>8.9</v>
      </c>
      <c r="N15" s="7"/>
      <c r="P15" s="57">
        <v>8</v>
      </c>
      <c r="Q15" s="36">
        <v>6.7</v>
      </c>
      <c r="R15" s="36">
        <v>0.6</v>
      </c>
      <c r="S15" s="36">
        <v>16.5</v>
      </c>
      <c r="T15" s="36">
        <v>65.400000000000006</v>
      </c>
      <c r="U15" s="36">
        <v>46.6</v>
      </c>
      <c r="V15" s="36">
        <v>0</v>
      </c>
      <c r="W15" s="36">
        <v>0</v>
      </c>
      <c r="X15" s="36">
        <v>0</v>
      </c>
      <c r="Y15" s="36">
        <v>32.6</v>
      </c>
      <c r="Z15" s="36">
        <v>20</v>
      </c>
      <c r="AA15" s="36">
        <v>16.2</v>
      </c>
      <c r="AB15" s="58">
        <v>18.5</v>
      </c>
      <c r="AC15" s="7"/>
    </row>
    <row r="16" spans="1:29">
      <c r="A16" s="57">
        <v>9</v>
      </c>
      <c r="B16" s="36">
        <v>24.5</v>
      </c>
      <c r="C16" s="36">
        <v>0</v>
      </c>
      <c r="D16" s="36">
        <v>6.3</v>
      </c>
      <c r="E16" s="36">
        <v>0</v>
      </c>
      <c r="F16" s="36">
        <v>0.2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6.4</v>
      </c>
      <c r="M16" s="58">
        <v>21.5</v>
      </c>
      <c r="N16" s="7"/>
      <c r="P16" s="57">
        <v>9</v>
      </c>
      <c r="Q16" s="36">
        <v>0</v>
      </c>
      <c r="R16" s="36">
        <v>4.4000000000000004</v>
      </c>
      <c r="S16" s="36">
        <v>2.5</v>
      </c>
      <c r="T16" s="36">
        <v>20.3</v>
      </c>
      <c r="U16" s="36">
        <v>1.9</v>
      </c>
      <c r="V16" s="36">
        <v>14.5</v>
      </c>
      <c r="W16" s="36">
        <v>1.4</v>
      </c>
      <c r="X16" s="36">
        <v>0</v>
      </c>
      <c r="Y16" s="36">
        <v>1.7</v>
      </c>
      <c r="Z16" s="36">
        <v>8.8000000000000007</v>
      </c>
      <c r="AA16" s="36">
        <v>3.2</v>
      </c>
      <c r="AB16" s="58">
        <v>9.8000000000000007</v>
      </c>
      <c r="AC16" s="7"/>
    </row>
    <row r="17" spans="1:29">
      <c r="A17" s="57">
        <v>10</v>
      </c>
      <c r="B17" s="36">
        <v>12.5</v>
      </c>
      <c r="C17" s="36">
        <v>3.4</v>
      </c>
      <c r="D17" s="36">
        <v>5</v>
      </c>
      <c r="E17" s="36">
        <v>0</v>
      </c>
      <c r="F17" s="36">
        <v>0.4</v>
      </c>
      <c r="G17" s="36">
        <v>0</v>
      </c>
      <c r="H17" s="36">
        <v>0</v>
      </c>
      <c r="I17" s="38">
        <v>0</v>
      </c>
      <c r="J17" s="38">
        <v>0</v>
      </c>
      <c r="K17" s="36">
        <v>0</v>
      </c>
      <c r="L17" s="36">
        <v>0</v>
      </c>
      <c r="M17" s="58">
        <v>21.3</v>
      </c>
      <c r="N17" s="7"/>
      <c r="P17" s="57">
        <v>10</v>
      </c>
      <c r="Q17" s="36">
        <v>0</v>
      </c>
      <c r="R17" s="36">
        <v>1.4</v>
      </c>
      <c r="S17" s="36">
        <v>0</v>
      </c>
      <c r="T17" s="36">
        <v>9.4</v>
      </c>
      <c r="U17" s="36">
        <v>0</v>
      </c>
      <c r="V17" s="36">
        <v>22.8</v>
      </c>
      <c r="W17" s="36">
        <v>0</v>
      </c>
      <c r="X17" s="38">
        <v>0</v>
      </c>
      <c r="Y17" s="36">
        <v>0.2</v>
      </c>
      <c r="Z17" s="36">
        <v>44.2</v>
      </c>
      <c r="AA17" s="36">
        <v>3.1</v>
      </c>
      <c r="AB17" s="58">
        <v>4.0999999999999996</v>
      </c>
      <c r="AC17" s="7"/>
    </row>
    <row r="18" spans="1:29">
      <c r="A18" s="57">
        <v>11</v>
      </c>
      <c r="B18" s="36">
        <v>1</v>
      </c>
      <c r="C18" s="36">
        <v>14.2</v>
      </c>
      <c r="D18" s="36">
        <v>12.9</v>
      </c>
      <c r="E18" s="36">
        <v>6.9</v>
      </c>
      <c r="F18" s="36">
        <v>0</v>
      </c>
      <c r="G18" s="36">
        <v>15.8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58">
        <v>14.5</v>
      </c>
      <c r="N18" s="7"/>
      <c r="P18" s="57">
        <v>11</v>
      </c>
      <c r="Q18" s="36">
        <v>1.6</v>
      </c>
      <c r="R18" s="36">
        <v>5.3</v>
      </c>
      <c r="S18" s="38">
        <v>0</v>
      </c>
      <c r="T18" s="36">
        <v>0</v>
      </c>
      <c r="U18" s="36">
        <v>0</v>
      </c>
      <c r="V18" s="36">
        <v>1</v>
      </c>
      <c r="W18" s="36">
        <v>0</v>
      </c>
      <c r="X18" s="36">
        <v>0.7</v>
      </c>
      <c r="Y18" s="36">
        <v>2.9</v>
      </c>
      <c r="Z18" s="36">
        <v>16.3</v>
      </c>
      <c r="AA18" s="36">
        <v>5.9</v>
      </c>
      <c r="AB18" s="58">
        <v>0</v>
      </c>
      <c r="AC18" s="7"/>
    </row>
    <row r="19" spans="1:29">
      <c r="A19" s="57">
        <v>12</v>
      </c>
      <c r="B19" s="36">
        <v>1</v>
      </c>
      <c r="C19" s="36">
        <v>0</v>
      </c>
      <c r="D19" s="36">
        <v>0</v>
      </c>
      <c r="E19" s="36">
        <v>1.2</v>
      </c>
      <c r="F19" s="36">
        <v>41.8</v>
      </c>
      <c r="G19" s="36">
        <v>47.6</v>
      </c>
      <c r="H19" s="36">
        <v>23.8</v>
      </c>
      <c r="I19" s="36">
        <v>0</v>
      </c>
      <c r="J19" s="36">
        <v>26</v>
      </c>
      <c r="K19" s="36">
        <v>27</v>
      </c>
      <c r="L19" s="36">
        <v>0</v>
      </c>
      <c r="M19" s="58">
        <v>7.2</v>
      </c>
      <c r="N19" s="7"/>
      <c r="P19" s="57">
        <v>12</v>
      </c>
      <c r="Q19" s="36">
        <v>8.1999999999999993</v>
      </c>
      <c r="R19" s="36">
        <v>0.4</v>
      </c>
      <c r="S19" s="36">
        <v>10.6</v>
      </c>
      <c r="T19" s="36">
        <v>1.8</v>
      </c>
      <c r="U19" s="36">
        <v>1.7</v>
      </c>
      <c r="V19" s="36">
        <v>3.5</v>
      </c>
      <c r="W19" s="36">
        <v>1.6</v>
      </c>
      <c r="X19" s="36">
        <v>0</v>
      </c>
      <c r="Y19" s="36">
        <v>0</v>
      </c>
      <c r="Z19" s="36">
        <v>0</v>
      </c>
      <c r="AA19" s="36">
        <v>8</v>
      </c>
      <c r="AB19" s="58">
        <v>18.7</v>
      </c>
      <c r="AC19" s="7"/>
    </row>
    <row r="20" spans="1:29">
      <c r="A20" s="57">
        <v>13</v>
      </c>
      <c r="B20" s="36">
        <v>4.8</v>
      </c>
      <c r="C20" s="36">
        <v>2.2999999999999998</v>
      </c>
      <c r="D20" s="36">
        <v>0</v>
      </c>
      <c r="E20" s="36">
        <v>18.3</v>
      </c>
      <c r="F20" s="36">
        <v>0</v>
      </c>
      <c r="G20" s="36">
        <v>0.6</v>
      </c>
      <c r="H20" s="36">
        <v>0</v>
      </c>
      <c r="I20" s="36">
        <v>0</v>
      </c>
      <c r="J20" s="36">
        <v>52</v>
      </c>
      <c r="K20" s="36">
        <v>18</v>
      </c>
      <c r="L20" s="36">
        <v>10.4</v>
      </c>
      <c r="M20" s="58">
        <v>0</v>
      </c>
      <c r="N20" s="7"/>
      <c r="P20" s="57">
        <v>13</v>
      </c>
      <c r="Q20" s="36">
        <v>0.2</v>
      </c>
      <c r="R20" s="36">
        <v>0</v>
      </c>
      <c r="S20" s="36">
        <v>0</v>
      </c>
      <c r="T20" s="36">
        <v>1.2</v>
      </c>
      <c r="U20" s="36">
        <v>12.7</v>
      </c>
      <c r="V20" s="36">
        <v>4.7</v>
      </c>
      <c r="W20" s="36">
        <v>39</v>
      </c>
      <c r="X20" s="36">
        <v>4.0999999999999996</v>
      </c>
      <c r="Y20" s="36">
        <v>14.5</v>
      </c>
      <c r="Z20" s="36">
        <v>8.1</v>
      </c>
      <c r="AA20" s="36">
        <v>0</v>
      </c>
      <c r="AB20" s="58">
        <v>3</v>
      </c>
      <c r="AC20" s="7"/>
    </row>
    <row r="21" spans="1:29">
      <c r="A21" s="57">
        <v>14</v>
      </c>
      <c r="B21" s="36">
        <v>9.8000000000000007</v>
      </c>
      <c r="C21" s="36">
        <v>23.8</v>
      </c>
      <c r="D21" s="36">
        <v>0</v>
      </c>
      <c r="E21" s="36">
        <v>0</v>
      </c>
      <c r="F21" s="36">
        <v>17</v>
      </c>
      <c r="G21" s="36">
        <v>11.9</v>
      </c>
      <c r="H21" s="36">
        <v>0</v>
      </c>
      <c r="I21" s="36">
        <v>0</v>
      </c>
      <c r="J21" s="36">
        <v>0</v>
      </c>
      <c r="K21" s="36">
        <v>14.1</v>
      </c>
      <c r="L21" s="36">
        <v>31.4</v>
      </c>
      <c r="M21" s="58">
        <v>1</v>
      </c>
      <c r="N21" s="7"/>
      <c r="P21" s="57">
        <v>14</v>
      </c>
      <c r="Q21" s="36">
        <v>0.2</v>
      </c>
      <c r="R21" s="36">
        <v>0</v>
      </c>
      <c r="S21" s="36">
        <v>0</v>
      </c>
      <c r="T21" s="36">
        <v>0</v>
      </c>
      <c r="U21" s="36">
        <v>4.8</v>
      </c>
      <c r="V21" s="36">
        <v>8.6</v>
      </c>
      <c r="W21" s="36">
        <v>10.6</v>
      </c>
      <c r="X21" s="36">
        <v>12.3</v>
      </c>
      <c r="Y21" s="36">
        <v>5.8</v>
      </c>
      <c r="Z21" s="36">
        <v>3.6</v>
      </c>
      <c r="AA21" s="36">
        <v>0</v>
      </c>
      <c r="AB21" s="58">
        <v>11.5</v>
      </c>
      <c r="AC21" s="7"/>
    </row>
    <row r="22" spans="1:29">
      <c r="A22" s="57">
        <v>15</v>
      </c>
      <c r="B22" s="36">
        <v>0</v>
      </c>
      <c r="C22" s="36">
        <v>5.7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3.3</v>
      </c>
      <c r="J22" s="36">
        <v>0</v>
      </c>
      <c r="K22" s="36">
        <v>2.8</v>
      </c>
      <c r="L22" s="36">
        <v>13.9</v>
      </c>
      <c r="M22" s="58">
        <v>76.8</v>
      </c>
      <c r="N22" s="7"/>
      <c r="P22" s="57">
        <v>15</v>
      </c>
      <c r="Q22" s="36">
        <v>1.1000000000000001</v>
      </c>
      <c r="R22" s="36">
        <v>19.8</v>
      </c>
      <c r="S22" s="36">
        <v>2.5</v>
      </c>
      <c r="T22" s="36">
        <v>2.4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Z22" s="36">
        <v>11.2</v>
      </c>
      <c r="AA22" s="36">
        <v>3.2</v>
      </c>
      <c r="AB22" s="58">
        <v>57.8</v>
      </c>
      <c r="AC22" s="7"/>
    </row>
    <row r="23" spans="1:29">
      <c r="A23" s="57">
        <v>16</v>
      </c>
      <c r="B23" s="36">
        <v>0</v>
      </c>
      <c r="C23" s="36">
        <v>5.4</v>
      </c>
      <c r="D23" s="36">
        <v>22.9</v>
      </c>
      <c r="E23" s="36">
        <v>29.5</v>
      </c>
      <c r="F23" s="36">
        <v>45.2</v>
      </c>
      <c r="G23" s="36">
        <v>25.2</v>
      </c>
      <c r="H23" s="36">
        <v>0</v>
      </c>
      <c r="I23" s="36">
        <v>0</v>
      </c>
      <c r="J23" s="36">
        <v>0</v>
      </c>
      <c r="K23" s="36">
        <v>56</v>
      </c>
      <c r="L23" s="36">
        <v>8.1999999999999993</v>
      </c>
      <c r="M23" s="58">
        <v>76.8</v>
      </c>
      <c r="N23" s="7"/>
      <c r="P23" s="57">
        <v>16</v>
      </c>
      <c r="Q23" s="36">
        <v>0</v>
      </c>
      <c r="R23" s="38">
        <v>0</v>
      </c>
      <c r="S23" s="36">
        <v>0</v>
      </c>
      <c r="T23" s="36">
        <v>13.1</v>
      </c>
      <c r="U23" s="36">
        <v>6.5</v>
      </c>
      <c r="V23" s="38">
        <v>0</v>
      </c>
      <c r="W23" s="36">
        <v>0</v>
      </c>
      <c r="X23" s="36">
        <v>0</v>
      </c>
      <c r="Y23" s="36">
        <v>14.9</v>
      </c>
      <c r="Z23" s="36">
        <v>1</v>
      </c>
      <c r="AA23" s="36">
        <v>0.4</v>
      </c>
      <c r="AB23" s="58">
        <v>0</v>
      </c>
      <c r="AC23" s="7"/>
    </row>
    <row r="24" spans="1:29">
      <c r="A24" s="57">
        <v>17</v>
      </c>
      <c r="B24" s="36">
        <v>0</v>
      </c>
      <c r="C24" s="36">
        <v>45.6</v>
      </c>
      <c r="D24" s="36">
        <v>0</v>
      </c>
      <c r="E24" s="36">
        <v>4.7</v>
      </c>
      <c r="F24" s="36">
        <v>13.5</v>
      </c>
      <c r="G24" s="36">
        <v>14.3</v>
      </c>
      <c r="H24" s="36">
        <v>0</v>
      </c>
      <c r="I24" s="36">
        <v>0</v>
      </c>
      <c r="J24" s="36">
        <v>0</v>
      </c>
      <c r="K24" s="36">
        <v>22.5</v>
      </c>
      <c r="L24" s="36">
        <v>0</v>
      </c>
      <c r="M24" s="72">
        <v>0</v>
      </c>
      <c r="N24" s="7"/>
      <c r="P24" s="57">
        <v>17</v>
      </c>
      <c r="Q24" s="36">
        <v>1.2</v>
      </c>
      <c r="R24" s="36">
        <v>0</v>
      </c>
      <c r="S24" s="36">
        <v>0</v>
      </c>
      <c r="T24" s="36">
        <v>8.6</v>
      </c>
      <c r="U24" s="36">
        <v>0</v>
      </c>
      <c r="V24" s="36">
        <v>28.6</v>
      </c>
      <c r="W24" s="36">
        <v>7.1</v>
      </c>
      <c r="X24" s="36">
        <v>4.0999999999999996</v>
      </c>
      <c r="Y24" s="36">
        <v>19.2</v>
      </c>
      <c r="Z24" s="36">
        <v>27</v>
      </c>
      <c r="AA24" s="36">
        <v>0</v>
      </c>
      <c r="AB24" s="58">
        <v>0</v>
      </c>
      <c r="AC24" s="7"/>
    </row>
    <row r="25" spans="1:29">
      <c r="A25" s="57">
        <v>18</v>
      </c>
      <c r="B25" s="36">
        <v>4</v>
      </c>
      <c r="C25" s="36">
        <v>35.4</v>
      </c>
      <c r="D25" s="36">
        <v>1.2</v>
      </c>
      <c r="E25" s="36">
        <v>1</v>
      </c>
      <c r="F25" s="36">
        <v>22.5</v>
      </c>
      <c r="G25" s="38">
        <v>0</v>
      </c>
      <c r="H25" s="36">
        <v>0</v>
      </c>
      <c r="I25" s="36">
        <v>0</v>
      </c>
      <c r="J25" s="36">
        <v>0</v>
      </c>
      <c r="K25" s="36">
        <v>94.2</v>
      </c>
      <c r="L25" s="36">
        <v>3</v>
      </c>
      <c r="M25" s="58">
        <v>7.2</v>
      </c>
      <c r="N25" s="7"/>
      <c r="P25" s="57">
        <v>18</v>
      </c>
      <c r="Q25" s="36">
        <v>0</v>
      </c>
      <c r="R25" s="36">
        <v>0</v>
      </c>
      <c r="S25" s="36">
        <v>81.7</v>
      </c>
      <c r="T25" s="36">
        <v>1.7</v>
      </c>
      <c r="U25" s="36">
        <v>0</v>
      </c>
      <c r="V25" s="36">
        <v>5.9</v>
      </c>
      <c r="W25" s="36">
        <v>0</v>
      </c>
      <c r="X25" s="36">
        <v>0</v>
      </c>
      <c r="Y25" s="36">
        <v>0.8</v>
      </c>
      <c r="Z25" s="36">
        <v>3.2</v>
      </c>
      <c r="AA25" s="36">
        <v>3.8</v>
      </c>
      <c r="AB25" s="58">
        <v>0</v>
      </c>
      <c r="AC25" s="7"/>
    </row>
    <row r="26" spans="1:29">
      <c r="A26" s="57">
        <v>19</v>
      </c>
      <c r="B26" s="36">
        <v>14.5</v>
      </c>
      <c r="C26" s="36">
        <v>20.2</v>
      </c>
      <c r="D26" s="36">
        <v>0</v>
      </c>
      <c r="E26" s="36">
        <v>20.8</v>
      </c>
      <c r="F26" s="36">
        <v>22</v>
      </c>
      <c r="G26" s="36">
        <v>37.299999999999997</v>
      </c>
      <c r="H26" s="36">
        <v>0</v>
      </c>
      <c r="I26" s="36">
        <v>0</v>
      </c>
      <c r="J26" s="36">
        <v>0</v>
      </c>
      <c r="K26" s="36">
        <v>15.3</v>
      </c>
      <c r="L26" s="36">
        <v>8.6999999999999993</v>
      </c>
      <c r="M26" s="58">
        <v>2.7</v>
      </c>
      <c r="N26" s="7"/>
      <c r="P26" s="57">
        <v>19</v>
      </c>
      <c r="Q26" s="36">
        <v>1.2</v>
      </c>
      <c r="R26" s="38">
        <v>0</v>
      </c>
      <c r="S26" s="36">
        <v>5.8</v>
      </c>
      <c r="T26" s="36">
        <v>22.6</v>
      </c>
      <c r="U26" s="36">
        <v>0</v>
      </c>
      <c r="V26" s="36">
        <v>0</v>
      </c>
      <c r="W26" s="36">
        <v>0</v>
      </c>
      <c r="X26" s="36">
        <v>21.6</v>
      </c>
      <c r="Y26" s="36">
        <v>3.6</v>
      </c>
      <c r="Z26" s="36">
        <v>0</v>
      </c>
      <c r="AA26" s="36">
        <v>9.5</v>
      </c>
      <c r="AB26" s="58">
        <v>0</v>
      </c>
      <c r="AC26" s="7"/>
    </row>
    <row r="27" spans="1:29">
      <c r="A27" s="57">
        <v>20</v>
      </c>
      <c r="B27" s="36">
        <v>10.9</v>
      </c>
      <c r="C27" s="36">
        <v>0</v>
      </c>
      <c r="D27" s="36">
        <v>0</v>
      </c>
      <c r="E27" s="36">
        <v>9.3000000000000007</v>
      </c>
      <c r="F27" s="36">
        <v>6.2</v>
      </c>
      <c r="G27" s="36">
        <v>14.4</v>
      </c>
      <c r="H27" s="36">
        <v>0</v>
      </c>
      <c r="I27" s="36">
        <v>61.9</v>
      </c>
      <c r="J27" s="36">
        <v>0</v>
      </c>
      <c r="K27" s="36">
        <v>5.6</v>
      </c>
      <c r="L27" s="36">
        <v>0</v>
      </c>
      <c r="M27" s="58">
        <v>0</v>
      </c>
      <c r="N27" s="7"/>
      <c r="P27" s="57">
        <v>20</v>
      </c>
      <c r="Q27" s="36">
        <v>9.6999999999999993</v>
      </c>
      <c r="R27" s="36">
        <v>12.9</v>
      </c>
      <c r="S27" s="36">
        <v>0.2</v>
      </c>
      <c r="T27" s="36">
        <v>3</v>
      </c>
      <c r="U27" s="36">
        <v>17.5</v>
      </c>
      <c r="V27" s="36">
        <v>0</v>
      </c>
      <c r="W27" s="36">
        <v>0</v>
      </c>
      <c r="X27" s="36">
        <v>24.8</v>
      </c>
      <c r="Y27" s="36">
        <v>15</v>
      </c>
      <c r="Z27" s="36">
        <v>1.9</v>
      </c>
      <c r="AA27" s="36">
        <v>12.8</v>
      </c>
      <c r="AB27" s="58">
        <v>0</v>
      </c>
      <c r="AC27" s="7"/>
    </row>
    <row r="28" spans="1:29">
      <c r="A28" s="57">
        <v>21</v>
      </c>
      <c r="B28" s="36">
        <v>32</v>
      </c>
      <c r="C28" s="36">
        <v>7.5</v>
      </c>
      <c r="D28" s="36">
        <v>0</v>
      </c>
      <c r="E28" s="36">
        <v>0</v>
      </c>
      <c r="F28" s="36">
        <v>0.9</v>
      </c>
      <c r="G28" s="36">
        <v>0</v>
      </c>
      <c r="H28" s="36">
        <v>11.6</v>
      </c>
      <c r="I28" s="36">
        <v>0</v>
      </c>
      <c r="J28" s="36">
        <v>0</v>
      </c>
      <c r="K28" s="36">
        <v>10</v>
      </c>
      <c r="L28" s="36">
        <v>15.8</v>
      </c>
      <c r="M28" s="58">
        <v>3.3</v>
      </c>
      <c r="N28" s="7"/>
      <c r="P28" s="57">
        <v>21</v>
      </c>
      <c r="Q28" s="36">
        <v>0</v>
      </c>
      <c r="R28" s="36">
        <v>0</v>
      </c>
      <c r="S28" s="36">
        <v>0</v>
      </c>
      <c r="T28" s="36">
        <v>3.2</v>
      </c>
      <c r="U28" s="36">
        <v>1.8</v>
      </c>
      <c r="V28" s="36">
        <v>11</v>
      </c>
      <c r="W28" s="36">
        <v>0</v>
      </c>
      <c r="X28" s="36">
        <v>11.7</v>
      </c>
      <c r="Y28" s="36">
        <v>8.5</v>
      </c>
      <c r="Z28" s="36">
        <v>18.3</v>
      </c>
      <c r="AA28" s="36">
        <v>0.2</v>
      </c>
      <c r="AB28" s="58">
        <v>2</v>
      </c>
      <c r="AC28" s="7"/>
    </row>
    <row r="29" spans="1:29">
      <c r="A29" s="57">
        <v>22</v>
      </c>
      <c r="B29" s="38">
        <v>0</v>
      </c>
      <c r="C29" s="36">
        <v>5.9</v>
      </c>
      <c r="D29" s="36">
        <v>0</v>
      </c>
      <c r="E29" s="36">
        <v>0</v>
      </c>
      <c r="F29" s="36">
        <v>0</v>
      </c>
      <c r="G29" s="36">
        <v>25.1</v>
      </c>
      <c r="H29" s="36">
        <v>0.6</v>
      </c>
      <c r="I29" s="36">
        <v>0</v>
      </c>
      <c r="J29" s="36">
        <v>0</v>
      </c>
      <c r="K29" s="36">
        <v>21.1</v>
      </c>
      <c r="L29" s="36">
        <v>33</v>
      </c>
      <c r="M29" s="58">
        <v>0</v>
      </c>
      <c r="N29" s="7"/>
      <c r="P29" s="57">
        <v>22</v>
      </c>
      <c r="Q29" s="36">
        <v>0</v>
      </c>
      <c r="R29" s="36">
        <v>0</v>
      </c>
      <c r="S29" s="36">
        <v>0</v>
      </c>
      <c r="T29" s="36">
        <v>0.4</v>
      </c>
      <c r="U29" s="36">
        <v>0</v>
      </c>
      <c r="V29" s="36">
        <v>0</v>
      </c>
      <c r="W29" s="36">
        <v>0</v>
      </c>
      <c r="X29" s="36">
        <v>45.2</v>
      </c>
      <c r="Y29" s="36">
        <v>0</v>
      </c>
      <c r="Z29" s="36">
        <v>32.799999999999997</v>
      </c>
      <c r="AA29" s="36">
        <v>2.8</v>
      </c>
      <c r="AB29" s="58">
        <v>130.6</v>
      </c>
      <c r="AC29" s="7"/>
    </row>
    <row r="30" spans="1:29">
      <c r="A30" s="57">
        <v>23</v>
      </c>
      <c r="B30" s="36">
        <v>32</v>
      </c>
      <c r="C30" s="36">
        <v>0</v>
      </c>
      <c r="D30" s="36">
        <v>0</v>
      </c>
      <c r="E30" s="36">
        <v>0</v>
      </c>
      <c r="F30" s="36">
        <v>0</v>
      </c>
      <c r="G30" s="36">
        <v>0</v>
      </c>
      <c r="H30" s="36">
        <v>10.8</v>
      </c>
      <c r="I30" s="36">
        <v>0</v>
      </c>
      <c r="J30" s="36">
        <v>1.6</v>
      </c>
      <c r="K30" s="36">
        <v>4.7</v>
      </c>
      <c r="L30" s="36">
        <v>0</v>
      </c>
      <c r="M30" s="58">
        <v>75.900000000000006</v>
      </c>
      <c r="N30" s="7"/>
      <c r="P30" s="57">
        <v>23</v>
      </c>
      <c r="Q30" s="36">
        <v>0.4</v>
      </c>
      <c r="R30" s="36">
        <v>0</v>
      </c>
      <c r="S30" s="38">
        <v>0</v>
      </c>
      <c r="T30" s="36">
        <v>0.7</v>
      </c>
      <c r="U30" s="36">
        <v>0</v>
      </c>
      <c r="V30" s="36">
        <v>5.3</v>
      </c>
      <c r="W30" s="36">
        <v>0</v>
      </c>
      <c r="X30" s="36">
        <v>0</v>
      </c>
      <c r="Y30" s="36">
        <v>9.1</v>
      </c>
      <c r="Z30" s="36">
        <v>16.100000000000001</v>
      </c>
      <c r="AA30" s="36">
        <v>0</v>
      </c>
      <c r="AB30" s="58">
        <v>4.0999999999999996</v>
      </c>
      <c r="AC30" s="7"/>
    </row>
    <row r="31" spans="1:29">
      <c r="A31" s="57">
        <v>24</v>
      </c>
      <c r="B31" s="36">
        <v>0</v>
      </c>
      <c r="C31" s="36">
        <v>0</v>
      </c>
      <c r="D31" s="36">
        <v>0</v>
      </c>
      <c r="E31" s="36">
        <v>57.5</v>
      </c>
      <c r="F31" s="36">
        <v>0</v>
      </c>
      <c r="G31" s="36">
        <v>0</v>
      </c>
      <c r="H31" s="36">
        <v>0</v>
      </c>
      <c r="I31" s="38">
        <v>0</v>
      </c>
      <c r="J31" s="36">
        <v>5.8</v>
      </c>
      <c r="K31" s="36">
        <v>7.5</v>
      </c>
      <c r="L31" s="36">
        <v>5.6</v>
      </c>
      <c r="M31" s="58">
        <v>0.8</v>
      </c>
      <c r="N31" s="7"/>
      <c r="P31" s="57">
        <v>24</v>
      </c>
      <c r="Q31" s="36">
        <v>32.799999999999997</v>
      </c>
      <c r="R31" s="36">
        <v>0</v>
      </c>
      <c r="S31" s="36">
        <v>0</v>
      </c>
      <c r="T31" s="36">
        <v>10.7</v>
      </c>
      <c r="U31" s="36">
        <v>0</v>
      </c>
      <c r="V31" s="36">
        <v>29.7</v>
      </c>
      <c r="W31" s="36">
        <v>9.6</v>
      </c>
      <c r="X31" s="36">
        <v>8.1999999999999993</v>
      </c>
      <c r="Y31" s="36">
        <v>0.8</v>
      </c>
      <c r="Z31" s="36">
        <v>44.2</v>
      </c>
      <c r="AA31" s="36">
        <v>7.6</v>
      </c>
      <c r="AB31" s="58">
        <v>0</v>
      </c>
      <c r="AC31" s="7"/>
    </row>
    <row r="32" spans="1:29">
      <c r="A32" s="57">
        <v>25</v>
      </c>
      <c r="B32" s="36">
        <v>0</v>
      </c>
      <c r="C32" s="36">
        <v>27.7</v>
      </c>
      <c r="D32" s="36">
        <v>0</v>
      </c>
      <c r="E32" s="36">
        <v>43</v>
      </c>
      <c r="F32" s="36">
        <v>0.3</v>
      </c>
      <c r="G32" s="36">
        <v>0</v>
      </c>
      <c r="H32" s="36">
        <v>0</v>
      </c>
      <c r="I32" s="36">
        <v>6.8</v>
      </c>
      <c r="J32" s="36">
        <v>13.4</v>
      </c>
      <c r="K32" s="36">
        <v>9</v>
      </c>
      <c r="L32" s="36">
        <v>3.4</v>
      </c>
      <c r="M32" s="58">
        <v>1</v>
      </c>
      <c r="N32" s="7"/>
      <c r="P32" s="57">
        <v>25</v>
      </c>
      <c r="Q32" s="36">
        <v>0</v>
      </c>
      <c r="R32" s="36">
        <v>0</v>
      </c>
      <c r="S32" s="36">
        <v>0</v>
      </c>
      <c r="T32" s="36">
        <v>1</v>
      </c>
      <c r="U32" s="36">
        <v>0</v>
      </c>
      <c r="V32" s="36">
        <v>27.3</v>
      </c>
      <c r="W32" s="36">
        <v>64</v>
      </c>
      <c r="X32" s="36">
        <v>0.9</v>
      </c>
      <c r="Y32" s="36">
        <v>0</v>
      </c>
      <c r="Z32" s="36">
        <v>8.4</v>
      </c>
      <c r="AA32" s="36">
        <v>0</v>
      </c>
      <c r="AB32" s="58">
        <v>0</v>
      </c>
      <c r="AC32" s="7"/>
    </row>
    <row r="33" spans="1:29">
      <c r="A33" s="57">
        <v>26</v>
      </c>
      <c r="B33" s="36">
        <v>0</v>
      </c>
      <c r="C33" s="36">
        <v>7.3</v>
      </c>
      <c r="D33" s="36">
        <v>17</v>
      </c>
      <c r="E33" s="36">
        <v>9.8000000000000007</v>
      </c>
      <c r="F33" s="36">
        <v>2</v>
      </c>
      <c r="G33" s="36">
        <v>0</v>
      </c>
      <c r="H33" s="36">
        <v>8.6999999999999993</v>
      </c>
      <c r="I33" s="36">
        <v>0</v>
      </c>
      <c r="J33" s="36">
        <v>0</v>
      </c>
      <c r="K33" s="36">
        <v>4.4000000000000004</v>
      </c>
      <c r="L33" s="36">
        <v>4</v>
      </c>
      <c r="M33" s="58">
        <v>0</v>
      </c>
      <c r="N33" s="7"/>
      <c r="P33" s="57">
        <v>26</v>
      </c>
      <c r="Q33" s="36">
        <v>1.6</v>
      </c>
      <c r="R33" s="36">
        <v>0</v>
      </c>
      <c r="S33" s="36">
        <v>0.5</v>
      </c>
      <c r="T33" s="36">
        <v>24.8</v>
      </c>
      <c r="U33" s="36">
        <v>4.5999999999999996</v>
      </c>
      <c r="V33" s="36">
        <v>0</v>
      </c>
      <c r="W33" s="36">
        <v>3.4</v>
      </c>
      <c r="X33" s="36">
        <v>0</v>
      </c>
      <c r="Y33" s="36">
        <v>0</v>
      </c>
      <c r="Z33" s="36">
        <v>5.7</v>
      </c>
      <c r="AA33" s="36">
        <v>1</v>
      </c>
      <c r="AB33" s="58">
        <v>0</v>
      </c>
      <c r="AC33" s="7"/>
    </row>
    <row r="34" spans="1:29">
      <c r="A34" s="57">
        <v>27</v>
      </c>
      <c r="B34" s="36">
        <v>0</v>
      </c>
      <c r="C34" s="36">
        <v>0</v>
      </c>
      <c r="D34" s="36">
        <v>7</v>
      </c>
      <c r="E34" s="36">
        <v>46.4</v>
      </c>
      <c r="F34" s="36">
        <v>0</v>
      </c>
      <c r="G34" s="36">
        <v>0</v>
      </c>
      <c r="H34" s="36">
        <v>1.3</v>
      </c>
      <c r="I34" s="36">
        <v>0.9</v>
      </c>
      <c r="J34" s="36">
        <v>2</v>
      </c>
      <c r="K34" s="36">
        <v>4.8</v>
      </c>
      <c r="L34" s="36">
        <v>57.5</v>
      </c>
      <c r="M34" s="58">
        <v>0</v>
      </c>
      <c r="N34" s="7"/>
      <c r="P34" s="57">
        <v>27</v>
      </c>
      <c r="Q34" s="36">
        <v>14.8</v>
      </c>
      <c r="R34" s="36">
        <v>0</v>
      </c>
      <c r="S34" s="36">
        <v>0</v>
      </c>
      <c r="T34" s="36">
        <v>0.6</v>
      </c>
      <c r="U34" s="36">
        <v>0</v>
      </c>
      <c r="V34" s="36">
        <v>0</v>
      </c>
      <c r="W34" s="36">
        <v>6.1</v>
      </c>
      <c r="X34" s="36">
        <v>18.8</v>
      </c>
      <c r="Y34" s="36">
        <v>0</v>
      </c>
      <c r="Z34" s="36">
        <v>3.7</v>
      </c>
      <c r="AA34" s="36">
        <v>0</v>
      </c>
      <c r="AB34" s="58">
        <v>0</v>
      </c>
      <c r="AC34" s="7"/>
    </row>
    <row r="35" spans="1:29">
      <c r="A35" s="57">
        <v>28</v>
      </c>
      <c r="B35" s="36">
        <v>0</v>
      </c>
      <c r="C35" s="36">
        <v>18.5</v>
      </c>
      <c r="D35" s="36">
        <v>3.5</v>
      </c>
      <c r="E35" s="36">
        <v>5.5</v>
      </c>
      <c r="F35" s="36">
        <v>0</v>
      </c>
      <c r="G35" s="36">
        <v>0</v>
      </c>
      <c r="H35" s="36">
        <v>0</v>
      </c>
      <c r="I35" s="36">
        <v>24.8</v>
      </c>
      <c r="J35" s="36">
        <v>11.5</v>
      </c>
      <c r="K35" s="36">
        <v>26.4</v>
      </c>
      <c r="L35" s="36">
        <v>0</v>
      </c>
      <c r="M35" s="58">
        <v>26.9</v>
      </c>
      <c r="N35" s="7"/>
      <c r="P35" s="57">
        <v>28</v>
      </c>
      <c r="Q35" s="36">
        <v>8.6</v>
      </c>
      <c r="R35" s="36">
        <v>0</v>
      </c>
      <c r="S35" s="36">
        <v>0</v>
      </c>
      <c r="T35" s="36">
        <v>0</v>
      </c>
      <c r="U35" s="36">
        <v>0.2</v>
      </c>
      <c r="V35" s="36">
        <v>0</v>
      </c>
      <c r="W35" s="36">
        <v>0</v>
      </c>
      <c r="X35" s="36">
        <v>61.1</v>
      </c>
      <c r="Y35" s="36">
        <v>0</v>
      </c>
      <c r="Z35" s="36">
        <v>3.5</v>
      </c>
      <c r="AA35" s="36">
        <v>0</v>
      </c>
      <c r="AB35" s="58">
        <v>0</v>
      </c>
      <c r="AC35" s="7"/>
    </row>
    <row r="36" spans="1:29">
      <c r="A36" s="57">
        <v>29</v>
      </c>
      <c r="B36" s="36">
        <v>0</v>
      </c>
      <c r="C36" s="24"/>
      <c r="D36" s="36">
        <v>4</v>
      </c>
      <c r="E36" s="36">
        <v>0.3</v>
      </c>
      <c r="F36" s="36">
        <v>14.5</v>
      </c>
      <c r="G36" s="36">
        <v>0</v>
      </c>
      <c r="H36" s="36">
        <v>0</v>
      </c>
      <c r="I36" s="36">
        <v>15.8</v>
      </c>
      <c r="J36" s="36">
        <v>0</v>
      </c>
      <c r="K36" s="36">
        <v>1.5</v>
      </c>
      <c r="L36" s="36">
        <v>0</v>
      </c>
      <c r="M36" s="58">
        <v>14</v>
      </c>
      <c r="N36" s="7"/>
      <c r="P36" s="57">
        <v>29</v>
      </c>
      <c r="Q36" s="36">
        <v>0</v>
      </c>
      <c r="R36" s="36"/>
      <c r="S36" s="36">
        <v>0</v>
      </c>
      <c r="T36" s="36">
        <v>0</v>
      </c>
      <c r="U36" s="36">
        <v>7.8</v>
      </c>
      <c r="V36" s="36">
        <v>10.1</v>
      </c>
      <c r="W36" s="36">
        <v>0</v>
      </c>
      <c r="X36" s="36">
        <v>0</v>
      </c>
      <c r="Y36" s="36">
        <v>1</v>
      </c>
      <c r="Z36" s="36">
        <v>11.4</v>
      </c>
      <c r="AA36" s="36">
        <v>0</v>
      </c>
      <c r="AB36" s="58">
        <v>0</v>
      </c>
      <c r="AC36" s="7"/>
    </row>
    <row r="37" spans="1:29">
      <c r="A37" s="57">
        <v>30</v>
      </c>
      <c r="B37" s="36">
        <v>24.3</v>
      </c>
      <c r="C37" s="24"/>
      <c r="D37" s="36">
        <v>2.1</v>
      </c>
      <c r="E37" s="36">
        <v>0</v>
      </c>
      <c r="F37" s="36">
        <v>3.4</v>
      </c>
      <c r="G37" s="36">
        <v>0</v>
      </c>
      <c r="H37" s="36">
        <v>0</v>
      </c>
      <c r="I37" s="36">
        <v>0</v>
      </c>
      <c r="J37" s="36">
        <v>30.7</v>
      </c>
      <c r="K37" s="36">
        <v>0</v>
      </c>
      <c r="L37" s="36">
        <v>4.5</v>
      </c>
      <c r="M37" s="58">
        <v>3.4</v>
      </c>
      <c r="N37" s="7"/>
      <c r="P37" s="57">
        <v>30</v>
      </c>
      <c r="Q37" s="36">
        <v>0</v>
      </c>
      <c r="R37" s="36"/>
      <c r="S37" s="36">
        <v>0</v>
      </c>
      <c r="T37" s="36">
        <v>0</v>
      </c>
      <c r="U37" s="36">
        <v>0</v>
      </c>
      <c r="V37" s="36">
        <v>3.8</v>
      </c>
      <c r="W37" s="36">
        <v>0.6</v>
      </c>
      <c r="X37" s="36">
        <v>23.2</v>
      </c>
      <c r="Y37" s="36">
        <v>0</v>
      </c>
      <c r="Z37" s="36">
        <v>0</v>
      </c>
      <c r="AA37" s="36">
        <v>4.0999999999999996</v>
      </c>
      <c r="AB37" s="58">
        <v>0</v>
      </c>
      <c r="AC37" s="7"/>
    </row>
    <row r="38" spans="1:29">
      <c r="A38" s="57">
        <v>31</v>
      </c>
      <c r="B38" s="36">
        <v>26</v>
      </c>
      <c r="C38" s="24"/>
      <c r="D38" s="36">
        <v>0.5</v>
      </c>
      <c r="E38" s="24"/>
      <c r="F38" s="36">
        <v>7.5</v>
      </c>
      <c r="G38" s="24"/>
      <c r="H38" s="36">
        <v>0</v>
      </c>
      <c r="I38" s="36">
        <v>0</v>
      </c>
      <c r="J38" s="24"/>
      <c r="K38" s="36">
        <v>2.1</v>
      </c>
      <c r="L38" s="24"/>
      <c r="M38" s="58">
        <v>70</v>
      </c>
      <c r="N38" s="7"/>
      <c r="P38" s="57">
        <v>31</v>
      </c>
      <c r="Q38" s="36">
        <v>0</v>
      </c>
      <c r="R38" s="24"/>
      <c r="S38" s="36"/>
      <c r="T38" s="24"/>
      <c r="U38" s="36"/>
      <c r="V38" s="24"/>
      <c r="W38" s="36">
        <v>0.9</v>
      </c>
      <c r="X38" s="36">
        <v>31.3</v>
      </c>
      <c r="Y38" s="24"/>
      <c r="Z38" s="36">
        <v>0</v>
      </c>
      <c r="AA38" s="36"/>
      <c r="AB38" s="58">
        <v>0</v>
      </c>
      <c r="AC38" s="7"/>
    </row>
    <row r="39" spans="1:29">
      <c r="A39" s="59"/>
      <c r="B39" s="26"/>
      <c r="C39" s="26"/>
      <c r="D39" s="26"/>
      <c r="E39" s="27"/>
      <c r="F39" s="26"/>
      <c r="G39" s="26"/>
      <c r="H39" s="26"/>
      <c r="I39" s="26"/>
      <c r="J39" s="26"/>
      <c r="K39" s="26"/>
      <c r="L39" s="28"/>
      <c r="M39" s="60"/>
      <c r="N39" s="7"/>
      <c r="P39" s="59"/>
      <c r="Q39" s="26"/>
      <c r="R39" s="26"/>
      <c r="S39" s="26"/>
      <c r="T39" s="27"/>
      <c r="U39" s="36"/>
      <c r="V39" s="26"/>
      <c r="W39" s="26"/>
      <c r="X39" s="26"/>
      <c r="Y39" s="26"/>
      <c r="Z39" s="26"/>
      <c r="AA39" s="24"/>
      <c r="AB39" s="60"/>
      <c r="AC39" s="7"/>
    </row>
    <row r="40" spans="1:29">
      <c r="A40" s="57" t="s">
        <v>65</v>
      </c>
      <c r="B40" s="30">
        <f>SUM(B8:B38)</f>
        <v>279.10000000000002</v>
      </c>
      <c r="C40" s="30">
        <f t="shared" ref="C40:M40" si="0">SUM(C8:C38)</f>
        <v>268.7</v>
      </c>
      <c r="D40" s="30">
        <f t="shared" si="0"/>
        <v>159.6</v>
      </c>
      <c r="E40" s="30">
        <f t="shared" si="0"/>
        <v>266.89999999999998</v>
      </c>
      <c r="F40" s="30">
        <f t="shared" si="0"/>
        <v>199.4</v>
      </c>
      <c r="G40" s="30">
        <f t="shared" si="0"/>
        <v>387.70000000000005</v>
      </c>
      <c r="H40" s="30">
        <f t="shared" si="0"/>
        <v>94.299999999999983</v>
      </c>
      <c r="I40" s="30">
        <f t="shared" si="0"/>
        <v>113.5</v>
      </c>
      <c r="J40" s="30">
        <f t="shared" si="0"/>
        <v>147.1</v>
      </c>
      <c r="K40" s="30">
        <f t="shared" si="0"/>
        <v>544.5</v>
      </c>
      <c r="L40" s="30">
        <f t="shared" si="0"/>
        <v>246.10000000000002</v>
      </c>
      <c r="M40" s="30">
        <f t="shared" si="0"/>
        <v>534.40000000000009</v>
      </c>
      <c r="N40" s="37">
        <f>SUM(B40:M40)</f>
        <v>3241.3</v>
      </c>
      <c r="P40" s="57" t="s">
        <v>65</v>
      </c>
      <c r="Q40" s="30">
        <f>SUM(Q8:Q38)</f>
        <v>139.80000000000001</v>
      </c>
      <c r="R40" s="30">
        <f t="shared" ref="R40:AB40" si="1">SUM(R8:R38)</f>
        <v>114.70000000000002</v>
      </c>
      <c r="S40" s="30">
        <f t="shared" si="1"/>
        <v>152.69999999999999</v>
      </c>
      <c r="T40" s="30">
        <f t="shared" si="1"/>
        <v>264.60000000000002</v>
      </c>
      <c r="U40" s="30">
        <f t="shared" si="1"/>
        <v>169.8</v>
      </c>
      <c r="V40" s="30">
        <f t="shared" si="1"/>
        <v>234.60000000000002</v>
      </c>
      <c r="W40" s="30">
        <f t="shared" si="1"/>
        <v>205.89999999999998</v>
      </c>
      <c r="X40" s="30">
        <f t="shared" si="1"/>
        <v>293.40000000000003</v>
      </c>
      <c r="Y40" s="30">
        <f t="shared" si="1"/>
        <v>186.20000000000002</v>
      </c>
      <c r="Z40" s="30">
        <f t="shared" si="1"/>
        <v>542.80000000000007</v>
      </c>
      <c r="AA40" s="30">
        <f t="shared" si="1"/>
        <v>202.4</v>
      </c>
      <c r="AB40" s="30">
        <f t="shared" si="1"/>
        <v>336.5</v>
      </c>
      <c r="AC40" s="37">
        <f>SUM(Q40:AB40)</f>
        <v>2843.4000000000005</v>
      </c>
    </row>
    <row r="41" spans="1:29">
      <c r="A41" s="57" t="s">
        <v>66</v>
      </c>
      <c r="B41" s="30">
        <f>MAX(B8:B38)</f>
        <v>42</v>
      </c>
      <c r="C41" s="30">
        <f t="shared" ref="C41:M41" si="2">MAX(C8:C38)</f>
        <v>45.6</v>
      </c>
      <c r="D41" s="30">
        <f t="shared" si="2"/>
        <v>55.7</v>
      </c>
      <c r="E41" s="30">
        <f t="shared" si="2"/>
        <v>57.5</v>
      </c>
      <c r="F41" s="30">
        <f t="shared" si="2"/>
        <v>45.2</v>
      </c>
      <c r="G41" s="30">
        <f t="shared" si="2"/>
        <v>68.2</v>
      </c>
      <c r="H41" s="30">
        <f t="shared" si="2"/>
        <v>31.7</v>
      </c>
      <c r="I41" s="30">
        <f t="shared" si="2"/>
        <v>61.9</v>
      </c>
      <c r="J41" s="30">
        <f t="shared" si="2"/>
        <v>52</v>
      </c>
      <c r="K41" s="30">
        <f t="shared" si="2"/>
        <v>94.2</v>
      </c>
      <c r="L41" s="30">
        <f t="shared" si="2"/>
        <v>57.5</v>
      </c>
      <c r="M41" s="30">
        <f t="shared" si="2"/>
        <v>76.8</v>
      </c>
      <c r="N41" s="37">
        <f>MAX(B41:M41)</f>
        <v>94.2</v>
      </c>
      <c r="P41" s="57" t="s">
        <v>66</v>
      </c>
      <c r="Q41" s="30">
        <f>MAX(Q8:Q38)</f>
        <v>32.799999999999997</v>
      </c>
      <c r="R41" s="30">
        <f t="shared" ref="R41:AB41" si="3">MAX(R8:R38)</f>
        <v>44</v>
      </c>
      <c r="S41" s="30">
        <f t="shared" si="3"/>
        <v>81.7</v>
      </c>
      <c r="T41" s="30">
        <f t="shared" si="3"/>
        <v>65.400000000000006</v>
      </c>
      <c r="U41" s="30">
        <f t="shared" si="3"/>
        <v>46.6</v>
      </c>
      <c r="V41" s="30">
        <f t="shared" si="3"/>
        <v>29.7</v>
      </c>
      <c r="W41" s="30">
        <f t="shared" si="3"/>
        <v>64</v>
      </c>
      <c r="X41" s="30">
        <f t="shared" si="3"/>
        <v>61.1</v>
      </c>
      <c r="Y41" s="30">
        <f t="shared" si="3"/>
        <v>32.6</v>
      </c>
      <c r="Z41" s="30">
        <f t="shared" si="3"/>
        <v>116.7</v>
      </c>
      <c r="AA41" s="30">
        <f t="shared" si="3"/>
        <v>59.2</v>
      </c>
      <c r="AB41" s="30">
        <f t="shared" si="3"/>
        <v>130.6</v>
      </c>
      <c r="AC41" s="37">
        <f>MAX(Q41:AB41)</f>
        <v>130.6</v>
      </c>
    </row>
    <row r="42" spans="1:29">
      <c r="A42" s="62"/>
      <c r="B42" s="7"/>
      <c r="C42" s="7"/>
      <c r="D42" s="7"/>
      <c r="E42" s="7"/>
      <c r="F42" s="7"/>
      <c r="G42" s="7"/>
      <c r="H42" s="32"/>
      <c r="I42" s="7"/>
      <c r="J42" s="7"/>
      <c r="K42" s="7"/>
      <c r="L42" s="7"/>
      <c r="M42" s="63"/>
      <c r="N42" s="7"/>
      <c r="P42" s="62"/>
      <c r="Q42" s="7"/>
      <c r="R42" s="7"/>
      <c r="S42" s="7"/>
      <c r="T42" s="7"/>
      <c r="U42" s="7"/>
      <c r="V42" s="7"/>
      <c r="W42" s="32"/>
      <c r="X42" s="7"/>
      <c r="Y42" s="7"/>
      <c r="Z42" s="7"/>
      <c r="AA42" s="7"/>
      <c r="AB42" s="63"/>
      <c r="AC42" s="7"/>
    </row>
    <row r="43" spans="1:29" ht="15.75" thickBot="1">
      <c r="A43" s="64" t="s">
        <v>67</v>
      </c>
      <c r="B43" s="65">
        <v>0</v>
      </c>
      <c r="C43" s="66" t="s">
        <v>68</v>
      </c>
      <c r="D43" s="67"/>
      <c r="E43" s="68"/>
      <c r="F43" s="68"/>
      <c r="G43" s="68"/>
      <c r="H43" s="69"/>
      <c r="I43" s="68"/>
      <c r="J43" s="68"/>
      <c r="K43" s="68"/>
      <c r="L43" s="68"/>
      <c r="M43" s="70"/>
      <c r="N43" s="7"/>
      <c r="P43" s="64" t="s">
        <v>67</v>
      </c>
      <c r="Q43" s="65">
        <v>0</v>
      </c>
      <c r="R43" s="66" t="s">
        <v>68</v>
      </c>
      <c r="S43" s="67"/>
      <c r="T43" s="68"/>
      <c r="U43" s="68"/>
      <c r="V43" s="68"/>
      <c r="W43" s="69"/>
      <c r="X43" s="68"/>
      <c r="Y43" s="68"/>
      <c r="Z43" s="68"/>
      <c r="AA43" s="68"/>
      <c r="AB43" s="70"/>
      <c r="AC43" s="7"/>
    </row>
    <row r="45" spans="1:29" ht="15.75" thickBot="1"/>
    <row r="46" spans="1:29" ht="18">
      <c r="A46" s="44" t="s">
        <v>41</v>
      </c>
      <c r="B46" s="45"/>
      <c r="C46" s="45"/>
      <c r="D46" s="45"/>
      <c r="E46" s="46">
        <v>2020</v>
      </c>
      <c r="F46" s="47"/>
      <c r="G46" s="47"/>
      <c r="H46" s="48"/>
      <c r="I46" s="47"/>
      <c r="J46" s="47"/>
      <c r="K46" s="47"/>
      <c r="L46" s="47"/>
      <c r="M46" s="49"/>
      <c r="N46" s="7"/>
      <c r="P46" s="44" t="s">
        <v>41</v>
      </c>
      <c r="Q46" s="45"/>
      <c r="R46" s="45"/>
      <c r="S46" s="45"/>
      <c r="T46" s="46">
        <v>2023</v>
      </c>
      <c r="U46" s="47"/>
      <c r="V46" s="47"/>
      <c r="W46" s="48"/>
      <c r="X46" s="47"/>
      <c r="Y46" s="47"/>
      <c r="Z46" s="47"/>
      <c r="AA46" s="47"/>
      <c r="AB46" s="49"/>
      <c r="AC46" s="7"/>
    </row>
    <row r="47" spans="1:29">
      <c r="A47" s="50"/>
      <c r="B47" s="9"/>
      <c r="C47" s="9"/>
      <c r="D47" s="9"/>
      <c r="E47" s="10"/>
      <c r="F47" s="10"/>
      <c r="G47" s="10"/>
      <c r="H47" s="11"/>
      <c r="I47" s="9"/>
      <c r="J47" s="9"/>
      <c r="K47" s="9"/>
      <c r="L47" s="9"/>
      <c r="M47" s="51"/>
      <c r="N47" s="7"/>
      <c r="P47" s="50"/>
      <c r="Q47" s="9"/>
      <c r="R47" s="9"/>
      <c r="S47" s="9"/>
      <c r="T47" s="10"/>
      <c r="U47" s="10"/>
      <c r="V47" s="10"/>
      <c r="W47" s="11"/>
      <c r="X47" s="9"/>
      <c r="Y47" s="9"/>
      <c r="Z47" s="9"/>
      <c r="AA47" s="9"/>
      <c r="AB47" s="51"/>
      <c r="AC47" s="7"/>
    </row>
    <row r="48" spans="1:29" ht="15.75">
      <c r="A48" s="52" t="s">
        <v>42</v>
      </c>
      <c r="B48" s="14"/>
      <c r="C48" s="14" t="s">
        <v>43</v>
      </c>
      <c r="D48" s="14"/>
      <c r="E48" s="14"/>
      <c r="F48" s="14"/>
      <c r="G48" s="14"/>
      <c r="H48" s="15"/>
      <c r="I48" s="14"/>
      <c r="J48" s="14" t="s">
        <v>74</v>
      </c>
      <c r="K48" s="14" t="s">
        <v>92</v>
      </c>
      <c r="L48" s="14"/>
      <c r="M48" s="51"/>
      <c r="N48" s="7"/>
      <c r="P48" s="52" t="s">
        <v>42</v>
      </c>
      <c r="Q48" s="14"/>
      <c r="R48" s="14" t="s">
        <v>43</v>
      </c>
      <c r="S48" s="14"/>
      <c r="T48" s="14"/>
      <c r="U48" s="14"/>
      <c r="V48" s="14"/>
      <c r="W48" s="15"/>
      <c r="X48" s="14"/>
      <c r="Y48" s="14" t="s">
        <v>74</v>
      </c>
      <c r="Z48" s="14" t="s">
        <v>92</v>
      </c>
      <c r="AA48" s="14"/>
      <c r="AB48" s="51"/>
      <c r="AC48" s="7"/>
    </row>
    <row r="49" spans="1:29" ht="15.75">
      <c r="A49" s="52" t="s">
        <v>46</v>
      </c>
      <c r="B49" s="14"/>
      <c r="C49" s="14" t="s">
        <v>93</v>
      </c>
      <c r="D49" s="14"/>
      <c r="E49" s="14"/>
      <c r="F49" s="14"/>
      <c r="G49" s="14"/>
      <c r="H49" s="15"/>
      <c r="I49" s="14"/>
      <c r="J49" s="14" t="s">
        <v>77</v>
      </c>
      <c r="K49" s="14" t="s">
        <v>94</v>
      </c>
      <c r="L49" s="14"/>
      <c r="M49" s="51"/>
      <c r="N49" s="7"/>
      <c r="P49" s="52" t="s">
        <v>46</v>
      </c>
      <c r="Q49" s="14"/>
      <c r="R49" s="14" t="s">
        <v>93</v>
      </c>
      <c r="S49" s="14"/>
      <c r="T49" s="14"/>
      <c r="U49" s="14"/>
      <c r="V49" s="14"/>
      <c r="W49" s="15"/>
      <c r="X49" s="14"/>
      <c r="Y49" s="14" t="s">
        <v>77</v>
      </c>
      <c r="Z49" s="14" t="s">
        <v>94</v>
      </c>
      <c r="AA49" s="14"/>
      <c r="AB49" s="51"/>
      <c r="AC49" s="7"/>
    </row>
    <row r="50" spans="1:29" ht="15.75">
      <c r="A50" s="52" t="s">
        <v>49</v>
      </c>
      <c r="B50" s="14"/>
      <c r="C50" s="14" t="s">
        <v>82</v>
      </c>
      <c r="D50" s="14"/>
      <c r="E50" s="14"/>
      <c r="F50" s="14"/>
      <c r="G50" s="14"/>
      <c r="H50" s="15"/>
      <c r="I50" s="14"/>
      <c r="J50" s="14" t="s">
        <v>51</v>
      </c>
      <c r="K50" s="14" t="s">
        <v>95</v>
      </c>
      <c r="L50" s="14"/>
      <c r="M50" s="51"/>
      <c r="N50" s="7"/>
      <c r="P50" s="52" t="s">
        <v>49</v>
      </c>
      <c r="Q50" s="14"/>
      <c r="R50" s="14" t="s">
        <v>88</v>
      </c>
      <c r="S50" s="14"/>
      <c r="T50" s="14"/>
      <c r="U50" s="14"/>
      <c r="V50" s="14"/>
      <c r="W50" s="15"/>
      <c r="X50" s="14"/>
      <c r="Y50" s="14" t="s">
        <v>51</v>
      </c>
      <c r="Z50" s="14" t="s">
        <v>95</v>
      </c>
      <c r="AA50" s="14"/>
      <c r="AB50" s="51"/>
      <c r="AC50" s="7"/>
    </row>
    <row r="51" spans="1:29">
      <c r="A51" s="53"/>
      <c r="B51" s="10"/>
      <c r="C51" s="10"/>
      <c r="D51" s="10"/>
      <c r="E51" s="10"/>
      <c r="F51" s="10"/>
      <c r="G51" s="10"/>
      <c r="H51" s="17"/>
      <c r="I51" s="10"/>
      <c r="J51" s="10"/>
      <c r="K51" s="10"/>
      <c r="L51" s="10"/>
      <c r="M51" s="54"/>
      <c r="N51" s="19"/>
      <c r="P51" s="53"/>
      <c r="Q51" s="10"/>
      <c r="R51" s="10"/>
      <c r="S51" s="10"/>
      <c r="T51" s="10"/>
      <c r="U51" s="10"/>
      <c r="V51" s="10"/>
      <c r="W51" s="17"/>
      <c r="X51" s="10"/>
      <c r="Y51" s="10"/>
      <c r="Z51" s="10"/>
      <c r="AA51" s="10"/>
      <c r="AB51" s="54"/>
      <c r="AC51" s="19"/>
    </row>
    <row r="52" spans="1:29">
      <c r="A52" s="55" t="s">
        <v>53</v>
      </c>
      <c r="B52" s="21" t="s">
        <v>54</v>
      </c>
      <c r="C52" s="21" t="s">
        <v>55</v>
      </c>
      <c r="D52" s="21" t="s">
        <v>56</v>
      </c>
      <c r="E52" s="21" t="s">
        <v>57</v>
      </c>
      <c r="F52" s="21" t="s">
        <v>20</v>
      </c>
      <c r="G52" s="21" t="s">
        <v>58</v>
      </c>
      <c r="H52" s="21" t="s">
        <v>59</v>
      </c>
      <c r="I52" s="21" t="s">
        <v>60</v>
      </c>
      <c r="J52" s="21" t="s">
        <v>61</v>
      </c>
      <c r="K52" s="21" t="s">
        <v>62</v>
      </c>
      <c r="L52" s="21" t="s">
        <v>63</v>
      </c>
      <c r="M52" s="56" t="s">
        <v>64</v>
      </c>
      <c r="N52" s="19"/>
      <c r="P52" s="55" t="s">
        <v>53</v>
      </c>
      <c r="Q52" s="21" t="s">
        <v>54</v>
      </c>
      <c r="R52" s="21" t="s">
        <v>55</v>
      </c>
      <c r="S52" s="21" t="s">
        <v>56</v>
      </c>
      <c r="T52" s="21" t="s">
        <v>57</v>
      </c>
      <c r="U52" s="21" t="s">
        <v>20</v>
      </c>
      <c r="V52" s="21" t="s">
        <v>58</v>
      </c>
      <c r="W52" s="21" t="s">
        <v>59</v>
      </c>
      <c r="X52" s="21" t="s">
        <v>60</v>
      </c>
      <c r="Y52" s="21" t="s">
        <v>61</v>
      </c>
      <c r="Z52" s="21" t="s">
        <v>62</v>
      </c>
      <c r="AA52" s="21" t="s">
        <v>63</v>
      </c>
      <c r="AB52" s="56" t="s">
        <v>64</v>
      </c>
      <c r="AC52" s="19"/>
    </row>
    <row r="53" spans="1:29">
      <c r="A53" s="57">
        <v>1</v>
      </c>
      <c r="B53" s="36">
        <v>22.4</v>
      </c>
      <c r="C53" s="40">
        <v>7</v>
      </c>
      <c r="D53" s="36">
        <v>0</v>
      </c>
      <c r="E53" s="36">
        <v>0</v>
      </c>
      <c r="F53" s="36">
        <v>5.5</v>
      </c>
      <c r="G53" s="36">
        <v>7.6</v>
      </c>
      <c r="H53" s="36">
        <v>0</v>
      </c>
      <c r="I53" s="36">
        <v>0</v>
      </c>
      <c r="J53" s="36">
        <v>25.1</v>
      </c>
      <c r="K53" s="36">
        <v>15.5</v>
      </c>
      <c r="L53" s="36">
        <v>2.5</v>
      </c>
      <c r="M53" s="58">
        <v>0.3</v>
      </c>
      <c r="N53" s="7"/>
      <c r="P53" s="57">
        <v>1</v>
      </c>
      <c r="Q53" s="36">
        <v>0</v>
      </c>
      <c r="R53" s="36">
        <v>7.8</v>
      </c>
      <c r="S53" s="36">
        <v>10</v>
      </c>
      <c r="T53" s="36">
        <v>1.1000000000000001</v>
      </c>
      <c r="U53" s="36">
        <v>0</v>
      </c>
      <c r="V53" s="36">
        <v>0.1</v>
      </c>
      <c r="W53" s="36">
        <v>42.6</v>
      </c>
      <c r="X53" s="36">
        <v>0</v>
      </c>
      <c r="Y53" s="36">
        <v>0</v>
      </c>
      <c r="Z53" s="36">
        <v>1.8</v>
      </c>
      <c r="AA53" s="36">
        <v>6.7</v>
      </c>
      <c r="AB53" s="58">
        <v>15.7</v>
      </c>
      <c r="AC53" s="7"/>
    </row>
    <row r="54" spans="1:29">
      <c r="A54" s="57">
        <v>2</v>
      </c>
      <c r="B54" s="36">
        <v>5.7</v>
      </c>
      <c r="C54" s="73">
        <v>0</v>
      </c>
      <c r="D54" s="36">
        <v>15.1</v>
      </c>
      <c r="E54" s="36">
        <v>0</v>
      </c>
      <c r="F54" s="36">
        <v>1.5</v>
      </c>
      <c r="G54" s="36">
        <v>9.9</v>
      </c>
      <c r="H54" s="36">
        <v>65</v>
      </c>
      <c r="I54" s="36">
        <v>0</v>
      </c>
      <c r="J54" s="36">
        <v>34.299999999999997</v>
      </c>
      <c r="K54" s="36">
        <v>0.9</v>
      </c>
      <c r="L54" s="36">
        <v>5.2</v>
      </c>
      <c r="M54" s="58">
        <v>0</v>
      </c>
      <c r="N54" s="7"/>
      <c r="P54" s="57">
        <v>2</v>
      </c>
      <c r="Q54" s="36">
        <v>0</v>
      </c>
      <c r="R54" s="36">
        <v>7</v>
      </c>
      <c r="S54" s="36">
        <v>0.1</v>
      </c>
      <c r="T54" s="36">
        <v>0</v>
      </c>
      <c r="U54" s="36">
        <v>0</v>
      </c>
      <c r="V54" s="36">
        <v>0.2</v>
      </c>
      <c r="W54" s="36">
        <v>38.1</v>
      </c>
      <c r="X54" s="36">
        <v>1.9</v>
      </c>
      <c r="Y54" s="36">
        <v>0</v>
      </c>
      <c r="Z54" s="36">
        <v>0</v>
      </c>
      <c r="AA54" s="36">
        <v>0.4</v>
      </c>
      <c r="AB54" s="58">
        <v>23.8</v>
      </c>
      <c r="AC54" s="7"/>
    </row>
    <row r="55" spans="1:29">
      <c r="A55" s="57">
        <v>3</v>
      </c>
      <c r="B55" s="36">
        <v>27</v>
      </c>
      <c r="C55" s="40">
        <v>0</v>
      </c>
      <c r="D55" s="36">
        <v>1</v>
      </c>
      <c r="E55" s="36">
        <v>0</v>
      </c>
      <c r="F55" s="36">
        <v>2.2000000000000002</v>
      </c>
      <c r="G55" s="39">
        <v>0</v>
      </c>
      <c r="H55" s="36">
        <v>0</v>
      </c>
      <c r="I55" s="36">
        <v>34.1</v>
      </c>
      <c r="J55" s="36">
        <v>2</v>
      </c>
      <c r="K55" s="36">
        <v>2</v>
      </c>
      <c r="L55" s="36">
        <v>22.4</v>
      </c>
      <c r="M55" s="72">
        <v>0</v>
      </c>
      <c r="N55" s="7"/>
      <c r="P55" s="57">
        <v>3</v>
      </c>
      <c r="Q55" s="36">
        <v>0</v>
      </c>
      <c r="R55" s="36">
        <v>7.4</v>
      </c>
      <c r="S55" s="36">
        <v>0</v>
      </c>
      <c r="T55" s="36">
        <v>0</v>
      </c>
      <c r="U55" s="36">
        <v>0</v>
      </c>
      <c r="V55" s="36">
        <v>1.6</v>
      </c>
      <c r="W55" s="36">
        <v>0</v>
      </c>
      <c r="X55" s="36">
        <v>2.6</v>
      </c>
      <c r="Y55" s="36">
        <v>0</v>
      </c>
      <c r="Z55" s="36">
        <v>0</v>
      </c>
      <c r="AA55" s="36">
        <v>27.6</v>
      </c>
      <c r="AB55" s="58">
        <v>0</v>
      </c>
      <c r="AC55" s="7"/>
    </row>
    <row r="56" spans="1:29">
      <c r="A56" s="57">
        <v>4</v>
      </c>
      <c r="B56" s="36">
        <v>0</v>
      </c>
      <c r="C56" s="40">
        <v>10.5</v>
      </c>
      <c r="D56" s="36">
        <v>1.9</v>
      </c>
      <c r="E56" s="36">
        <v>22.6</v>
      </c>
      <c r="F56" s="42">
        <v>0</v>
      </c>
      <c r="G56" s="36">
        <v>3.2</v>
      </c>
      <c r="H56" s="36">
        <v>1.5</v>
      </c>
      <c r="I56" s="36">
        <v>0</v>
      </c>
      <c r="J56" s="36">
        <v>28</v>
      </c>
      <c r="K56" s="36">
        <v>7</v>
      </c>
      <c r="L56" s="36">
        <v>2</v>
      </c>
      <c r="M56" s="58">
        <v>0</v>
      </c>
      <c r="N56" s="7"/>
      <c r="P56" s="57">
        <v>4</v>
      </c>
      <c r="Q56" s="36">
        <v>0</v>
      </c>
      <c r="R56" s="36">
        <v>2.1</v>
      </c>
      <c r="S56" s="36">
        <v>0.9</v>
      </c>
      <c r="T56" s="36">
        <v>2</v>
      </c>
      <c r="U56" s="36">
        <v>68</v>
      </c>
      <c r="V56" s="36">
        <v>14</v>
      </c>
      <c r="W56" s="36">
        <v>0</v>
      </c>
      <c r="X56" s="42">
        <v>0</v>
      </c>
      <c r="Y56" s="36">
        <v>0</v>
      </c>
      <c r="Z56" s="36">
        <v>0</v>
      </c>
      <c r="AA56" s="36">
        <v>85.2</v>
      </c>
      <c r="AB56" s="58">
        <v>69.3</v>
      </c>
      <c r="AC56" s="7"/>
    </row>
    <row r="57" spans="1:29">
      <c r="A57" s="57">
        <v>5</v>
      </c>
      <c r="B57" s="36">
        <v>20.7</v>
      </c>
      <c r="C57" s="40">
        <v>43.9</v>
      </c>
      <c r="D57" s="36">
        <v>0.9</v>
      </c>
      <c r="E57" s="36">
        <v>0</v>
      </c>
      <c r="F57" s="36">
        <v>0</v>
      </c>
      <c r="G57" s="36">
        <v>14.8</v>
      </c>
      <c r="H57" s="36">
        <v>0.6</v>
      </c>
      <c r="I57" s="36">
        <v>31.7</v>
      </c>
      <c r="J57" s="36">
        <v>16.399999999999999</v>
      </c>
      <c r="K57" s="36">
        <v>0</v>
      </c>
      <c r="L57" s="36">
        <v>9.1</v>
      </c>
      <c r="M57" s="58">
        <v>0</v>
      </c>
      <c r="N57" s="7"/>
      <c r="P57" s="57">
        <v>5</v>
      </c>
      <c r="Q57" s="36">
        <v>8.9</v>
      </c>
      <c r="R57" s="36">
        <v>0</v>
      </c>
      <c r="S57" s="36">
        <v>6.9</v>
      </c>
      <c r="T57" s="36">
        <v>0</v>
      </c>
      <c r="U57" s="36">
        <v>0</v>
      </c>
      <c r="V57" s="36">
        <v>8.1</v>
      </c>
      <c r="W57" s="36">
        <v>7.8</v>
      </c>
      <c r="X57" s="36">
        <v>0</v>
      </c>
      <c r="Y57" s="36">
        <v>0</v>
      </c>
      <c r="Z57" s="36">
        <v>0</v>
      </c>
      <c r="AA57" s="36">
        <v>0</v>
      </c>
      <c r="AB57" s="58">
        <v>62.3</v>
      </c>
      <c r="AC57" s="7"/>
    </row>
    <row r="58" spans="1:29">
      <c r="A58" s="57">
        <v>6</v>
      </c>
      <c r="B58" s="36">
        <v>0</v>
      </c>
      <c r="C58" s="40">
        <v>3.8</v>
      </c>
      <c r="D58" s="36">
        <v>0</v>
      </c>
      <c r="E58" s="36">
        <v>20.2</v>
      </c>
      <c r="F58" s="38">
        <v>0</v>
      </c>
      <c r="G58" s="36">
        <v>27.3</v>
      </c>
      <c r="H58" s="36">
        <v>0</v>
      </c>
      <c r="I58" s="36">
        <v>0</v>
      </c>
      <c r="J58" s="36">
        <v>9.8000000000000007</v>
      </c>
      <c r="K58" s="36">
        <v>0</v>
      </c>
      <c r="L58" s="36">
        <v>0</v>
      </c>
      <c r="M58" s="58">
        <v>0</v>
      </c>
      <c r="N58" s="7"/>
      <c r="P58" s="57">
        <v>6</v>
      </c>
      <c r="Q58" s="36">
        <v>5.6</v>
      </c>
      <c r="R58" s="38">
        <v>0</v>
      </c>
      <c r="S58" s="36">
        <v>1.1000000000000001</v>
      </c>
      <c r="T58" s="36">
        <v>0</v>
      </c>
      <c r="U58" s="36">
        <v>0</v>
      </c>
      <c r="V58" s="36">
        <v>0</v>
      </c>
      <c r="W58" s="36">
        <v>45.5</v>
      </c>
      <c r="X58" s="36">
        <v>0</v>
      </c>
      <c r="Y58" s="36">
        <v>3.9</v>
      </c>
      <c r="Z58" s="36">
        <v>103.5</v>
      </c>
      <c r="AA58" s="36">
        <v>0.8</v>
      </c>
      <c r="AB58" s="58">
        <v>2</v>
      </c>
      <c r="AC58" s="7"/>
    </row>
    <row r="59" spans="1:29">
      <c r="A59" s="57">
        <v>7</v>
      </c>
      <c r="B59" s="36">
        <v>0.5</v>
      </c>
      <c r="C59" s="40">
        <v>9</v>
      </c>
      <c r="D59" s="36">
        <v>0</v>
      </c>
      <c r="E59" s="36">
        <v>1</v>
      </c>
      <c r="F59" s="36">
        <v>8.6</v>
      </c>
      <c r="G59" s="36">
        <v>3.5</v>
      </c>
      <c r="H59" s="36">
        <v>33.1</v>
      </c>
      <c r="I59" s="36">
        <v>0</v>
      </c>
      <c r="J59" s="36">
        <v>1</v>
      </c>
      <c r="K59" s="36">
        <v>0</v>
      </c>
      <c r="L59" s="36">
        <v>0</v>
      </c>
      <c r="M59" s="58">
        <v>0.4</v>
      </c>
      <c r="N59" s="7"/>
      <c r="P59" s="57">
        <v>7</v>
      </c>
      <c r="Q59" s="36">
        <v>0.5</v>
      </c>
      <c r="R59" s="36">
        <v>0</v>
      </c>
      <c r="S59" s="36">
        <v>0</v>
      </c>
      <c r="T59" s="36">
        <v>17.8</v>
      </c>
      <c r="U59" s="36">
        <v>0</v>
      </c>
      <c r="V59" s="36">
        <v>2.8</v>
      </c>
      <c r="W59" s="36">
        <v>11.7</v>
      </c>
      <c r="X59" s="36">
        <v>0</v>
      </c>
      <c r="Y59" s="36">
        <v>26.2</v>
      </c>
      <c r="Z59" s="36">
        <v>0</v>
      </c>
      <c r="AA59" s="36">
        <v>5.8</v>
      </c>
      <c r="AB59" s="58">
        <v>9.6</v>
      </c>
      <c r="AC59" s="7"/>
    </row>
    <row r="60" spans="1:29">
      <c r="A60" s="57">
        <v>8</v>
      </c>
      <c r="B60" s="36">
        <v>1.6</v>
      </c>
      <c r="C60" s="40">
        <v>14</v>
      </c>
      <c r="D60" s="36">
        <v>0</v>
      </c>
      <c r="E60" s="36">
        <v>2.6</v>
      </c>
      <c r="F60" s="36">
        <v>0</v>
      </c>
      <c r="G60" s="38">
        <v>0</v>
      </c>
      <c r="H60" s="36">
        <v>0</v>
      </c>
      <c r="I60" s="36">
        <v>0</v>
      </c>
      <c r="J60" s="36">
        <v>11</v>
      </c>
      <c r="K60" s="36">
        <v>0</v>
      </c>
      <c r="L60" s="36">
        <v>1.5</v>
      </c>
      <c r="M60" s="58">
        <v>0</v>
      </c>
      <c r="N60" s="7"/>
      <c r="P60" s="57">
        <v>8</v>
      </c>
      <c r="Q60" s="36">
        <v>15.4</v>
      </c>
      <c r="R60" s="36">
        <v>0</v>
      </c>
      <c r="S60" s="36">
        <v>0</v>
      </c>
      <c r="T60" s="36">
        <v>20.6</v>
      </c>
      <c r="U60" s="36">
        <v>0.1</v>
      </c>
      <c r="V60" s="36">
        <v>4.5999999999999996</v>
      </c>
      <c r="W60" s="36">
        <v>0</v>
      </c>
      <c r="X60" s="36">
        <v>0</v>
      </c>
      <c r="Y60" s="36">
        <v>0</v>
      </c>
      <c r="Z60" s="36">
        <v>0</v>
      </c>
      <c r="AA60" s="36">
        <v>0.8</v>
      </c>
      <c r="AB60" s="58">
        <v>3</v>
      </c>
      <c r="AC60" s="7"/>
    </row>
    <row r="61" spans="1:29">
      <c r="A61" s="57">
        <v>9</v>
      </c>
      <c r="B61" s="36">
        <v>1.5</v>
      </c>
      <c r="C61" s="41">
        <v>0</v>
      </c>
      <c r="E61" s="36">
        <v>3.5</v>
      </c>
      <c r="F61" s="36">
        <v>19.5</v>
      </c>
      <c r="G61" s="36">
        <v>0</v>
      </c>
      <c r="H61" s="36">
        <v>6.2</v>
      </c>
      <c r="I61" s="36">
        <v>0</v>
      </c>
      <c r="J61" s="36">
        <v>63.6</v>
      </c>
      <c r="K61" s="36">
        <v>15.5</v>
      </c>
      <c r="L61" s="36">
        <v>4.7</v>
      </c>
      <c r="M61" s="58">
        <v>0</v>
      </c>
      <c r="N61" s="7"/>
      <c r="P61" s="57">
        <v>9</v>
      </c>
      <c r="Q61" s="36">
        <v>5.8</v>
      </c>
      <c r="R61" s="36">
        <v>0</v>
      </c>
      <c r="S61" s="36">
        <v>0</v>
      </c>
      <c r="T61" s="36">
        <v>0</v>
      </c>
      <c r="U61" s="36">
        <v>0</v>
      </c>
      <c r="V61" s="36">
        <v>114.5</v>
      </c>
      <c r="W61" s="36">
        <v>0</v>
      </c>
      <c r="X61" s="36">
        <v>0</v>
      </c>
      <c r="Y61" s="36">
        <v>0</v>
      </c>
      <c r="Z61" s="36">
        <v>0.3</v>
      </c>
      <c r="AA61" s="36">
        <v>71</v>
      </c>
      <c r="AB61" s="58">
        <v>0</v>
      </c>
      <c r="AC61" s="7"/>
    </row>
    <row r="62" spans="1:29">
      <c r="A62" s="57">
        <v>10</v>
      </c>
      <c r="B62" s="36">
        <v>4.9000000000000004</v>
      </c>
      <c r="C62" s="40">
        <v>3.8</v>
      </c>
      <c r="D62" s="36">
        <v>0</v>
      </c>
      <c r="E62" s="36">
        <v>1.5</v>
      </c>
      <c r="F62" s="36">
        <v>0.4</v>
      </c>
      <c r="G62" s="36">
        <v>0</v>
      </c>
      <c r="H62" s="36">
        <v>22</v>
      </c>
      <c r="I62" s="36">
        <v>37.6</v>
      </c>
      <c r="J62" s="36">
        <v>1.5</v>
      </c>
      <c r="K62" s="36">
        <v>4.9000000000000004</v>
      </c>
      <c r="L62" s="36">
        <v>15</v>
      </c>
      <c r="M62" s="58">
        <v>0</v>
      </c>
      <c r="N62" s="7"/>
      <c r="P62" s="57">
        <v>10</v>
      </c>
      <c r="Q62" s="36">
        <v>2.8</v>
      </c>
      <c r="R62" s="36">
        <v>0</v>
      </c>
      <c r="S62" s="36">
        <v>0</v>
      </c>
      <c r="T62" s="36">
        <v>0</v>
      </c>
      <c r="U62" s="36">
        <v>0</v>
      </c>
      <c r="V62" s="36">
        <v>0</v>
      </c>
      <c r="W62" s="36">
        <v>85.9</v>
      </c>
      <c r="X62" s="36">
        <v>0</v>
      </c>
      <c r="Y62" s="36">
        <v>0</v>
      </c>
      <c r="Z62" s="36">
        <v>3</v>
      </c>
      <c r="AA62" s="36">
        <v>0.4</v>
      </c>
      <c r="AB62" s="58">
        <v>43.1</v>
      </c>
      <c r="AC62" s="7"/>
    </row>
    <row r="63" spans="1:29">
      <c r="A63" s="57">
        <v>11</v>
      </c>
      <c r="B63" s="36">
        <v>36.9</v>
      </c>
      <c r="C63" s="40">
        <v>0</v>
      </c>
      <c r="D63" s="36">
        <v>0</v>
      </c>
      <c r="E63" s="36">
        <v>0</v>
      </c>
      <c r="F63" s="36">
        <v>0</v>
      </c>
      <c r="G63" s="36">
        <v>0</v>
      </c>
      <c r="H63" s="36">
        <v>6.2</v>
      </c>
      <c r="I63" s="36">
        <v>0</v>
      </c>
      <c r="J63" s="36">
        <v>13.3</v>
      </c>
      <c r="K63" s="36">
        <v>9.5</v>
      </c>
      <c r="L63" s="36">
        <v>0</v>
      </c>
      <c r="M63" s="58">
        <v>0</v>
      </c>
      <c r="N63" s="7"/>
      <c r="P63" s="57">
        <v>11</v>
      </c>
      <c r="Q63" s="36">
        <v>0</v>
      </c>
      <c r="R63" s="36">
        <v>0</v>
      </c>
      <c r="S63" s="36">
        <v>5.0999999999999996</v>
      </c>
      <c r="T63" s="36">
        <v>0</v>
      </c>
      <c r="U63" s="36">
        <v>0</v>
      </c>
      <c r="V63" s="36">
        <v>0</v>
      </c>
      <c r="W63" s="36">
        <v>38</v>
      </c>
      <c r="X63" s="36">
        <v>0.1</v>
      </c>
      <c r="Y63" s="36">
        <v>0</v>
      </c>
      <c r="Z63" s="36">
        <v>5.3</v>
      </c>
      <c r="AA63" s="36">
        <v>1.1000000000000001</v>
      </c>
      <c r="AB63" s="58">
        <v>0.6</v>
      </c>
      <c r="AC63" s="7"/>
    </row>
    <row r="64" spans="1:29">
      <c r="A64" s="57">
        <v>12</v>
      </c>
      <c r="B64" s="36">
        <v>0</v>
      </c>
      <c r="C64" s="40">
        <v>7</v>
      </c>
      <c r="E64" s="36">
        <v>53.6</v>
      </c>
      <c r="F64" s="36">
        <v>1.5</v>
      </c>
      <c r="G64" s="36">
        <v>0</v>
      </c>
      <c r="H64" s="36">
        <v>0</v>
      </c>
      <c r="I64" s="36">
        <v>0</v>
      </c>
      <c r="J64" s="36">
        <v>1.5</v>
      </c>
      <c r="K64" s="36">
        <v>14.2</v>
      </c>
      <c r="L64" s="36">
        <v>10.4</v>
      </c>
      <c r="M64" s="58">
        <v>0.6</v>
      </c>
      <c r="N64" s="7"/>
      <c r="P64" s="57">
        <v>12</v>
      </c>
      <c r="Q64" s="36">
        <v>0</v>
      </c>
      <c r="R64" s="36">
        <v>0</v>
      </c>
      <c r="S64" s="36">
        <v>4.5</v>
      </c>
      <c r="T64" s="36">
        <v>0</v>
      </c>
      <c r="U64" s="36">
        <v>0</v>
      </c>
      <c r="V64" s="36">
        <v>26.2</v>
      </c>
      <c r="W64" s="36">
        <v>0</v>
      </c>
      <c r="X64" s="36">
        <v>0</v>
      </c>
      <c r="Y64" s="36">
        <v>0</v>
      </c>
      <c r="Z64" s="36">
        <v>33</v>
      </c>
      <c r="AA64" s="36">
        <v>18.2</v>
      </c>
      <c r="AB64" s="58">
        <v>2.1</v>
      </c>
      <c r="AC64" s="7"/>
    </row>
    <row r="65" spans="1:29">
      <c r="A65" s="57">
        <v>13</v>
      </c>
      <c r="B65" s="36">
        <v>0</v>
      </c>
      <c r="C65" s="40">
        <v>0</v>
      </c>
      <c r="D65" s="36">
        <v>0</v>
      </c>
      <c r="E65" s="36">
        <v>12.4</v>
      </c>
      <c r="F65" s="36">
        <v>0</v>
      </c>
      <c r="G65" s="38">
        <v>0</v>
      </c>
      <c r="H65" s="36">
        <v>43.2</v>
      </c>
      <c r="I65" s="36">
        <v>12</v>
      </c>
      <c r="J65" s="36">
        <v>10.4</v>
      </c>
      <c r="K65" s="36">
        <v>0</v>
      </c>
      <c r="L65" s="36">
        <v>0</v>
      </c>
      <c r="M65" s="58">
        <v>5.4</v>
      </c>
      <c r="N65" s="7"/>
      <c r="P65" s="57">
        <v>13</v>
      </c>
      <c r="Q65" s="36">
        <v>0.8</v>
      </c>
      <c r="R65" s="36">
        <v>21.7</v>
      </c>
      <c r="S65" s="36">
        <v>40.4</v>
      </c>
      <c r="T65" s="38">
        <v>0</v>
      </c>
      <c r="U65" s="36">
        <v>8.1</v>
      </c>
      <c r="V65" s="36">
        <v>0</v>
      </c>
      <c r="W65" s="36">
        <v>0</v>
      </c>
      <c r="X65" s="36">
        <v>0</v>
      </c>
      <c r="Y65" s="36">
        <v>0</v>
      </c>
      <c r="Z65" s="36">
        <v>0</v>
      </c>
      <c r="AA65" s="36">
        <v>80</v>
      </c>
      <c r="AB65" s="58">
        <v>3.8</v>
      </c>
      <c r="AC65" s="7"/>
    </row>
    <row r="66" spans="1:29">
      <c r="A66" s="57">
        <v>14</v>
      </c>
      <c r="B66" s="36">
        <v>0</v>
      </c>
      <c r="C66" s="40">
        <v>30.3</v>
      </c>
      <c r="D66" s="36">
        <v>26.4</v>
      </c>
      <c r="E66" s="36">
        <v>7.8</v>
      </c>
      <c r="F66" s="36">
        <v>11.3</v>
      </c>
      <c r="G66" s="36">
        <v>14</v>
      </c>
      <c r="H66" s="36">
        <v>57.3</v>
      </c>
      <c r="I66" s="36">
        <v>7.4</v>
      </c>
      <c r="J66" s="36">
        <v>13.2</v>
      </c>
      <c r="K66" s="36">
        <v>11.4</v>
      </c>
      <c r="L66" s="36">
        <v>17</v>
      </c>
      <c r="M66" s="58">
        <v>2.8</v>
      </c>
      <c r="N66" s="7"/>
      <c r="P66" s="57">
        <v>14</v>
      </c>
      <c r="Q66" s="36">
        <v>5.5</v>
      </c>
      <c r="R66" s="36">
        <v>1.1000000000000001</v>
      </c>
      <c r="S66" s="36">
        <v>36.200000000000003</v>
      </c>
      <c r="T66" s="36">
        <v>0</v>
      </c>
      <c r="U66" s="36">
        <v>11.8</v>
      </c>
      <c r="V66" s="36">
        <v>0</v>
      </c>
      <c r="W66" s="36">
        <v>0</v>
      </c>
      <c r="X66" s="36">
        <v>0</v>
      </c>
      <c r="Y66" s="36">
        <v>0</v>
      </c>
      <c r="Z66" s="36">
        <v>31.4</v>
      </c>
      <c r="AA66" s="36">
        <v>0</v>
      </c>
      <c r="AB66" s="58">
        <v>4.9000000000000004</v>
      </c>
      <c r="AC66" s="7"/>
    </row>
    <row r="67" spans="1:29">
      <c r="A67" s="57">
        <v>15</v>
      </c>
      <c r="B67" s="36">
        <v>0.6</v>
      </c>
      <c r="C67" s="40">
        <v>13.1</v>
      </c>
      <c r="D67" s="36">
        <v>0</v>
      </c>
      <c r="E67" s="36">
        <v>0</v>
      </c>
      <c r="F67" s="36">
        <v>25.1</v>
      </c>
      <c r="G67" s="36">
        <v>0</v>
      </c>
      <c r="H67" s="36">
        <v>25</v>
      </c>
      <c r="I67" s="36">
        <v>0</v>
      </c>
      <c r="J67" s="36">
        <v>0</v>
      </c>
      <c r="K67" s="36">
        <v>0.7</v>
      </c>
      <c r="L67" s="38">
        <v>0</v>
      </c>
      <c r="M67" s="58">
        <v>20.6</v>
      </c>
      <c r="N67" s="7"/>
      <c r="P67" s="57">
        <v>15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1</v>
      </c>
      <c r="W67" s="36">
        <v>0</v>
      </c>
      <c r="X67" s="36">
        <v>0</v>
      </c>
      <c r="Y67" s="36">
        <v>0.8</v>
      </c>
      <c r="Z67" s="36">
        <v>0.2</v>
      </c>
      <c r="AA67" s="36">
        <v>0</v>
      </c>
      <c r="AB67" s="58">
        <v>28.9</v>
      </c>
      <c r="AC67" s="7"/>
    </row>
    <row r="68" spans="1:29">
      <c r="A68" s="57">
        <v>16</v>
      </c>
      <c r="B68" s="38">
        <v>0</v>
      </c>
      <c r="C68" s="40">
        <v>8</v>
      </c>
      <c r="D68" s="36">
        <v>11.4</v>
      </c>
      <c r="E68" s="36">
        <v>0.2</v>
      </c>
      <c r="F68" s="36">
        <v>7.2</v>
      </c>
      <c r="G68" s="36">
        <v>4.9000000000000004</v>
      </c>
      <c r="H68" s="36">
        <v>0</v>
      </c>
      <c r="I68" s="36">
        <v>0</v>
      </c>
      <c r="J68" s="36">
        <v>0</v>
      </c>
      <c r="K68" s="36">
        <v>25</v>
      </c>
      <c r="L68" s="36">
        <v>3</v>
      </c>
      <c r="M68" s="58">
        <v>1.3</v>
      </c>
      <c r="N68" s="7"/>
      <c r="P68" s="57">
        <v>16</v>
      </c>
      <c r="Q68" s="36">
        <v>0</v>
      </c>
      <c r="R68" s="36">
        <v>2.4</v>
      </c>
      <c r="S68" s="36">
        <v>0.1</v>
      </c>
      <c r="T68" s="36">
        <v>0</v>
      </c>
      <c r="U68" s="36">
        <v>0</v>
      </c>
      <c r="V68" s="36">
        <v>14.1</v>
      </c>
      <c r="W68" s="36">
        <v>0</v>
      </c>
      <c r="X68" s="36">
        <v>0</v>
      </c>
      <c r="Y68" s="36">
        <v>9.5</v>
      </c>
      <c r="Z68" s="36">
        <v>0</v>
      </c>
      <c r="AA68" s="36">
        <v>0.6</v>
      </c>
      <c r="AB68" s="58">
        <v>5.5</v>
      </c>
      <c r="AC68" s="7"/>
    </row>
    <row r="69" spans="1:29">
      <c r="A69" s="57">
        <v>17</v>
      </c>
      <c r="B69" s="36">
        <v>7.8</v>
      </c>
      <c r="C69" s="40">
        <v>5.4</v>
      </c>
      <c r="D69" s="36">
        <v>11.2</v>
      </c>
      <c r="E69" s="36">
        <v>25</v>
      </c>
      <c r="F69" s="36">
        <v>0</v>
      </c>
      <c r="G69" s="38">
        <v>0</v>
      </c>
      <c r="H69" s="36">
        <v>21.3</v>
      </c>
      <c r="I69" s="36">
        <v>22.7</v>
      </c>
      <c r="J69" s="36">
        <v>0</v>
      </c>
      <c r="K69" s="36">
        <v>0</v>
      </c>
      <c r="L69" s="36">
        <v>10.6</v>
      </c>
      <c r="M69" s="58">
        <v>17</v>
      </c>
      <c r="N69" s="7"/>
      <c r="P69" s="57">
        <v>17</v>
      </c>
      <c r="Q69" s="38">
        <v>0</v>
      </c>
      <c r="R69" s="36">
        <v>0</v>
      </c>
      <c r="S69" s="36">
        <v>0</v>
      </c>
      <c r="T69" s="36">
        <v>0</v>
      </c>
      <c r="U69" s="36">
        <v>0</v>
      </c>
      <c r="V69" s="36">
        <v>0</v>
      </c>
      <c r="W69" s="36">
        <v>0</v>
      </c>
      <c r="X69" s="36">
        <v>0</v>
      </c>
      <c r="Y69" s="36">
        <v>1.8</v>
      </c>
      <c r="Z69" s="36">
        <v>16.600000000000001</v>
      </c>
      <c r="AA69" s="36">
        <v>31.7</v>
      </c>
      <c r="AB69" s="58">
        <v>2.2000000000000002</v>
      </c>
      <c r="AC69" s="7"/>
    </row>
    <row r="70" spans="1:29">
      <c r="A70" s="57">
        <v>18</v>
      </c>
      <c r="B70" s="36">
        <v>0</v>
      </c>
      <c r="C70" s="41">
        <v>0</v>
      </c>
      <c r="D70" s="36">
        <v>1</v>
      </c>
      <c r="E70" s="36">
        <v>0</v>
      </c>
      <c r="F70" s="36">
        <v>8.1999999999999993</v>
      </c>
      <c r="G70" s="36">
        <v>5.4</v>
      </c>
      <c r="H70" s="36">
        <v>25.3</v>
      </c>
      <c r="I70" s="36">
        <v>26.6</v>
      </c>
      <c r="J70" s="36">
        <v>0</v>
      </c>
      <c r="K70" s="36">
        <v>0</v>
      </c>
      <c r="L70" s="36">
        <v>0</v>
      </c>
      <c r="M70" s="58">
        <v>16.100000000000001</v>
      </c>
      <c r="N70" s="7"/>
      <c r="P70" s="57">
        <v>18</v>
      </c>
      <c r="Q70" s="36">
        <v>0</v>
      </c>
      <c r="R70" s="36">
        <v>0</v>
      </c>
      <c r="S70" s="36">
        <v>0</v>
      </c>
      <c r="T70" s="36">
        <v>3.4</v>
      </c>
      <c r="U70" s="36">
        <v>0</v>
      </c>
      <c r="V70" s="36">
        <v>0</v>
      </c>
      <c r="W70" s="36">
        <v>0</v>
      </c>
      <c r="X70" s="36">
        <v>0</v>
      </c>
      <c r="Y70" s="36">
        <v>1.3</v>
      </c>
      <c r="Z70" s="36">
        <v>0</v>
      </c>
      <c r="AA70" s="36">
        <v>9.3000000000000007</v>
      </c>
      <c r="AB70" s="58">
        <v>24.8</v>
      </c>
      <c r="AC70" s="7"/>
    </row>
    <row r="71" spans="1:29">
      <c r="A71" s="57">
        <v>19</v>
      </c>
      <c r="B71" s="36">
        <v>73.400000000000006</v>
      </c>
      <c r="C71" s="40">
        <v>0</v>
      </c>
      <c r="D71" s="36">
        <v>45</v>
      </c>
      <c r="E71" s="36">
        <v>0.5</v>
      </c>
      <c r="F71" s="38">
        <v>0</v>
      </c>
      <c r="G71" s="36">
        <v>18.399999999999999</v>
      </c>
      <c r="H71" s="36">
        <v>0.7</v>
      </c>
      <c r="I71" s="36">
        <v>0</v>
      </c>
      <c r="J71" s="36">
        <v>0</v>
      </c>
      <c r="K71" s="36">
        <v>0</v>
      </c>
      <c r="L71" s="36">
        <v>28.7</v>
      </c>
      <c r="M71" s="58">
        <v>4</v>
      </c>
      <c r="N71" s="7"/>
      <c r="P71" s="57">
        <v>19</v>
      </c>
      <c r="Q71" s="36">
        <v>70.900000000000006</v>
      </c>
      <c r="R71" s="36">
        <v>0</v>
      </c>
      <c r="S71" s="36">
        <v>0</v>
      </c>
      <c r="T71" s="36">
        <v>1.4</v>
      </c>
      <c r="U71" s="36">
        <v>0</v>
      </c>
      <c r="V71" s="36">
        <v>0</v>
      </c>
      <c r="W71" s="36">
        <v>0</v>
      </c>
      <c r="X71" s="36">
        <v>3.4</v>
      </c>
      <c r="Y71" s="36">
        <v>17.8</v>
      </c>
      <c r="Z71" s="36">
        <v>46.5</v>
      </c>
      <c r="AA71" s="36">
        <v>13</v>
      </c>
      <c r="AB71" s="58">
        <v>3.8</v>
      </c>
      <c r="AC71" s="7"/>
    </row>
    <row r="72" spans="1:29">
      <c r="A72" s="57">
        <v>20</v>
      </c>
      <c r="B72" s="36">
        <v>0.5</v>
      </c>
      <c r="C72" s="40">
        <v>2.5</v>
      </c>
      <c r="D72" s="36">
        <v>10.4</v>
      </c>
      <c r="E72" s="36">
        <v>0</v>
      </c>
      <c r="F72" s="36">
        <v>10.7</v>
      </c>
      <c r="G72" s="36">
        <v>2.8</v>
      </c>
      <c r="H72" s="36">
        <v>23.8</v>
      </c>
      <c r="I72" s="36">
        <v>0</v>
      </c>
      <c r="J72" s="36">
        <v>96.1</v>
      </c>
      <c r="K72" s="36">
        <v>0.3</v>
      </c>
      <c r="L72" s="36">
        <v>52.4</v>
      </c>
      <c r="M72" s="58">
        <v>8.9</v>
      </c>
      <c r="N72" s="7"/>
      <c r="P72" s="57">
        <v>20</v>
      </c>
      <c r="Q72" s="36">
        <v>1.3</v>
      </c>
      <c r="R72" s="36">
        <v>0</v>
      </c>
      <c r="S72" s="36">
        <v>2.8</v>
      </c>
      <c r="T72" s="36">
        <v>0</v>
      </c>
      <c r="U72" s="36">
        <v>15.7</v>
      </c>
      <c r="V72" s="36">
        <v>1.2</v>
      </c>
      <c r="W72" s="36">
        <v>40.299999999999997</v>
      </c>
      <c r="X72" s="36">
        <v>0</v>
      </c>
      <c r="Y72" s="36">
        <v>19.399999999999999</v>
      </c>
      <c r="Z72" s="36">
        <v>12.5</v>
      </c>
      <c r="AA72" s="36">
        <v>2</v>
      </c>
      <c r="AB72" s="58">
        <v>3.3</v>
      </c>
      <c r="AC72" s="7"/>
    </row>
    <row r="73" spans="1:29">
      <c r="A73" s="57">
        <v>21</v>
      </c>
      <c r="B73" s="36">
        <v>2</v>
      </c>
      <c r="C73" s="40">
        <v>0</v>
      </c>
      <c r="D73" s="36">
        <v>0</v>
      </c>
      <c r="E73" s="36">
        <v>6.6</v>
      </c>
      <c r="F73" s="36">
        <v>0.5</v>
      </c>
      <c r="G73" s="36">
        <v>8.5</v>
      </c>
      <c r="H73" s="36">
        <v>40.4</v>
      </c>
      <c r="I73" s="36">
        <v>5.8</v>
      </c>
      <c r="J73" s="36">
        <v>38.5</v>
      </c>
      <c r="K73" s="36">
        <v>0</v>
      </c>
      <c r="L73" s="36">
        <v>16.2</v>
      </c>
      <c r="M73" s="58">
        <v>3</v>
      </c>
      <c r="N73" s="7"/>
      <c r="P73" s="57">
        <v>21</v>
      </c>
      <c r="Q73" s="36">
        <v>47.2</v>
      </c>
      <c r="R73" s="36">
        <v>0</v>
      </c>
      <c r="S73" s="36">
        <v>16</v>
      </c>
      <c r="T73" s="36">
        <v>0</v>
      </c>
      <c r="U73" s="36">
        <v>0</v>
      </c>
      <c r="V73" s="36">
        <v>0</v>
      </c>
      <c r="W73" s="36">
        <v>43.4</v>
      </c>
      <c r="X73" s="36">
        <v>0</v>
      </c>
      <c r="Y73" s="36">
        <v>9.1999999999999993</v>
      </c>
      <c r="Z73" s="36">
        <v>1</v>
      </c>
      <c r="AA73" s="36">
        <v>0</v>
      </c>
      <c r="AB73" s="58">
        <v>7.8</v>
      </c>
      <c r="AC73" s="7"/>
    </row>
    <row r="74" spans="1:29">
      <c r="A74" s="57">
        <v>22</v>
      </c>
      <c r="B74" s="36">
        <v>0</v>
      </c>
      <c r="C74" s="40">
        <v>34.4</v>
      </c>
      <c r="E74" s="36">
        <v>40.299999999999997</v>
      </c>
      <c r="F74" s="36">
        <v>58.8</v>
      </c>
      <c r="G74" s="36">
        <v>34.799999999999997</v>
      </c>
      <c r="H74" s="36">
        <v>0.8</v>
      </c>
      <c r="I74" s="36">
        <v>17.7</v>
      </c>
      <c r="J74" s="36">
        <v>10.8</v>
      </c>
      <c r="K74" s="36">
        <v>43.3</v>
      </c>
      <c r="L74" s="36">
        <v>7.9</v>
      </c>
      <c r="M74" s="58">
        <v>9.4</v>
      </c>
      <c r="N74" s="7"/>
      <c r="P74" s="57">
        <v>22</v>
      </c>
      <c r="Q74" s="36">
        <v>0</v>
      </c>
      <c r="R74" s="36">
        <v>0</v>
      </c>
      <c r="S74" s="36">
        <v>0</v>
      </c>
      <c r="T74" s="36">
        <v>2</v>
      </c>
      <c r="U74" s="36">
        <v>0.2</v>
      </c>
      <c r="V74" s="36">
        <v>9.1999999999999993</v>
      </c>
      <c r="W74" s="36">
        <v>1.3</v>
      </c>
      <c r="X74" s="36">
        <v>0</v>
      </c>
      <c r="Y74" s="36">
        <v>0</v>
      </c>
      <c r="Z74" s="36">
        <v>0.2</v>
      </c>
      <c r="AA74" s="36">
        <v>14.8</v>
      </c>
      <c r="AB74" s="58">
        <v>1.8</v>
      </c>
      <c r="AC74" s="7"/>
    </row>
    <row r="75" spans="1:29">
      <c r="A75" s="57">
        <v>23</v>
      </c>
      <c r="B75" s="36">
        <v>12.5</v>
      </c>
      <c r="C75" s="40">
        <v>4</v>
      </c>
      <c r="D75" s="36">
        <v>1.9</v>
      </c>
      <c r="E75" s="36">
        <v>2</v>
      </c>
      <c r="F75" s="36">
        <v>0</v>
      </c>
      <c r="G75" s="36">
        <v>64.3</v>
      </c>
      <c r="H75" s="36">
        <v>5.6</v>
      </c>
      <c r="I75" s="36">
        <v>0</v>
      </c>
      <c r="J75" s="36">
        <v>0</v>
      </c>
      <c r="K75" s="36">
        <v>9.9</v>
      </c>
      <c r="L75" s="36">
        <v>55.1</v>
      </c>
      <c r="M75" s="58">
        <v>0.7</v>
      </c>
      <c r="N75" s="7"/>
      <c r="P75" s="57">
        <v>23</v>
      </c>
      <c r="Q75" s="36">
        <v>0.3</v>
      </c>
      <c r="R75" s="36">
        <v>0</v>
      </c>
      <c r="S75" s="36">
        <v>1.9</v>
      </c>
      <c r="T75" s="36">
        <v>56.2</v>
      </c>
      <c r="U75" s="36">
        <v>0.5</v>
      </c>
      <c r="V75" s="36">
        <v>52.4</v>
      </c>
      <c r="W75" s="36">
        <v>0</v>
      </c>
      <c r="X75" s="36">
        <v>0</v>
      </c>
      <c r="Y75" s="36">
        <v>0</v>
      </c>
      <c r="Z75" s="36">
        <v>25</v>
      </c>
      <c r="AA75" s="36">
        <v>13.7</v>
      </c>
      <c r="AB75" s="58">
        <v>0</v>
      </c>
      <c r="AC75" s="7"/>
    </row>
    <row r="76" spans="1:29">
      <c r="A76" s="57">
        <v>24</v>
      </c>
      <c r="B76" s="36">
        <v>0.5</v>
      </c>
      <c r="C76" s="40">
        <v>4</v>
      </c>
      <c r="D76" s="36">
        <v>1</v>
      </c>
      <c r="E76" s="36">
        <v>1.3</v>
      </c>
      <c r="F76" s="38">
        <v>0</v>
      </c>
      <c r="G76" s="36">
        <v>19.8</v>
      </c>
      <c r="H76" s="36">
        <v>24.3</v>
      </c>
      <c r="I76" s="36">
        <v>0.7</v>
      </c>
      <c r="J76" s="36">
        <v>0</v>
      </c>
      <c r="K76" s="36">
        <v>4.4000000000000004</v>
      </c>
      <c r="L76" s="36">
        <v>2.6</v>
      </c>
      <c r="M76" s="58">
        <v>0</v>
      </c>
      <c r="N76" s="7"/>
      <c r="P76" s="57">
        <v>24</v>
      </c>
      <c r="Q76" s="36">
        <v>2.4</v>
      </c>
      <c r="R76" s="36">
        <v>0</v>
      </c>
      <c r="S76" s="36">
        <v>80.8</v>
      </c>
      <c r="T76" s="36">
        <v>0.6</v>
      </c>
      <c r="U76" s="36">
        <v>3.8</v>
      </c>
      <c r="V76" s="36">
        <v>0</v>
      </c>
      <c r="W76" s="36">
        <v>0</v>
      </c>
      <c r="X76" s="36">
        <v>22.4</v>
      </c>
      <c r="Y76" s="36">
        <v>0</v>
      </c>
      <c r="Z76" s="36">
        <v>0.4</v>
      </c>
      <c r="AA76" s="36">
        <v>49.4</v>
      </c>
      <c r="AB76" s="58">
        <v>37</v>
      </c>
      <c r="AC76" s="7"/>
    </row>
    <row r="77" spans="1:29">
      <c r="A77" s="57">
        <v>25</v>
      </c>
      <c r="B77" s="36">
        <v>0.5</v>
      </c>
      <c r="C77" s="41">
        <v>0</v>
      </c>
      <c r="D77" s="36">
        <v>1</v>
      </c>
      <c r="E77" s="36">
        <v>26.2</v>
      </c>
      <c r="F77" s="36">
        <v>0</v>
      </c>
      <c r="G77" s="36">
        <v>5.5</v>
      </c>
      <c r="H77" s="36">
        <v>12</v>
      </c>
      <c r="I77" s="36">
        <v>35.1</v>
      </c>
      <c r="J77" s="36">
        <v>15.3</v>
      </c>
      <c r="K77" s="36">
        <v>19</v>
      </c>
      <c r="L77" s="36">
        <v>30.5</v>
      </c>
      <c r="M77" s="58">
        <v>0</v>
      </c>
      <c r="N77" s="7"/>
      <c r="P77" s="57">
        <v>25</v>
      </c>
      <c r="Q77" s="36">
        <v>3.1</v>
      </c>
      <c r="R77" s="36">
        <v>0</v>
      </c>
      <c r="S77" s="36">
        <v>6.8</v>
      </c>
      <c r="T77" s="36">
        <v>10.7</v>
      </c>
      <c r="U77" s="36">
        <v>0</v>
      </c>
      <c r="V77" s="36">
        <v>0</v>
      </c>
      <c r="W77" s="36">
        <v>0</v>
      </c>
      <c r="X77" s="36">
        <v>8.8000000000000007</v>
      </c>
      <c r="Y77" s="36">
        <v>0</v>
      </c>
      <c r="Z77" s="36">
        <v>53</v>
      </c>
      <c r="AA77" s="36">
        <v>0</v>
      </c>
      <c r="AB77" s="58">
        <v>0.6</v>
      </c>
      <c r="AC77" s="7"/>
    </row>
    <row r="78" spans="1:29">
      <c r="A78" s="57">
        <v>26</v>
      </c>
      <c r="B78" s="36">
        <v>0</v>
      </c>
      <c r="C78" s="40">
        <v>20.2</v>
      </c>
      <c r="D78" s="36">
        <v>1.5</v>
      </c>
      <c r="E78" s="36">
        <v>0</v>
      </c>
      <c r="F78" s="38">
        <v>0</v>
      </c>
      <c r="G78" s="36">
        <v>0</v>
      </c>
      <c r="H78" s="36">
        <v>4.4000000000000004</v>
      </c>
      <c r="I78" s="36">
        <v>2</v>
      </c>
      <c r="J78" s="36">
        <v>0</v>
      </c>
      <c r="K78" s="36">
        <v>9.5</v>
      </c>
      <c r="L78" s="36">
        <v>17.5</v>
      </c>
      <c r="M78" s="58">
        <v>10.7</v>
      </c>
      <c r="N78" s="7"/>
      <c r="P78" s="57">
        <v>26</v>
      </c>
      <c r="Q78" s="36">
        <v>2.4</v>
      </c>
      <c r="R78" s="36">
        <v>47.3</v>
      </c>
      <c r="S78" s="36">
        <v>1.2</v>
      </c>
      <c r="T78" s="36">
        <v>5.6</v>
      </c>
      <c r="U78" s="36">
        <v>0</v>
      </c>
      <c r="V78" s="36">
        <v>0.2</v>
      </c>
      <c r="W78" s="36">
        <v>0</v>
      </c>
      <c r="X78" s="36">
        <v>19</v>
      </c>
      <c r="Y78" s="36">
        <v>0</v>
      </c>
      <c r="Z78" s="36">
        <v>0</v>
      </c>
      <c r="AA78" s="36">
        <v>7.8</v>
      </c>
      <c r="AB78" s="58">
        <v>4.5</v>
      </c>
      <c r="AC78" s="7"/>
    </row>
    <row r="79" spans="1:29">
      <c r="A79" s="57">
        <v>27</v>
      </c>
      <c r="B79" s="36">
        <v>1.1000000000000001</v>
      </c>
      <c r="C79" s="40">
        <v>0</v>
      </c>
      <c r="D79" s="36">
        <v>0</v>
      </c>
      <c r="E79" s="36">
        <v>0</v>
      </c>
      <c r="F79" s="36">
        <v>0</v>
      </c>
      <c r="G79" s="36">
        <v>18.899999999999999</v>
      </c>
      <c r="H79" s="36">
        <v>37.1</v>
      </c>
      <c r="I79" s="36">
        <v>9.1999999999999993</v>
      </c>
      <c r="J79" s="36">
        <v>17.100000000000001</v>
      </c>
      <c r="K79" s="36">
        <v>6.6</v>
      </c>
      <c r="L79" s="36">
        <v>6.9</v>
      </c>
      <c r="M79" s="58">
        <v>0.9</v>
      </c>
      <c r="N79" s="7"/>
      <c r="P79" s="57">
        <v>27</v>
      </c>
      <c r="Q79" s="36">
        <v>20.6</v>
      </c>
      <c r="R79" s="36">
        <v>0</v>
      </c>
      <c r="S79" s="36">
        <v>0.4</v>
      </c>
      <c r="T79" s="36">
        <v>23.6</v>
      </c>
      <c r="U79" s="36">
        <v>0</v>
      </c>
      <c r="V79" s="36">
        <v>0</v>
      </c>
      <c r="W79" s="36">
        <v>0</v>
      </c>
      <c r="X79" s="36">
        <v>14.7</v>
      </c>
      <c r="Y79" s="36">
        <v>0</v>
      </c>
      <c r="Z79" s="36">
        <v>0.8</v>
      </c>
      <c r="AA79" s="36">
        <v>8.1999999999999993</v>
      </c>
      <c r="AB79" s="58">
        <v>1</v>
      </c>
      <c r="AC79" s="7"/>
    </row>
    <row r="80" spans="1:29">
      <c r="A80" s="57">
        <v>28</v>
      </c>
      <c r="B80" s="36">
        <v>11.5</v>
      </c>
      <c r="C80" s="40">
        <v>13</v>
      </c>
      <c r="D80" s="36">
        <v>2</v>
      </c>
      <c r="E80" s="36">
        <v>98.9</v>
      </c>
      <c r="F80" s="36">
        <v>29.2</v>
      </c>
      <c r="G80" s="36">
        <v>0</v>
      </c>
      <c r="H80" s="36">
        <v>7.7</v>
      </c>
      <c r="I80" s="36">
        <v>0.8</v>
      </c>
      <c r="J80" s="36">
        <v>1.2</v>
      </c>
      <c r="K80" s="36">
        <v>0</v>
      </c>
      <c r="L80" s="36">
        <v>2.2999999999999998</v>
      </c>
      <c r="M80" s="58">
        <v>8</v>
      </c>
      <c r="N80" s="7"/>
      <c r="P80" s="57">
        <v>28</v>
      </c>
      <c r="Q80" s="36">
        <v>22.7</v>
      </c>
      <c r="R80" s="36">
        <v>33.5</v>
      </c>
      <c r="S80" s="36">
        <v>6.9</v>
      </c>
      <c r="T80" s="36">
        <v>8.8000000000000007</v>
      </c>
      <c r="U80" s="36">
        <v>0</v>
      </c>
      <c r="V80" s="36">
        <v>0</v>
      </c>
      <c r="W80" s="36">
        <v>0</v>
      </c>
      <c r="X80" s="36">
        <v>0</v>
      </c>
      <c r="Y80" s="36">
        <v>0</v>
      </c>
      <c r="Z80" s="36">
        <v>0.7</v>
      </c>
      <c r="AA80" s="36">
        <v>30.9</v>
      </c>
      <c r="AB80" s="58">
        <v>17.5</v>
      </c>
      <c r="AC80" s="7"/>
    </row>
    <row r="81" spans="1:29">
      <c r="A81" s="57">
        <v>29</v>
      </c>
      <c r="B81" s="36">
        <v>31.9</v>
      </c>
      <c r="C81" s="40">
        <v>3</v>
      </c>
      <c r="D81" s="36">
        <v>0</v>
      </c>
      <c r="E81" s="38">
        <v>0</v>
      </c>
      <c r="F81" s="36">
        <v>0</v>
      </c>
      <c r="G81" s="36">
        <v>0</v>
      </c>
      <c r="H81" s="36">
        <v>9.6999999999999993</v>
      </c>
      <c r="I81" s="36">
        <v>1.5</v>
      </c>
      <c r="J81" s="36">
        <v>0</v>
      </c>
      <c r="K81" s="38">
        <v>0</v>
      </c>
      <c r="L81" s="36">
        <v>1.4</v>
      </c>
      <c r="M81" s="58">
        <v>0</v>
      </c>
      <c r="N81" s="7"/>
      <c r="P81" s="57">
        <v>29</v>
      </c>
      <c r="Q81" s="36">
        <v>5.0999999999999996</v>
      </c>
      <c r="R81" s="36"/>
      <c r="S81" s="36">
        <v>2.5</v>
      </c>
      <c r="T81" s="36">
        <v>4.2</v>
      </c>
      <c r="U81" s="36">
        <v>0</v>
      </c>
      <c r="V81" s="36">
        <v>0</v>
      </c>
      <c r="W81" s="36">
        <v>0</v>
      </c>
      <c r="X81" s="36">
        <v>0.8</v>
      </c>
      <c r="Y81" s="36">
        <v>119.7</v>
      </c>
      <c r="Z81" s="36">
        <v>17.5</v>
      </c>
      <c r="AA81" s="36">
        <v>0</v>
      </c>
      <c r="AB81" s="58">
        <v>15.8</v>
      </c>
      <c r="AC81" s="7"/>
    </row>
    <row r="82" spans="1:29">
      <c r="A82" s="57">
        <v>30</v>
      </c>
      <c r="B82" s="36">
        <v>51</v>
      </c>
      <c r="C82" s="36"/>
      <c r="D82" s="36">
        <v>0</v>
      </c>
      <c r="E82" s="36">
        <v>0</v>
      </c>
      <c r="F82" s="36">
        <v>35.799999999999997</v>
      </c>
      <c r="G82" s="36">
        <v>0</v>
      </c>
      <c r="H82" s="36">
        <v>0</v>
      </c>
      <c r="I82" s="36">
        <v>0</v>
      </c>
      <c r="J82" s="36">
        <v>4.4000000000000004</v>
      </c>
      <c r="K82" s="36">
        <v>34.4</v>
      </c>
      <c r="L82" s="36">
        <v>63.6</v>
      </c>
      <c r="M82" s="58">
        <v>0.2</v>
      </c>
      <c r="N82" s="7"/>
      <c r="P82" s="57">
        <v>30</v>
      </c>
      <c r="Q82" s="36">
        <v>26.8</v>
      </c>
      <c r="R82" s="36"/>
      <c r="S82" s="36">
        <v>3</v>
      </c>
      <c r="T82" s="36">
        <v>0.6</v>
      </c>
      <c r="U82" s="36">
        <v>0</v>
      </c>
      <c r="V82" s="36">
        <v>0</v>
      </c>
      <c r="W82" s="36">
        <v>0</v>
      </c>
      <c r="X82" s="36">
        <v>0</v>
      </c>
      <c r="Y82" s="36">
        <v>4.2</v>
      </c>
      <c r="Z82" s="36">
        <v>0.4</v>
      </c>
      <c r="AA82" s="36">
        <v>6.1</v>
      </c>
      <c r="AB82" s="58">
        <v>14</v>
      </c>
      <c r="AC82" s="7"/>
    </row>
    <row r="83" spans="1:29">
      <c r="A83" s="57">
        <v>31</v>
      </c>
      <c r="B83" s="36">
        <v>1</v>
      </c>
      <c r="C83" s="24"/>
      <c r="D83" s="36">
        <v>0</v>
      </c>
      <c r="E83" s="24"/>
      <c r="F83" s="36">
        <v>1</v>
      </c>
      <c r="G83" s="24"/>
      <c r="H83" s="36">
        <v>0</v>
      </c>
      <c r="I83" s="36"/>
      <c r="J83" s="24"/>
      <c r="K83" s="36">
        <v>10</v>
      </c>
      <c r="L83" s="24"/>
      <c r="M83" s="58">
        <v>30.5</v>
      </c>
      <c r="N83" s="7"/>
      <c r="P83" s="57">
        <v>31</v>
      </c>
      <c r="Q83" s="36">
        <v>7.3</v>
      </c>
      <c r="R83" s="24"/>
      <c r="S83" s="36">
        <v>67.8</v>
      </c>
      <c r="T83" s="24"/>
      <c r="U83" s="36">
        <v>12.8</v>
      </c>
      <c r="V83" s="24"/>
      <c r="W83" s="36">
        <v>0</v>
      </c>
      <c r="X83" s="36">
        <v>0</v>
      </c>
      <c r="Y83" s="24"/>
      <c r="Z83" s="36">
        <v>10.199999999999999</v>
      </c>
      <c r="AA83" s="36"/>
      <c r="AB83" s="58"/>
      <c r="AC83" s="7"/>
    </row>
    <row r="84" spans="1:29">
      <c r="A84" s="59"/>
      <c r="B84" s="26"/>
      <c r="C84" s="26"/>
      <c r="D84" s="26"/>
      <c r="E84" s="27"/>
      <c r="F84" s="26"/>
      <c r="G84" s="26"/>
      <c r="H84" s="26"/>
      <c r="I84" s="26"/>
      <c r="J84" s="26"/>
      <c r="K84" s="26"/>
      <c r="L84" s="28"/>
      <c r="M84" s="60"/>
      <c r="N84" s="7"/>
      <c r="P84" s="59"/>
      <c r="Q84" s="26"/>
      <c r="R84" s="26"/>
      <c r="S84" s="26"/>
      <c r="T84" s="27"/>
      <c r="U84" s="36"/>
      <c r="V84" s="26"/>
      <c r="W84" s="26"/>
      <c r="X84" s="26"/>
      <c r="Y84" s="26"/>
      <c r="Z84" s="26"/>
      <c r="AA84" s="24"/>
      <c r="AB84" s="60"/>
      <c r="AC84" s="7"/>
    </row>
    <row r="85" spans="1:29">
      <c r="A85" s="57" t="s">
        <v>65</v>
      </c>
      <c r="B85" s="30">
        <f>SUM(B53:B83)</f>
        <v>315.5</v>
      </c>
      <c r="C85" s="30">
        <f t="shared" ref="C85:M85" si="4">SUM(C53:C83)</f>
        <v>236.9</v>
      </c>
      <c r="D85" s="30">
        <f t="shared" si="4"/>
        <v>131.69999999999999</v>
      </c>
      <c r="E85" s="30">
        <f t="shared" si="4"/>
        <v>326.20000000000005</v>
      </c>
      <c r="F85" s="30">
        <f t="shared" si="4"/>
        <v>227</v>
      </c>
      <c r="G85" s="30">
        <f t="shared" si="4"/>
        <v>263.59999999999997</v>
      </c>
      <c r="H85" s="30">
        <f t="shared" si="4"/>
        <v>473.2</v>
      </c>
      <c r="I85" s="30">
        <f t="shared" si="4"/>
        <v>244.89999999999998</v>
      </c>
      <c r="J85" s="30">
        <f t="shared" si="4"/>
        <v>414.50000000000006</v>
      </c>
      <c r="K85" s="30">
        <f t="shared" si="4"/>
        <v>244</v>
      </c>
      <c r="L85" s="30">
        <f t="shared" si="4"/>
        <v>388.5</v>
      </c>
      <c r="M85" s="30">
        <f t="shared" si="4"/>
        <v>140.80000000000001</v>
      </c>
      <c r="N85" s="37">
        <f>SUM(B85:M85)</f>
        <v>3406.8</v>
      </c>
      <c r="P85" s="57" t="s">
        <v>65</v>
      </c>
      <c r="Q85" s="30">
        <f>SUM(Q53:Q83)</f>
        <v>255.4</v>
      </c>
      <c r="R85" s="30">
        <f t="shared" ref="R85:AB85" si="5">SUM(R53:R83)</f>
        <v>130.30000000000001</v>
      </c>
      <c r="S85" s="30">
        <f t="shared" si="5"/>
        <v>295.40000000000003</v>
      </c>
      <c r="T85" s="30">
        <f t="shared" si="5"/>
        <v>158.6</v>
      </c>
      <c r="U85" s="30">
        <f t="shared" si="5"/>
        <v>120.99999999999999</v>
      </c>
      <c r="V85" s="30">
        <f t="shared" si="5"/>
        <v>250.19999999999996</v>
      </c>
      <c r="W85" s="30">
        <f t="shared" si="5"/>
        <v>354.6</v>
      </c>
      <c r="X85" s="30">
        <f t="shared" si="5"/>
        <v>73.7</v>
      </c>
      <c r="Y85" s="30">
        <f t="shared" si="5"/>
        <v>213.79999999999998</v>
      </c>
      <c r="Z85" s="30">
        <f t="shared" si="5"/>
        <v>363.2999999999999</v>
      </c>
      <c r="AA85" s="30">
        <f t="shared" si="5"/>
        <v>485.5</v>
      </c>
      <c r="AB85" s="30">
        <f t="shared" si="5"/>
        <v>408.70000000000005</v>
      </c>
      <c r="AC85" s="37">
        <f>SUM(Q85:AB85)</f>
        <v>3110.5</v>
      </c>
    </row>
    <row r="86" spans="1:29">
      <c r="A86" s="57" t="s">
        <v>66</v>
      </c>
      <c r="B86" s="30">
        <f>MAX(B53:B83)</f>
        <v>73.400000000000006</v>
      </c>
      <c r="C86" s="30">
        <f t="shared" ref="C86:M86" si="6">MAX(C53:C83)</f>
        <v>43.9</v>
      </c>
      <c r="D86" s="30">
        <f t="shared" si="6"/>
        <v>45</v>
      </c>
      <c r="E86" s="30">
        <f t="shared" si="6"/>
        <v>98.9</v>
      </c>
      <c r="F86" s="30">
        <f t="shared" si="6"/>
        <v>58.8</v>
      </c>
      <c r="G86" s="30">
        <f t="shared" si="6"/>
        <v>64.3</v>
      </c>
      <c r="H86" s="30">
        <f t="shared" si="6"/>
        <v>65</v>
      </c>
      <c r="I86" s="30">
        <f t="shared" si="6"/>
        <v>37.6</v>
      </c>
      <c r="J86" s="30">
        <f t="shared" si="6"/>
        <v>96.1</v>
      </c>
      <c r="K86" s="30">
        <f t="shared" si="6"/>
        <v>43.3</v>
      </c>
      <c r="L86" s="30">
        <f t="shared" si="6"/>
        <v>63.6</v>
      </c>
      <c r="M86" s="30">
        <f t="shared" si="6"/>
        <v>30.5</v>
      </c>
      <c r="N86" s="37">
        <f>MAX(B86:M86)</f>
        <v>98.9</v>
      </c>
      <c r="P86" s="57" t="s">
        <v>66</v>
      </c>
      <c r="Q86" s="30">
        <f>MAX(Q53:Q83)</f>
        <v>70.900000000000006</v>
      </c>
      <c r="R86" s="30">
        <f t="shared" ref="R86:AB86" si="7">MAX(R53:R83)</f>
        <v>47.3</v>
      </c>
      <c r="S86" s="30">
        <f t="shared" si="7"/>
        <v>80.8</v>
      </c>
      <c r="T86" s="30">
        <f t="shared" si="7"/>
        <v>56.2</v>
      </c>
      <c r="U86" s="30">
        <f t="shared" si="7"/>
        <v>68</v>
      </c>
      <c r="V86" s="30">
        <f t="shared" si="7"/>
        <v>114.5</v>
      </c>
      <c r="W86" s="30">
        <f t="shared" si="7"/>
        <v>85.9</v>
      </c>
      <c r="X86" s="30">
        <f t="shared" si="7"/>
        <v>22.4</v>
      </c>
      <c r="Y86" s="30">
        <f t="shared" si="7"/>
        <v>119.7</v>
      </c>
      <c r="Z86" s="30">
        <f t="shared" si="7"/>
        <v>103.5</v>
      </c>
      <c r="AA86" s="30">
        <f t="shared" si="7"/>
        <v>85.2</v>
      </c>
      <c r="AB86" s="30">
        <f t="shared" si="7"/>
        <v>69.3</v>
      </c>
      <c r="AC86" s="37">
        <f>MAX(Q86:AB86)</f>
        <v>119.7</v>
      </c>
    </row>
    <row r="87" spans="1:29">
      <c r="A87" s="62"/>
      <c r="B87" s="7"/>
      <c r="C87" s="7"/>
      <c r="D87" s="7"/>
      <c r="E87" s="7"/>
      <c r="F87" s="7"/>
      <c r="G87" s="7"/>
      <c r="H87" s="32"/>
      <c r="I87" s="7"/>
      <c r="J87" s="7"/>
      <c r="K87" s="7"/>
      <c r="L87" s="7"/>
      <c r="M87" s="63"/>
      <c r="N87" s="7"/>
      <c r="P87" s="62"/>
      <c r="Q87" s="7"/>
      <c r="R87" s="7"/>
      <c r="S87" s="7"/>
      <c r="T87" s="7"/>
      <c r="U87" s="7"/>
      <c r="V87" s="7"/>
      <c r="W87" s="32"/>
      <c r="X87" s="7"/>
      <c r="Y87" s="7"/>
      <c r="Z87" s="7"/>
      <c r="AA87" s="7"/>
      <c r="AB87" s="63"/>
      <c r="AC87" s="7"/>
    </row>
    <row r="88" spans="1:29" ht="15.75" thickBot="1">
      <c r="A88" s="64" t="s">
        <v>67</v>
      </c>
      <c r="B88" s="65">
        <v>0</v>
      </c>
      <c r="C88" s="66" t="s">
        <v>68</v>
      </c>
      <c r="D88" s="67"/>
      <c r="E88" s="68"/>
      <c r="F88" s="68"/>
      <c r="G88" s="68"/>
      <c r="H88" s="69"/>
      <c r="I88" s="68"/>
      <c r="J88" s="68"/>
      <c r="K88" s="68"/>
      <c r="L88" s="68"/>
      <c r="M88" s="70"/>
      <c r="N88" s="7"/>
      <c r="P88" s="64" t="s">
        <v>67</v>
      </c>
      <c r="Q88" s="65">
        <v>0</v>
      </c>
      <c r="R88" s="66" t="s">
        <v>68</v>
      </c>
      <c r="S88" s="67"/>
      <c r="T88" s="68"/>
      <c r="U88" s="68"/>
      <c r="V88" s="68"/>
      <c r="W88" s="69"/>
      <c r="X88" s="68"/>
      <c r="Y88" s="68"/>
      <c r="Z88" s="68"/>
      <c r="AA88" s="68"/>
      <c r="AB88" s="70"/>
      <c r="AC88" s="7"/>
    </row>
    <row r="90" spans="1:29" ht="15.75" thickBot="1"/>
    <row r="91" spans="1:29" ht="18">
      <c r="A91" s="44" t="s">
        <v>41</v>
      </c>
      <c r="B91" s="45"/>
      <c r="C91" s="45"/>
      <c r="D91" s="45"/>
      <c r="E91" s="46">
        <v>2021</v>
      </c>
      <c r="F91" s="47"/>
      <c r="G91" s="47"/>
      <c r="H91" s="48"/>
      <c r="I91" s="47"/>
      <c r="J91" s="47"/>
      <c r="K91" s="47"/>
      <c r="L91" s="47"/>
      <c r="M91" s="49"/>
      <c r="N91" s="7"/>
      <c r="P91" s="44" t="s">
        <v>41</v>
      </c>
      <c r="Q91" s="45"/>
      <c r="R91" s="45"/>
      <c r="S91" s="45"/>
      <c r="T91" s="46">
        <v>2024</v>
      </c>
      <c r="U91" s="47"/>
      <c r="V91" s="47"/>
      <c r="W91" s="48"/>
      <c r="X91" s="47"/>
      <c r="Y91" s="47"/>
      <c r="Z91" s="47"/>
      <c r="AA91" s="47"/>
      <c r="AB91" s="49"/>
      <c r="AC91" s="7"/>
    </row>
    <row r="92" spans="1:29">
      <c r="A92" s="50"/>
      <c r="B92" s="9"/>
      <c r="C92" s="9"/>
      <c r="D92" s="9"/>
      <c r="E92" s="10"/>
      <c r="F92" s="10"/>
      <c r="G92" s="10"/>
      <c r="H92" s="11"/>
      <c r="I92" s="9"/>
      <c r="J92" s="9"/>
      <c r="K92" s="9"/>
      <c r="L92" s="9"/>
      <c r="M92" s="51"/>
      <c r="N92" s="7"/>
      <c r="P92" s="50"/>
      <c r="Q92" s="9"/>
      <c r="R92" s="9"/>
      <c r="S92" s="9"/>
      <c r="T92" s="10"/>
      <c r="U92" s="10"/>
      <c r="V92" s="10"/>
      <c r="W92" s="11"/>
      <c r="X92" s="9"/>
      <c r="Y92" s="9"/>
      <c r="Z92" s="9"/>
      <c r="AA92" s="9"/>
      <c r="AB92" s="51"/>
      <c r="AC92" s="7"/>
    </row>
    <row r="93" spans="1:29" ht="15.75">
      <c r="A93" s="52" t="s">
        <v>42</v>
      </c>
      <c r="B93" s="14"/>
      <c r="C93" s="14" t="s">
        <v>43</v>
      </c>
      <c r="D93" s="14"/>
      <c r="E93" s="14"/>
      <c r="F93" s="14"/>
      <c r="G93" s="14"/>
      <c r="H93" s="15"/>
      <c r="I93" s="14"/>
      <c r="J93" s="14" t="s">
        <v>74</v>
      </c>
      <c r="K93" s="14" t="s">
        <v>92</v>
      </c>
      <c r="L93" s="14"/>
      <c r="M93" s="51"/>
      <c r="N93" s="7"/>
      <c r="P93" s="52" t="s">
        <v>42</v>
      </c>
      <c r="Q93" s="14"/>
      <c r="R93" s="14" t="s">
        <v>43</v>
      </c>
      <c r="S93" s="14"/>
      <c r="T93" s="14"/>
      <c r="U93" s="14"/>
      <c r="V93" s="14"/>
      <c r="W93" s="15"/>
      <c r="X93" s="14"/>
      <c r="Y93" s="14" t="s">
        <v>74</v>
      </c>
      <c r="Z93" s="14" t="s">
        <v>92</v>
      </c>
      <c r="AA93" s="14"/>
      <c r="AB93" s="51"/>
      <c r="AC93" s="7"/>
    </row>
    <row r="94" spans="1:29" ht="15.75">
      <c r="A94" s="52" t="s">
        <v>46</v>
      </c>
      <c r="B94" s="14"/>
      <c r="C94" s="14" t="s">
        <v>93</v>
      </c>
      <c r="D94" s="14"/>
      <c r="E94" s="14"/>
      <c r="F94" s="14"/>
      <c r="G94" s="14"/>
      <c r="H94" s="15"/>
      <c r="I94" s="14"/>
      <c r="J94" s="14" t="s">
        <v>77</v>
      </c>
      <c r="K94" s="14" t="s">
        <v>94</v>
      </c>
      <c r="L94" s="14"/>
      <c r="M94" s="51"/>
      <c r="N94" s="7"/>
      <c r="P94" s="52" t="s">
        <v>46</v>
      </c>
      <c r="Q94" s="14"/>
      <c r="R94" s="14" t="s">
        <v>93</v>
      </c>
      <c r="S94" s="14"/>
      <c r="T94" s="14"/>
      <c r="U94" s="14"/>
      <c r="V94" s="14"/>
      <c r="W94" s="15"/>
      <c r="X94" s="14"/>
      <c r="Y94" s="14" t="s">
        <v>77</v>
      </c>
      <c r="Z94" s="14" t="s">
        <v>94</v>
      </c>
      <c r="AA94" s="14"/>
      <c r="AB94" s="51"/>
      <c r="AC94" s="7"/>
    </row>
    <row r="95" spans="1:29" ht="15.75">
      <c r="A95" s="52" t="s">
        <v>49</v>
      </c>
      <c r="B95" s="14"/>
      <c r="C95" s="14" t="s">
        <v>84</v>
      </c>
      <c r="D95" s="14"/>
      <c r="E95" s="14"/>
      <c r="F95" s="14"/>
      <c r="G95" s="14"/>
      <c r="H95" s="15"/>
      <c r="I95" s="14"/>
      <c r="J95" s="14" t="s">
        <v>51</v>
      </c>
      <c r="K95" s="14" t="s">
        <v>95</v>
      </c>
      <c r="L95" s="14"/>
      <c r="M95" s="51"/>
      <c r="N95" s="7"/>
      <c r="P95" s="52" t="s">
        <v>49</v>
      </c>
      <c r="Q95" s="14"/>
      <c r="R95" s="14" t="s">
        <v>90</v>
      </c>
      <c r="S95" s="14"/>
      <c r="T95" s="14"/>
      <c r="U95" s="14"/>
      <c r="V95" s="14"/>
      <c r="W95" s="15"/>
      <c r="X95" s="14"/>
      <c r="Y95" s="14" t="s">
        <v>51</v>
      </c>
      <c r="Z95" s="14" t="s">
        <v>95</v>
      </c>
      <c r="AA95" s="14"/>
      <c r="AB95" s="51"/>
      <c r="AC95" s="7"/>
    </row>
    <row r="96" spans="1:29">
      <c r="A96" s="53"/>
      <c r="B96" s="10"/>
      <c r="C96" s="10"/>
      <c r="D96" s="10"/>
      <c r="E96" s="10"/>
      <c r="F96" s="10"/>
      <c r="G96" s="10"/>
      <c r="H96" s="17"/>
      <c r="I96" s="10"/>
      <c r="J96" s="10"/>
      <c r="K96" s="10"/>
      <c r="L96" s="10"/>
      <c r="M96" s="54"/>
      <c r="N96" s="19"/>
      <c r="P96" s="53"/>
      <c r="Q96" s="10"/>
      <c r="R96" s="10"/>
      <c r="S96" s="10"/>
      <c r="T96" s="10"/>
      <c r="U96" s="10"/>
      <c r="V96" s="10"/>
      <c r="W96" s="17"/>
      <c r="X96" s="10"/>
      <c r="Y96" s="10"/>
      <c r="Z96" s="10"/>
      <c r="AA96" s="10"/>
      <c r="AB96" s="54"/>
      <c r="AC96" s="19"/>
    </row>
    <row r="97" spans="1:29">
      <c r="A97" s="55" t="s">
        <v>53</v>
      </c>
      <c r="B97" s="21" t="s">
        <v>54</v>
      </c>
      <c r="C97" s="21" t="s">
        <v>55</v>
      </c>
      <c r="D97" s="21" t="s">
        <v>56</v>
      </c>
      <c r="E97" s="21" t="s">
        <v>57</v>
      </c>
      <c r="F97" s="21" t="s">
        <v>20</v>
      </c>
      <c r="G97" s="21" t="s">
        <v>58</v>
      </c>
      <c r="H97" s="21" t="s">
        <v>59</v>
      </c>
      <c r="I97" s="21" t="s">
        <v>60</v>
      </c>
      <c r="J97" s="21" t="s">
        <v>61</v>
      </c>
      <c r="K97" s="21" t="s">
        <v>62</v>
      </c>
      <c r="L97" s="21" t="s">
        <v>63</v>
      </c>
      <c r="M97" s="56" t="s">
        <v>64</v>
      </c>
      <c r="N97" s="19"/>
      <c r="P97" s="55" t="s">
        <v>53</v>
      </c>
      <c r="Q97" s="21" t="s">
        <v>54</v>
      </c>
      <c r="R97" s="21" t="s">
        <v>55</v>
      </c>
      <c r="S97" s="21" t="s">
        <v>56</v>
      </c>
      <c r="T97" s="21" t="s">
        <v>57</v>
      </c>
      <c r="U97" s="21" t="s">
        <v>20</v>
      </c>
      <c r="V97" s="21" t="s">
        <v>58</v>
      </c>
      <c r="W97" s="21" t="s">
        <v>59</v>
      </c>
      <c r="X97" s="21" t="s">
        <v>60</v>
      </c>
      <c r="Y97" s="21" t="s">
        <v>61</v>
      </c>
      <c r="Z97" s="21" t="s">
        <v>62</v>
      </c>
      <c r="AA97" s="21" t="s">
        <v>63</v>
      </c>
      <c r="AB97" s="56" t="s">
        <v>64</v>
      </c>
      <c r="AC97" s="19"/>
    </row>
    <row r="98" spans="1:29">
      <c r="A98" s="57">
        <v>1</v>
      </c>
      <c r="B98" s="36">
        <v>2.6</v>
      </c>
      <c r="C98" s="36">
        <v>19.5</v>
      </c>
      <c r="D98" s="36">
        <v>0</v>
      </c>
      <c r="E98" s="36">
        <v>0</v>
      </c>
      <c r="F98" s="36">
        <v>0.8</v>
      </c>
      <c r="G98" s="36">
        <v>0</v>
      </c>
      <c r="H98" s="36">
        <v>3.5</v>
      </c>
      <c r="I98" s="36">
        <v>0</v>
      </c>
      <c r="J98" s="36">
        <v>54.5</v>
      </c>
      <c r="K98" s="36">
        <v>20.9</v>
      </c>
      <c r="L98" s="36">
        <v>11.3</v>
      </c>
      <c r="M98" s="72">
        <v>0</v>
      </c>
      <c r="N98" s="7"/>
      <c r="P98" s="57">
        <v>1</v>
      </c>
      <c r="Q98" s="36">
        <v>10.6</v>
      </c>
      <c r="R98" s="36">
        <v>44.8</v>
      </c>
      <c r="S98" s="36">
        <v>2.6</v>
      </c>
      <c r="T98" s="36">
        <v>26.9</v>
      </c>
      <c r="U98" s="36">
        <v>0</v>
      </c>
      <c r="V98" s="36">
        <v>5.4</v>
      </c>
      <c r="W98" s="36"/>
      <c r="X98" s="36"/>
      <c r="Y98" s="36"/>
      <c r="Z98" s="36"/>
      <c r="AA98" s="36"/>
      <c r="AB98" s="58"/>
      <c r="AC98" s="7"/>
    </row>
    <row r="99" spans="1:29">
      <c r="A99" s="57">
        <v>2</v>
      </c>
      <c r="B99" s="36">
        <v>0</v>
      </c>
      <c r="C99" s="36">
        <v>44.1</v>
      </c>
      <c r="D99" s="36">
        <v>0</v>
      </c>
      <c r="E99" s="36">
        <v>0</v>
      </c>
      <c r="F99" s="36">
        <v>0</v>
      </c>
      <c r="G99" s="36">
        <v>0</v>
      </c>
      <c r="H99" s="36">
        <v>4.4000000000000004</v>
      </c>
      <c r="I99" s="36">
        <v>19</v>
      </c>
      <c r="J99" s="36">
        <v>10.8</v>
      </c>
      <c r="K99" s="36">
        <v>0.3</v>
      </c>
      <c r="L99" s="36">
        <v>33.5</v>
      </c>
      <c r="M99" s="58">
        <v>0</v>
      </c>
      <c r="N99" s="7"/>
      <c r="P99" s="57">
        <v>2</v>
      </c>
      <c r="Q99" s="36">
        <v>5.4</v>
      </c>
      <c r="R99" s="36">
        <v>8.4</v>
      </c>
      <c r="S99" s="36">
        <v>19.899999999999999</v>
      </c>
      <c r="T99" s="36">
        <v>37.200000000000003</v>
      </c>
      <c r="U99" s="36">
        <v>2.8</v>
      </c>
      <c r="V99" s="36">
        <v>24.1</v>
      </c>
      <c r="W99" s="36"/>
      <c r="X99" s="36"/>
      <c r="Y99" s="36"/>
      <c r="Z99" s="36"/>
      <c r="AA99" s="36"/>
      <c r="AB99" s="58"/>
      <c r="AC99" s="7"/>
    </row>
    <row r="100" spans="1:29">
      <c r="A100" s="57">
        <v>3</v>
      </c>
      <c r="B100" s="36">
        <v>4</v>
      </c>
      <c r="C100" s="36">
        <v>1.5</v>
      </c>
      <c r="D100" s="36">
        <v>0</v>
      </c>
      <c r="E100" s="36">
        <v>0</v>
      </c>
      <c r="F100" s="36">
        <v>18.600000000000001</v>
      </c>
      <c r="G100" s="36">
        <v>9.5</v>
      </c>
      <c r="H100" s="36">
        <v>0</v>
      </c>
      <c r="I100" s="38">
        <v>0</v>
      </c>
      <c r="J100" s="36">
        <v>3.9</v>
      </c>
      <c r="K100" s="36">
        <v>0</v>
      </c>
      <c r="L100" s="36">
        <v>6.5</v>
      </c>
      <c r="M100" s="58">
        <v>0</v>
      </c>
      <c r="N100" s="7"/>
      <c r="P100" s="57">
        <v>3</v>
      </c>
      <c r="Q100" s="36">
        <v>20.399999999999999</v>
      </c>
      <c r="R100" s="36">
        <v>0</v>
      </c>
      <c r="S100" s="36">
        <v>1.5</v>
      </c>
      <c r="T100" s="36">
        <v>0.7</v>
      </c>
      <c r="U100" s="36">
        <v>8.4</v>
      </c>
      <c r="V100" s="36">
        <v>0</v>
      </c>
      <c r="W100" s="36"/>
      <c r="X100" s="36"/>
      <c r="Y100" s="36"/>
      <c r="Z100" s="36"/>
      <c r="AA100" s="36"/>
      <c r="AB100" s="58"/>
      <c r="AC100" s="7"/>
    </row>
    <row r="101" spans="1:29">
      <c r="A101" s="57">
        <v>4</v>
      </c>
      <c r="B101" s="36">
        <v>2.1</v>
      </c>
      <c r="C101" s="36">
        <v>0.8</v>
      </c>
      <c r="D101" s="36">
        <v>15.8</v>
      </c>
      <c r="E101" s="36">
        <v>0</v>
      </c>
      <c r="F101" s="36">
        <v>0</v>
      </c>
      <c r="G101" s="36">
        <v>0</v>
      </c>
      <c r="H101" s="36">
        <v>0</v>
      </c>
      <c r="I101" s="36">
        <v>0</v>
      </c>
      <c r="J101" s="36">
        <v>1.1000000000000001</v>
      </c>
      <c r="K101" s="36">
        <v>15.1</v>
      </c>
      <c r="L101" s="36">
        <v>12.1</v>
      </c>
      <c r="M101" s="58">
        <v>5.6</v>
      </c>
      <c r="N101" s="7"/>
      <c r="P101" s="57">
        <v>4</v>
      </c>
      <c r="Q101" s="36">
        <v>1.6</v>
      </c>
      <c r="R101" s="36">
        <v>26.1</v>
      </c>
      <c r="S101" s="36">
        <v>12.2</v>
      </c>
      <c r="T101" s="36">
        <v>3</v>
      </c>
      <c r="U101" s="36">
        <v>0</v>
      </c>
      <c r="V101" s="36">
        <v>0</v>
      </c>
      <c r="W101" s="36"/>
      <c r="X101" s="42"/>
      <c r="Y101" s="36"/>
      <c r="Z101" s="36"/>
      <c r="AA101" s="36"/>
      <c r="AB101" s="58"/>
      <c r="AC101" s="7"/>
    </row>
    <row r="102" spans="1:29">
      <c r="A102" s="57">
        <v>5</v>
      </c>
      <c r="B102" s="36">
        <v>14.8</v>
      </c>
      <c r="C102" s="36">
        <v>0</v>
      </c>
      <c r="D102" s="36">
        <v>14.2</v>
      </c>
      <c r="E102" s="36">
        <v>0</v>
      </c>
      <c r="F102" s="36">
        <v>0.4</v>
      </c>
      <c r="G102" s="36">
        <v>0</v>
      </c>
      <c r="H102" s="36">
        <v>0</v>
      </c>
      <c r="I102" s="36">
        <v>15.6</v>
      </c>
      <c r="J102" s="36">
        <v>10.6</v>
      </c>
      <c r="K102" s="36">
        <v>4.7</v>
      </c>
      <c r="L102" s="36">
        <v>2.5</v>
      </c>
      <c r="M102" s="58">
        <v>0</v>
      </c>
      <c r="N102" s="7"/>
      <c r="P102" s="57">
        <v>5</v>
      </c>
      <c r="Q102" s="36">
        <v>31.4</v>
      </c>
      <c r="R102" s="36">
        <v>0</v>
      </c>
      <c r="S102" s="36">
        <v>10.5</v>
      </c>
      <c r="T102" s="36">
        <v>0</v>
      </c>
      <c r="U102" s="36">
        <v>105.1</v>
      </c>
      <c r="V102" s="36">
        <v>4.4000000000000004</v>
      </c>
      <c r="W102" s="36"/>
      <c r="X102" s="36"/>
      <c r="Y102" s="36"/>
      <c r="Z102" s="36"/>
      <c r="AA102" s="36"/>
      <c r="AB102" s="58"/>
      <c r="AC102" s="7"/>
    </row>
    <row r="103" spans="1:29">
      <c r="A103" s="57">
        <v>6</v>
      </c>
      <c r="B103" s="36">
        <v>0</v>
      </c>
      <c r="C103" s="36">
        <v>2.2999999999999998</v>
      </c>
      <c r="D103" s="36">
        <v>8.1</v>
      </c>
      <c r="E103" s="36">
        <v>0</v>
      </c>
      <c r="F103" s="36">
        <v>0.5</v>
      </c>
      <c r="G103" s="36">
        <v>2</v>
      </c>
      <c r="H103" s="36">
        <v>0</v>
      </c>
      <c r="I103" s="36">
        <v>0.3</v>
      </c>
      <c r="J103" s="36">
        <v>11.1</v>
      </c>
      <c r="K103" s="36">
        <v>0</v>
      </c>
      <c r="L103" s="36">
        <v>0.4</v>
      </c>
      <c r="M103" s="58">
        <v>7.9</v>
      </c>
      <c r="N103" s="7"/>
      <c r="P103" s="57">
        <v>6</v>
      </c>
      <c r="Q103" s="36">
        <v>5.3</v>
      </c>
      <c r="R103" s="36">
        <v>0</v>
      </c>
      <c r="S103" s="36">
        <v>17.7</v>
      </c>
      <c r="T103" s="36">
        <v>0</v>
      </c>
      <c r="U103" s="36">
        <v>0</v>
      </c>
      <c r="V103" s="36">
        <v>0</v>
      </c>
      <c r="W103" s="36"/>
      <c r="X103" s="36"/>
      <c r="Y103" s="36"/>
      <c r="Z103" s="36"/>
      <c r="AA103" s="36"/>
      <c r="AB103" s="58"/>
      <c r="AC103" s="7"/>
    </row>
    <row r="104" spans="1:29">
      <c r="A104" s="57">
        <v>7</v>
      </c>
      <c r="B104" s="36">
        <v>1.9</v>
      </c>
      <c r="C104" s="36">
        <v>0</v>
      </c>
      <c r="D104" s="36">
        <v>119.1</v>
      </c>
      <c r="E104" s="36">
        <v>0</v>
      </c>
      <c r="F104" s="36">
        <v>7.4</v>
      </c>
      <c r="G104" s="36">
        <v>1.1000000000000001</v>
      </c>
      <c r="H104" s="36">
        <v>1</v>
      </c>
      <c r="I104" s="36">
        <v>7</v>
      </c>
      <c r="J104" s="36">
        <v>2.7</v>
      </c>
      <c r="K104" s="36">
        <v>2</v>
      </c>
      <c r="L104" s="36">
        <v>1.5</v>
      </c>
      <c r="M104" s="58">
        <v>0</v>
      </c>
      <c r="N104" s="7"/>
      <c r="P104" s="57">
        <v>7</v>
      </c>
      <c r="Q104" s="36">
        <v>3.4</v>
      </c>
      <c r="R104" s="36">
        <v>0</v>
      </c>
      <c r="S104" s="36">
        <v>14.6</v>
      </c>
      <c r="T104" s="36">
        <v>0</v>
      </c>
      <c r="U104" s="36">
        <v>0</v>
      </c>
      <c r="V104" s="36">
        <v>0</v>
      </c>
      <c r="W104" s="36"/>
      <c r="X104" s="36"/>
      <c r="Y104" s="36"/>
      <c r="Z104" s="36"/>
      <c r="AA104" s="36"/>
      <c r="AB104" s="58"/>
      <c r="AC104" s="7"/>
    </row>
    <row r="105" spans="1:29">
      <c r="A105" s="57">
        <v>8</v>
      </c>
      <c r="B105" s="36">
        <v>33.700000000000003</v>
      </c>
      <c r="C105" s="36">
        <v>0</v>
      </c>
      <c r="D105" s="36">
        <v>34.299999999999997</v>
      </c>
      <c r="E105" s="36">
        <v>0</v>
      </c>
      <c r="F105" s="36">
        <v>2.5</v>
      </c>
      <c r="G105" s="36">
        <v>0</v>
      </c>
      <c r="H105" s="36">
        <v>1</v>
      </c>
      <c r="I105" s="36">
        <v>27.8</v>
      </c>
      <c r="J105" s="36">
        <v>31.1</v>
      </c>
      <c r="K105" s="36">
        <v>50.2</v>
      </c>
      <c r="L105" s="36">
        <v>0</v>
      </c>
      <c r="M105" s="58">
        <v>0</v>
      </c>
      <c r="N105" s="7"/>
      <c r="P105" s="57">
        <v>8</v>
      </c>
      <c r="Q105" s="36">
        <v>0</v>
      </c>
      <c r="R105" s="36">
        <v>0</v>
      </c>
      <c r="S105" s="36">
        <v>22</v>
      </c>
      <c r="T105" s="36">
        <v>0.8</v>
      </c>
      <c r="U105" s="36">
        <v>0</v>
      </c>
      <c r="V105" s="36">
        <v>1.7</v>
      </c>
      <c r="W105" s="36"/>
      <c r="X105" s="36"/>
      <c r="Y105" s="36"/>
      <c r="Z105" s="36"/>
      <c r="AA105" s="36"/>
      <c r="AB105" s="58"/>
      <c r="AC105" s="7"/>
    </row>
    <row r="106" spans="1:29">
      <c r="A106" s="57">
        <v>9</v>
      </c>
      <c r="B106" s="36">
        <v>0.1</v>
      </c>
      <c r="C106" s="36">
        <v>0</v>
      </c>
      <c r="D106" s="36">
        <v>8.3000000000000007</v>
      </c>
      <c r="E106" s="38">
        <v>0</v>
      </c>
      <c r="F106" s="36">
        <v>3.6</v>
      </c>
      <c r="G106" s="36">
        <v>0.3</v>
      </c>
      <c r="H106" s="36">
        <v>0.4</v>
      </c>
      <c r="I106" s="36">
        <v>5.8</v>
      </c>
      <c r="J106" s="36">
        <v>0</v>
      </c>
      <c r="K106" s="36">
        <v>0</v>
      </c>
      <c r="L106" s="36">
        <v>2</v>
      </c>
      <c r="M106" s="58">
        <v>0</v>
      </c>
      <c r="N106" s="7"/>
      <c r="P106" s="57">
        <v>9</v>
      </c>
      <c r="Q106" s="36">
        <v>0</v>
      </c>
      <c r="R106" s="36">
        <v>0</v>
      </c>
      <c r="S106" s="36">
        <v>72.3</v>
      </c>
      <c r="T106" s="36">
        <v>0</v>
      </c>
      <c r="U106" s="36">
        <v>18.899999999999999</v>
      </c>
      <c r="V106" s="36">
        <v>0</v>
      </c>
      <c r="W106" s="36"/>
      <c r="X106" s="36"/>
      <c r="Y106" s="36"/>
      <c r="Z106" s="36"/>
      <c r="AA106" s="36"/>
      <c r="AB106" s="58"/>
      <c r="AC106" s="7"/>
    </row>
    <row r="107" spans="1:29">
      <c r="A107" s="57">
        <v>10</v>
      </c>
      <c r="B107" s="36">
        <v>1.9</v>
      </c>
      <c r="C107" s="36">
        <v>0</v>
      </c>
      <c r="D107" s="36">
        <v>0</v>
      </c>
      <c r="E107" s="36">
        <v>0</v>
      </c>
      <c r="F107" s="36">
        <v>0</v>
      </c>
      <c r="G107" s="36">
        <v>39</v>
      </c>
      <c r="H107" s="36">
        <v>0</v>
      </c>
      <c r="I107" s="36">
        <v>0</v>
      </c>
      <c r="J107" s="36">
        <v>0</v>
      </c>
      <c r="K107" s="36">
        <v>0</v>
      </c>
      <c r="L107" s="36">
        <v>47.2</v>
      </c>
      <c r="M107" s="58">
        <v>0</v>
      </c>
      <c r="N107" s="7"/>
      <c r="P107" s="57">
        <v>10</v>
      </c>
      <c r="Q107" s="36">
        <v>0</v>
      </c>
      <c r="R107" s="36">
        <v>6.6</v>
      </c>
      <c r="S107" s="36">
        <v>0</v>
      </c>
      <c r="T107" s="36">
        <v>0</v>
      </c>
      <c r="U107" s="38">
        <v>0</v>
      </c>
      <c r="V107" s="36">
        <v>0.3</v>
      </c>
      <c r="W107" s="36"/>
      <c r="X107" s="36"/>
      <c r="Y107" s="36"/>
      <c r="Z107" s="36"/>
      <c r="AA107" s="36"/>
      <c r="AB107" s="58"/>
      <c r="AC107" s="7"/>
    </row>
    <row r="108" spans="1:29">
      <c r="A108" s="57">
        <v>11</v>
      </c>
      <c r="B108" s="36">
        <v>19.3</v>
      </c>
      <c r="C108" s="36">
        <v>0</v>
      </c>
      <c r="D108" s="36">
        <v>16.5</v>
      </c>
      <c r="E108" s="36">
        <v>59.8</v>
      </c>
      <c r="F108" s="36">
        <v>7.2</v>
      </c>
      <c r="G108" s="36">
        <v>1.6</v>
      </c>
      <c r="H108" s="36">
        <v>2</v>
      </c>
      <c r="I108" s="36">
        <v>2.4</v>
      </c>
      <c r="J108" s="36">
        <v>5</v>
      </c>
      <c r="K108" s="36">
        <v>0</v>
      </c>
      <c r="L108" s="36">
        <v>71.7</v>
      </c>
      <c r="M108" s="58">
        <v>0</v>
      </c>
      <c r="N108" s="7"/>
      <c r="P108" s="57">
        <v>11</v>
      </c>
      <c r="Q108" s="36">
        <v>15.1</v>
      </c>
      <c r="R108" s="36">
        <v>12.2</v>
      </c>
      <c r="S108" s="36">
        <v>0</v>
      </c>
      <c r="T108" s="36">
        <v>14.3</v>
      </c>
      <c r="U108" s="36">
        <v>1.4</v>
      </c>
      <c r="V108" s="36">
        <v>22.3</v>
      </c>
      <c r="W108" s="36"/>
      <c r="X108" s="36"/>
      <c r="Y108" s="36"/>
      <c r="Z108" s="36"/>
      <c r="AA108" s="36"/>
      <c r="AB108" s="58"/>
      <c r="AC108" s="7"/>
    </row>
    <row r="109" spans="1:29">
      <c r="A109" s="57">
        <v>12</v>
      </c>
      <c r="B109" s="36">
        <v>1.6</v>
      </c>
      <c r="C109" s="36">
        <v>0</v>
      </c>
      <c r="D109" s="36">
        <v>3</v>
      </c>
      <c r="E109" s="36">
        <v>10.7</v>
      </c>
      <c r="F109" s="36">
        <v>0</v>
      </c>
      <c r="G109" s="36">
        <v>4.3</v>
      </c>
      <c r="H109" s="36">
        <v>26.4</v>
      </c>
      <c r="I109" s="38">
        <v>0</v>
      </c>
      <c r="J109" s="38">
        <v>0</v>
      </c>
      <c r="K109" s="36">
        <v>0</v>
      </c>
      <c r="L109" s="36">
        <v>0</v>
      </c>
      <c r="M109" s="58">
        <v>1.2</v>
      </c>
      <c r="N109" s="7"/>
      <c r="P109" s="57">
        <v>12</v>
      </c>
      <c r="Q109" s="36">
        <v>0</v>
      </c>
      <c r="R109" s="36">
        <v>11.5</v>
      </c>
      <c r="S109" s="36">
        <v>0.8</v>
      </c>
      <c r="T109" s="36">
        <v>0</v>
      </c>
      <c r="U109" s="36">
        <v>38.200000000000003</v>
      </c>
      <c r="V109" s="36">
        <v>1.5</v>
      </c>
      <c r="W109" s="36"/>
      <c r="X109" s="36"/>
      <c r="Y109" s="36"/>
      <c r="Z109" s="36"/>
      <c r="AA109" s="36"/>
      <c r="AB109" s="58"/>
      <c r="AC109" s="7"/>
    </row>
    <row r="110" spans="1:29">
      <c r="A110" s="57">
        <v>13</v>
      </c>
      <c r="B110" s="36">
        <v>14</v>
      </c>
      <c r="C110" s="36">
        <v>0</v>
      </c>
      <c r="D110" s="36">
        <v>0</v>
      </c>
      <c r="E110" s="36">
        <v>0</v>
      </c>
      <c r="F110" s="36">
        <v>23.2</v>
      </c>
      <c r="G110" s="38">
        <v>0</v>
      </c>
      <c r="H110" s="36">
        <v>10.6</v>
      </c>
      <c r="I110" s="36">
        <v>2.5</v>
      </c>
      <c r="J110" s="36">
        <v>17</v>
      </c>
      <c r="K110" s="36">
        <v>0</v>
      </c>
      <c r="L110" s="36">
        <v>9.3000000000000007</v>
      </c>
      <c r="M110" s="58">
        <v>0</v>
      </c>
      <c r="N110" s="7"/>
      <c r="P110" s="57">
        <v>13</v>
      </c>
      <c r="Q110" s="36">
        <v>56.1</v>
      </c>
      <c r="R110" s="36">
        <v>2.1</v>
      </c>
      <c r="S110" s="36">
        <v>0</v>
      </c>
      <c r="T110" s="36">
        <v>3</v>
      </c>
      <c r="U110" s="36">
        <v>0.2</v>
      </c>
      <c r="V110" s="36">
        <v>6</v>
      </c>
      <c r="W110" s="36"/>
      <c r="X110" s="36"/>
      <c r="Y110" s="36"/>
      <c r="Z110" s="36"/>
      <c r="AA110" s="36"/>
      <c r="AB110" s="58"/>
      <c r="AC110" s="7"/>
    </row>
    <row r="111" spans="1:29">
      <c r="A111" s="57">
        <v>14</v>
      </c>
      <c r="B111" s="36">
        <v>51.6</v>
      </c>
      <c r="C111" s="36">
        <v>0</v>
      </c>
      <c r="D111" s="38">
        <v>0</v>
      </c>
      <c r="E111" s="36">
        <v>4.8</v>
      </c>
      <c r="F111" s="36">
        <v>0</v>
      </c>
      <c r="G111" s="36">
        <v>28.2</v>
      </c>
      <c r="H111" s="36">
        <v>162</v>
      </c>
      <c r="I111" s="36">
        <v>66.8</v>
      </c>
      <c r="J111" s="36">
        <v>29</v>
      </c>
      <c r="K111" s="36">
        <v>0</v>
      </c>
      <c r="L111" s="38">
        <v>0</v>
      </c>
      <c r="M111" s="58">
        <v>7.5</v>
      </c>
      <c r="N111" s="7"/>
      <c r="P111" s="57">
        <v>14</v>
      </c>
      <c r="Q111" s="36">
        <v>8.9</v>
      </c>
      <c r="R111" s="36">
        <v>23.5</v>
      </c>
      <c r="S111" s="36">
        <v>0</v>
      </c>
      <c r="T111" s="36">
        <v>15</v>
      </c>
      <c r="U111" s="36">
        <v>3.6</v>
      </c>
      <c r="V111" s="36">
        <v>0</v>
      </c>
      <c r="W111" s="36"/>
      <c r="X111" s="36"/>
      <c r="Y111" s="36"/>
      <c r="Z111" s="36"/>
      <c r="AA111" s="36"/>
      <c r="AB111" s="58"/>
      <c r="AC111" s="7"/>
    </row>
    <row r="112" spans="1:29">
      <c r="A112" s="57">
        <v>15</v>
      </c>
      <c r="B112" s="36">
        <v>78.400000000000006</v>
      </c>
      <c r="C112" s="36">
        <v>0</v>
      </c>
      <c r="D112" s="36">
        <v>18.899999999999999</v>
      </c>
      <c r="E112" s="36">
        <v>0.5</v>
      </c>
      <c r="F112" s="36">
        <v>0</v>
      </c>
      <c r="G112" s="36">
        <v>0</v>
      </c>
      <c r="H112" s="36">
        <v>0</v>
      </c>
      <c r="I112" s="36">
        <v>41.1</v>
      </c>
      <c r="J112" s="36">
        <v>0.1</v>
      </c>
      <c r="K112" s="36">
        <v>0</v>
      </c>
      <c r="L112" s="36">
        <v>52.4</v>
      </c>
      <c r="M112" s="58">
        <v>47.5</v>
      </c>
      <c r="N112" s="7"/>
      <c r="P112" s="57">
        <v>15</v>
      </c>
      <c r="Q112" s="36">
        <v>6.6</v>
      </c>
      <c r="R112" s="36">
        <v>12.8</v>
      </c>
      <c r="S112" s="36">
        <v>0</v>
      </c>
      <c r="T112" s="36">
        <v>2</v>
      </c>
      <c r="U112" s="36">
        <v>0</v>
      </c>
      <c r="V112" s="36">
        <v>0</v>
      </c>
      <c r="W112" s="36"/>
      <c r="X112" s="36"/>
      <c r="Y112" s="36"/>
      <c r="Z112" s="36"/>
      <c r="AA112" s="36"/>
      <c r="AB112" s="58"/>
      <c r="AC112" s="7"/>
    </row>
    <row r="113" spans="1:29">
      <c r="A113" s="57">
        <v>16</v>
      </c>
      <c r="B113" s="36">
        <v>3.9</v>
      </c>
      <c r="C113" s="36">
        <v>0</v>
      </c>
      <c r="D113" s="36">
        <v>0</v>
      </c>
      <c r="E113" s="36">
        <v>56.4</v>
      </c>
      <c r="F113" s="36">
        <v>0</v>
      </c>
      <c r="G113" s="36">
        <v>24</v>
      </c>
      <c r="H113" s="36">
        <v>0</v>
      </c>
      <c r="I113" s="36">
        <v>7.4</v>
      </c>
      <c r="J113" s="36">
        <v>0</v>
      </c>
      <c r="K113" s="36">
        <v>6.1</v>
      </c>
      <c r="L113" s="36">
        <v>1</v>
      </c>
      <c r="M113" s="58">
        <v>25</v>
      </c>
      <c r="N113" s="7"/>
      <c r="P113" s="57">
        <v>16</v>
      </c>
      <c r="Q113" s="36">
        <v>3.4</v>
      </c>
      <c r="R113" s="36">
        <v>26</v>
      </c>
      <c r="S113" s="36">
        <v>0</v>
      </c>
      <c r="T113" s="36">
        <v>0.2</v>
      </c>
      <c r="U113" s="36">
        <v>22</v>
      </c>
      <c r="V113" s="36">
        <v>0</v>
      </c>
      <c r="W113" s="36"/>
      <c r="X113" s="36"/>
      <c r="Y113" s="36"/>
      <c r="Z113" s="36"/>
      <c r="AA113" s="36"/>
      <c r="AB113" s="58"/>
      <c r="AC113" s="7"/>
    </row>
    <row r="114" spans="1:29">
      <c r="A114" s="57">
        <v>17</v>
      </c>
      <c r="B114" s="36">
        <v>0</v>
      </c>
      <c r="C114" s="36">
        <v>0</v>
      </c>
      <c r="D114" s="36">
        <v>3.4</v>
      </c>
      <c r="E114" s="36">
        <v>15.1</v>
      </c>
      <c r="F114" s="36">
        <v>11.1</v>
      </c>
      <c r="G114" s="36">
        <v>11.1</v>
      </c>
      <c r="H114" s="36">
        <v>0</v>
      </c>
      <c r="I114" s="36">
        <v>2.5</v>
      </c>
      <c r="J114" s="38">
        <v>0</v>
      </c>
      <c r="K114" s="36">
        <v>2.4</v>
      </c>
      <c r="L114" s="38">
        <v>0</v>
      </c>
      <c r="M114" s="58">
        <v>6.3</v>
      </c>
      <c r="N114" s="7"/>
      <c r="P114" s="57">
        <v>17</v>
      </c>
      <c r="Q114" s="36">
        <v>0</v>
      </c>
      <c r="R114" s="36">
        <v>13</v>
      </c>
      <c r="S114" s="36">
        <v>0</v>
      </c>
      <c r="T114" s="36">
        <v>28.8</v>
      </c>
      <c r="U114" s="36">
        <v>0</v>
      </c>
      <c r="V114" s="36">
        <v>0</v>
      </c>
      <c r="W114" s="36"/>
      <c r="X114" s="36"/>
      <c r="Y114" s="36"/>
      <c r="Z114" s="36"/>
      <c r="AA114" s="36"/>
      <c r="AB114" s="58"/>
      <c r="AC114" s="7"/>
    </row>
    <row r="115" spans="1:29">
      <c r="A115" s="57">
        <v>18</v>
      </c>
      <c r="C115" s="36">
        <v>0</v>
      </c>
      <c r="D115" s="36">
        <v>0</v>
      </c>
      <c r="E115" s="36">
        <v>13.8</v>
      </c>
      <c r="F115" s="36">
        <v>7.4</v>
      </c>
      <c r="G115" s="36">
        <v>30.7</v>
      </c>
      <c r="H115" s="36">
        <v>0</v>
      </c>
      <c r="I115" s="36">
        <v>89.6</v>
      </c>
      <c r="J115" s="36">
        <v>18.2</v>
      </c>
      <c r="K115" s="36">
        <v>0</v>
      </c>
      <c r="L115" s="36">
        <v>0</v>
      </c>
      <c r="M115" s="58">
        <v>0</v>
      </c>
      <c r="N115" s="7"/>
      <c r="P115" s="57">
        <v>18</v>
      </c>
      <c r="Q115" s="36">
        <v>0.1</v>
      </c>
      <c r="R115" s="36">
        <v>0.5</v>
      </c>
      <c r="S115" s="36">
        <v>0</v>
      </c>
      <c r="T115" s="36">
        <v>1.4</v>
      </c>
      <c r="U115" s="36">
        <v>99.2</v>
      </c>
      <c r="V115" s="36">
        <v>4</v>
      </c>
      <c r="W115" s="36"/>
      <c r="X115" s="36"/>
      <c r="Y115" s="36"/>
      <c r="Z115" s="36"/>
      <c r="AA115" s="36"/>
      <c r="AB115" s="58"/>
      <c r="AC115" s="7"/>
    </row>
    <row r="116" spans="1:29">
      <c r="A116" s="57">
        <v>19</v>
      </c>
      <c r="B116" s="36">
        <v>0.1</v>
      </c>
      <c r="C116" s="36">
        <v>49.9</v>
      </c>
      <c r="D116" s="36">
        <v>6</v>
      </c>
      <c r="E116" s="36">
        <v>1</v>
      </c>
      <c r="F116" s="36">
        <v>99</v>
      </c>
      <c r="G116" s="36">
        <v>0</v>
      </c>
      <c r="H116" s="38">
        <v>0</v>
      </c>
      <c r="I116" s="36">
        <v>10.1</v>
      </c>
      <c r="J116" s="36">
        <v>28.3</v>
      </c>
      <c r="K116" s="36">
        <v>11.1</v>
      </c>
      <c r="L116" s="36">
        <v>2</v>
      </c>
      <c r="M116" s="58">
        <v>28.9</v>
      </c>
      <c r="N116" s="7"/>
      <c r="P116" s="57">
        <v>19</v>
      </c>
      <c r="Q116" s="36">
        <v>23.6</v>
      </c>
      <c r="R116" s="36">
        <v>37.9</v>
      </c>
      <c r="S116" s="36">
        <v>0</v>
      </c>
      <c r="T116" s="36">
        <v>8</v>
      </c>
      <c r="U116" s="36">
        <v>16.600000000000001</v>
      </c>
      <c r="V116" s="36">
        <v>0</v>
      </c>
      <c r="W116" s="36"/>
      <c r="X116" s="36"/>
      <c r="Y116" s="36"/>
      <c r="Z116" s="36"/>
      <c r="AA116" s="36"/>
      <c r="AB116" s="58"/>
      <c r="AC116" s="7"/>
    </row>
    <row r="117" spans="1:29">
      <c r="A117" s="57">
        <v>20</v>
      </c>
      <c r="B117" s="36">
        <v>0</v>
      </c>
      <c r="C117" s="36">
        <v>0</v>
      </c>
      <c r="D117" s="36">
        <v>0</v>
      </c>
      <c r="E117" s="36">
        <v>0</v>
      </c>
      <c r="F117" s="36">
        <v>0</v>
      </c>
      <c r="G117" s="36">
        <v>0.9</v>
      </c>
      <c r="H117" s="36">
        <v>2.1</v>
      </c>
      <c r="I117" s="36">
        <v>26.5</v>
      </c>
      <c r="J117" s="36">
        <v>0</v>
      </c>
      <c r="K117" s="36">
        <v>10.8</v>
      </c>
      <c r="L117" s="36">
        <v>73.2</v>
      </c>
      <c r="M117" s="58">
        <v>9</v>
      </c>
      <c r="N117" s="7"/>
      <c r="P117" s="57">
        <v>20</v>
      </c>
      <c r="Q117" s="36">
        <v>11.1</v>
      </c>
      <c r="R117" s="36">
        <v>0</v>
      </c>
      <c r="S117" s="36">
        <v>0</v>
      </c>
      <c r="T117" s="36">
        <v>0</v>
      </c>
      <c r="U117" s="36">
        <v>81</v>
      </c>
      <c r="V117" s="36">
        <v>32.6</v>
      </c>
      <c r="W117" s="36"/>
      <c r="X117" s="36"/>
      <c r="Y117" s="36"/>
      <c r="Z117" s="36"/>
      <c r="AA117" s="36"/>
      <c r="AB117" s="58"/>
      <c r="AC117" s="7"/>
    </row>
    <row r="118" spans="1:29">
      <c r="A118" s="57">
        <v>21</v>
      </c>
      <c r="B118" s="36">
        <v>0</v>
      </c>
      <c r="C118" s="36">
        <v>1.1000000000000001</v>
      </c>
      <c r="D118" s="36">
        <v>7.5</v>
      </c>
      <c r="E118" s="36">
        <v>0.3</v>
      </c>
      <c r="F118" s="36">
        <v>17</v>
      </c>
      <c r="G118" s="36">
        <v>30.5</v>
      </c>
      <c r="H118" s="36">
        <v>0</v>
      </c>
      <c r="I118" s="36">
        <v>0</v>
      </c>
      <c r="J118" s="36">
        <v>0</v>
      </c>
      <c r="K118" s="36">
        <v>30.9</v>
      </c>
      <c r="L118" s="36">
        <v>0</v>
      </c>
      <c r="M118" s="58">
        <v>6.8</v>
      </c>
      <c r="N118" s="7"/>
      <c r="P118" s="57">
        <v>21</v>
      </c>
      <c r="Q118" s="36">
        <v>15.7</v>
      </c>
      <c r="R118" s="36">
        <v>65.3</v>
      </c>
      <c r="S118" s="36">
        <v>1.7</v>
      </c>
      <c r="T118" s="36">
        <v>56.4</v>
      </c>
      <c r="U118" s="36">
        <v>49.6</v>
      </c>
      <c r="V118" s="36">
        <v>16.2</v>
      </c>
      <c r="W118" s="36"/>
      <c r="X118" s="36"/>
      <c r="Y118" s="36"/>
      <c r="Z118" s="36"/>
      <c r="AA118" s="36"/>
      <c r="AB118" s="58"/>
      <c r="AC118" s="7"/>
    </row>
    <row r="119" spans="1:29">
      <c r="A119" s="57">
        <v>22</v>
      </c>
      <c r="B119" s="36">
        <v>0</v>
      </c>
      <c r="C119" s="36">
        <v>1.7</v>
      </c>
      <c r="D119" s="36">
        <v>3.3</v>
      </c>
      <c r="E119" s="36">
        <v>0</v>
      </c>
      <c r="F119" s="36">
        <v>61.8</v>
      </c>
      <c r="G119" s="36">
        <v>0</v>
      </c>
      <c r="H119" s="36">
        <v>0</v>
      </c>
      <c r="I119" s="36">
        <v>26.6</v>
      </c>
      <c r="J119" s="36">
        <v>0</v>
      </c>
      <c r="K119" s="36">
        <v>2</v>
      </c>
      <c r="L119" s="36">
        <v>0</v>
      </c>
      <c r="M119" s="72">
        <v>0</v>
      </c>
      <c r="N119" s="7"/>
      <c r="P119" s="57">
        <v>22</v>
      </c>
      <c r="Q119" s="36">
        <v>0</v>
      </c>
      <c r="R119" s="36">
        <v>6.3</v>
      </c>
      <c r="S119" s="36">
        <v>17.5</v>
      </c>
      <c r="T119" s="36">
        <v>12.6</v>
      </c>
      <c r="U119" s="36">
        <v>4.8</v>
      </c>
      <c r="V119" s="36">
        <v>77</v>
      </c>
      <c r="W119" s="36"/>
      <c r="X119" s="36"/>
      <c r="Y119" s="36"/>
      <c r="Z119" s="36"/>
      <c r="AA119" s="36"/>
      <c r="AB119" s="58"/>
      <c r="AC119" s="7"/>
    </row>
    <row r="120" spans="1:29">
      <c r="A120" s="57">
        <v>23</v>
      </c>
      <c r="C120" s="36">
        <v>0</v>
      </c>
      <c r="D120" s="36">
        <v>5</v>
      </c>
      <c r="E120" s="36">
        <v>1.6</v>
      </c>
      <c r="F120" s="36">
        <v>2.9</v>
      </c>
      <c r="G120" s="36">
        <v>0</v>
      </c>
      <c r="H120" s="38">
        <v>0</v>
      </c>
      <c r="I120" s="38">
        <v>0</v>
      </c>
      <c r="J120" s="36">
        <v>0</v>
      </c>
      <c r="K120" s="36">
        <v>4.3</v>
      </c>
      <c r="L120" s="36">
        <v>1</v>
      </c>
      <c r="M120" s="58">
        <v>0</v>
      </c>
      <c r="N120" s="7"/>
      <c r="P120" s="57">
        <v>23</v>
      </c>
      <c r="Q120" s="36">
        <v>0</v>
      </c>
      <c r="R120" s="36">
        <v>0</v>
      </c>
      <c r="S120" s="36">
        <v>47.1</v>
      </c>
      <c r="T120" s="36">
        <v>11.5</v>
      </c>
      <c r="U120" s="36">
        <v>0</v>
      </c>
      <c r="V120" s="36">
        <v>0</v>
      </c>
      <c r="W120" s="36"/>
      <c r="X120" s="36"/>
      <c r="Y120" s="36"/>
      <c r="Z120" s="36"/>
      <c r="AA120" s="36"/>
      <c r="AB120" s="58"/>
      <c r="AC120" s="7"/>
    </row>
    <row r="121" spans="1:29">
      <c r="A121" s="57">
        <v>24</v>
      </c>
      <c r="B121" s="36">
        <v>0.3</v>
      </c>
      <c r="C121" s="36">
        <v>0</v>
      </c>
      <c r="D121" s="36">
        <v>27.9</v>
      </c>
      <c r="E121" s="36">
        <v>4.8</v>
      </c>
      <c r="F121" s="36">
        <v>3</v>
      </c>
      <c r="G121" s="36">
        <v>10.199999999999999</v>
      </c>
      <c r="H121" s="36">
        <v>0</v>
      </c>
      <c r="I121" s="36">
        <v>116.1</v>
      </c>
      <c r="J121" s="36">
        <v>23.7</v>
      </c>
      <c r="K121" s="36">
        <v>0</v>
      </c>
      <c r="L121" s="36">
        <v>15.2</v>
      </c>
      <c r="M121" s="58">
        <v>5.6</v>
      </c>
      <c r="N121" s="7"/>
      <c r="P121" s="57">
        <v>24</v>
      </c>
      <c r="Q121" s="36">
        <v>0</v>
      </c>
      <c r="R121" s="36">
        <v>15.6</v>
      </c>
      <c r="S121" s="36">
        <v>5.0999999999999996</v>
      </c>
      <c r="T121" s="36">
        <v>9.8000000000000007</v>
      </c>
      <c r="U121" s="36">
        <v>3.2</v>
      </c>
      <c r="V121" s="36">
        <v>0</v>
      </c>
      <c r="W121" s="36"/>
      <c r="X121" s="36"/>
      <c r="Y121" s="36"/>
      <c r="Z121" s="36"/>
      <c r="AA121" s="36"/>
      <c r="AB121" s="58"/>
      <c r="AC121" s="7"/>
    </row>
    <row r="122" spans="1:29">
      <c r="A122" s="57">
        <v>25</v>
      </c>
      <c r="B122" s="36">
        <v>0.8</v>
      </c>
      <c r="C122" s="36">
        <v>0</v>
      </c>
      <c r="D122" s="36">
        <v>26.9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9</v>
      </c>
      <c r="K122" s="36">
        <v>1</v>
      </c>
      <c r="L122" s="36">
        <v>0.8</v>
      </c>
      <c r="M122" s="58">
        <v>0.5</v>
      </c>
      <c r="N122" s="7"/>
      <c r="P122" s="57">
        <v>25</v>
      </c>
      <c r="Q122" s="36">
        <v>0</v>
      </c>
      <c r="R122" s="36">
        <v>0</v>
      </c>
      <c r="S122" s="36">
        <v>22.9</v>
      </c>
      <c r="T122" s="36">
        <v>18.2</v>
      </c>
      <c r="U122" s="36">
        <v>4.0999999999999996</v>
      </c>
      <c r="V122" s="36">
        <v>0</v>
      </c>
      <c r="W122" s="36"/>
      <c r="X122" s="36"/>
      <c r="Y122" s="36"/>
      <c r="Z122" s="36"/>
      <c r="AA122" s="36"/>
      <c r="AB122" s="58"/>
      <c r="AC122" s="7"/>
    </row>
    <row r="123" spans="1:29">
      <c r="A123" s="57">
        <v>26</v>
      </c>
      <c r="B123" s="36">
        <v>0</v>
      </c>
      <c r="C123" s="36">
        <v>0</v>
      </c>
      <c r="D123" s="36">
        <v>0</v>
      </c>
      <c r="E123" s="36">
        <v>3.3</v>
      </c>
      <c r="F123" s="36">
        <v>2</v>
      </c>
      <c r="G123" s="36">
        <v>2</v>
      </c>
      <c r="H123" s="36">
        <v>0</v>
      </c>
      <c r="I123" s="36">
        <v>3.8</v>
      </c>
      <c r="J123" s="36">
        <v>2.1</v>
      </c>
      <c r="K123" s="38">
        <v>0</v>
      </c>
      <c r="L123" s="36">
        <v>0</v>
      </c>
      <c r="M123" s="58">
        <v>2.2000000000000002</v>
      </c>
      <c r="N123" s="7"/>
      <c r="P123" s="57">
        <v>26</v>
      </c>
      <c r="Q123" s="36">
        <v>4.7</v>
      </c>
      <c r="R123" s="36">
        <v>4.5</v>
      </c>
      <c r="S123" s="36">
        <v>36</v>
      </c>
      <c r="T123" s="36">
        <v>0.4</v>
      </c>
      <c r="U123" s="36">
        <v>6.8</v>
      </c>
      <c r="V123" s="36">
        <v>11.2</v>
      </c>
      <c r="W123" s="36"/>
      <c r="X123" s="36"/>
      <c r="Y123" s="36"/>
      <c r="Z123" s="36"/>
      <c r="AA123" s="36"/>
      <c r="AB123" s="58"/>
      <c r="AC123" s="7"/>
    </row>
    <row r="124" spans="1:29">
      <c r="A124" s="57">
        <v>27</v>
      </c>
      <c r="B124" s="36">
        <v>0.6</v>
      </c>
      <c r="C124" s="36">
        <v>0</v>
      </c>
      <c r="D124" s="36">
        <v>6.3</v>
      </c>
      <c r="E124" s="36">
        <v>13</v>
      </c>
      <c r="F124" s="36">
        <v>0</v>
      </c>
      <c r="G124" s="36">
        <v>0</v>
      </c>
      <c r="H124" s="36">
        <v>9.3000000000000007</v>
      </c>
      <c r="I124" s="36">
        <v>0</v>
      </c>
      <c r="J124" s="36">
        <v>67.3</v>
      </c>
      <c r="K124" s="36">
        <v>6</v>
      </c>
      <c r="L124" s="36">
        <v>8.1</v>
      </c>
      <c r="M124" s="58">
        <v>0</v>
      </c>
      <c r="N124" s="7"/>
      <c r="P124" s="57">
        <v>27</v>
      </c>
      <c r="Q124" s="36">
        <v>0</v>
      </c>
      <c r="R124" s="36">
        <v>0</v>
      </c>
      <c r="S124" s="36">
        <v>35.6</v>
      </c>
      <c r="T124" s="36">
        <v>10.199999999999999</v>
      </c>
      <c r="U124" s="36">
        <v>4.5</v>
      </c>
      <c r="V124" s="36">
        <v>7.6</v>
      </c>
      <c r="W124" s="36"/>
      <c r="X124" s="36"/>
      <c r="Y124" s="36"/>
      <c r="Z124" s="36"/>
      <c r="AA124" s="36"/>
      <c r="AB124" s="58"/>
      <c r="AC124" s="7"/>
    </row>
    <row r="125" spans="1:29">
      <c r="A125" s="57">
        <v>28</v>
      </c>
      <c r="B125" s="36">
        <v>1</v>
      </c>
      <c r="C125" s="36">
        <v>0</v>
      </c>
      <c r="D125" s="36">
        <v>0</v>
      </c>
      <c r="E125" s="36">
        <v>3.1</v>
      </c>
      <c r="F125" s="36">
        <v>5</v>
      </c>
      <c r="G125" s="36">
        <v>5.9</v>
      </c>
      <c r="H125" s="36">
        <v>0.3</v>
      </c>
      <c r="I125" s="36">
        <v>13.2</v>
      </c>
      <c r="J125" s="36">
        <v>1</v>
      </c>
      <c r="K125" s="36">
        <v>51.4</v>
      </c>
      <c r="L125" s="36">
        <v>3</v>
      </c>
      <c r="M125" s="58">
        <v>0</v>
      </c>
      <c r="N125" s="7"/>
      <c r="P125" s="57">
        <v>28</v>
      </c>
      <c r="Q125" s="36">
        <v>0</v>
      </c>
      <c r="R125" s="36">
        <v>0</v>
      </c>
      <c r="S125" s="36">
        <v>40</v>
      </c>
      <c r="T125" s="36">
        <v>8.8000000000000007</v>
      </c>
      <c r="U125" s="36">
        <v>12.3</v>
      </c>
      <c r="V125" s="36">
        <v>0</v>
      </c>
      <c r="W125" s="36"/>
      <c r="X125" s="36"/>
      <c r="Y125" s="36"/>
      <c r="Z125" s="36"/>
      <c r="AA125" s="36"/>
      <c r="AB125" s="58"/>
      <c r="AC125" s="7"/>
    </row>
    <row r="126" spans="1:29">
      <c r="A126" s="57">
        <v>29</v>
      </c>
      <c r="B126" s="36">
        <v>27.6</v>
      </c>
      <c r="C126" s="36"/>
      <c r="D126" s="36">
        <v>10.9</v>
      </c>
      <c r="E126" s="36">
        <v>0</v>
      </c>
      <c r="F126" s="36">
        <v>10.7</v>
      </c>
      <c r="G126" s="36">
        <v>0.4</v>
      </c>
      <c r="H126" s="36">
        <v>1</v>
      </c>
      <c r="I126" s="36">
        <v>0</v>
      </c>
      <c r="J126" s="36">
        <v>30.1</v>
      </c>
      <c r="K126" s="36">
        <v>10.8</v>
      </c>
      <c r="L126" s="36">
        <v>2</v>
      </c>
      <c r="M126" s="58">
        <v>0</v>
      </c>
      <c r="N126" s="7"/>
      <c r="P126" s="57">
        <v>29</v>
      </c>
      <c r="Q126" s="36">
        <v>11.2</v>
      </c>
      <c r="R126" s="36">
        <v>0</v>
      </c>
      <c r="S126" s="36">
        <v>0</v>
      </c>
      <c r="T126" s="36">
        <v>0</v>
      </c>
      <c r="U126" s="36">
        <v>0.6</v>
      </c>
      <c r="V126" s="36">
        <v>0</v>
      </c>
      <c r="W126" s="36"/>
      <c r="X126" s="36"/>
      <c r="Y126" s="36"/>
      <c r="Z126" s="36"/>
      <c r="AA126" s="36"/>
      <c r="AB126" s="58"/>
      <c r="AC126" s="7"/>
    </row>
    <row r="127" spans="1:29">
      <c r="A127" s="57">
        <v>30</v>
      </c>
      <c r="B127" s="36">
        <v>1.6</v>
      </c>
      <c r="C127" s="36"/>
      <c r="D127" s="36">
        <v>0.9</v>
      </c>
      <c r="E127" s="36">
        <v>0</v>
      </c>
      <c r="F127" s="36">
        <v>8</v>
      </c>
      <c r="G127" s="36">
        <v>0</v>
      </c>
      <c r="H127" s="36">
        <v>0</v>
      </c>
      <c r="I127" s="36">
        <v>80</v>
      </c>
      <c r="J127" s="36">
        <v>11.6</v>
      </c>
      <c r="K127" s="36">
        <v>0</v>
      </c>
      <c r="L127" s="36">
        <v>0</v>
      </c>
      <c r="M127" s="58">
        <v>0</v>
      </c>
      <c r="N127" s="7"/>
      <c r="P127" s="57">
        <v>30</v>
      </c>
      <c r="Q127" s="36">
        <v>8.5</v>
      </c>
      <c r="R127" s="36"/>
      <c r="S127" s="36">
        <v>19.2</v>
      </c>
      <c r="T127" s="36">
        <v>0</v>
      </c>
      <c r="U127" s="36">
        <v>1</v>
      </c>
      <c r="V127" s="36">
        <v>7.7</v>
      </c>
      <c r="W127" s="36"/>
      <c r="X127" s="36"/>
      <c r="Y127" s="36"/>
      <c r="Z127" s="36"/>
      <c r="AA127" s="36"/>
      <c r="AB127" s="58"/>
      <c r="AC127" s="7"/>
    </row>
    <row r="128" spans="1:29">
      <c r="A128" s="57">
        <v>31</v>
      </c>
      <c r="B128" s="36">
        <v>0</v>
      </c>
      <c r="C128" s="24"/>
      <c r="D128" s="36">
        <v>0</v>
      </c>
      <c r="E128" s="24"/>
      <c r="F128" s="36">
        <v>52.8</v>
      </c>
      <c r="G128" s="24"/>
      <c r="H128" s="36"/>
      <c r="I128" s="36">
        <v>12.3</v>
      </c>
      <c r="J128" s="24"/>
      <c r="K128" s="36"/>
      <c r="L128" s="36"/>
      <c r="M128" s="58"/>
      <c r="N128" s="7"/>
      <c r="P128" s="57">
        <v>31</v>
      </c>
      <c r="Q128" s="36">
        <v>18.3</v>
      </c>
      <c r="R128" s="24"/>
      <c r="S128" s="36">
        <v>8.5</v>
      </c>
      <c r="T128" s="24"/>
      <c r="U128" s="36">
        <v>0</v>
      </c>
      <c r="V128" s="24"/>
      <c r="W128" s="36"/>
      <c r="X128" s="36"/>
      <c r="Y128" s="24"/>
      <c r="Z128" s="36"/>
      <c r="AA128" s="36"/>
      <c r="AB128" s="58"/>
      <c r="AC128" s="7"/>
    </row>
    <row r="129" spans="1:29">
      <c r="A129" s="59"/>
      <c r="B129" s="26"/>
      <c r="C129" s="26"/>
      <c r="D129" s="26"/>
      <c r="E129" s="27"/>
      <c r="F129" s="36"/>
      <c r="G129" s="26"/>
      <c r="H129" s="26"/>
      <c r="I129" s="26"/>
      <c r="J129" s="26"/>
      <c r="K129" s="26"/>
      <c r="L129" s="24"/>
      <c r="M129" s="60"/>
      <c r="N129" s="7"/>
      <c r="P129" s="59"/>
      <c r="Q129" s="26"/>
      <c r="R129" s="26"/>
      <c r="S129" s="26"/>
      <c r="T129" s="27"/>
      <c r="U129" s="36"/>
      <c r="V129" s="26"/>
      <c r="W129" s="26"/>
      <c r="X129" s="26"/>
      <c r="Y129" s="26"/>
      <c r="Z129" s="26"/>
      <c r="AA129" s="24"/>
      <c r="AB129" s="60"/>
      <c r="AC129" s="7"/>
    </row>
    <row r="130" spans="1:29">
      <c r="A130" s="57" t="s">
        <v>65</v>
      </c>
      <c r="B130" s="30">
        <f>SUM(B98:B128)</f>
        <v>261.90000000000003</v>
      </c>
      <c r="C130" s="30">
        <f t="shared" ref="C130:M130" si="8">SUM(C98:C128)</f>
        <v>120.89999999999999</v>
      </c>
      <c r="D130" s="30">
        <f t="shared" si="8"/>
        <v>336.29999999999995</v>
      </c>
      <c r="E130" s="30">
        <f t="shared" si="8"/>
        <v>188.20000000000002</v>
      </c>
      <c r="F130" s="30">
        <f>SUM(F98:F128)</f>
        <v>344.9</v>
      </c>
      <c r="G130" s="30">
        <f t="shared" si="8"/>
        <v>201.7</v>
      </c>
      <c r="H130" s="30">
        <f t="shared" si="8"/>
        <v>224.00000000000003</v>
      </c>
      <c r="I130" s="30">
        <f t="shared" si="8"/>
        <v>576.4</v>
      </c>
      <c r="J130" s="30">
        <f t="shared" si="8"/>
        <v>368.20000000000005</v>
      </c>
      <c r="K130" s="30">
        <f t="shared" si="8"/>
        <v>230.00000000000003</v>
      </c>
      <c r="L130" s="30">
        <f t="shared" si="8"/>
        <v>356.70000000000005</v>
      </c>
      <c r="M130" s="30">
        <f t="shared" si="8"/>
        <v>154</v>
      </c>
      <c r="N130" s="37">
        <f>SUM(B130:M130)</f>
        <v>3363.2</v>
      </c>
      <c r="P130" s="57" t="s">
        <v>65</v>
      </c>
      <c r="Q130" s="30">
        <f>SUM(Q98:Q128)</f>
        <v>261.39999999999998</v>
      </c>
      <c r="R130" s="30">
        <f t="shared" ref="R130:AB130" si="9">SUM(R98:R128)</f>
        <v>317.10000000000002</v>
      </c>
      <c r="S130" s="30">
        <f t="shared" si="9"/>
        <v>407.7</v>
      </c>
      <c r="T130" s="30">
        <f t="shared" si="9"/>
        <v>269.20000000000005</v>
      </c>
      <c r="U130" s="30">
        <f t="shared" si="9"/>
        <v>484.30000000000013</v>
      </c>
      <c r="V130" s="30">
        <f t="shared" si="9"/>
        <v>221.99999999999997</v>
      </c>
      <c r="W130" s="30">
        <f t="shared" si="9"/>
        <v>0</v>
      </c>
      <c r="X130" s="30">
        <f t="shared" si="9"/>
        <v>0</v>
      </c>
      <c r="Y130" s="30">
        <f t="shared" si="9"/>
        <v>0</v>
      </c>
      <c r="Z130" s="30">
        <f t="shared" si="9"/>
        <v>0</v>
      </c>
      <c r="AA130" s="30">
        <f t="shared" si="9"/>
        <v>0</v>
      </c>
      <c r="AB130" s="30">
        <f t="shared" si="9"/>
        <v>0</v>
      </c>
      <c r="AC130" s="37">
        <f>SUM(Q130:AB130)</f>
        <v>1961.7000000000003</v>
      </c>
    </row>
    <row r="131" spans="1:29">
      <c r="A131" s="57" t="s">
        <v>66</v>
      </c>
      <c r="B131" s="30">
        <f>MAX(B98:B128)</f>
        <v>78.400000000000006</v>
      </c>
      <c r="C131" s="30">
        <f t="shared" ref="C131:M131" si="10">MAX(C98:C128)</f>
        <v>49.9</v>
      </c>
      <c r="D131" s="30">
        <f t="shared" si="10"/>
        <v>119.1</v>
      </c>
      <c r="E131" s="30">
        <f t="shared" si="10"/>
        <v>59.8</v>
      </c>
      <c r="F131" s="30">
        <f>MAX(F98:F128)</f>
        <v>99</v>
      </c>
      <c r="G131" s="30">
        <f t="shared" si="10"/>
        <v>39</v>
      </c>
      <c r="H131" s="30">
        <f t="shared" si="10"/>
        <v>162</v>
      </c>
      <c r="I131" s="30">
        <f t="shared" si="10"/>
        <v>116.1</v>
      </c>
      <c r="J131" s="30">
        <f t="shared" si="10"/>
        <v>67.3</v>
      </c>
      <c r="K131" s="30">
        <f t="shared" si="10"/>
        <v>51.4</v>
      </c>
      <c r="L131" s="30">
        <f t="shared" si="10"/>
        <v>73.2</v>
      </c>
      <c r="M131" s="30">
        <f t="shared" si="10"/>
        <v>47.5</v>
      </c>
      <c r="N131" s="37">
        <f>MAX(B131:M131)</f>
        <v>162</v>
      </c>
      <c r="P131" s="57" t="s">
        <v>66</v>
      </c>
      <c r="Q131" s="30">
        <f>MAX(Q98:Q128)</f>
        <v>56.1</v>
      </c>
      <c r="R131" s="30">
        <f t="shared" ref="R131:AB131" si="11">MAX(R98:R128)</f>
        <v>65.3</v>
      </c>
      <c r="S131" s="30">
        <f t="shared" si="11"/>
        <v>72.3</v>
      </c>
      <c r="T131" s="30">
        <f t="shared" si="11"/>
        <v>56.4</v>
      </c>
      <c r="U131" s="30">
        <f t="shared" si="11"/>
        <v>105.1</v>
      </c>
      <c r="V131" s="30">
        <f t="shared" si="11"/>
        <v>77</v>
      </c>
      <c r="W131" s="30">
        <f t="shared" si="11"/>
        <v>0</v>
      </c>
      <c r="X131" s="30">
        <f t="shared" si="11"/>
        <v>0</v>
      </c>
      <c r="Y131" s="30">
        <f t="shared" si="11"/>
        <v>0</v>
      </c>
      <c r="Z131" s="30">
        <f t="shared" si="11"/>
        <v>0</v>
      </c>
      <c r="AA131" s="30">
        <f t="shared" si="11"/>
        <v>0</v>
      </c>
      <c r="AB131" s="30">
        <f t="shared" si="11"/>
        <v>0</v>
      </c>
      <c r="AC131" s="37">
        <f>MAX(Q131:AB131)</f>
        <v>105.1</v>
      </c>
    </row>
    <row r="132" spans="1:29">
      <c r="A132" s="62"/>
      <c r="B132" s="7"/>
      <c r="C132" s="7"/>
      <c r="D132" s="7"/>
      <c r="E132" s="7"/>
      <c r="F132" s="7"/>
      <c r="G132" s="7"/>
      <c r="H132" s="32"/>
      <c r="I132" s="7"/>
      <c r="J132" s="7"/>
      <c r="K132" s="7"/>
      <c r="L132" s="7"/>
      <c r="M132" s="63"/>
      <c r="N132" s="7"/>
      <c r="P132" s="62"/>
      <c r="Q132" s="7"/>
      <c r="R132" s="7"/>
      <c r="S132" s="7"/>
      <c r="T132" s="7"/>
      <c r="U132" s="7"/>
      <c r="V132" s="7"/>
      <c r="W132" s="32"/>
      <c r="X132" s="7"/>
      <c r="Y132" s="7"/>
      <c r="Z132" s="7"/>
      <c r="AA132" s="7"/>
      <c r="AB132" s="63"/>
      <c r="AC132" s="7"/>
    </row>
    <row r="133" spans="1:29" ht="15.75" thickBot="1">
      <c r="A133" s="64" t="s">
        <v>67</v>
      </c>
      <c r="B133" s="65">
        <v>0</v>
      </c>
      <c r="C133" s="66" t="s">
        <v>68</v>
      </c>
      <c r="D133" s="67"/>
      <c r="E133" s="68"/>
      <c r="F133" s="68"/>
      <c r="G133" s="68"/>
      <c r="H133" s="69"/>
      <c r="I133" s="68"/>
      <c r="J133" s="68"/>
      <c r="K133" s="68"/>
      <c r="L133" s="68"/>
      <c r="M133" s="70"/>
      <c r="N133" s="7"/>
      <c r="P133" s="64" t="s">
        <v>67</v>
      </c>
      <c r="Q133" s="65">
        <v>0</v>
      </c>
      <c r="R133" s="66" t="s">
        <v>68</v>
      </c>
      <c r="S133" s="67"/>
      <c r="T133" s="68"/>
      <c r="U133" s="68"/>
      <c r="V133" s="68"/>
      <c r="W133" s="69"/>
      <c r="X133" s="68"/>
      <c r="Y133" s="68"/>
      <c r="Z133" s="68"/>
      <c r="AA133" s="68"/>
      <c r="AB133" s="70"/>
      <c r="AC13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F78F6-F040-4907-9199-6FEF11D88643}">
  <dimension ref="A1:AC133"/>
  <sheetViews>
    <sheetView topLeftCell="A13" zoomScale="50" zoomScaleNormal="50" workbookViewId="0">
      <selection activeCell="I18" sqref="I18"/>
    </sheetView>
  </sheetViews>
  <sheetFormatPr defaultRowHeight="15"/>
  <sheetData>
    <row r="1" spans="1:29" ht="18">
      <c r="A1" s="44" t="s">
        <v>41</v>
      </c>
      <c r="B1" s="45"/>
      <c r="C1" s="45"/>
      <c r="D1" s="45"/>
      <c r="E1" s="46">
        <v>2019</v>
      </c>
      <c r="F1" s="47"/>
      <c r="G1" s="47"/>
      <c r="H1" s="48"/>
      <c r="I1" s="47"/>
      <c r="J1" s="47"/>
      <c r="K1" s="47"/>
      <c r="L1" s="47"/>
      <c r="M1" s="49"/>
      <c r="N1" s="7"/>
      <c r="P1" s="44" t="s">
        <v>41</v>
      </c>
      <c r="Q1" s="45"/>
      <c r="R1" s="45"/>
      <c r="S1" s="45"/>
      <c r="T1" s="46">
        <v>2022</v>
      </c>
      <c r="U1" s="47"/>
      <c r="V1" s="47"/>
      <c r="W1" s="48"/>
      <c r="X1" s="47"/>
      <c r="Y1" s="47"/>
      <c r="Z1" s="47"/>
      <c r="AA1" s="47"/>
      <c r="AB1" s="49"/>
      <c r="AC1" s="7"/>
    </row>
    <row r="2" spans="1:29">
      <c r="A2" s="50"/>
      <c r="B2" s="9"/>
      <c r="C2" s="9"/>
      <c r="D2" s="9"/>
      <c r="E2" s="10"/>
      <c r="F2" s="10"/>
      <c r="G2" s="10"/>
      <c r="H2" s="11"/>
      <c r="I2" s="9"/>
      <c r="J2" s="9"/>
      <c r="K2" s="9"/>
      <c r="L2" s="9"/>
      <c r="M2" s="51"/>
      <c r="N2" s="7"/>
      <c r="P2" s="50"/>
      <c r="Q2" s="9"/>
      <c r="R2" s="9"/>
      <c r="S2" s="9"/>
      <c r="T2" s="10"/>
      <c r="U2" s="10"/>
      <c r="V2" s="10"/>
      <c r="W2" s="11"/>
      <c r="X2" s="9"/>
      <c r="Y2" s="9"/>
      <c r="Z2" s="9"/>
      <c r="AA2" s="9"/>
      <c r="AB2" s="51"/>
      <c r="AC2" s="7"/>
    </row>
    <row r="3" spans="1:29" ht="15.75">
      <c r="A3" s="52" t="s">
        <v>42</v>
      </c>
      <c r="B3" s="14"/>
      <c r="C3" s="14" t="s">
        <v>43</v>
      </c>
      <c r="D3" s="14"/>
      <c r="E3" s="14"/>
      <c r="F3" s="14"/>
      <c r="G3" s="14"/>
      <c r="H3" s="15"/>
      <c r="I3" s="14"/>
      <c r="J3" s="14" t="s">
        <v>74</v>
      </c>
      <c r="K3" s="14" t="s">
        <v>96</v>
      </c>
      <c r="L3" s="14"/>
      <c r="M3" s="51"/>
      <c r="N3" s="7"/>
      <c r="P3" s="52" t="s">
        <v>42</v>
      </c>
      <c r="Q3" s="14"/>
      <c r="R3" s="14" t="s">
        <v>43</v>
      </c>
      <c r="S3" s="14"/>
      <c r="T3" s="14"/>
      <c r="U3" s="14"/>
      <c r="V3" s="14"/>
      <c r="W3" s="15"/>
      <c r="X3" s="14"/>
      <c r="Y3" s="14" t="s">
        <v>74</v>
      </c>
      <c r="Z3" s="14" t="s">
        <v>96</v>
      </c>
      <c r="AA3" s="14"/>
      <c r="AB3" s="51"/>
      <c r="AC3" s="7"/>
    </row>
    <row r="4" spans="1:29" ht="15.75">
      <c r="A4" s="52" t="s">
        <v>46</v>
      </c>
      <c r="B4" s="14"/>
      <c r="C4" s="14" t="s">
        <v>97</v>
      </c>
      <c r="D4" s="14"/>
      <c r="E4" s="14"/>
      <c r="F4" s="14"/>
      <c r="G4" s="14"/>
      <c r="H4" s="15"/>
      <c r="I4" s="14"/>
      <c r="J4" s="14" t="s">
        <v>77</v>
      </c>
      <c r="K4" s="14" t="s">
        <v>98</v>
      </c>
      <c r="L4" s="14"/>
      <c r="M4" s="51"/>
      <c r="N4" s="7"/>
      <c r="P4" s="52" t="s">
        <v>46</v>
      </c>
      <c r="Q4" s="14"/>
      <c r="R4" s="14" t="s">
        <v>97</v>
      </c>
      <c r="S4" s="14"/>
      <c r="T4" s="14"/>
      <c r="U4" s="14"/>
      <c r="V4" s="14"/>
      <c r="W4" s="15"/>
      <c r="X4" s="14"/>
      <c r="Y4" s="14" t="s">
        <v>77</v>
      </c>
      <c r="Z4" s="14" t="s">
        <v>98</v>
      </c>
      <c r="AA4" s="14"/>
      <c r="AB4" s="51"/>
      <c r="AC4" s="7"/>
    </row>
    <row r="5" spans="1:29" ht="15.75">
      <c r="A5" s="52" t="s">
        <v>49</v>
      </c>
      <c r="B5" s="14"/>
      <c r="C5" s="14" t="s">
        <v>80</v>
      </c>
      <c r="D5" s="14"/>
      <c r="E5" s="14"/>
      <c r="F5" s="14"/>
      <c r="G5" s="14"/>
      <c r="H5" s="15"/>
      <c r="I5" s="14"/>
      <c r="J5" s="14" t="s">
        <v>51</v>
      </c>
      <c r="K5" s="14" t="s">
        <v>99</v>
      </c>
      <c r="L5" s="14"/>
      <c r="M5" s="51"/>
      <c r="N5" s="7"/>
      <c r="P5" s="52" t="s">
        <v>49</v>
      </c>
      <c r="Q5" s="14"/>
      <c r="R5" s="14" t="s">
        <v>86</v>
      </c>
      <c r="S5" s="14"/>
      <c r="T5" s="14"/>
      <c r="U5" s="14"/>
      <c r="V5" s="14"/>
      <c r="W5" s="15"/>
      <c r="X5" s="14"/>
      <c r="Y5" s="14" t="s">
        <v>51</v>
      </c>
      <c r="Z5" s="14" t="s">
        <v>99</v>
      </c>
      <c r="AA5" s="14"/>
      <c r="AB5" s="51"/>
      <c r="AC5" s="7"/>
    </row>
    <row r="6" spans="1:29">
      <c r="A6" s="53"/>
      <c r="B6" s="10"/>
      <c r="C6" s="10"/>
      <c r="D6" s="10"/>
      <c r="E6" s="10"/>
      <c r="F6" s="10"/>
      <c r="G6" s="10"/>
      <c r="H6" s="17"/>
      <c r="I6" s="10"/>
      <c r="J6" s="10"/>
      <c r="K6" s="10"/>
      <c r="L6" s="10"/>
      <c r="M6" s="54"/>
      <c r="N6" s="19"/>
      <c r="P6" s="53"/>
      <c r="Q6" s="10"/>
      <c r="R6" s="10"/>
      <c r="S6" s="10"/>
      <c r="T6" s="10"/>
      <c r="U6" s="10"/>
      <c r="V6" s="10"/>
      <c r="W6" s="17"/>
      <c r="X6" s="10"/>
      <c r="Y6" s="10"/>
      <c r="Z6" s="10"/>
      <c r="AA6" s="10"/>
      <c r="AB6" s="54"/>
      <c r="AC6" s="19"/>
    </row>
    <row r="7" spans="1:29">
      <c r="A7" s="55" t="s">
        <v>53</v>
      </c>
      <c r="B7" s="21" t="s">
        <v>54</v>
      </c>
      <c r="C7" s="21" t="s">
        <v>55</v>
      </c>
      <c r="D7" s="21" t="s">
        <v>56</v>
      </c>
      <c r="E7" s="21" t="s">
        <v>57</v>
      </c>
      <c r="F7" s="21" t="s">
        <v>20</v>
      </c>
      <c r="G7" s="21" t="s">
        <v>58</v>
      </c>
      <c r="H7" s="21" t="s">
        <v>59</v>
      </c>
      <c r="I7" s="21" t="s">
        <v>60</v>
      </c>
      <c r="J7" s="21" t="s">
        <v>61</v>
      </c>
      <c r="K7" s="21" t="s">
        <v>62</v>
      </c>
      <c r="L7" s="21" t="s">
        <v>63</v>
      </c>
      <c r="M7" s="56" t="s">
        <v>64</v>
      </c>
      <c r="N7" s="19"/>
      <c r="P7" s="55" t="s">
        <v>53</v>
      </c>
      <c r="Q7" s="21" t="s">
        <v>54</v>
      </c>
      <c r="R7" s="21" t="s">
        <v>55</v>
      </c>
      <c r="S7" s="21" t="s">
        <v>56</v>
      </c>
      <c r="T7" s="21" t="s">
        <v>57</v>
      </c>
      <c r="U7" s="21" t="s">
        <v>20</v>
      </c>
      <c r="V7" s="21" t="s">
        <v>58</v>
      </c>
      <c r="W7" s="21" t="s">
        <v>59</v>
      </c>
      <c r="X7" s="21" t="s">
        <v>60</v>
      </c>
      <c r="Y7" s="21" t="s">
        <v>61</v>
      </c>
      <c r="Z7" s="21" t="s">
        <v>62</v>
      </c>
      <c r="AA7" s="21" t="s">
        <v>63</v>
      </c>
      <c r="AB7" s="56" t="s">
        <v>64</v>
      </c>
      <c r="AC7" s="19"/>
    </row>
    <row r="8" spans="1:29">
      <c r="A8" s="57">
        <v>1</v>
      </c>
      <c r="B8" s="36">
        <v>0</v>
      </c>
      <c r="C8" s="36">
        <v>0</v>
      </c>
      <c r="D8" s="36">
        <v>10</v>
      </c>
      <c r="E8" s="36">
        <v>0</v>
      </c>
      <c r="F8" s="36">
        <v>0</v>
      </c>
      <c r="G8" s="36">
        <v>17</v>
      </c>
      <c r="H8" s="36">
        <v>0</v>
      </c>
      <c r="I8" s="36">
        <v>0</v>
      </c>
      <c r="J8" s="36">
        <v>0</v>
      </c>
      <c r="K8" s="36">
        <v>22.2</v>
      </c>
      <c r="L8" s="36">
        <v>3.5</v>
      </c>
      <c r="M8" s="58">
        <v>2.7</v>
      </c>
      <c r="N8" s="7"/>
      <c r="P8" s="57">
        <v>1</v>
      </c>
      <c r="Q8" s="36">
        <v>0</v>
      </c>
      <c r="R8" s="36">
        <v>0</v>
      </c>
      <c r="S8" s="36">
        <v>0</v>
      </c>
      <c r="T8" s="39">
        <v>0</v>
      </c>
      <c r="U8" s="36">
        <v>0</v>
      </c>
      <c r="V8" s="36">
        <v>0</v>
      </c>
      <c r="W8" s="36">
        <v>0.5</v>
      </c>
      <c r="X8" s="36">
        <v>0</v>
      </c>
      <c r="Y8" s="36">
        <v>1</v>
      </c>
      <c r="Z8" s="36">
        <v>0</v>
      </c>
      <c r="AA8" s="36">
        <v>18.8</v>
      </c>
      <c r="AB8" s="58">
        <v>20.6</v>
      </c>
      <c r="AC8" s="7"/>
    </row>
    <row r="9" spans="1:29">
      <c r="A9" s="57">
        <v>2</v>
      </c>
      <c r="B9" s="36">
        <v>0.9</v>
      </c>
      <c r="C9" s="36">
        <v>0</v>
      </c>
      <c r="D9" s="36">
        <v>1.5</v>
      </c>
      <c r="E9" s="36">
        <v>18.600000000000001</v>
      </c>
      <c r="F9" s="36">
        <v>0</v>
      </c>
      <c r="G9" s="36">
        <v>6.1</v>
      </c>
      <c r="H9" s="36">
        <v>0</v>
      </c>
      <c r="I9" s="36">
        <v>0</v>
      </c>
      <c r="J9" s="36">
        <v>30.2</v>
      </c>
      <c r="K9" s="36">
        <v>15.1</v>
      </c>
      <c r="L9" s="36">
        <v>11.7</v>
      </c>
      <c r="M9" s="58">
        <v>3.7</v>
      </c>
      <c r="N9" s="7"/>
      <c r="P9" s="57">
        <v>2</v>
      </c>
      <c r="Q9" s="36">
        <v>0</v>
      </c>
      <c r="R9">
        <v>0</v>
      </c>
      <c r="T9" s="36">
        <v>0</v>
      </c>
      <c r="U9" s="36">
        <v>0</v>
      </c>
      <c r="V9" s="36">
        <v>0</v>
      </c>
      <c r="W9" s="36">
        <v>0</v>
      </c>
      <c r="X9" s="36">
        <v>0</v>
      </c>
      <c r="Y9" s="36">
        <v>35.9</v>
      </c>
      <c r="Z9" s="36">
        <v>17.7</v>
      </c>
      <c r="AA9" s="36">
        <v>22.9</v>
      </c>
      <c r="AB9" s="58">
        <v>29.1</v>
      </c>
      <c r="AC9" s="7"/>
    </row>
    <row r="10" spans="1:29">
      <c r="A10" s="57">
        <v>3</v>
      </c>
      <c r="B10" s="36">
        <v>25.5</v>
      </c>
      <c r="C10" s="36">
        <v>0.2</v>
      </c>
      <c r="D10" s="36">
        <v>0</v>
      </c>
      <c r="E10" s="36">
        <v>1.5</v>
      </c>
      <c r="F10" s="36">
        <v>0</v>
      </c>
      <c r="G10" s="36">
        <v>85</v>
      </c>
      <c r="H10" s="36">
        <v>0</v>
      </c>
      <c r="I10" s="36">
        <v>0</v>
      </c>
      <c r="J10" s="36">
        <v>0.5</v>
      </c>
      <c r="K10" s="36">
        <v>25.4</v>
      </c>
      <c r="L10" s="36">
        <v>0</v>
      </c>
      <c r="M10" s="58">
        <v>58.8</v>
      </c>
      <c r="N10" s="7"/>
      <c r="P10" s="57">
        <v>3</v>
      </c>
      <c r="Q10" s="36">
        <v>0</v>
      </c>
      <c r="R10" s="36">
        <v>0</v>
      </c>
      <c r="T10" s="36">
        <v>0</v>
      </c>
      <c r="U10" s="36">
        <v>2</v>
      </c>
      <c r="V10" s="36">
        <v>32.5</v>
      </c>
      <c r="W10" s="38">
        <v>0</v>
      </c>
      <c r="X10" s="36">
        <v>2.2999999999999998</v>
      </c>
      <c r="Y10" s="36">
        <v>14.5</v>
      </c>
      <c r="Z10" s="36">
        <v>5.0999999999999996</v>
      </c>
      <c r="AA10" s="36">
        <v>0</v>
      </c>
      <c r="AB10" s="58">
        <v>10.5</v>
      </c>
      <c r="AC10" s="7"/>
    </row>
    <row r="11" spans="1:29">
      <c r="A11" s="57">
        <v>4</v>
      </c>
      <c r="B11" s="36">
        <v>0</v>
      </c>
      <c r="C11" s="36">
        <v>0</v>
      </c>
      <c r="D11" s="36">
        <v>0</v>
      </c>
      <c r="E11" s="36">
        <v>0</v>
      </c>
      <c r="F11" s="36">
        <v>0</v>
      </c>
      <c r="G11" s="36">
        <v>10.6</v>
      </c>
      <c r="H11" s="36">
        <v>0.5</v>
      </c>
      <c r="I11" s="36">
        <v>0</v>
      </c>
      <c r="J11" s="36">
        <v>0</v>
      </c>
      <c r="K11" s="36">
        <v>0.2</v>
      </c>
      <c r="L11" s="36">
        <v>6.2</v>
      </c>
      <c r="M11" s="58">
        <v>0</v>
      </c>
      <c r="N11" s="7"/>
      <c r="P11" s="57">
        <v>4</v>
      </c>
      <c r="Q11" s="36">
        <v>2</v>
      </c>
      <c r="R11" s="36">
        <v>0</v>
      </c>
      <c r="S11" s="36">
        <v>0</v>
      </c>
      <c r="T11" s="36">
        <v>0</v>
      </c>
      <c r="U11" s="36">
        <v>5.4</v>
      </c>
      <c r="V11" s="36">
        <v>25.4</v>
      </c>
      <c r="W11" s="36">
        <v>0</v>
      </c>
      <c r="X11" s="36">
        <v>7.1</v>
      </c>
      <c r="Y11" s="36">
        <v>0</v>
      </c>
      <c r="Z11" s="36">
        <v>3</v>
      </c>
      <c r="AA11" s="36">
        <v>0.3</v>
      </c>
      <c r="AB11" s="58">
        <v>3.4</v>
      </c>
      <c r="AC11" s="7"/>
    </row>
    <row r="12" spans="1:29">
      <c r="A12" s="57">
        <v>5</v>
      </c>
      <c r="B12" s="36">
        <v>0</v>
      </c>
      <c r="C12" s="36">
        <v>5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1.5</v>
      </c>
      <c r="L12" s="36">
        <v>3.6</v>
      </c>
      <c r="M12" s="58">
        <v>0</v>
      </c>
      <c r="N12" s="7"/>
      <c r="P12" s="57">
        <v>5</v>
      </c>
      <c r="Q12" s="43">
        <v>0</v>
      </c>
      <c r="R12" s="36">
        <v>0</v>
      </c>
      <c r="S12" s="36">
        <v>9.6999999999999993</v>
      </c>
      <c r="T12" s="36">
        <v>2.5</v>
      </c>
      <c r="U12" s="36">
        <v>9.1</v>
      </c>
      <c r="V12" s="36">
        <v>9.1999999999999993</v>
      </c>
      <c r="W12" s="36">
        <v>1</v>
      </c>
      <c r="X12" s="36">
        <v>104.5</v>
      </c>
      <c r="Y12" s="36">
        <v>0</v>
      </c>
      <c r="Z12" s="36">
        <v>31.5</v>
      </c>
      <c r="AA12" s="36">
        <v>0</v>
      </c>
      <c r="AB12" s="58">
        <v>13.3</v>
      </c>
      <c r="AC12" s="7"/>
    </row>
    <row r="13" spans="1:29">
      <c r="A13" s="57">
        <v>6</v>
      </c>
      <c r="B13" s="36">
        <v>0.4</v>
      </c>
      <c r="C13" s="36">
        <v>0</v>
      </c>
      <c r="D13" s="36">
        <v>0.2</v>
      </c>
      <c r="E13" s="36">
        <v>0</v>
      </c>
      <c r="F13" s="36">
        <v>9.3000000000000007</v>
      </c>
      <c r="G13" s="36">
        <v>0</v>
      </c>
      <c r="H13" s="36">
        <v>0</v>
      </c>
      <c r="I13" s="36">
        <v>0</v>
      </c>
      <c r="J13" s="36">
        <v>0</v>
      </c>
      <c r="K13" s="36">
        <v>46.8</v>
      </c>
      <c r="L13" s="36">
        <v>5.6</v>
      </c>
      <c r="M13" s="58">
        <v>57.4</v>
      </c>
      <c r="N13" s="7"/>
      <c r="P13" s="57">
        <v>6</v>
      </c>
      <c r="Q13" s="36">
        <v>3.8</v>
      </c>
      <c r="R13" s="36">
        <v>1.6</v>
      </c>
      <c r="S13" s="36">
        <v>17.5</v>
      </c>
      <c r="T13" s="36">
        <v>1.1000000000000001</v>
      </c>
      <c r="U13" s="36">
        <v>29.5</v>
      </c>
      <c r="V13" s="36">
        <v>56.2</v>
      </c>
      <c r="W13" s="36">
        <v>1</v>
      </c>
      <c r="X13" s="38">
        <v>0</v>
      </c>
      <c r="Y13" s="36">
        <v>0</v>
      </c>
      <c r="Z13" s="36">
        <v>34</v>
      </c>
      <c r="AA13" s="36">
        <v>38.9</v>
      </c>
      <c r="AB13" s="58">
        <v>0</v>
      </c>
      <c r="AC13" s="7"/>
    </row>
    <row r="14" spans="1:29">
      <c r="A14" s="57">
        <v>7</v>
      </c>
      <c r="B14" s="36">
        <v>20</v>
      </c>
      <c r="C14" s="36">
        <v>0.8</v>
      </c>
      <c r="D14" s="36">
        <v>0</v>
      </c>
      <c r="E14" s="36">
        <v>0</v>
      </c>
      <c r="F14" s="36">
        <v>4.7</v>
      </c>
      <c r="G14" s="36">
        <v>120.7</v>
      </c>
      <c r="H14" s="36">
        <v>43.5</v>
      </c>
      <c r="I14" s="36">
        <v>0</v>
      </c>
      <c r="J14" s="36">
        <v>0</v>
      </c>
      <c r="K14" s="36">
        <v>59.8</v>
      </c>
      <c r="L14" s="36">
        <v>0</v>
      </c>
      <c r="M14" s="58">
        <v>66.5</v>
      </c>
      <c r="N14" s="7"/>
      <c r="P14" s="57">
        <v>7</v>
      </c>
      <c r="Q14" s="36">
        <v>5.4</v>
      </c>
      <c r="R14" s="36">
        <v>30</v>
      </c>
      <c r="S14" s="36">
        <v>10.8</v>
      </c>
      <c r="T14" s="36">
        <v>12.6</v>
      </c>
      <c r="U14" s="36">
        <v>0.5</v>
      </c>
      <c r="V14" s="36">
        <v>0</v>
      </c>
      <c r="W14" s="36">
        <v>9.1999999999999993</v>
      </c>
      <c r="X14" s="36">
        <v>0.8</v>
      </c>
      <c r="Y14" s="36">
        <v>0</v>
      </c>
      <c r="Z14" s="36">
        <v>78.900000000000006</v>
      </c>
      <c r="AA14" s="36">
        <v>2.4</v>
      </c>
      <c r="AB14" s="58">
        <v>2</v>
      </c>
      <c r="AC14" s="7"/>
    </row>
    <row r="15" spans="1:29">
      <c r="A15" s="57">
        <v>8</v>
      </c>
      <c r="B15" s="36">
        <v>0</v>
      </c>
      <c r="C15" s="36">
        <v>0</v>
      </c>
      <c r="D15" s="36">
        <v>0</v>
      </c>
      <c r="E15" s="36">
        <v>0</v>
      </c>
      <c r="F15" s="36">
        <v>0</v>
      </c>
      <c r="G15" s="36">
        <v>79</v>
      </c>
      <c r="H15" s="36">
        <v>1.5</v>
      </c>
      <c r="I15" s="36">
        <v>0</v>
      </c>
      <c r="J15" s="36">
        <v>0</v>
      </c>
      <c r="K15" s="36">
        <v>28.1</v>
      </c>
      <c r="L15" s="36">
        <v>0</v>
      </c>
      <c r="M15" s="58">
        <v>18</v>
      </c>
      <c r="N15" s="7"/>
      <c r="P15" s="57">
        <v>8</v>
      </c>
      <c r="Q15" s="36">
        <v>0</v>
      </c>
      <c r="R15" s="36">
        <v>46.3</v>
      </c>
      <c r="S15" s="36">
        <v>0</v>
      </c>
      <c r="T15" s="36">
        <v>106</v>
      </c>
      <c r="U15" s="36">
        <v>38.700000000000003</v>
      </c>
      <c r="V15" s="36">
        <v>1.5</v>
      </c>
      <c r="W15" s="38">
        <v>0</v>
      </c>
      <c r="X15" s="38">
        <v>0</v>
      </c>
      <c r="Y15" s="36">
        <v>39.799999999999997</v>
      </c>
      <c r="Z15" s="36">
        <v>17.399999999999999</v>
      </c>
      <c r="AA15" s="36">
        <v>1</v>
      </c>
      <c r="AB15" s="58">
        <v>0</v>
      </c>
      <c r="AC15" s="7"/>
    </row>
    <row r="16" spans="1:29">
      <c r="A16" s="57">
        <v>9</v>
      </c>
      <c r="B16" s="36">
        <v>83</v>
      </c>
      <c r="C16" s="36">
        <v>0</v>
      </c>
      <c r="D16" s="36">
        <v>2.5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35.200000000000003</v>
      </c>
      <c r="M16" s="58">
        <v>97.5</v>
      </c>
      <c r="N16" s="7"/>
      <c r="P16" s="57">
        <v>9</v>
      </c>
      <c r="Q16" s="36">
        <v>0</v>
      </c>
      <c r="R16" s="36">
        <v>9.9</v>
      </c>
      <c r="S16" s="36">
        <v>1.1000000000000001</v>
      </c>
      <c r="T16" s="36">
        <v>9.4</v>
      </c>
      <c r="U16" s="36">
        <v>3</v>
      </c>
      <c r="V16" s="36">
        <v>10.6</v>
      </c>
      <c r="W16" s="36">
        <v>27.7</v>
      </c>
      <c r="X16" s="38">
        <v>0</v>
      </c>
      <c r="Y16" s="36">
        <v>1.1000000000000001</v>
      </c>
      <c r="Z16" s="36">
        <v>6</v>
      </c>
      <c r="AA16" s="36">
        <v>52.8</v>
      </c>
      <c r="AB16" s="58">
        <v>32.299999999999997</v>
      </c>
      <c r="AC16" s="7"/>
    </row>
    <row r="17" spans="1:29">
      <c r="A17" s="57">
        <v>10</v>
      </c>
      <c r="B17" s="36">
        <v>3.5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58">
        <v>6.8</v>
      </c>
      <c r="N17" s="7"/>
      <c r="P17" s="57">
        <v>10</v>
      </c>
      <c r="Q17" s="38">
        <v>0</v>
      </c>
      <c r="R17" s="36">
        <v>3.8</v>
      </c>
      <c r="S17" s="36">
        <v>0.4</v>
      </c>
      <c r="T17" s="36">
        <v>17.8</v>
      </c>
      <c r="U17" s="38">
        <v>0</v>
      </c>
      <c r="V17" s="36">
        <v>4.9000000000000004</v>
      </c>
      <c r="W17" s="38">
        <v>0</v>
      </c>
      <c r="X17" s="36">
        <v>0</v>
      </c>
      <c r="Y17" s="36">
        <v>0.2</v>
      </c>
      <c r="Z17" s="36">
        <v>27.3</v>
      </c>
      <c r="AA17" s="36">
        <v>0.4</v>
      </c>
      <c r="AB17" s="58">
        <v>8</v>
      </c>
      <c r="AC17" s="7"/>
    </row>
    <row r="18" spans="1:29">
      <c r="A18" s="57">
        <v>11</v>
      </c>
      <c r="B18" s="36">
        <v>0</v>
      </c>
      <c r="C18" s="36">
        <v>8.6</v>
      </c>
      <c r="D18" s="36">
        <v>0</v>
      </c>
      <c r="E18" s="36">
        <v>0.4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19.2</v>
      </c>
      <c r="L18" s="36">
        <v>0</v>
      </c>
      <c r="M18" s="58">
        <v>49</v>
      </c>
      <c r="N18" s="7"/>
      <c r="P18" s="57">
        <v>11</v>
      </c>
      <c r="Q18" s="36">
        <v>0</v>
      </c>
      <c r="R18" s="36">
        <v>3.5</v>
      </c>
      <c r="S18" s="36">
        <v>0</v>
      </c>
      <c r="T18" s="36">
        <v>0</v>
      </c>
      <c r="U18" s="36">
        <v>0</v>
      </c>
      <c r="V18" s="36">
        <v>1</v>
      </c>
      <c r="W18" s="36">
        <v>0</v>
      </c>
      <c r="X18" s="36">
        <v>0.5</v>
      </c>
      <c r="Y18" s="36">
        <v>0</v>
      </c>
      <c r="Z18" s="36">
        <v>15.9</v>
      </c>
      <c r="AA18" s="36">
        <v>1.5</v>
      </c>
      <c r="AB18" s="58">
        <v>4</v>
      </c>
      <c r="AC18" s="7"/>
    </row>
    <row r="19" spans="1:29">
      <c r="A19" s="57">
        <v>12</v>
      </c>
      <c r="B19" s="36">
        <v>0</v>
      </c>
      <c r="C19" s="36">
        <v>2.7</v>
      </c>
      <c r="D19" s="36">
        <v>0</v>
      </c>
      <c r="E19" s="36">
        <v>1.5</v>
      </c>
      <c r="F19" s="36">
        <v>0</v>
      </c>
      <c r="G19" s="36">
        <v>24.5</v>
      </c>
      <c r="H19" s="36">
        <v>15.4</v>
      </c>
      <c r="I19" s="36">
        <v>0</v>
      </c>
      <c r="J19" s="36">
        <v>1</v>
      </c>
      <c r="K19" s="36">
        <v>0</v>
      </c>
      <c r="L19" s="36">
        <v>0</v>
      </c>
      <c r="M19" s="58">
        <v>2.2000000000000002</v>
      </c>
      <c r="N19" s="7"/>
      <c r="P19" s="57">
        <v>12</v>
      </c>
      <c r="Q19" s="36">
        <v>21.7</v>
      </c>
      <c r="R19" s="36">
        <v>0.5</v>
      </c>
      <c r="S19" s="36">
        <v>0</v>
      </c>
      <c r="T19" s="36">
        <v>5.6</v>
      </c>
      <c r="U19" s="36">
        <v>0.1</v>
      </c>
      <c r="V19" s="36">
        <v>1.3</v>
      </c>
      <c r="W19" s="36">
        <v>0</v>
      </c>
      <c r="X19" s="36">
        <v>0</v>
      </c>
      <c r="Y19" s="36">
        <v>1</v>
      </c>
      <c r="Z19" s="36">
        <v>0</v>
      </c>
      <c r="AA19" s="36">
        <v>10.5</v>
      </c>
      <c r="AB19" s="72">
        <v>0</v>
      </c>
      <c r="AC19" s="7"/>
    </row>
    <row r="20" spans="1:29">
      <c r="A20" s="57">
        <v>13</v>
      </c>
      <c r="B20" s="36">
        <v>0</v>
      </c>
      <c r="C20" s="36">
        <v>2.6</v>
      </c>
      <c r="D20" s="36">
        <v>0</v>
      </c>
      <c r="E20" s="36">
        <v>66.400000000000006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3.4</v>
      </c>
      <c r="L20" s="36">
        <v>2</v>
      </c>
      <c r="M20" s="58">
        <v>0.2</v>
      </c>
      <c r="N20" s="7"/>
      <c r="P20" s="57">
        <v>13</v>
      </c>
      <c r="Q20" s="36">
        <v>3.3</v>
      </c>
      <c r="R20" s="36">
        <v>0.8</v>
      </c>
      <c r="S20" s="36">
        <v>0</v>
      </c>
      <c r="T20" s="36">
        <v>4.3</v>
      </c>
      <c r="U20" s="36">
        <v>0</v>
      </c>
      <c r="V20" s="36">
        <v>76.3</v>
      </c>
      <c r="W20" s="38">
        <v>0</v>
      </c>
      <c r="X20" s="36">
        <v>2.5</v>
      </c>
      <c r="Y20" s="36">
        <v>3</v>
      </c>
      <c r="Z20" s="36">
        <v>6</v>
      </c>
      <c r="AA20" s="38">
        <v>0</v>
      </c>
      <c r="AB20" s="58">
        <v>21.2</v>
      </c>
      <c r="AC20" s="7"/>
    </row>
    <row r="21" spans="1:29">
      <c r="A21" s="57">
        <v>14</v>
      </c>
      <c r="B21" s="36">
        <v>9.1999999999999993</v>
      </c>
      <c r="C21" s="36">
        <v>2.8</v>
      </c>
      <c r="D21" s="36">
        <v>0</v>
      </c>
      <c r="E21" s="36">
        <v>0.2</v>
      </c>
      <c r="F21" s="36">
        <v>17.8</v>
      </c>
      <c r="G21" s="36">
        <v>2</v>
      </c>
      <c r="H21" s="36">
        <v>0</v>
      </c>
      <c r="I21" s="36">
        <v>0</v>
      </c>
      <c r="J21" s="36">
        <v>0</v>
      </c>
      <c r="K21" s="36">
        <v>5.6</v>
      </c>
      <c r="L21" s="36">
        <v>3.7</v>
      </c>
      <c r="M21" s="58">
        <v>5.5</v>
      </c>
      <c r="N21" s="7"/>
      <c r="P21" s="57">
        <v>14</v>
      </c>
      <c r="Q21" s="36">
        <v>0</v>
      </c>
      <c r="R21" s="36">
        <v>6.8</v>
      </c>
      <c r="S21" s="36">
        <v>0</v>
      </c>
      <c r="T21" s="36">
        <v>9.8000000000000007</v>
      </c>
      <c r="U21" s="36">
        <v>30.6</v>
      </c>
      <c r="V21" s="36">
        <v>26.2</v>
      </c>
      <c r="W21" s="36">
        <v>46</v>
      </c>
      <c r="X21" s="36">
        <v>74.7</v>
      </c>
      <c r="Y21" s="36">
        <v>5.5</v>
      </c>
      <c r="Z21" s="36">
        <v>0</v>
      </c>
      <c r="AA21" s="36">
        <v>0.6</v>
      </c>
      <c r="AB21" s="58">
        <v>0</v>
      </c>
      <c r="AC21" s="7"/>
    </row>
    <row r="22" spans="1:29">
      <c r="A22" s="57">
        <v>15</v>
      </c>
      <c r="B22" s="36">
        <v>0.1</v>
      </c>
      <c r="C22" s="36">
        <v>4</v>
      </c>
      <c r="D22" s="36">
        <v>1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3.9</v>
      </c>
      <c r="L22" s="36">
        <v>35.1</v>
      </c>
      <c r="M22" s="58">
        <v>23.2</v>
      </c>
      <c r="N22" s="7"/>
      <c r="P22" s="57">
        <v>15</v>
      </c>
      <c r="Q22" s="36">
        <v>2.4</v>
      </c>
      <c r="R22" s="36">
        <v>5.4</v>
      </c>
      <c r="S22" s="36">
        <v>23</v>
      </c>
      <c r="T22" s="36">
        <v>0</v>
      </c>
      <c r="U22" s="36">
        <v>0</v>
      </c>
      <c r="V22" s="36">
        <v>0.7</v>
      </c>
      <c r="W22" s="36">
        <v>0</v>
      </c>
      <c r="X22" s="36">
        <v>0</v>
      </c>
      <c r="Y22" s="38">
        <v>0</v>
      </c>
      <c r="Z22" s="36">
        <v>0</v>
      </c>
      <c r="AA22" s="36">
        <v>21.5</v>
      </c>
      <c r="AB22" s="58">
        <v>30.3</v>
      </c>
      <c r="AC22" s="7"/>
    </row>
    <row r="23" spans="1:29">
      <c r="A23" s="57">
        <v>16</v>
      </c>
      <c r="B23" s="36">
        <v>0</v>
      </c>
      <c r="C23" s="36">
        <v>21.5</v>
      </c>
      <c r="D23" s="36">
        <v>18.8</v>
      </c>
      <c r="E23" s="36">
        <v>11</v>
      </c>
      <c r="F23" s="36">
        <v>111.6</v>
      </c>
      <c r="G23" s="36">
        <v>67</v>
      </c>
      <c r="H23" s="36">
        <v>0</v>
      </c>
      <c r="I23" s="36">
        <v>0</v>
      </c>
      <c r="J23" s="36">
        <v>0</v>
      </c>
      <c r="K23" s="36">
        <v>18.899999999999999</v>
      </c>
      <c r="L23" s="36">
        <v>20.5</v>
      </c>
      <c r="M23" s="58">
        <v>7.6</v>
      </c>
      <c r="N23" s="7"/>
      <c r="P23" s="57">
        <v>16</v>
      </c>
      <c r="Q23" s="36">
        <v>0</v>
      </c>
      <c r="R23" s="36">
        <v>0</v>
      </c>
      <c r="S23" s="36">
        <v>0.2</v>
      </c>
      <c r="T23" s="36">
        <v>0</v>
      </c>
      <c r="U23" s="38">
        <v>0</v>
      </c>
      <c r="V23" s="36">
        <v>1</v>
      </c>
      <c r="W23" s="36">
        <v>0</v>
      </c>
      <c r="X23" s="36">
        <v>0</v>
      </c>
      <c r="Y23" s="36">
        <v>9.5</v>
      </c>
      <c r="Z23" s="36">
        <v>0.9</v>
      </c>
      <c r="AA23" s="36">
        <v>0.9</v>
      </c>
      <c r="AB23" s="58">
        <v>7</v>
      </c>
      <c r="AC23" s="7"/>
    </row>
    <row r="24" spans="1:29">
      <c r="A24" s="57">
        <v>17</v>
      </c>
      <c r="B24" s="36">
        <v>0</v>
      </c>
      <c r="C24" s="36">
        <v>14.3</v>
      </c>
      <c r="D24" s="36">
        <v>0</v>
      </c>
      <c r="E24" s="36">
        <v>0.5</v>
      </c>
      <c r="F24" s="36">
        <v>2.4</v>
      </c>
      <c r="G24" s="36">
        <v>1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58">
        <v>0.4</v>
      </c>
      <c r="N24" s="7"/>
      <c r="P24" s="57">
        <v>17</v>
      </c>
      <c r="Q24" s="36">
        <v>0</v>
      </c>
      <c r="R24" s="36">
        <v>0.4</v>
      </c>
      <c r="S24" s="36">
        <v>0</v>
      </c>
      <c r="T24" s="36">
        <v>0.9</v>
      </c>
      <c r="U24" s="36">
        <v>6.1</v>
      </c>
      <c r="V24" s="36">
        <v>5.2</v>
      </c>
      <c r="W24" s="36">
        <v>1.6</v>
      </c>
      <c r="X24" s="36">
        <v>1</v>
      </c>
      <c r="Y24" s="36">
        <v>6</v>
      </c>
      <c r="Z24" s="36">
        <v>5.3</v>
      </c>
      <c r="AA24" s="36">
        <v>0</v>
      </c>
      <c r="AB24" s="58">
        <v>0</v>
      </c>
      <c r="AC24" s="7"/>
    </row>
    <row r="25" spans="1:29">
      <c r="A25" s="57">
        <v>18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92.8</v>
      </c>
      <c r="L25" s="36">
        <v>1.2</v>
      </c>
      <c r="M25" s="58">
        <v>21.6</v>
      </c>
      <c r="N25" s="7"/>
      <c r="P25" s="57">
        <v>18</v>
      </c>
      <c r="Q25" s="36">
        <v>0</v>
      </c>
      <c r="R25" s="36">
        <v>0</v>
      </c>
      <c r="S25" s="36">
        <v>6</v>
      </c>
      <c r="T25" s="36">
        <v>4.5999999999999996</v>
      </c>
      <c r="U25" s="36">
        <v>0.2</v>
      </c>
      <c r="V25" s="36">
        <v>13.6</v>
      </c>
      <c r="W25" s="36">
        <v>0</v>
      </c>
      <c r="X25" s="36">
        <v>17.600000000000001</v>
      </c>
      <c r="Y25" s="36">
        <v>0</v>
      </c>
      <c r="Z25" s="36">
        <v>6.1</v>
      </c>
      <c r="AA25" s="36">
        <v>0.5</v>
      </c>
      <c r="AB25" s="58">
        <v>0</v>
      </c>
      <c r="AC25" s="7"/>
    </row>
    <row r="26" spans="1:29">
      <c r="A26" s="57">
        <v>19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10</v>
      </c>
      <c r="H26" s="36">
        <v>0</v>
      </c>
      <c r="I26" s="36">
        <v>0</v>
      </c>
      <c r="J26" s="36">
        <v>0</v>
      </c>
      <c r="K26" s="36">
        <v>3</v>
      </c>
      <c r="L26" s="36">
        <v>52.3</v>
      </c>
      <c r="M26" s="58">
        <v>0.9</v>
      </c>
      <c r="N26" s="7"/>
      <c r="P26" s="57">
        <v>19</v>
      </c>
      <c r="Q26" s="36">
        <v>0</v>
      </c>
      <c r="R26" s="36">
        <v>3</v>
      </c>
      <c r="S26" s="36">
        <v>0</v>
      </c>
      <c r="T26" s="36">
        <v>1</v>
      </c>
      <c r="U26" s="36">
        <v>0</v>
      </c>
      <c r="V26" s="36">
        <v>0</v>
      </c>
      <c r="W26" s="38">
        <v>0</v>
      </c>
      <c r="X26" s="36">
        <v>0</v>
      </c>
      <c r="Y26" s="36">
        <v>12.7</v>
      </c>
      <c r="Z26" s="36">
        <v>0</v>
      </c>
      <c r="AA26" s="36">
        <v>12.3</v>
      </c>
      <c r="AB26" s="72">
        <v>0</v>
      </c>
      <c r="AC26" s="7"/>
    </row>
    <row r="27" spans="1:29">
      <c r="A27" s="57">
        <v>20</v>
      </c>
      <c r="B27" s="36">
        <v>6.5</v>
      </c>
      <c r="C27" s="36">
        <v>0</v>
      </c>
      <c r="D27" s="36">
        <v>0</v>
      </c>
      <c r="E27" s="36">
        <v>6.2</v>
      </c>
      <c r="F27" s="36">
        <v>4.9000000000000004</v>
      </c>
      <c r="G27" s="36">
        <v>5.5</v>
      </c>
      <c r="H27" s="36">
        <v>0</v>
      </c>
      <c r="I27" s="36">
        <v>0.6</v>
      </c>
      <c r="J27" s="36">
        <v>0</v>
      </c>
      <c r="K27" s="36">
        <v>4.2</v>
      </c>
      <c r="L27" s="36">
        <v>6.5</v>
      </c>
      <c r="M27" s="58">
        <v>0</v>
      </c>
      <c r="N27" s="7"/>
      <c r="P27" s="57">
        <v>20</v>
      </c>
      <c r="Q27" s="36">
        <v>51.5</v>
      </c>
      <c r="R27" s="36">
        <v>0</v>
      </c>
      <c r="T27" s="36">
        <v>5.2</v>
      </c>
      <c r="U27" s="36">
        <v>36.9</v>
      </c>
      <c r="V27" s="36">
        <v>0</v>
      </c>
      <c r="W27" s="38">
        <v>0</v>
      </c>
      <c r="X27" s="36">
        <v>0.8</v>
      </c>
      <c r="Y27" s="36">
        <v>22</v>
      </c>
      <c r="Z27" s="36">
        <v>0</v>
      </c>
      <c r="AA27" s="36">
        <v>7.3</v>
      </c>
      <c r="AB27" s="58">
        <v>0</v>
      </c>
      <c r="AC27" s="7"/>
    </row>
    <row r="28" spans="1:29">
      <c r="A28" s="57">
        <v>21</v>
      </c>
      <c r="B28" s="36">
        <v>10.4</v>
      </c>
      <c r="C28" s="36">
        <v>1.8</v>
      </c>
      <c r="D28" s="36">
        <v>0</v>
      </c>
      <c r="E28" s="36">
        <v>0</v>
      </c>
      <c r="F28" s="36">
        <v>22</v>
      </c>
      <c r="G28" s="36">
        <v>0</v>
      </c>
      <c r="H28" s="36">
        <v>3.4</v>
      </c>
      <c r="I28" s="36">
        <v>0</v>
      </c>
      <c r="J28" s="36">
        <v>0</v>
      </c>
      <c r="K28" s="36">
        <v>0</v>
      </c>
      <c r="L28" s="36">
        <v>0.4</v>
      </c>
      <c r="M28" s="58">
        <v>0</v>
      </c>
      <c r="N28" s="7"/>
      <c r="P28" s="57">
        <v>21</v>
      </c>
      <c r="Q28" s="36">
        <v>0</v>
      </c>
      <c r="R28" s="36">
        <v>0</v>
      </c>
      <c r="S28" s="36">
        <v>0</v>
      </c>
      <c r="T28" s="38">
        <v>0</v>
      </c>
      <c r="U28" s="36">
        <v>4</v>
      </c>
      <c r="V28" s="36">
        <v>21.5</v>
      </c>
      <c r="W28" s="38">
        <v>0</v>
      </c>
      <c r="X28" s="36">
        <v>13.8</v>
      </c>
      <c r="Y28" s="36">
        <v>3</v>
      </c>
      <c r="Z28" s="36">
        <v>20.9</v>
      </c>
      <c r="AA28" s="36">
        <v>0</v>
      </c>
      <c r="AB28" s="58">
        <v>0</v>
      </c>
      <c r="AC28" s="7"/>
    </row>
    <row r="29" spans="1:29">
      <c r="A29" s="57">
        <v>22</v>
      </c>
      <c r="B29" s="36">
        <v>0</v>
      </c>
      <c r="C29" s="36">
        <v>113</v>
      </c>
      <c r="D29" s="36">
        <v>0</v>
      </c>
      <c r="E29" s="36">
        <v>0</v>
      </c>
      <c r="F29" s="36">
        <v>1.2</v>
      </c>
      <c r="G29" s="36">
        <v>3</v>
      </c>
      <c r="H29" s="36">
        <v>0</v>
      </c>
      <c r="I29" s="36">
        <v>0</v>
      </c>
      <c r="J29" s="36">
        <v>0</v>
      </c>
      <c r="K29" s="36">
        <v>89.8</v>
      </c>
      <c r="L29" s="36">
        <v>6</v>
      </c>
      <c r="M29" s="58">
        <v>0</v>
      </c>
      <c r="N29" s="7"/>
      <c r="P29" s="57">
        <v>22</v>
      </c>
      <c r="Q29" s="38">
        <v>0</v>
      </c>
      <c r="R29" s="38">
        <v>0</v>
      </c>
      <c r="S29" s="36">
        <v>4</v>
      </c>
      <c r="T29" s="36">
        <v>40</v>
      </c>
      <c r="U29" s="36">
        <v>0</v>
      </c>
      <c r="V29" s="36">
        <v>0</v>
      </c>
      <c r="W29" s="36">
        <v>11.2</v>
      </c>
      <c r="X29" s="36">
        <v>20.8</v>
      </c>
      <c r="Y29" s="36">
        <v>0</v>
      </c>
      <c r="Z29" s="36">
        <v>15.9</v>
      </c>
      <c r="AA29" s="36">
        <v>6</v>
      </c>
      <c r="AB29" s="58">
        <v>2.8</v>
      </c>
      <c r="AC29" s="7"/>
    </row>
    <row r="30" spans="1:29">
      <c r="A30" s="57">
        <v>23</v>
      </c>
      <c r="B30" s="36">
        <v>7.2</v>
      </c>
      <c r="C30" s="36">
        <v>0</v>
      </c>
      <c r="D30" s="36">
        <v>0</v>
      </c>
      <c r="E30" s="36">
        <v>2.8</v>
      </c>
      <c r="F30" s="36">
        <v>8.1999999999999993</v>
      </c>
      <c r="G30" s="36">
        <v>3.2</v>
      </c>
      <c r="H30" s="36">
        <v>52.6</v>
      </c>
      <c r="I30" s="36">
        <v>0</v>
      </c>
      <c r="J30" s="36">
        <v>0</v>
      </c>
      <c r="K30" s="36">
        <v>11</v>
      </c>
      <c r="L30" s="36">
        <v>2.4</v>
      </c>
      <c r="M30" s="58">
        <v>5.5</v>
      </c>
      <c r="N30" s="7"/>
      <c r="P30" s="57">
        <v>23</v>
      </c>
      <c r="Q30" s="36">
        <v>12.3</v>
      </c>
      <c r="R30" s="36">
        <v>0</v>
      </c>
      <c r="S30" s="36">
        <v>0</v>
      </c>
      <c r="T30" s="36">
        <v>85.5</v>
      </c>
      <c r="U30" s="36">
        <v>0</v>
      </c>
      <c r="V30" s="36">
        <v>20</v>
      </c>
      <c r="W30" s="36">
        <v>0</v>
      </c>
      <c r="X30" s="36">
        <v>11.5</v>
      </c>
      <c r="Y30" s="36">
        <v>63</v>
      </c>
      <c r="Z30" s="36">
        <v>2.8</v>
      </c>
      <c r="AA30" s="36">
        <v>0</v>
      </c>
      <c r="AB30" s="58">
        <v>95.3</v>
      </c>
      <c r="AC30" s="7"/>
    </row>
    <row r="31" spans="1:29">
      <c r="A31" s="57">
        <v>24</v>
      </c>
      <c r="B31" s="36">
        <v>0</v>
      </c>
      <c r="C31" s="36">
        <v>98.1</v>
      </c>
      <c r="D31" s="36">
        <v>0</v>
      </c>
      <c r="E31" s="36">
        <v>5.5</v>
      </c>
      <c r="F31" s="36">
        <v>0</v>
      </c>
      <c r="G31" s="36">
        <v>0</v>
      </c>
      <c r="H31" s="36">
        <v>0.5</v>
      </c>
      <c r="I31" s="36">
        <v>0</v>
      </c>
      <c r="J31" s="36">
        <v>7.3</v>
      </c>
      <c r="K31" s="36">
        <v>47.6</v>
      </c>
      <c r="L31" s="36">
        <v>7.9</v>
      </c>
      <c r="M31" s="58">
        <v>0.2</v>
      </c>
      <c r="N31" s="7"/>
      <c r="P31" s="57">
        <v>24</v>
      </c>
      <c r="Q31" s="38">
        <v>0</v>
      </c>
      <c r="R31" s="38">
        <v>0</v>
      </c>
      <c r="S31" s="36">
        <v>0</v>
      </c>
      <c r="T31" s="36">
        <v>2.2999999999999998</v>
      </c>
      <c r="U31" s="36">
        <v>0</v>
      </c>
      <c r="V31" s="36">
        <v>10.8</v>
      </c>
      <c r="W31" s="36">
        <v>4.5</v>
      </c>
      <c r="X31" s="36">
        <v>26.9</v>
      </c>
      <c r="Y31" s="36">
        <v>0</v>
      </c>
      <c r="Z31" s="36">
        <v>23.5</v>
      </c>
      <c r="AA31" s="36">
        <v>17.7</v>
      </c>
      <c r="AB31" s="58">
        <v>7.2</v>
      </c>
      <c r="AC31" s="7"/>
    </row>
    <row r="32" spans="1:29">
      <c r="A32" s="57">
        <v>25</v>
      </c>
      <c r="B32" s="36">
        <v>0</v>
      </c>
      <c r="C32" s="36">
        <v>3.1</v>
      </c>
      <c r="D32" s="36">
        <v>0</v>
      </c>
      <c r="E32" s="36">
        <v>76</v>
      </c>
      <c r="F32" s="36">
        <v>13.5</v>
      </c>
      <c r="G32" s="36">
        <v>0</v>
      </c>
      <c r="H32" s="36">
        <v>0</v>
      </c>
      <c r="I32" s="36">
        <v>0</v>
      </c>
      <c r="J32" s="36">
        <v>0</v>
      </c>
      <c r="K32" s="36">
        <v>32.4</v>
      </c>
      <c r="L32" s="36">
        <v>2.2000000000000002</v>
      </c>
      <c r="M32" s="58">
        <v>0</v>
      </c>
      <c r="N32" s="7"/>
      <c r="P32" s="57">
        <v>25</v>
      </c>
      <c r="Q32" s="38">
        <v>0</v>
      </c>
      <c r="R32" s="36">
        <v>22.5</v>
      </c>
      <c r="S32" s="36">
        <v>0</v>
      </c>
      <c r="T32" s="36">
        <v>11.3</v>
      </c>
      <c r="U32" s="36">
        <v>24.2</v>
      </c>
      <c r="V32" s="36">
        <v>21.5</v>
      </c>
      <c r="W32" s="36">
        <v>4.5</v>
      </c>
      <c r="X32" s="36">
        <v>1.2</v>
      </c>
      <c r="Y32" s="36">
        <v>0</v>
      </c>
      <c r="Z32" s="36">
        <v>32</v>
      </c>
      <c r="AA32" s="36">
        <v>0</v>
      </c>
      <c r="AB32" s="58">
        <v>0</v>
      </c>
      <c r="AC32" s="7"/>
    </row>
    <row r="33" spans="1:29">
      <c r="A33" s="57">
        <v>26</v>
      </c>
      <c r="B33" s="36">
        <v>0</v>
      </c>
      <c r="C33" s="36">
        <v>9.3000000000000007</v>
      </c>
      <c r="D33" s="36">
        <v>0</v>
      </c>
      <c r="E33" s="36">
        <v>7.5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2.4</v>
      </c>
      <c r="L33" s="36">
        <v>0</v>
      </c>
      <c r="M33" s="58">
        <v>0</v>
      </c>
      <c r="N33" s="7"/>
      <c r="P33" s="57">
        <v>26</v>
      </c>
      <c r="Q33" s="38">
        <v>0</v>
      </c>
      <c r="R33" s="36">
        <v>0</v>
      </c>
      <c r="S33" s="36">
        <v>0</v>
      </c>
      <c r="T33" s="36">
        <v>0</v>
      </c>
      <c r="U33" s="36">
        <v>16.5</v>
      </c>
      <c r="V33" s="36">
        <v>11</v>
      </c>
      <c r="W33" s="36">
        <v>2.2000000000000002</v>
      </c>
      <c r="X33" s="36">
        <v>0</v>
      </c>
      <c r="Y33" s="36">
        <v>23.9</v>
      </c>
      <c r="Z33" s="36">
        <v>25.3</v>
      </c>
      <c r="AA33" s="36">
        <v>4</v>
      </c>
      <c r="AB33" s="58">
        <v>0</v>
      </c>
      <c r="AC33" s="7"/>
    </row>
    <row r="34" spans="1:29">
      <c r="A34" s="57">
        <v>27</v>
      </c>
      <c r="B34" s="36">
        <v>0</v>
      </c>
      <c r="C34" s="36">
        <v>11.2</v>
      </c>
      <c r="D34" s="36">
        <v>0.4</v>
      </c>
      <c r="E34" s="36">
        <v>14.7</v>
      </c>
      <c r="F34" s="36">
        <v>1.5</v>
      </c>
      <c r="G34" s="36">
        <v>0</v>
      </c>
      <c r="H34" s="36">
        <v>13.9</v>
      </c>
      <c r="I34" s="36">
        <v>0</v>
      </c>
      <c r="J34" s="36">
        <v>9.8000000000000007</v>
      </c>
      <c r="K34" s="36">
        <v>4.5</v>
      </c>
      <c r="L34" s="36">
        <v>0</v>
      </c>
      <c r="M34" s="58">
        <v>0</v>
      </c>
      <c r="N34" s="7"/>
      <c r="P34" s="57">
        <v>27</v>
      </c>
      <c r="Q34" s="36">
        <v>0</v>
      </c>
      <c r="R34" s="36">
        <v>0</v>
      </c>
      <c r="S34" s="36">
        <v>0</v>
      </c>
      <c r="T34" s="38">
        <v>0</v>
      </c>
      <c r="U34" s="36">
        <v>0</v>
      </c>
      <c r="V34" s="36">
        <v>0</v>
      </c>
      <c r="W34" s="36">
        <v>41.2</v>
      </c>
      <c r="X34" s="36">
        <v>40.9</v>
      </c>
      <c r="Y34" s="36">
        <v>44.5</v>
      </c>
      <c r="Z34" s="36">
        <v>9.1999999999999993</v>
      </c>
      <c r="AA34" s="36">
        <v>21.5</v>
      </c>
      <c r="AB34" s="58">
        <v>0</v>
      </c>
      <c r="AC34" s="7"/>
    </row>
    <row r="35" spans="1:29">
      <c r="A35" s="57">
        <v>28</v>
      </c>
      <c r="B35" s="36">
        <v>0</v>
      </c>
      <c r="C35" s="36">
        <v>3.3</v>
      </c>
      <c r="D35" s="36">
        <v>11.4</v>
      </c>
      <c r="E35" s="36">
        <v>14.9</v>
      </c>
      <c r="F35" s="36">
        <v>10</v>
      </c>
      <c r="G35" s="36">
        <v>0</v>
      </c>
      <c r="H35" s="36">
        <v>0</v>
      </c>
      <c r="I35" s="36">
        <v>2.5</v>
      </c>
      <c r="J35" s="36">
        <v>31.1</v>
      </c>
      <c r="K35" s="36">
        <v>84.5</v>
      </c>
      <c r="L35" s="36">
        <v>0</v>
      </c>
      <c r="M35" s="58">
        <v>0</v>
      </c>
      <c r="N35" s="7"/>
      <c r="P35" s="57">
        <v>28</v>
      </c>
      <c r="Q35" s="36">
        <v>0</v>
      </c>
      <c r="R35" s="36">
        <v>0</v>
      </c>
      <c r="S35" s="36">
        <v>0</v>
      </c>
      <c r="T35" s="36">
        <v>8.5</v>
      </c>
      <c r="U35" s="36">
        <v>0</v>
      </c>
      <c r="V35" s="36">
        <v>0</v>
      </c>
      <c r="W35" s="38">
        <v>0</v>
      </c>
      <c r="X35" s="36">
        <v>35.299999999999997</v>
      </c>
      <c r="Y35" s="36">
        <v>5</v>
      </c>
      <c r="Z35" s="36">
        <v>12.8</v>
      </c>
      <c r="AA35" s="38">
        <v>0</v>
      </c>
      <c r="AB35" s="58">
        <v>0</v>
      </c>
      <c r="AC35" s="7"/>
    </row>
    <row r="36" spans="1:29">
      <c r="A36" s="57">
        <v>29</v>
      </c>
      <c r="B36" s="36">
        <v>0</v>
      </c>
      <c r="C36" s="24"/>
      <c r="D36" s="36">
        <v>1.3</v>
      </c>
      <c r="E36" s="36">
        <v>0.3</v>
      </c>
      <c r="F36" s="36">
        <v>22.1</v>
      </c>
      <c r="G36" s="36">
        <v>0</v>
      </c>
      <c r="H36" s="36">
        <v>0</v>
      </c>
      <c r="I36" s="36">
        <v>9.1</v>
      </c>
      <c r="J36" s="36">
        <v>0</v>
      </c>
      <c r="K36" s="36">
        <v>0</v>
      </c>
      <c r="L36" s="36">
        <v>0</v>
      </c>
      <c r="M36" s="58">
        <v>0</v>
      </c>
      <c r="N36" s="7"/>
      <c r="P36" s="57">
        <v>29</v>
      </c>
      <c r="Q36" s="36">
        <v>0</v>
      </c>
      <c r="R36" s="36"/>
      <c r="S36" s="36">
        <v>0</v>
      </c>
      <c r="T36" s="36">
        <v>0</v>
      </c>
      <c r="U36" s="36">
        <v>0</v>
      </c>
      <c r="V36" s="36">
        <v>0</v>
      </c>
      <c r="W36" s="36">
        <v>3.7</v>
      </c>
      <c r="X36" s="36">
        <v>23.3</v>
      </c>
      <c r="Y36" s="36">
        <v>3.1</v>
      </c>
      <c r="Z36" s="36">
        <v>7.7</v>
      </c>
      <c r="AA36" s="36">
        <v>1</v>
      </c>
      <c r="AB36" s="58">
        <v>0</v>
      </c>
      <c r="AC36" s="7"/>
    </row>
    <row r="37" spans="1:29">
      <c r="A37" s="57">
        <v>30</v>
      </c>
      <c r="B37" s="36">
        <v>0</v>
      </c>
      <c r="C37" s="24"/>
      <c r="D37" s="36">
        <v>0</v>
      </c>
      <c r="E37" s="36">
        <v>0</v>
      </c>
      <c r="F37" s="36">
        <v>23</v>
      </c>
      <c r="G37" s="36">
        <v>0</v>
      </c>
      <c r="H37" s="36">
        <v>0</v>
      </c>
      <c r="I37" s="36">
        <v>0</v>
      </c>
      <c r="J37" s="36">
        <v>15.3</v>
      </c>
      <c r="K37" s="36">
        <v>0</v>
      </c>
      <c r="L37" s="36">
        <v>19.399999999999999</v>
      </c>
      <c r="M37" s="58">
        <v>74.400000000000006</v>
      </c>
      <c r="N37" s="7"/>
      <c r="P37" s="57">
        <v>30</v>
      </c>
      <c r="Q37" s="36">
        <v>0</v>
      </c>
      <c r="R37" s="36"/>
      <c r="S37" s="36">
        <v>0</v>
      </c>
      <c r="T37" s="36"/>
      <c r="U37" s="36">
        <v>0</v>
      </c>
      <c r="V37" s="36">
        <v>1.5</v>
      </c>
      <c r="W37" s="36">
        <v>5.4</v>
      </c>
      <c r="X37" s="36">
        <v>27.2</v>
      </c>
      <c r="Y37" s="36">
        <v>0.1</v>
      </c>
      <c r="Z37" s="36">
        <v>6</v>
      </c>
      <c r="AA37" s="36">
        <v>1.6</v>
      </c>
      <c r="AB37" s="58">
        <v>0</v>
      </c>
      <c r="AC37" s="7"/>
    </row>
    <row r="38" spans="1:29">
      <c r="A38" s="57">
        <v>31</v>
      </c>
      <c r="B38" s="36">
        <v>9</v>
      </c>
      <c r="C38" s="24"/>
      <c r="D38" s="36">
        <v>0</v>
      </c>
      <c r="E38" s="24"/>
      <c r="F38" s="36">
        <v>0</v>
      </c>
      <c r="G38" s="24"/>
      <c r="H38" s="36">
        <v>0</v>
      </c>
      <c r="I38" s="36">
        <v>0</v>
      </c>
      <c r="J38" s="24"/>
      <c r="K38" s="36">
        <v>0</v>
      </c>
      <c r="L38" s="24"/>
      <c r="M38" s="58">
        <v>8.1999999999999993</v>
      </c>
      <c r="N38" s="7"/>
      <c r="P38" s="57">
        <v>31</v>
      </c>
      <c r="Q38" s="36">
        <v>0</v>
      </c>
      <c r="R38" s="24"/>
      <c r="S38" s="36"/>
      <c r="T38" s="24"/>
      <c r="U38" s="36">
        <v>0</v>
      </c>
      <c r="V38" s="24"/>
      <c r="W38" s="36">
        <v>0.2</v>
      </c>
      <c r="X38" s="36">
        <v>33.9</v>
      </c>
      <c r="Y38" s="24"/>
      <c r="Z38" s="36">
        <v>0</v>
      </c>
      <c r="AA38" s="36"/>
      <c r="AB38" s="58">
        <v>0</v>
      </c>
      <c r="AC38" s="7"/>
    </row>
    <row r="39" spans="1:29">
      <c r="A39" s="59"/>
      <c r="B39" s="26"/>
      <c r="C39" s="26"/>
      <c r="D39" s="26"/>
      <c r="E39" s="27"/>
      <c r="F39" s="26"/>
      <c r="G39" s="26"/>
      <c r="H39" s="26"/>
      <c r="I39" s="26"/>
      <c r="J39" s="26"/>
      <c r="K39" s="26"/>
      <c r="L39" s="28"/>
      <c r="M39" s="60"/>
      <c r="N39" s="7"/>
      <c r="P39" s="59"/>
      <c r="Q39" s="26"/>
      <c r="R39" s="26"/>
      <c r="S39" s="26"/>
      <c r="T39" s="27"/>
      <c r="U39" s="36"/>
      <c r="V39" s="26"/>
      <c r="W39" s="26"/>
      <c r="X39" s="26"/>
      <c r="Y39" s="26"/>
      <c r="Z39" s="26"/>
      <c r="AA39" s="24"/>
      <c r="AB39" s="60"/>
      <c r="AC39" s="7"/>
    </row>
    <row r="40" spans="1:29">
      <c r="A40" s="57" t="s">
        <v>65</v>
      </c>
      <c r="B40" s="30">
        <f t="shared" ref="B40:M40" si="0">SUM(B8:B38)</f>
        <v>175.7</v>
      </c>
      <c r="C40" s="30">
        <f t="shared" si="0"/>
        <v>302.3</v>
      </c>
      <c r="D40" s="30">
        <f t="shared" si="0"/>
        <v>47.099999999999994</v>
      </c>
      <c r="E40" s="30">
        <f t="shared" si="0"/>
        <v>228.00000000000003</v>
      </c>
      <c r="F40" s="30">
        <f t="shared" si="0"/>
        <v>252.2</v>
      </c>
      <c r="G40" s="30">
        <f t="shared" si="0"/>
        <v>434.59999999999997</v>
      </c>
      <c r="H40" s="30">
        <f t="shared" si="0"/>
        <v>131.30000000000001</v>
      </c>
      <c r="I40" s="30">
        <f t="shared" si="0"/>
        <v>12.2</v>
      </c>
      <c r="J40" s="30">
        <f t="shared" si="0"/>
        <v>95.2</v>
      </c>
      <c r="K40" s="30">
        <f t="shared" si="0"/>
        <v>622.29999999999995</v>
      </c>
      <c r="L40" s="30">
        <f t="shared" si="0"/>
        <v>225.40000000000003</v>
      </c>
      <c r="M40" s="61">
        <f t="shared" si="0"/>
        <v>510.3</v>
      </c>
      <c r="N40" s="37">
        <f>SUM(B40:M40)</f>
        <v>3036.6</v>
      </c>
      <c r="P40" s="57" t="s">
        <v>65</v>
      </c>
      <c r="Q40" s="30">
        <f t="shared" ref="Q40:AB40" si="1">SUM(Q8:Q38)</f>
        <v>102.39999999999999</v>
      </c>
      <c r="R40" s="30">
        <f t="shared" si="1"/>
        <v>134.5</v>
      </c>
      <c r="S40" s="30">
        <f t="shared" si="1"/>
        <v>72.7</v>
      </c>
      <c r="T40" s="30">
        <f t="shared" si="1"/>
        <v>328.40000000000003</v>
      </c>
      <c r="U40" s="30">
        <f t="shared" si="1"/>
        <v>206.79999999999998</v>
      </c>
      <c r="V40" s="30">
        <f t="shared" si="1"/>
        <v>351.90000000000003</v>
      </c>
      <c r="W40" s="30">
        <f t="shared" si="1"/>
        <v>159.9</v>
      </c>
      <c r="X40" s="30">
        <f t="shared" si="1"/>
        <v>446.59999999999997</v>
      </c>
      <c r="Y40" s="30">
        <f t="shared" si="1"/>
        <v>294.80000000000007</v>
      </c>
      <c r="Z40" s="30">
        <f t="shared" si="1"/>
        <v>411.2</v>
      </c>
      <c r="AA40" s="30">
        <f t="shared" si="1"/>
        <v>244.40000000000003</v>
      </c>
      <c r="AB40" s="61">
        <f t="shared" si="1"/>
        <v>287</v>
      </c>
      <c r="AC40" s="37">
        <f>SUM(Q40:AB40)</f>
        <v>3040.6</v>
      </c>
    </row>
    <row r="41" spans="1:29">
      <c r="A41" s="57" t="s">
        <v>66</v>
      </c>
      <c r="B41" s="30">
        <f>MAX(B8:B38)</f>
        <v>83</v>
      </c>
      <c r="C41" s="30">
        <f t="shared" ref="C41:M41" si="2">MAX(C8:C38)</f>
        <v>113</v>
      </c>
      <c r="D41" s="30">
        <f t="shared" si="2"/>
        <v>18.8</v>
      </c>
      <c r="E41" s="30">
        <f t="shared" si="2"/>
        <v>76</v>
      </c>
      <c r="F41" s="30">
        <f t="shared" si="2"/>
        <v>111.6</v>
      </c>
      <c r="G41" s="30">
        <f t="shared" si="2"/>
        <v>120.7</v>
      </c>
      <c r="H41" s="30">
        <f t="shared" si="2"/>
        <v>52.6</v>
      </c>
      <c r="I41" s="30">
        <f t="shared" si="2"/>
        <v>9.1</v>
      </c>
      <c r="J41" s="30">
        <f t="shared" si="2"/>
        <v>31.1</v>
      </c>
      <c r="K41" s="30">
        <f t="shared" si="2"/>
        <v>92.8</v>
      </c>
      <c r="L41" s="30">
        <f t="shared" si="2"/>
        <v>52.3</v>
      </c>
      <c r="M41" s="61">
        <f t="shared" si="2"/>
        <v>97.5</v>
      </c>
      <c r="N41" s="37">
        <f>MAX(B41:M41)</f>
        <v>120.7</v>
      </c>
      <c r="P41" s="57" t="s">
        <v>66</v>
      </c>
      <c r="Q41" s="30">
        <f>MAX(Q8:Q38)</f>
        <v>51.5</v>
      </c>
      <c r="R41" s="30">
        <f t="shared" ref="R41:AB41" si="3">MAX(R8:R38)</f>
        <v>46.3</v>
      </c>
      <c r="S41" s="30">
        <f t="shared" si="3"/>
        <v>23</v>
      </c>
      <c r="T41" s="30">
        <f t="shared" si="3"/>
        <v>106</v>
      </c>
      <c r="U41" s="30">
        <f t="shared" si="3"/>
        <v>38.700000000000003</v>
      </c>
      <c r="V41" s="30">
        <f t="shared" si="3"/>
        <v>76.3</v>
      </c>
      <c r="W41" s="30">
        <f t="shared" si="3"/>
        <v>46</v>
      </c>
      <c r="X41" s="30">
        <f t="shared" si="3"/>
        <v>104.5</v>
      </c>
      <c r="Y41" s="30">
        <f t="shared" si="3"/>
        <v>63</v>
      </c>
      <c r="Z41" s="30">
        <f t="shared" si="3"/>
        <v>78.900000000000006</v>
      </c>
      <c r="AA41" s="30">
        <f t="shared" si="3"/>
        <v>52.8</v>
      </c>
      <c r="AB41" s="61">
        <f t="shared" si="3"/>
        <v>95.3</v>
      </c>
      <c r="AC41" s="37">
        <f>MAX(Q41:AB41)</f>
        <v>106</v>
      </c>
    </row>
    <row r="42" spans="1:29">
      <c r="A42" s="62"/>
      <c r="B42" s="7"/>
      <c r="C42" s="7"/>
      <c r="D42" s="7"/>
      <c r="E42" s="7"/>
      <c r="F42" s="7"/>
      <c r="G42" s="7"/>
      <c r="H42" s="32"/>
      <c r="I42" s="7"/>
      <c r="J42" s="7"/>
      <c r="K42" s="7"/>
      <c r="L42" s="7"/>
      <c r="M42" s="63"/>
      <c r="N42" s="7"/>
      <c r="P42" s="62"/>
      <c r="Q42" s="7"/>
      <c r="R42" s="7"/>
      <c r="S42" s="7"/>
      <c r="T42" s="7"/>
      <c r="U42" s="7"/>
      <c r="V42" s="7"/>
      <c r="W42" s="32"/>
      <c r="X42" s="7"/>
      <c r="Y42" s="7"/>
      <c r="Z42" s="7"/>
      <c r="AA42" s="7"/>
      <c r="AB42" s="63"/>
      <c r="AC42" s="7"/>
    </row>
    <row r="43" spans="1:29" ht="15.75" thickBot="1">
      <c r="A43" s="64" t="s">
        <v>67</v>
      </c>
      <c r="B43" s="65">
        <v>0</v>
      </c>
      <c r="C43" s="66" t="s">
        <v>68</v>
      </c>
      <c r="D43" s="67"/>
      <c r="E43" s="68"/>
      <c r="F43" s="68"/>
      <c r="G43" s="68"/>
      <c r="H43" s="69"/>
      <c r="I43" s="68"/>
      <c r="J43" s="68"/>
      <c r="K43" s="68"/>
      <c r="L43" s="68"/>
      <c r="M43" s="70"/>
      <c r="N43" s="7"/>
      <c r="P43" s="64" t="s">
        <v>67</v>
      </c>
      <c r="Q43" s="65">
        <v>0</v>
      </c>
      <c r="R43" s="66" t="s">
        <v>68</v>
      </c>
      <c r="S43" s="67"/>
      <c r="T43" s="68"/>
      <c r="U43" s="68"/>
      <c r="V43" s="68"/>
      <c r="W43" s="69"/>
      <c r="X43" s="68"/>
      <c r="Y43" s="68"/>
      <c r="Z43" s="68"/>
      <c r="AA43" s="68"/>
      <c r="AB43" s="70"/>
      <c r="AC43" s="7"/>
    </row>
    <row r="45" spans="1:29" ht="15.75" thickBot="1"/>
    <row r="46" spans="1:29" ht="18">
      <c r="A46" s="44" t="s">
        <v>41</v>
      </c>
      <c r="B46" s="45"/>
      <c r="C46" s="45"/>
      <c r="D46" s="45"/>
      <c r="E46" s="46">
        <v>2020</v>
      </c>
      <c r="F46" s="47"/>
      <c r="G46" s="47"/>
      <c r="H46" s="48"/>
      <c r="I46" s="47"/>
      <c r="J46" s="47"/>
      <c r="K46" s="47"/>
      <c r="L46" s="47"/>
      <c r="M46" s="49"/>
      <c r="N46" s="7"/>
      <c r="P46" s="44" t="s">
        <v>41</v>
      </c>
      <c r="Q46" s="45"/>
      <c r="R46" s="45"/>
      <c r="S46" s="45"/>
      <c r="T46" s="46">
        <v>2023</v>
      </c>
      <c r="U46" s="47"/>
      <c r="V46" s="47"/>
      <c r="W46" s="48"/>
      <c r="X46" s="47"/>
      <c r="Y46" s="47"/>
      <c r="Z46" s="47"/>
      <c r="AA46" s="47"/>
      <c r="AB46" s="49"/>
      <c r="AC46" s="7"/>
    </row>
    <row r="47" spans="1:29">
      <c r="A47" s="50"/>
      <c r="B47" s="9"/>
      <c r="C47" s="9"/>
      <c r="D47" s="9"/>
      <c r="E47" s="10"/>
      <c r="F47" s="10"/>
      <c r="G47" s="10"/>
      <c r="H47" s="11"/>
      <c r="I47" s="9"/>
      <c r="J47" s="9"/>
      <c r="K47" s="9"/>
      <c r="L47" s="9"/>
      <c r="M47" s="51"/>
      <c r="N47" s="7"/>
      <c r="P47" s="50"/>
      <c r="Q47" s="9"/>
      <c r="R47" s="9"/>
      <c r="S47" s="9"/>
      <c r="T47" s="10"/>
      <c r="U47" s="10"/>
      <c r="V47" s="10"/>
      <c r="W47" s="11"/>
      <c r="X47" s="9"/>
      <c r="Y47" s="9"/>
      <c r="Z47" s="9"/>
      <c r="AA47" s="9"/>
      <c r="AB47" s="51"/>
      <c r="AC47" s="7"/>
    </row>
    <row r="48" spans="1:29" ht="15.75">
      <c r="A48" s="52" t="s">
        <v>42</v>
      </c>
      <c r="B48" s="14"/>
      <c r="C48" s="14" t="s">
        <v>43</v>
      </c>
      <c r="D48" s="14"/>
      <c r="E48" s="14"/>
      <c r="F48" s="14"/>
      <c r="G48" s="14"/>
      <c r="H48" s="15"/>
      <c r="I48" s="14"/>
      <c r="J48" s="14" t="s">
        <v>74</v>
      </c>
      <c r="K48" s="14" t="s">
        <v>96</v>
      </c>
      <c r="L48" s="14"/>
      <c r="M48" s="51"/>
      <c r="N48" s="7"/>
      <c r="P48" s="52" t="s">
        <v>42</v>
      </c>
      <c r="Q48" s="14"/>
      <c r="R48" s="14" t="s">
        <v>43</v>
      </c>
      <c r="S48" s="14"/>
      <c r="T48" s="14"/>
      <c r="U48" s="14"/>
      <c r="V48" s="14"/>
      <c r="W48" s="15"/>
      <c r="X48" s="14"/>
      <c r="Y48" s="14" t="s">
        <v>74</v>
      </c>
      <c r="Z48" s="14" t="s">
        <v>96</v>
      </c>
      <c r="AA48" s="14"/>
      <c r="AB48" s="51"/>
      <c r="AC48" s="7"/>
    </row>
    <row r="49" spans="1:29" ht="15.75">
      <c r="A49" s="52" t="s">
        <v>46</v>
      </c>
      <c r="B49" s="14"/>
      <c r="C49" s="14" t="s">
        <v>97</v>
      </c>
      <c r="D49" s="14"/>
      <c r="E49" s="14"/>
      <c r="F49" s="14"/>
      <c r="G49" s="14"/>
      <c r="H49" s="15"/>
      <c r="I49" s="14"/>
      <c r="J49" s="14" t="s">
        <v>77</v>
      </c>
      <c r="K49" s="14" t="s">
        <v>98</v>
      </c>
      <c r="L49" s="14"/>
      <c r="M49" s="51"/>
      <c r="N49" s="7"/>
      <c r="P49" s="52" t="s">
        <v>46</v>
      </c>
      <c r="Q49" s="14"/>
      <c r="R49" s="14" t="s">
        <v>97</v>
      </c>
      <c r="S49" s="14"/>
      <c r="T49" s="14"/>
      <c r="U49" s="14"/>
      <c r="V49" s="14"/>
      <c r="W49" s="15"/>
      <c r="X49" s="14"/>
      <c r="Y49" s="14" t="s">
        <v>77</v>
      </c>
      <c r="Z49" s="14" t="s">
        <v>98</v>
      </c>
      <c r="AA49" s="14"/>
      <c r="AB49" s="51"/>
      <c r="AC49" s="7"/>
    </row>
    <row r="50" spans="1:29" ht="15.75">
      <c r="A50" s="52" t="s">
        <v>49</v>
      </c>
      <c r="B50" s="14"/>
      <c r="C50" s="14" t="s">
        <v>82</v>
      </c>
      <c r="D50" s="14"/>
      <c r="E50" s="14"/>
      <c r="F50" s="14"/>
      <c r="G50" s="14"/>
      <c r="H50" s="15"/>
      <c r="I50" s="14"/>
      <c r="J50" s="14" t="s">
        <v>51</v>
      </c>
      <c r="K50" s="14" t="s">
        <v>99</v>
      </c>
      <c r="L50" s="14"/>
      <c r="M50" s="51"/>
      <c r="N50" s="7"/>
      <c r="P50" s="52" t="s">
        <v>49</v>
      </c>
      <c r="Q50" s="14"/>
      <c r="R50" s="14" t="s">
        <v>88</v>
      </c>
      <c r="S50" s="14"/>
      <c r="T50" s="14"/>
      <c r="U50" s="14"/>
      <c r="V50" s="14"/>
      <c r="W50" s="15"/>
      <c r="X50" s="14"/>
      <c r="Y50" s="14" t="s">
        <v>51</v>
      </c>
      <c r="Z50" s="14" t="s">
        <v>99</v>
      </c>
      <c r="AA50" s="14"/>
      <c r="AB50" s="51"/>
      <c r="AC50" s="7"/>
    </row>
    <row r="51" spans="1:29">
      <c r="A51" s="53"/>
      <c r="B51" s="10"/>
      <c r="C51" s="10"/>
      <c r="D51" s="10"/>
      <c r="E51" s="10"/>
      <c r="F51" s="10"/>
      <c r="G51" s="10"/>
      <c r="H51" s="17"/>
      <c r="I51" s="10"/>
      <c r="J51" s="10"/>
      <c r="K51" s="10"/>
      <c r="L51" s="10"/>
      <c r="M51" s="54"/>
      <c r="N51" s="19"/>
      <c r="P51" s="53"/>
      <c r="Q51" s="10"/>
      <c r="R51" s="10"/>
      <c r="S51" s="10"/>
      <c r="T51" s="10"/>
      <c r="U51" s="10"/>
      <c r="V51" s="10"/>
      <c r="W51" s="17"/>
      <c r="X51" s="10"/>
      <c r="Y51" s="10"/>
      <c r="Z51" s="10"/>
      <c r="AA51" s="10"/>
      <c r="AB51" s="54"/>
      <c r="AC51" s="19"/>
    </row>
    <row r="52" spans="1:29">
      <c r="A52" s="55" t="s">
        <v>53</v>
      </c>
      <c r="B52" s="21" t="s">
        <v>54</v>
      </c>
      <c r="C52" s="21" t="s">
        <v>55</v>
      </c>
      <c r="D52" s="21" t="s">
        <v>56</v>
      </c>
      <c r="E52" s="21" t="s">
        <v>57</v>
      </c>
      <c r="F52" s="21" t="s">
        <v>20</v>
      </c>
      <c r="G52" s="21" t="s">
        <v>58</v>
      </c>
      <c r="H52" s="21" t="s">
        <v>59</v>
      </c>
      <c r="I52" s="21" t="s">
        <v>60</v>
      </c>
      <c r="J52" s="21" t="s">
        <v>61</v>
      </c>
      <c r="K52" s="21" t="s">
        <v>62</v>
      </c>
      <c r="L52" s="21" t="s">
        <v>63</v>
      </c>
      <c r="M52" s="56" t="s">
        <v>64</v>
      </c>
      <c r="N52" s="19"/>
      <c r="P52" s="55" t="s">
        <v>53</v>
      </c>
      <c r="Q52" s="21" t="s">
        <v>54</v>
      </c>
      <c r="R52" s="21" t="s">
        <v>55</v>
      </c>
      <c r="S52" s="21" t="s">
        <v>56</v>
      </c>
      <c r="T52" s="21" t="s">
        <v>57</v>
      </c>
      <c r="U52" s="21" t="s">
        <v>20</v>
      </c>
      <c r="V52" s="21" t="s">
        <v>58</v>
      </c>
      <c r="W52" s="21" t="s">
        <v>59</v>
      </c>
      <c r="X52" s="21" t="s">
        <v>60</v>
      </c>
      <c r="Y52" s="21" t="s">
        <v>61</v>
      </c>
      <c r="Z52" s="21" t="s">
        <v>62</v>
      </c>
      <c r="AA52" s="21" t="s">
        <v>63</v>
      </c>
      <c r="AB52" s="56" t="s">
        <v>64</v>
      </c>
      <c r="AC52" s="19"/>
    </row>
    <row r="53" spans="1:29">
      <c r="A53" s="57">
        <v>1</v>
      </c>
      <c r="B53" s="36">
        <v>20.9</v>
      </c>
      <c r="C53" s="36">
        <v>0.5</v>
      </c>
      <c r="D53" s="36">
        <v>0</v>
      </c>
      <c r="E53" s="36">
        <v>0</v>
      </c>
      <c r="F53" s="36">
        <v>69.400000000000006</v>
      </c>
      <c r="G53" s="36">
        <v>15.5</v>
      </c>
      <c r="H53" s="36">
        <v>0</v>
      </c>
      <c r="I53" s="36">
        <v>0</v>
      </c>
      <c r="J53" s="36">
        <v>33.4</v>
      </c>
      <c r="K53" s="36">
        <v>8</v>
      </c>
      <c r="L53" s="36">
        <v>11.9</v>
      </c>
      <c r="M53" s="58">
        <v>0</v>
      </c>
      <c r="N53" s="7"/>
      <c r="P53" s="57">
        <v>1</v>
      </c>
      <c r="Q53" s="36">
        <v>0</v>
      </c>
      <c r="R53" s="36">
        <v>11.9</v>
      </c>
      <c r="S53" s="36">
        <v>5.3</v>
      </c>
      <c r="T53" s="36">
        <v>4.5</v>
      </c>
      <c r="U53" s="36">
        <v>0</v>
      </c>
      <c r="V53" s="36">
        <v>0</v>
      </c>
      <c r="W53" s="36">
        <v>0.9</v>
      </c>
      <c r="X53" s="36">
        <v>0</v>
      </c>
      <c r="Y53" s="36">
        <v>0.1</v>
      </c>
      <c r="Z53" s="36">
        <v>0</v>
      </c>
      <c r="AA53" s="36">
        <v>2.9</v>
      </c>
      <c r="AB53" s="58">
        <v>16.600000000000001</v>
      </c>
      <c r="AC53" s="7"/>
    </row>
    <row r="54" spans="1:29">
      <c r="A54" s="57">
        <v>2</v>
      </c>
      <c r="B54" s="36">
        <v>67.5</v>
      </c>
      <c r="C54" s="36">
        <v>0</v>
      </c>
      <c r="D54" s="36">
        <v>3.6</v>
      </c>
      <c r="E54" s="36">
        <v>0</v>
      </c>
      <c r="F54" s="36">
        <v>11</v>
      </c>
      <c r="G54" s="36">
        <v>26.4</v>
      </c>
      <c r="H54" s="36">
        <v>39.9</v>
      </c>
      <c r="I54" s="36">
        <v>0</v>
      </c>
      <c r="J54" s="36">
        <v>71</v>
      </c>
      <c r="K54" s="36">
        <v>0.3</v>
      </c>
      <c r="L54" s="36">
        <v>1.8</v>
      </c>
      <c r="M54" s="58">
        <v>0</v>
      </c>
      <c r="N54" s="7"/>
      <c r="P54" s="57">
        <v>2</v>
      </c>
      <c r="Q54">
        <v>0</v>
      </c>
      <c r="R54" s="36">
        <v>5</v>
      </c>
      <c r="S54" s="36">
        <v>0.6</v>
      </c>
      <c r="T54" s="36">
        <v>0</v>
      </c>
      <c r="U54" s="36">
        <v>0</v>
      </c>
      <c r="V54" s="36">
        <v>0</v>
      </c>
      <c r="W54" s="36">
        <v>25.4</v>
      </c>
      <c r="X54" s="36">
        <v>24</v>
      </c>
      <c r="Y54" s="38">
        <v>0</v>
      </c>
      <c r="Z54" s="36">
        <v>0</v>
      </c>
      <c r="AA54" s="36">
        <v>0</v>
      </c>
      <c r="AB54" s="58">
        <v>5.5</v>
      </c>
      <c r="AC54" s="7"/>
    </row>
    <row r="55" spans="1:29">
      <c r="A55" s="57">
        <v>3</v>
      </c>
      <c r="B55" s="36">
        <v>9.6999999999999993</v>
      </c>
      <c r="C55" s="36">
        <v>0.1</v>
      </c>
      <c r="D55" s="36">
        <v>0</v>
      </c>
      <c r="E55" s="36">
        <v>0</v>
      </c>
      <c r="F55" s="36">
        <v>7.6</v>
      </c>
      <c r="G55" s="36">
        <v>0</v>
      </c>
      <c r="H55" s="36">
        <v>0</v>
      </c>
      <c r="I55" s="36">
        <v>0</v>
      </c>
      <c r="J55" s="36">
        <v>0</v>
      </c>
      <c r="K55" s="36">
        <v>24.5</v>
      </c>
      <c r="L55" s="36">
        <v>26.5</v>
      </c>
      <c r="M55" s="72">
        <v>0</v>
      </c>
      <c r="N55" s="7"/>
      <c r="P55" s="57">
        <v>3</v>
      </c>
      <c r="Q55" s="36">
        <v>0</v>
      </c>
      <c r="R55" s="36">
        <v>9.6999999999999993</v>
      </c>
      <c r="S55" s="36">
        <v>0</v>
      </c>
      <c r="T55" s="36">
        <v>0</v>
      </c>
      <c r="U55" s="36">
        <v>0</v>
      </c>
      <c r="V55" s="36">
        <v>10.7</v>
      </c>
      <c r="W55" s="36">
        <v>0</v>
      </c>
      <c r="X55" s="36">
        <v>0.9</v>
      </c>
      <c r="Y55" s="36">
        <v>0</v>
      </c>
      <c r="Z55" s="36">
        <v>0</v>
      </c>
      <c r="AA55" s="36">
        <v>2.8</v>
      </c>
      <c r="AB55" s="58">
        <v>0</v>
      </c>
      <c r="AC55" s="7"/>
    </row>
    <row r="56" spans="1:29">
      <c r="A56" s="57">
        <v>4</v>
      </c>
      <c r="B56" s="36">
        <v>0</v>
      </c>
      <c r="C56" s="36">
        <v>0</v>
      </c>
      <c r="D56" s="36">
        <v>17.5</v>
      </c>
      <c r="E56" s="36">
        <v>0</v>
      </c>
      <c r="F56" s="36">
        <v>0</v>
      </c>
      <c r="G56" s="36">
        <v>12.9</v>
      </c>
      <c r="H56" s="36">
        <v>1.3</v>
      </c>
      <c r="I56" s="36">
        <v>0</v>
      </c>
      <c r="J56" s="36">
        <v>4.7</v>
      </c>
      <c r="K56" s="36">
        <v>10</v>
      </c>
      <c r="L56" s="36">
        <v>7.5</v>
      </c>
      <c r="M56" s="58">
        <v>0</v>
      </c>
      <c r="N56" s="7"/>
      <c r="P56" s="57">
        <v>4</v>
      </c>
      <c r="Q56" s="36">
        <v>0</v>
      </c>
      <c r="R56" s="36">
        <v>1.7</v>
      </c>
      <c r="S56" s="36">
        <v>6.6</v>
      </c>
      <c r="T56" s="36">
        <v>1.8</v>
      </c>
      <c r="U56" s="36">
        <v>0.4</v>
      </c>
      <c r="V56" s="36">
        <v>18.5</v>
      </c>
      <c r="W56" s="42">
        <v>0</v>
      </c>
      <c r="X56" s="36">
        <v>0</v>
      </c>
      <c r="Y56" s="36">
        <v>0</v>
      </c>
      <c r="Z56" s="36">
        <v>0</v>
      </c>
      <c r="AA56" s="36">
        <v>87.4</v>
      </c>
      <c r="AB56" s="58">
        <v>7.1</v>
      </c>
      <c r="AC56" s="7"/>
    </row>
    <row r="57" spans="1:29">
      <c r="A57" s="57">
        <v>5</v>
      </c>
      <c r="B57" s="36">
        <v>11</v>
      </c>
      <c r="C57" s="36">
        <v>11.8</v>
      </c>
      <c r="D57" s="36">
        <v>0</v>
      </c>
      <c r="E57" s="36">
        <v>37.700000000000003</v>
      </c>
      <c r="F57" s="36">
        <v>0</v>
      </c>
      <c r="G57" s="36">
        <v>51.6</v>
      </c>
      <c r="H57" s="36">
        <v>39.299999999999997</v>
      </c>
      <c r="I57" s="36">
        <v>12.5</v>
      </c>
      <c r="J57" s="36">
        <v>7.7</v>
      </c>
      <c r="K57" s="36">
        <v>0</v>
      </c>
      <c r="L57" s="36">
        <v>46.7</v>
      </c>
      <c r="M57" s="58">
        <v>4.5</v>
      </c>
      <c r="N57" s="7"/>
      <c r="P57" s="57">
        <v>5</v>
      </c>
      <c r="Q57" s="36">
        <v>35.200000000000003</v>
      </c>
      <c r="R57" s="36">
        <v>0</v>
      </c>
      <c r="S57" s="36">
        <v>14.2</v>
      </c>
      <c r="T57" s="36">
        <v>0</v>
      </c>
      <c r="U57" s="36">
        <v>0.5</v>
      </c>
      <c r="V57" s="36">
        <v>3.8</v>
      </c>
      <c r="W57" s="36">
        <v>30.9</v>
      </c>
      <c r="X57" s="36">
        <v>0</v>
      </c>
      <c r="Y57" s="36">
        <v>0</v>
      </c>
      <c r="Z57" s="36">
        <v>0</v>
      </c>
      <c r="AA57" s="36">
        <v>0</v>
      </c>
      <c r="AB57" s="58">
        <v>24.4</v>
      </c>
      <c r="AC57" s="7"/>
    </row>
    <row r="58" spans="1:29">
      <c r="A58" s="57">
        <v>6</v>
      </c>
      <c r="B58" s="36">
        <v>0</v>
      </c>
      <c r="C58" s="36">
        <v>9.9</v>
      </c>
      <c r="D58" s="36">
        <v>0</v>
      </c>
      <c r="E58" s="36">
        <v>0.9</v>
      </c>
      <c r="F58" s="36">
        <v>0</v>
      </c>
      <c r="G58" s="36">
        <v>53</v>
      </c>
      <c r="H58" s="36">
        <v>0</v>
      </c>
      <c r="I58" s="36">
        <v>0</v>
      </c>
      <c r="J58" s="36">
        <v>163.9</v>
      </c>
      <c r="K58" s="36">
        <v>0</v>
      </c>
      <c r="L58" s="36">
        <v>1.3</v>
      </c>
      <c r="M58" s="58">
        <v>0</v>
      </c>
      <c r="N58" s="7"/>
      <c r="P58" s="57">
        <v>6</v>
      </c>
      <c r="Q58" s="36">
        <v>0.3</v>
      </c>
      <c r="R58" s="36">
        <v>0</v>
      </c>
      <c r="S58" s="36">
        <v>5</v>
      </c>
      <c r="T58" s="38">
        <v>0</v>
      </c>
      <c r="U58" s="36">
        <v>12.3</v>
      </c>
      <c r="V58" s="36">
        <v>0</v>
      </c>
      <c r="W58" s="36">
        <v>55.3</v>
      </c>
      <c r="X58" s="36">
        <v>0</v>
      </c>
      <c r="Y58" s="36">
        <v>3.9</v>
      </c>
      <c r="Z58" s="36">
        <v>0.1</v>
      </c>
      <c r="AA58" s="36">
        <v>0.8</v>
      </c>
      <c r="AB58" s="58">
        <v>0</v>
      </c>
      <c r="AC58" s="7"/>
    </row>
    <row r="59" spans="1:29">
      <c r="A59" s="57">
        <v>7</v>
      </c>
      <c r="B59" s="36">
        <v>0</v>
      </c>
      <c r="C59" s="36">
        <v>0.7</v>
      </c>
      <c r="D59" s="36">
        <v>1.2</v>
      </c>
      <c r="E59" s="36">
        <v>0</v>
      </c>
      <c r="F59" s="36">
        <v>0</v>
      </c>
      <c r="G59" s="36">
        <v>0</v>
      </c>
      <c r="H59" s="36">
        <v>1.4</v>
      </c>
      <c r="I59" s="36">
        <v>0</v>
      </c>
      <c r="J59" s="36">
        <v>15.3</v>
      </c>
      <c r="K59" s="36">
        <v>0</v>
      </c>
      <c r="L59" s="36">
        <v>0</v>
      </c>
      <c r="M59" s="58">
        <v>0</v>
      </c>
      <c r="N59" s="7"/>
      <c r="P59" s="57">
        <v>7</v>
      </c>
      <c r="Q59" s="36">
        <v>3.5</v>
      </c>
      <c r="R59" s="36">
        <v>0</v>
      </c>
      <c r="S59" s="36">
        <v>4.5</v>
      </c>
      <c r="T59" s="36">
        <v>1.5</v>
      </c>
      <c r="U59" s="36">
        <v>1</v>
      </c>
      <c r="V59" s="36">
        <v>0.9</v>
      </c>
      <c r="W59" s="36">
        <v>26.3</v>
      </c>
      <c r="X59" s="36">
        <v>0</v>
      </c>
      <c r="Y59" s="36">
        <v>21.4</v>
      </c>
      <c r="Z59" s="36">
        <v>0</v>
      </c>
      <c r="AA59" s="36">
        <v>9</v>
      </c>
      <c r="AB59" s="58">
        <v>1</v>
      </c>
      <c r="AC59" s="7"/>
    </row>
    <row r="60" spans="1:29">
      <c r="A60" s="57">
        <v>8</v>
      </c>
      <c r="B60" s="36">
        <v>0.5</v>
      </c>
      <c r="C60" s="36">
        <v>3</v>
      </c>
      <c r="D60" s="36">
        <v>0</v>
      </c>
      <c r="E60" s="36">
        <v>34.4</v>
      </c>
      <c r="F60" s="36">
        <v>0.9</v>
      </c>
      <c r="G60" s="36">
        <v>0</v>
      </c>
      <c r="H60" s="36">
        <v>0</v>
      </c>
      <c r="I60" s="36">
        <v>0</v>
      </c>
      <c r="J60" s="36">
        <v>2.7</v>
      </c>
      <c r="K60" s="36">
        <v>0</v>
      </c>
      <c r="L60" s="36">
        <v>0</v>
      </c>
      <c r="M60" s="58">
        <v>0</v>
      </c>
      <c r="N60" s="7"/>
      <c r="P60" s="57">
        <v>8</v>
      </c>
      <c r="Q60" s="36">
        <v>8.8000000000000007</v>
      </c>
      <c r="R60" s="38">
        <v>0</v>
      </c>
      <c r="S60" s="36">
        <v>0</v>
      </c>
      <c r="T60" s="36">
        <v>0.3</v>
      </c>
      <c r="U60" s="36">
        <v>0</v>
      </c>
      <c r="V60" s="38">
        <v>0</v>
      </c>
      <c r="W60" s="36">
        <v>0</v>
      </c>
      <c r="X60" s="36">
        <v>31.5</v>
      </c>
      <c r="Y60" s="36">
        <v>0</v>
      </c>
      <c r="Z60" s="36">
        <v>0</v>
      </c>
      <c r="AA60" s="36">
        <v>24.1</v>
      </c>
      <c r="AB60" s="58">
        <v>1.6</v>
      </c>
      <c r="AC60" s="7"/>
    </row>
    <row r="61" spans="1:29">
      <c r="A61" s="57">
        <v>9</v>
      </c>
      <c r="B61" s="36">
        <v>1</v>
      </c>
      <c r="C61" s="36">
        <v>0</v>
      </c>
      <c r="D61" s="36">
        <v>0</v>
      </c>
      <c r="E61" s="36">
        <v>0</v>
      </c>
      <c r="F61" s="36">
        <v>16.899999999999999</v>
      </c>
      <c r="G61" s="36">
        <v>3.4</v>
      </c>
      <c r="H61" s="36">
        <v>11.4</v>
      </c>
      <c r="I61" s="38">
        <v>0</v>
      </c>
      <c r="J61" s="36">
        <v>89.5</v>
      </c>
      <c r="K61" s="36">
        <v>29.7</v>
      </c>
      <c r="L61" s="36">
        <v>12.4</v>
      </c>
      <c r="M61" s="58">
        <v>0</v>
      </c>
      <c r="N61" s="7"/>
      <c r="P61" s="57">
        <v>9</v>
      </c>
      <c r="Q61" s="36">
        <v>16.5</v>
      </c>
      <c r="R61" s="36">
        <v>0</v>
      </c>
      <c r="S61" s="36">
        <v>0</v>
      </c>
      <c r="T61" s="36">
        <v>0</v>
      </c>
      <c r="U61" s="36">
        <v>16.5</v>
      </c>
      <c r="V61" s="36">
        <v>107.3</v>
      </c>
      <c r="W61" s="36">
        <v>33.200000000000003</v>
      </c>
      <c r="X61" s="36">
        <v>0</v>
      </c>
      <c r="Y61" s="36">
        <v>0</v>
      </c>
      <c r="Z61" s="36">
        <v>8.5</v>
      </c>
      <c r="AA61" s="36">
        <v>4.5</v>
      </c>
      <c r="AB61" s="72">
        <v>0</v>
      </c>
      <c r="AC61" s="7"/>
    </row>
    <row r="62" spans="1:29">
      <c r="A62" s="57">
        <v>10</v>
      </c>
      <c r="B62" s="36">
        <v>0</v>
      </c>
      <c r="C62" s="36">
        <v>0.2</v>
      </c>
      <c r="D62" s="36">
        <v>0</v>
      </c>
      <c r="E62" s="36">
        <v>0.1</v>
      </c>
      <c r="F62" s="36">
        <v>0</v>
      </c>
      <c r="G62" s="36">
        <v>0</v>
      </c>
      <c r="H62" s="36">
        <v>27.5</v>
      </c>
      <c r="I62" s="36">
        <v>0</v>
      </c>
      <c r="J62" s="36">
        <v>0</v>
      </c>
      <c r="K62" s="36">
        <v>19.2</v>
      </c>
      <c r="L62" s="36">
        <v>4.4000000000000004</v>
      </c>
      <c r="M62" s="58">
        <v>0</v>
      </c>
      <c r="N62" s="7"/>
      <c r="P62" s="57">
        <v>10</v>
      </c>
      <c r="Q62" s="36">
        <v>1.4</v>
      </c>
      <c r="R62" s="36">
        <v>0</v>
      </c>
      <c r="S62" s="36">
        <v>1</v>
      </c>
      <c r="T62" s="36">
        <v>0</v>
      </c>
      <c r="U62" s="36">
        <v>2.8</v>
      </c>
      <c r="V62" s="36">
        <v>0</v>
      </c>
      <c r="W62" s="36">
        <v>58.5</v>
      </c>
      <c r="X62" s="38">
        <v>0</v>
      </c>
      <c r="Y62" s="36">
        <v>0</v>
      </c>
      <c r="Z62" s="36">
        <v>10.5</v>
      </c>
      <c r="AA62" s="36">
        <v>29.5</v>
      </c>
      <c r="AB62" s="58">
        <v>78.2</v>
      </c>
      <c r="AC62" s="7"/>
    </row>
    <row r="63" spans="1:29">
      <c r="A63" s="57">
        <v>11</v>
      </c>
      <c r="B63" s="36">
        <v>111.6</v>
      </c>
      <c r="C63" s="36">
        <v>0</v>
      </c>
      <c r="D63" s="36">
        <v>0</v>
      </c>
      <c r="E63" s="36">
        <v>78.599999999999994</v>
      </c>
      <c r="F63" s="36">
        <v>0.5</v>
      </c>
      <c r="G63" s="36">
        <v>0</v>
      </c>
      <c r="H63" s="36">
        <v>4</v>
      </c>
      <c r="I63" s="36">
        <v>2</v>
      </c>
      <c r="J63" s="36">
        <v>3</v>
      </c>
      <c r="K63" s="36">
        <v>8.4</v>
      </c>
      <c r="L63" s="36">
        <v>3.2</v>
      </c>
      <c r="M63" s="58">
        <v>0</v>
      </c>
      <c r="N63" s="7"/>
      <c r="P63" s="57">
        <v>11</v>
      </c>
      <c r="Q63" s="36">
        <v>0</v>
      </c>
      <c r="R63" s="36">
        <v>0</v>
      </c>
      <c r="S63" s="36">
        <v>66.400000000000006</v>
      </c>
      <c r="U63" s="38">
        <v>0</v>
      </c>
      <c r="V63" s="38">
        <v>0</v>
      </c>
      <c r="W63" s="36">
        <v>14.7</v>
      </c>
      <c r="X63" s="36">
        <v>0</v>
      </c>
      <c r="Y63" s="36">
        <v>0</v>
      </c>
      <c r="Z63" s="36">
        <v>0</v>
      </c>
      <c r="AA63" s="36">
        <v>9.1999999999999993</v>
      </c>
      <c r="AB63" s="72">
        <v>0</v>
      </c>
      <c r="AC63" s="7"/>
    </row>
    <row r="64" spans="1:29">
      <c r="A64" s="57">
        <v>12</v>
      </c>
      <c r="B64" s="36">
        <v>0</v>
      </c>
      <c r="C64" s="36">
        <v>71.599999999999994</v>
      </c>
      <c r="D64" s="36">
        <v>0</v>
      </c>
      <c r="E64" s="36">
        <v>2.8</v>
      </c>
      <c r="F64" s="36">
        <v>0.9</v>
      </c>
      <c r="G64" s="36">
        <v>5.9</v>
      </c>
      <c r="H64" s="36">
        <v>0</v>
      </c>
      <c r="I64" s="36">
        <v>0.9</v>
      </c>
      <c r="J64" s="36">
        <v>5</v>
      </c>
      <c r="K64" s="36">
        <v>30.5</v>
      </c>
      <c r="L64" s="36">
        <v>0</v>
      </c>
      <c r="M64" s="58">
        <v>0</v>
      </c>
      <c r="N64" s="7"/>
      <c r="P64" s="57">
        <v>12</v>
      </c>
      <c r="Q64" s="38">
        <v>0</v>
      </c>
      <c r="R64" s="36">
        <v>0</v>
      </c>
      <c r="S64" s="36">
        <v>0</v>
      </c>
      <c r="T64" s="38">
        <v>0</v>
      </c>
      <c r="U64" s="36">
        <v>0</v>
      </c>
      <c r="V64" s="36">
        <v>3</v>
      </c>
      <c r="W64" s="36">
        <v>0</v>
      </c>
      <c r="X64" s="36">
        <v>0</v>
      </c>
      <c r="Y64" s="36">
        <v>0</v>
      </c>
      <c r="Z64" s="38">
        <v>0</v>
      </c>
      <c r="AA64" s="36">
        <v>1.5</v>
      </c>
      <c r="AB64" s="58">
        <v>25</v>
      </c>
      <c r="AC64" s="7"/>
    </row>
    <row r="65" spans="1:29">
      <c r="A65" s="57">
        <v>13</v>
      </c>
      <c r="B65" s="36">
        <v>0</v>
      </c>
      <c r="C65" s="36">
        <v>0</v>
      </c>
      <c r="D65" s="36">
        <v>0</v>
      </c>
      <c r="E65" s="36">
        <v>0</v>
      </c>
      <c r="F65" s="36">
        <v>0</v>
      </c>
      <c r="G65" s="36">
        <v>1</v>
      </c>
      <c r="H65" s="36">
        <v>46.7</v>
      </c>
      <c r="I65" s="36">
        <v>0</v>
      </c>
      <c r="J65" s="36">
        <v>11.4</v>
      </c>
      <c r="K65" s="36">
        <v>1.8</v>
      </c>
      <c r="L65" s="36">
        <v>0</v>
      </c>
      <c r="M65" s="58">
        <v>8.1999999999999993</v>
      </c>
      <c r="N65" s="7"/>
      <c r="P65" s="57">
        <v>13</v>
      </c>
      <c r="Q65" s="36">
        <v>0</v>
      </c>
      <c r="R65" s="36">
        <v>36</v>
      </c>
      <c r="S65" s="36">
        <v>1.5</v>
      </c>
      <c r="T65" s="36">
        <v>0</v>
      </c>
      <c r="U65" s="36">
        <v>18.5</v>
      </c>
      <c r="V65" s="36">
        <v>0</v>
      </c>
      <c r="W65" s="36">
        <v>0</v>
      </c>
      <c r="X65" s="36">
        <v>0</v>
      </c>
      <c r="Y65" s="38">
        <v>0</v>
      </c>
      <c r="Z65" s="36">
        <v>16</v>
      </c>
      <c r="AA65" s="36">
        <v>2.9</v>
      </c>
      <c r="AB65" s="58">
        <v>6</v>
      </c>
      <c r="AC65" s="7"/>
    </row>
    <row r="66" spans="1:29">
      <c r="A66" s="57">
        <v>14</v>
      </c>
      <c r="B66" s="36">
        <v>0</v>
      </c>
      <c r="C66" s="36">
        <v>6.5</v>
      </c>
      <c r="D66" s="36">
        <v>32</v>
      </c>
      <c r="E66" s="36">
        <v>0</v>
      </c>
      <c r="F66" s="36">
        <v>0</v>
      </c>
      <c r="G66" s="36">
        <v>27.7</v>
      </c>
      <c r="H66" s="36">
        <v>24.2</v>
      </c>
      <c r="I66" s="36">
        <v>1.8</v>
      </c>
      <c r="J66" s="36">
        <v>32.799999999999997</v>
      </c>
      <c r="K66" s="36">
        <v>3.2</v>
      </c>
      <c r="L66" s="36">
        <v>0</v>
      </c>
      <c r="M66" s="58">
        <v>10</v>
      </c>
      <c r="N66" s="7"/>
      <c r="P66" s="57">
        <v>14</v>
      </c>
      <c r="Q66" s="38">
        <v>0</v>
      </c>
      <c r="R66" s="36">
        <v>2.5</v>
      </c>
      <c r="S66" s="36">
        <v>28.1</v>
      </c>
      <c r="T66" s="38">
        <v>0</v>
      </c>
      <c r="U66" s="36">
        <v>8.5</v>
      </c>
      <c r="V66" s="36">
        <v>3.3</v>
      </c>
      <c r="W66" s="36">
        <v>0</v>
      </c>
      <c r="X66" s="36">
        <v>0</v>
      </c>
      <c r="Y66" s="36">
        <v>0</v>
      </c>
      <c r="Z66" s="36">
        <v>0</v>
      </c>
      <c r="AA66" s="38">
        <v>0</v>
      </c>
      <c r="AB66" s="58">
        <v>0</v>
      </c>
      <c r="AC66" s="7"/>
    </row>
    <row r="67" spans="1:29">
      <c r="A67" s="57">
        <v>15</v>
      </c>
      <c r="B67" s="36">
        <v>1</v>
      </c>
      <c r="C67" s="36">
        <v>19.899999999999999</v>
      </c>
      <c r="D67" s="36">
        <v>0</v>
      </c>
      <c r="E67" s="36">
        <v>0</v>
      </c>
      <c r="F67" s="36">
        <v>0</v>
      </c>
      <c r="G67" s="36">
        <v>0</v>
      </c>
      <c r="H67" s="36">
        <v>13.2</v>
      </c>
      <c r="I67" s="36">
        <v>2.4</v>
      </c>
      <c r="J67" s="36">
        <v>0</v>
      </c>
      <c r="K67" s="36">
        <v>0</v>
      </c>
      <c r="L67" s="36">
        <v>21.3</v>
      </c>
      <c r="M67" s="58">
        <v>27.9</v>
      </c>
      <c r="N67" s="7"/>
      <c r="P67" s="57">
        <v>15</v>
      </c>
      <c r="Q67" s="36">
        <v>0</v>
      </c>
      <c r="R67" s="36">
        <v>0</v>
      </c>
      <c r="S67" s="36">
        <v>0</v>
      </c>
      <c r="T67" s="36">
        <v>0</v>
      </c>
      <c r="U67" s="39">
        <v>0</v>
      </c>
      <c r="V67" s="36">
        <v>0.5</v>
      </c>
      <c r="W67" s="36">
        <v>8.6</v>
      </c>
      <c r="X67" s="38">
        <v>0</v>
      </c>
      <c r="Y67" s="36">
        <v>4</v>
      </c>
      <c r="Z67" s="36">
        <v>0</v>
      </c>
      <c r="AA67" s="36">
        <v>21</v>
      </c>
      <c r="AB67" s="58">
        <v>8.5</v>
      </c>
      <c r="AC67" s="7"/>
    </row>
    <row r="68" spans="1:29">
      <c r="A68" s="57">
        <v>16</v>
      </c>
      <c r="B68" s="36">
        <v>0</v>
      </c>
      <c r="C68" s="36">
        <v>35.200000000000003</v>
      </c>
      <c r="D68" s="36">
        <v>30.6</v>
      </c>
      <c r="E68" s="36">
        <v>19.100000000000001</v>
      </c>
      <c r="F68" s="36">
        <v>19.100000000000001</v>
      </c>
      <c r="G68" s="36">
        <v>23.9</v>
      </c>
      <c r="H68" s="36">
        <v>25.7</v>
      </c>
      <c r="I68" s="36">
        <v>0</v>
      </c>
      <c r="J68" s="36">
        <v>0</v>
      </c>
      <c r="K68" s="36">
        <v>0</v>
      </c>
      <c r="L68" s="36">
        <v>0</v>
      </c>
      <c r="M68" s="58">
        <v>0</v>
      </c>
      <c r="N68" s="7"/>
      <c r="P68" s="57">
        <v>16</v>
      </c>
      <c r="Q68" s="36">
        <v>0</v>
      </c>
      <c r="R68" s="36">
        <v>0.7</v>
      </c>
      <c r="S68" s="36">
        <v>67.8</v>
      </c>
      <c r="T68" s="36">
        <v>0</v>
      </c>
      <c r="U68" s="39">
        <v>0</v>
      </c>
      <c r="V68" s="36">
        <v>10.9</v>
      </c>
      <c r="W68" s="36">
        <v>0</v>
      </c>
      <c r="X68" s="36">
        <v>0</v>
      </c>
      <c r="Y68" s="36">
        <v>18.3</v>
      </c>
      <c r="Z68" s="36">
        <v>2.6</v>
      </c>
      <c r="AA68" s="36">
        <v>0.8</v>
      </c>
      <c r="AB68" s="58">
        <v>0</v>
      </c>
      <c r="AC68" s="7"/>
    </row>
    <row r="69" spans="1:29">
      <c r="A69" s="57">
        <v>17</v>
      </c>
      <c r="B69" s="36">
        <v>0</v>
      </c>
      <c r="C69" s="36">
        <v>9.9</v>
      </c>
      <c r="D69" s="36">
        <v>41.1</v>
      </c>
      <c r="E69" s="36">
        <v>0</v>
      </c>
      <c r="F69" s="36">
        <v>0</v>
      </c>
      <c r="G69" s="36">
        <v>0</v>
      </c>
      <c r="H69" s="36">
        <v>0</v>
      </c>
      <c r="I69" s="36">
        <v>0.9</v>
      </c>
      <c r="J69" s="36">
        <v>0</v>
      </c>
      <c r="K69" s="36">
        <v>0</v>
      </c>
      <c r="L69" s="36">
        <v>20.5</v>
      </c>
      <c r="M69" s="58">
        <v>18.399999999999999</v>
      </c>
      <c r="N69" s="7"/>
      <c r="P69" s="57">
        <v>17</v>
      </c>
      <c r="Q69" s="38">
        <v>0</v>
      </c>
      <c r="R69" s="38">
        <v>0</v>
      </c>
      <c r="S69" s="36">
        <v>13</v>
      </c>
      <c r="T69" s="36">
        <v>0</v>
      </c>
      <c r="U69" s="38">
        <v>0</v>
      </c>
      <c r="V69" s="38">
        <v>0</v>
      </c>
      <c r="W69" s="36">
        <v>0</v>
      </c>
      <c r="X69" s="38">
        <v>0</v>
      </c>
      <c r="Y69" s="36">
        <v>5.3</v>
      </c>
      <c r="Z69" s="36">
        <v>45.5</v>
      </c>
      <c r="AA69" s="36">
        <v>2.5</v>
      </c>
      <c r="AB69" s="58">
        <v>0</v>
      </c>
      <c r="AC69" s="7"/>
    </row>
    <row r="70" spans="1:29">
      <c r="A70" s="57">
        <v>18</v>
      </c>
      <c r="B70" s="38">
        <v>0</v>
      </c>
      <c r="C70" s="36">
        <v>0</v>
      </c>
      <c r="D70" s="36">
        <v>0</v>
      </c>
      <c r="E70" s="36">
        <v>8.8000000000000007</v>
      </c>
      <c r="F70" s="36">
        <v>12.5</v>
      </c>
      <c r="G70" s="36">
        <v>8.1999999999999993</v>
      </c>
      <c r="H70" s="36">
        <v>67.5</v>
      </c>
      <c r="I70" s="36">
        <v>6.8</v>
      </c>
      <c r="J70" s="36">
        <v>0</v>
      </c>
      <c r="K70" s="36">
        <v>3.2</v>
      </c>
      <c r="L70" s="36">
        <v>35.799999999999997</v>
      </c>
      <c r="M70" s="58">
        <v>7.2</v>
      </c>
      <c r="N70" s="7"/>
      <c r="P70" s="57">
        <v>18</v>
      </c>
      <c r="Q70" s="36">
        <v>0</v>
      </c>
      <c r="R70" s="36">
        <v>0</v>
      </c>
      <c r="S70" s="36">
        <v>1.2</v>
      </c>
      <c r="T70" s="36">
        <v>0</v>
      </c>
      <c r="U70" s="39">
        <v>0</v>
      </c>
      <c r="V70" s="36">
        <v>0</v>
      </c>
      <c r="W70" s="36">
        <v>0</v>
      </c>
      <c r="X70" s="36">
        <v>0</v>
      </c>
      <c r="Y70" s="36">
        <v>3.7</v>
      </c>
      <c r="Z70" s="36">
        <v>15.4</v>
      </c>
      <c r="AA70" s="36">
        <v>3.1</v>
      </c>
      <c r="AB70" s="72">
        <v>0</v>
      </c>
      <c r="AC70" s="7"/>
    </row>
    <row r="71" spans="1:29">
      <c r="A71" s="57">
        <v>19</v>
      </c>
      <c r="B71" s="36">
        <v>0</v>
      </c>
      <c r="C71" s="36">
        <v>0</v>
      </c>
      <c r="D71" s="36">
        <v>24.9</v>
      </c>
      <c r="E71" s="36">
        <v>2.2000000000000002</v>
      </c>
      <c r="F71" s="36">
        <v>0</v>
      </c>
      <c r="G71" s="36">
        <v>59.2</v>
      </c>
      <c r="H71" s="36">
        <v>0</v>
      </c>
      <c r="I71" s="36">
        <v>20.9</v>
      </c>
      <c r="J71" s="36">
        <v>0</v>
      </c>
      <c r="K71" s="36">
        <v>2</v>
      </c>
      <c r="L71" s="36">
        <v>30.2</v>
      </c>
      <c r="M71" s="58">
        <v>27.1</v>
      </c>
      <c r="N71" s="7"/>
      <c r="P71" s="57">
        <v>19</v>
      </c>
      <c r="Q71" s="36">
        <v>0</v>
      </c>
      <c r="R71" s="36">
        <v>0</v>
      </c>
      <c r="S71" s="36">
        <v>25.2</v>
      </c>
      <c r="T71" s="36">
        <v>0</v>
      </c>
      <c r="U71" s="36">
        <v>1</v>
      </c>
      <c r="V71" s="38">
        <v>0</v>
      </c>
      <c r="W71" s="38">
        <v>0</v>
      </c>
      <c r="X71" s="36">
        <v>0</v>
      </c>
      <c r="Y71" s="36">
        <v>6.6</v>
      </c>
      <c r="Z71" s="36">
        <v>1.3</v>
      </c>
      <c r="AA71" s="36">
        <v>2.9</v>
      </c>
      <c r="AB71" s="58">
        <v>1.2</v>
      </c>
      <c r="AC71" s="7"/>
    </row>
    <row r="72" spans="1:29">
      <c r="A72" s="57">
        <v>20</v>
      </c>
      <c r="B72" s="36">
        <v>1</v>
      </c>
      <c r="C72" s="36">
        <v>0.1</v>
      </c>
      <c r="D72" s="36">
        <v>5.5</v>
      </c>
      <c r="E72" s="36">
        <v>0</v>
      </c>
      <c r="F72" s="36">
        <v>0</v>
      </c>
      <c r="G72" s="36">
        <v>17.399999999999999</v>
      </c>
      <c r="H72" s="36">
        <v>0.8</v>
      </c>
      <c r="I72" s="36">
        <v>0.6</v>
      </c>
      <c r="J72" s="36">
        <v>1.2</v>
      </c>
      <c r="K72" s="36">
        <v>0.8</v>
      </c>
      <c r="L72" s="36">
        <v>61.3</v>
      </c>
      <c r="M72" s="58">
        <v>1.3</v>
      </c>
      <c r="N72" s="7"/>
      <c r="P72" s="57">
        <v>20</v>
      </c>
      <c r="Q72" s="36">
        <v>6.5</v>
      </c>
      <c r="R72" s="38">
        <v>0</v>
      </c>
      <c r="S72" s="36">
        <v>35.299999999999997</v>
      </c>
      <c r="T72" s="36">
        <v>0</v>
      </c>
      <c r="U72" s="36">
        <v>36.4</v>
      </c>
      <c r="V72" s="36">
        <v>0.2</v>
      </c>
      <c r="W72" s="36">
        <v>58.5</v>
      </c>
      <c r="X72" s="38">
        <v>0</v>
      </c>
      <c r="Y72" s="36">
        <v>30.1</v>
      </c>
      <c r="Z72" s="36">
        <v>0</v>
      </c>
      <c r="AA72" s="36">
        <v>26.8</v>
      </c>
      <c r="AB72" s="58">
        <v>0</v>
      </c>
      <c r="AC72" s="7"/>
    </row>
    <row r="73" spans="1:29">
      <c r="A73" s="57">
        <v>21</v>
      </c>
      <c r="B73" s="36">
        <v>8.5</v>
      </c>
      <c r="C73" s="36">
        <v>0.9</v>
      </c>
      <c r="D73" s="36">
        <v>8.5</v>
      </c>
      <c r="E73" s="36">
        <v>0</v>
      </c>
      <c r="F73" s="36">
        <v>22.9</v>
      </c>
      <c r="G73" s="36">
        <v>0</v>
      </c>
      <c r="H73" s="36">
        <v>1</v>
      </c>
      <c r="I73" s="36">
        <v>0.2</v>
      </c>
      <c r="J73" s="36">
        <v>13.5</v>
      </c>
      <c r="K73" s="36">
        <v>0</v>
      </c>
      <c r="L73" s="36">
        <v>59.5</v>
      </c>
      <c r="M73" s="58">
        <v>14.2</v>
      </c>
      <c r="N73" s="7"/>
      <c r="P73" s="57">
        <v>21</v>
      </c>
      <c r="Q73" s="36">
        <v>25.5</v>
      </c>
      <c r="R73" s="36">
        <v>0</v>
      </c>
      <c r="S73" s="36">
        <v>6</v>
      </c>
      <c r="T73" s="38">
        <v>0</v>
      </c>
      <c r="U73" s="39">
        <v>0</v>
      </c>
      <c r="V73" s="36">
        <v>0</v>
      </c>
      <c r="W73" s="36">
        <v>8.6</v>
      </c>
      <c r="X73" s="36">
        <v>0</v>
      </c>
      <c r="Y73" s="36">
        <v>3.6</v>
      </c>
      <c r="Z73" s="36">
        <v>11.6</v>
      </c>
      <c r="AA73" s="38">
        <v>0</v>
      </c>
      <c r="AB73" s="58">
        <v>4.0999999999999996</v>
      </c>
      <c r="AC73" s="7"/>
    </row>
    <row r="74" spans="1:29">
      <c r="A74" s="57">
        <v>22</v>
      </c>
      <c r="B74" s="36">
        <v>0</v>
      </c>
      <c r="C74" s="36">
        <v>31.1</v>
      </c>
      <c r="D74" s="36">
        <v>0</v>
      </c>
      <c r="E74" s="36">
        <v>10</v>
      </c>
      <c r="F74" s="36">
        <v>8.3000000000000007</v>
      </c>
      <c r="G74" s="36">
        <v>10.199999999999999</v>
      </c>
      <c r="H74" s="36">
        <v>1.5</v>
      </c>
      <c r="I74" s="36">
        <v>14.5</v>
      </c>
      <c r="J74" s="36">
        <v>26.9</v>
      </c>
      <c r="K74" s="36">
        <v>0</v>
      </c>
      <c r="L74" s="36">
        <v>6.1</v>
      </c>
      <c r="M74" s="58">
        <v>9</v>
      </c>
      <c r="N74" s="7"/>
      <c r="P74" s="57">
        <v>22</v>
      </c>
      <c r="Q74" s="36">
        <v>2.6</v>
      </c>
      <c r="R74" s="36">
        <v>0</v>
      </c>
      <c r="S74" s="36">
        <v>0</v>
      </c>
      <c r="T74" s="36">
        <v>12</v>
      </c>
      <c r="U74" s="36">
        <v>0</v>
      </c>
      <c r="V74" s="36">
        <v>0</v>
      </c>
      <c r="W74" s="36">
        <v>0</v>
      </c>
      <c r="X74" s="38">
        <v>0</v>
      </c>
      <c r="Y74" s="36">
        <v>0</v>
      </c>
      <c r="Z74" s="36">
        <v>7</v>
      </c>
      <c r="AA74" s="36">
        <v>15</v>
      </c>
      <c r="AB74" s="58">
        <v>63.9</v>
      </c>
      <c r="AC74" s="7"/>
    </row>
    <row r="75" spans="1:29">
      <c r="A75" s="57">
        <v>23</v>
      </c>
      <c r="B75" s="36">
        <v>9.5</v>
      </c>
      <c r="C75" s="36">
        <v>24</v>
      </c>
      <c r="D75" s="36">
        <v>0</v>
      </c>
      <c r="E75" s="36">
        <v>0</v>
      </c>
      <c r="F75" s="36">
        <v>0</v>
      </c>
      <c r="G75" s="36">
        <v>53.5</v>
      </c>
      <c r="H75" s="36">
        <v>13.7</v>
      </c>
      <c r="I75" s="36">
        <v>15.1</v>
      </c>
      <c r="J75" s="36">
        <v>0</v>
      </c>
      <c r="K75" s="36">
        <v>17</v>
      </c>
      <c r="L75" s="36">
        <v>41.3</v>
      </c>
      <c r="M75" s="58">
        <v>0</v>
      </c>
      <c r="N75" s="7"/>
      <c r="P75" s="57">
        <v>23</v>
      </c>
      <c r="Q75" s="36">
        <v>1</v>
      </c>
      <c r="R75" s="36">
        <v>0</v>
      </c>
      <c r="S75" s="36">
        <v>0</v>
      </c>
      <c r="T75" s="36">
        <v>30</v>
      </c>
      <c r="U75" s="36">
        <v>1.4</v>
      </c>
      <c r="V75" s="36">
        <v>0.8</v>
      </c>
      <c r="W75" s="36">
        <v>0</v>
      </c>
      <c r="X75" s="36">
        <v>0</v>
      </c>
      <c r="Y75" s="36">
        <v>0</v>
      </c>
      <c r="Z75" s="36">
        <v>3.6</v>
      </c>
      <c r="AA75" s="36">
        <v>5.8</v>
      </c>
      <c r="AB75" s="58">
        <v>0.8</v>
      </c>
      <c r="AC75" s="7"/>
    </row>
    <row r="76" spans="1:29">
      <c r="A76" s="57">
        <v>24</v>
      </c>
      <c r="B76" s="36">
        <v>1</v>
      </c>
      <c r="C76" s="36">
        <v>13.3</v>
      </c>
      <c r="D76" s="36">
        <v>44.4</v>
      </c>
      <c r="E76" s="36">
        <v>0</v>
      </c>
      <c r="F76" s="36">
        <v>1.3</v>
      </c>
      <c r="G76" s="36">
        <v>12.6</v>
      </c>
      <c r="H76" s="36">
        <v>27.5</v>
      </c>
      <c r="I76" s="36">
        <v>0</v>
      </c>
      <c r="J76" s="36">
        <v>5.7</v>
      </c>
      <c r="K76" s="36">
        <v>6</v>
      </c>
      <c r="L76" s="36">
        <v>0.8</v>
      </c>
      <c r="M76" s="58">
        <v>0</v>
      </c>
      <c r="N76" s="7"/>
      <c r="P76" s="57">
        <v>24</v>
      </c>
      <c r="Q76" s="36">
        <v>32.5</v>
      </c>
      <c r="R76" s="43">
        <v>0</v>
      </c>
      <c r="S76" s="36">
        <v>2.2000000000000002</v>
      </c>
      <c r="T76" s="36">
        <v>1</v>
      </c>
      <c r="U76" s="36">
        <v>2.9</v>
      </c>
      <c r="V76" s="36">
        <v>0</v>
      </c>
      <c r="W76" s="36">
        <v>0</v>
      </c>
      <c r="X76" s="36">
        <v>18.3</v>
      </c>
      <c r="Y76" s="36">
        <v>0</v>
      </c>
      <c r="Z76" s="38">
        <v>0</v>
      </c>
      <c r="AA76" s="36">
        <v>12.8</v>
      </c>
      <c r="AB76" s="58">
        <v>11.5</v>
      </c>
      <c r="AC76" s="7"/>
    </row>
    <row r="77" spans="1:29">
      <c r="A77" s="57">
        <v>25</v>
      </c>
      <c r="B77" s="36">
        <v>9.5</v>
      </c>
      <c r="C77" s="36">
        <v>0</v>
      </c>
      <c r="D77" s="36">
        <v>0</v>
      </c>
      <c r="E77" s="36">
        <v>5.5</v>
      </c>
      <c r="F77" s="36">
        <v>0</v>
      </c>
      <c r="G77" s="36">
        <v>5.4</v>
      </c>
      <c r="H77" s="36">
        <v>3</v>
      </c>
      <c r="I77" s="36">
        <v>6.5</v>
      </c>
      <c r="J77" s="36">
        <v>10.199999999999999</v>
      </c>
      <c r="K77" s="36">
        <v>1</v>
      </c>
      <c r="L77" s="36">
        <v>39.5</v>
      </c>
      <c r="M77" s="58">
        <v>0</v>
      </c>
      <c r="N77" s="7"/>
      <c r="P77" s="57">
        <v>25</v>
      </c>
      <c r="Q77" s="36">
        <v>0</v>
      </c>
      <c r="R77" s="36">
        <v>1.3</v>
      </c>
      <c r="S77" s="36">
        <v>12</v>
      </c>
      <c r="T77" s="36">
        <v>0</v>
      </c>
      <c r="U77" s="36">
        <v>0</v>
      </c>
      <c r="V77" s="36">
        <v>0</v>
      </c>
      <c r="W77" s="36">
        <v>0</v>
      </c>
      <c r="X77" s="36">
        <v>22.5</v>
      </c>
      <c r="Y77" s="36">
        <v>0</v>
      </c>
      <c r="Z77" s="36">
        <v>1</v>
      </c>
      <c r="AA77" s="36">
        <v>2</v>
      </c>
      <c r="AB77" s="58">
        <v>1.8</v>
      </c>
      <c r="AC77" s="7"/>
    </row>
    <row r="78" spans="1:29">
      <c r="A78" s="57">
        <v>26</v>
      </c>
      <c r="B78" s="36">
        <v>0</v>
      </c>
      <c r="C78" s="36">
        <v>6</v>
      </c>
      <c r="D78" s="36">
        <v>0</v>
      </c>
      <c r="E78" s="36">
        <v>1.1000000000000001</v>
      </c>
      <c r="F78" s="36">
        <v>0</v>
      </c>
      <c r="G78" s="36">
        <v>7.2</v>
      </c>
      <c r="H78" s="36">
        <v>9.3000000000000007</v>
      </c>
      <c r="I78" s="36">
        <v>32.1</v>
      </c>
      <c r="J78" s="36">
        <v>0</v>
      </c>
      <c r="K78" s="36">
        <v>18.5</v>
      </c>
      <c r="L78" s="36">
        <v>14.2</v>
      </c>
      <c r="M78" s="58">
        <v>1.2</v>
      </c>
      <c r="N78" s="7"/>
      <c r="P78" s="57">
        <v>26</v>
      </c>
      <c r="Q78" s="36">
        <v>5.8</v>
      </c>
      <c r="R78" s="36">
        <v>23.4</v>
      </c>
      <c r="S78" s="36">
        <v>1.5</v>
      </c>
      <c r="T78" s="36">
        <v>9.9</v>
      </c>
      <c r="U78" s="38">
        <v>0</v>
      </c>
      <c r="V78" s="36">
        <v>0</v>
      </c>
      <c r="W78" s="36">
        <v>0</v>
      </c>
      <c r="X78" s="36">
        <v>13.4</v>
      </c>
      <c r="Y78" s="36">
        <v>0</v>
      </c>
      <c r="Z78" s="36">
        <v>0</v>
      </c>
      <c r="AA78" s="36">
        <v>12.3</v>
      </c>
      <c r="AB78" s="58">
        <v>16</v>
      </c>
      <c r="AC78" s="7"/>
    </row>
    <row r="79" spans="1:29">
      <c r="A79" s="57">
        <v>27</v>
      </c>
      <c r="B79" s="36">
        <v>0</v>
      </c>
      <c r="C79" s="36">
        <v>9</v>
      </c>
      <c r="D79" s="36">
        <v>0</v>
      </c>
      <c r="E79" s="36">
        <v>10.9</v>
      </c>
      <c r="F79" s="36">
        <v>2.2999999999999998</v>
      </c>
      <c r="G79" s="36">
        <v>9.3000000000000007</v>
      </c>
      <c r="H79" s="36">
        <v>4.8</v>
      </c>
      <c r="I79" s="36">
        <v>0.9</v>
      </c>
      <c r="J79" s="36">
        <v>18.2</v>
      </c>
      <c r="K79" s="36">
        <v>7.4</v>
      </c>
      <c r="L79" s="36">
        <v>3.4</v>
      </c>
      <c r="M79" s="58">
        <v>3.4</v>
      </c>
      <c r="N79" s="7"/>
      <c r="P79" s="57">
        <v>27</v>
      </c>
      <c r="Q79" s="36">
        <v>38.5</v>
      </c>
      <c r="R79" s="36">
        <v>15.2</v>
      </c>
      <c r="S79" s="36">
        <v>0</v>
      </c>
      <c r="T79" s="36">
        <v>3</v>
      </c>
      <c r="U79" s="36">
        <v>0</v>
      </c>
      <c r="V79" s="36">
        <v>0</v>
      </c>
      <c r="W79" s="36">
        <v>0</v>
      </c>
      <c r="X79" s="36">
        <v>0</v>
      </c>
      <c r="Y79" s="36">
        <v>0</v>
      </c>
      <c r="Z79" s="36">
        <v>10</v>
      </c>
      <c r="AA79" s="36">
        <v>6.9</v>
      </c>
      <c r="AB79" s="58">
        <v>5.5</v>
      </c>
      <c r="AC79" s="7"/>
    </row>
    <row r="80" spans="1:29">
      <c r="A80" s="57">
        <v>28</v>
      </c>
      <c r="B80" s="36">
        <v>0.3</v>
      </c>
      <c r="C80" s="36">
        <v>12.5</v>
      </c>
      <c r="D80" s="36">
        <v>0</v>
      </c>
      <c r="E80" s="36">
        <v>78.900000000000006</v>
      </c>
      <c r="F80" s="36">
        <v>25.6</v>
      </c>
      <c r="G80" s="36">
        <v>0</v>
      </c>
      <c r="H80" s="36">
        <v>15.2</v>
      </c>
      <c r="I80" s="36">
        <v>3.5</v>
      </c>
      <c r="J80" s="36">
        <v>0.4</v>
      </c>
      <c r="K80" s="36">
        <v>0</v>
      </c>
      <c r="L80" s="36">
        <v>4.4000000000000004</v>
      </c>
      <c r="M80" s="58">
        <v>0</v>
      </c>
      <c r="N80" s="7"/>
      <c r="P80" s="57">
        <v>28</v>
      </c>
      <c r="Q80" s="36">
        <v>30.4</v>
      </c>
      <c r="R80" s="36"/>
      <c r="S80" s="36">
        <v>3.2</v>
      </c>
      <c r="T80" s="38">
        <v>0</v>
      </c>
      <c r="U80" s="36">
        <v>0</v>
      </c>
      <c r="V80" s="36">
        <v>0</v>
      </c>
      <c r="W80" s="38">
        <v>0</v>
      </c>
      <c r="X80" s="36">
        <v>0</v>
      </c>
      <c r="Y80" s="36">
        <v>0</v>
      </c>
      <c r="Z80" s="36">
        <v>1</v>
      </c>
      <c r="AA80" s="36">
        <v>10.4</v>
      </c>
      <c r="AB80" s="58">
        <v>0</v>
      </c>
      <c r="AC80" s="7"/>
    </row>
    <row r="81" spans="1:29">
      <c r="A81" s="57">
        <v>29</v>
      </c>
      <c r="B81" s="36">
        <v>12.9</v>
      </c>
      <c r="C81" s="36">
        <v>21.5</v>
      </c>
      <c r="D81" s="36">
        <v>0</v>
      </c>
      <c r="E81" s="36">
        <v>4.4000000000000004</v>
      </c>
      <c r="F81" s="36">
        <v>0</v>
      </c>
      <c r="G81" s="36">
        <v>0</v>
      </c>
      <c r="H81" s="36">
        <v>15.1</v>
      </c>
      <c r="I81" s="36">
        <v>11.6</v>
      </c>
      <c r="J81" s="36">
        <v>0.3</v>
      </c>
      <c r="K81" s="36">
        <v>0</v>
      </c>
      <c r="L81" s="36">
        <v>24.5</v>
      </c>
      <c r="M81" s="58">
        <v>0</v>
      </c>
      <c r="N81" s="7"/>
      <c r="P81" s="57">
        <v>29</v>
      </c>
      <c r="Q81" s="36">
        <v>29.6</v>
      </c>
      <c r="R81" s="36"/>
      <c r="S81" s="36">
        <v>0</v>
      </c>
      <c r="T81" s="36">
        <v>1.4</v>
      </c>
      <c r="U81" s="36">
        <v>0</v>
      </c>
      <c r="V81" s="36">
        <v>0</v>
      </c>
      <c r="W81" s="36">
        <v>0</v>
      </c>
      <c r="X81" s="36">
        <v>0</v>
      </c>
      <c r="Y81" s="36">
        <v>24.4</v>
      </c>
      <c r="Z81" s="36">
        <v>18.2</v>
      </c>
      <c r="AA81" s="36">
        <v>0</v>
      </c>
      <c r="AB81" s="58">
        <v>18.100000000000001</v>
      </c>
      <c r="AC81" s="7"/>
    </row>
    <row r="82" spans="1:29">
      <c r="A82" s="57">
        <v>30</v>
      </c>
      <c r="B82" s="36">
        <v>3.9</v>
      </c>
      <c r="C82" s="36"/>
      <c r="D82" s="36">
        <v>0</v>
      </c>
      <c r="E82" s="36">
        <v>0</v>
      </c>
      <c r="F82" s="36">
        <v>36.799999999999997</v>
      </c>
      <c r="G82" s="36">
        <v>0</v>
      </c>
      <c r="H82" s="36">
        <v>0</v>
      </c>
      <c r="I82" s="36">
        <v>39.200000000000003</v>
      </c>
      <c r="J82" s="36">
        <v>19.600000000000001</v>
      </c>
      <c r="K82" s="36">
        <v>7.5</v>
      </c>
      <c r="L82" s="36">
        <v>36.200000000000003</v>
      </c>
      <c r="M82" s="58">
        <v>0</v>
      </c>
      <c r="N82" s="7"/>
      <c r="P82" s="57">
        <v>30</v>
      </c>
      <c r="Q82" s="36">
        <v>13</v>
      </c>
      <c r="R82" s="36"/>
      <c r="S82" s="36">
        <v>0</v>
      </c>
      <c r="T82" s="36">
        <v>0</v>
      </c>
      <c r="U82" s="38">
        <v>0</v>
      </c>
      <c r="V82" s="36">
        <v>0</v>
      </c>
      <c r="W82" s="36">
        <v>0</v>
      </c>
      <c r="X82" s="36">
        <v>0</v>
      </c>
      <c r="Y82" s="36">
        <v>48.5</v>
      </c>
      <c r="Z82" s="36">
        <v>21.4</v>
      </c>
      <c r="AA82" s="36">
        <v>0</v>
      </c>
      <c r="AB82" s="58">
        <v>5</v>
      </c>
      <c r="AC82" s="7"/>
    </row>
    <row r="83" spans="1:29">
      <c r="A83" s="57">
        <v>31</v>
      </c>
      <c r="B83" s="36">
        <v>0</v>
      </c>
      <c r="C83" s="24"/>
      <c r="D83" s="36">
        <v>0</v>
      </c>
      <c r="E83" s="24"/>
      <c r="F83" s="36">
        <v>15.2</v>
      </c>
      <c r="G83" s="24"/>
      <c r="H83" s="36">
        <v>0</v>
      </c>
      <c r="I83" s="36">
        <v>0</v>
      </c>
      <c r="J83" s="24"/>
      <c r="K83" s="36">
        <v>6</v>
      </c>
      <c r="L83" s="24"/>
      <c r="M83" s="58">
        <v>0.8</v>
      </c>
      <c r="N83" s="7"/>
      <c r="P83" s="57">
        <v>31</v>
      </c>
      <c r="Q83" s="36">
        <v>48.3</v>
      </c>
      <c r="R83" s="24"/>
      <c r="S83" s="36">
        <v>0</v>
      </c>
      <c r="T83" s="24"/>
      <c r="U83" s="36">
        <v>1.8</v>
      </c>
      <c r="V83" s="24"/>
      <c r="W83" s="36"/>
      <c r="X83" s="36">
        <v>0</v>
      </c>
      <c r="Y83" s="24"/>
      <c r="Z83" s="36"/>
      <c r="AA83" s="36"/>
      <c r="AB83" s="58">
        <v>20.2</v>
      </c>
      <c r="AC83" s="7"/>
    </row>
    <row r="84" spans="1:29">
      <c r="A84" s="59"/>
      <c r="B84" s="26"/>
      <c r="C84" s="26"/>
      <c r="D84" s="26"/>
      <c r="E84" s="27"/>
      <c r="F84" s="26"/>
      <c r="G84" s="26"/>
      <c r="H84" s="26"/>
      <c r="I84" s="26"/>
      <c r="J84" s="26"/>
      <c r="K84" s="26"/>
      <c r="L84" s="28"/>
      <c r="M84" s="60"/>
      <c r="N84" s="7"/>
      <c r="P84" s="59"/>
      <c r="Q84" s="26"/>
      <c r="R84" s="26"/>
      <c r="S84" s="26"/>
      <c r="T84" s="27"/>
      <c r="U84" s="36"/>
      <c r="V84" s="26"/>
      <c r="W84" s="26"/>
      <c r="X84" s="26"/>
      <c r="Y84" s="26"/>
      <c r="Z84" s="26"/>
      <c r="AA84" s="24"/>
      <c r="AB84" s="60"/>
      <c r="AC84" s="7"/>
    </row>
    <row r="85" spans="1:29">
      <c r="A85" s="57" t="s">
        <v>65</v>
      </c>
      <c r="B85" s="30">
        <f t="shared" ref="B85:M85" si="4">SUM(B53:B83)</f>
        <v>269.79999999999995</v>
      </c>
      <c r="C85" s="30">
        <f t="shared" si="4"/>
        <v>287.7</v>
      </c>
      <c r="D85" s="30">
        <f t="shared" si="4"/>
        <v>209.3</v>
      </c>
      <c r="E85" s="30">
        <f t="shared" si="4"/>
        <v>295.39999999999998</v>
      </c>
      <c r="F85" s="30">
        <f t="shared" si="4"/>
        <v>251.20000000000005</v>
      </c>
      <c r="G85" s="30">
        <f t="shared" si="4"/>
        <v>404.29999999999995</v>
      </c>
      <c r="H85" s="30">
        <f t="shared" si="4"/>
        <v>394</v>
      </c>
      <c r="I85" s="30">
        <f t="shared" si="4"/>
        <v>172.39999999999998</v>
      </c>
      <c r="J85" s="30">
        <f t="shared" si="4"/>
        <v>536.4</v>
      </c>
      <c r="K85" s="30">
        <f t="shared" si="4"/>
        <v>205.00000000000003</v>
      </c>
      <c r="L85" s="30">
        <f t="shared" si="4"/>
        <v>514.70000000000005</v>
      </c>
      <c r="M85" s="61">
        <f t="shared" si="4"/>
        <v>133.20000000000002</v>
      </c>
      <c r="N85" s="37">
        <f>SUM(B85:M85)</f>
        <v>3673.3999999999996</v>
      </c>
      <c r="P85" s="57" t="s">
        <v>65</v>
      </c>
      <c r="Q85" s="30">
        <f t="shared" ref="Q85:AB85" si="5">SUM(Q53:Q83)</f>
        <v>299.40000000000003</v>
      </c>
      <c r="R85" s="30">
        <f t="shared" si="5"/>
        <v>107.39999999999999</v>
      </c>
      <c r="S85" s="30">
        <f t="shared" si="5"/>
        <v>300.59999999999997</v>
      </c>
      <c r="T85" s="30">
        <f t="shared" si="5"/>
        <v>65.400000000000006</v>
      </c>
      <c r="U85" s="30">
        <f t="shared" si="5"/>
        <v>104.00000000000001</v>
      </c>
      <c r="V85" s="30">
        <f t="shared" si="5"/>
        <v>159.9</v>
      </c>
      <c r="W85" s="30">
        <f t="shared" si="5"/>
        <v>320.89999999999998</v>
      </c>
      <c r="X85" s="30">
        <f t="shared" si="5"/>
        <v>110.60000000000001</v>
      </c>
      <c r="Y85" s="30">
        <f t="shared" si="5"/>
        <v>169.9</v>
      </c>
      <c r="Z85" s="30">
        <f t="shared" si="5"/>
        <v>173.7</v>
      </c>
      <c r="AA85" s="30">
        <f t="shared" si="5"/>
        <v>296.89999999999998</v>
      </c>
      <c r="AB85" s="61">
        <f t="shared" si="5"/>
        <v>322</v>
      </c>
      <c r="AC85" s="37">
        <f>SUM(Q85:AB85)</f>
        <v>2430.6999999999998</v>
      </c>
    </row>
    <row r="86" spans="1:29">
      <c r="A86" s="57" t="s">
        <v>66</v>
      </c>
      <c r="B86" s="30">
        <f>MAX(B53:B83)</f>
        <v>111.6</v>
      </c>
      <c r="C86" s="30">
        <f t="shared" ref="C86:M86" si="6">MAX(C53:C83)</f>
        <v>71.599999999999994</v>
      </c>
      <c r="D86" s="30">
        <f t="shared" si="6"/>
        <v>44.4</v>
      </c>
      <c r="E86" s="30">
        <f t="shared" si="6"/>
        <v>78.900000000000006</v>
      </c>
      <c r="F86" s="30">
        <f t="shared" si="6"/>
        <v>69.400000000000006</v>
      </c>
      <c r="G86" s="30">
        <f t="shared" si="6"/>
        <v>59.2</v>
      </c>
      <c r="H86" s="30">
        <f t="shared" si="6"/>
        <v>67.5</v>
      </c>
      <c r="I86" s="30">
        <f t="shared" si="6"/>
        <v>39.200000000000003</v>
      </c>
      <c r="J86" s="30">
        <f t="shared" si="6"/>
        <v>163.9</v>
      </c>
      <c r="K86" s="30">
        <f t="shared" si="6"/>
        <v>30.5</v>
      </c>
      <c r="L86" s="30">
        <f t="shared" si="6"/>
        <v>61.3</v>
      </c>
      <c r="M86" s="61">
        <f t="shared" si="6"/>
        <v>27.9</v>
      </c>
      <c r="N86" s="37">
        <f>MAX(B86:M86)</f>
        <v>163.9</v>
      </c>
      <c r="P86" s="57" t="s">
        <v>66</v>
      </c>
      <c r="Q86" s="30">
        <f>MAX(Q53:Q83)</f>
        <v>48.3</v>
      </c>
      <c r="R86" s="30">
        <f t="shared" ref="R86:AB86" si="7">MAX(R53:R83)</f>
        <v>36</v>
      </c>
      <c r="S86" s="30">
        <f t="shared" si="7"/>
        <v>67.8</v>
      </c>
      <c r="T86" s="30">
        <f t="shared" si="7"/>
        <v>30</v>
      </c>
      <c r="U86" s="30">
        <f t="shared" si="7"/>
        <v>36.4</v>
      </c>
      <c r="V86" s="30">
        <f t="shared" si="7"/>
        <v>107.3</v>
      </c>
      <c r="W86" s="30">
        <f t="shared" si="7"/>
        <v>58.5</v>
      </c>
      <c r="X86" s="30">
        <f t="shared" si="7"/>
        <v>31.5</v>
      </c>
      <c r="Y86" s="30">
        <f t="shared" si="7"/>
        <v>48.5</v>
      </c>
      <c r="Z86" s="30">
        <f t="shared" si="7"/>
        <v>45.5</v>
      </c>
      <c r="AA86" s="30">
        <f t="shared" si="7"/>
        <v>87.4</v>
      </c>
      <c r="AB86" s="61">
        <f t="shared" si="7"/>
        <v>78.2</v>
      </c>
      <c r="AC86" s="37">
        <f>MAX(Q86:AB86)</f>
        <v>107.3</v>
      </c>
    </row>
    <row r="87" spans="1:29">
      <c r="A87" s="62"/>
      <c r="B87" s="7"/>
      <c r="C87" s="7"/>
      <c r="D87" s="7"/>
      <c r="E87" s="7"/>
      <c r="F87" s="7"/>
      <c r="G87" s="7"/>
      <c r="H87" s="32"/>
      <c r="I87" s="7"/>
      <c r="J87" s="7"/>
      <c r="K87" s="7"/>
      <c r="L87" s="7"/>
      <c r="M87" s="63"/>
      <c r="N87" s="7"/>
      <c r="P87" s="62"/>
      <c r="Q87" s="7"/>
      <c r="R87" s="7"/>
      <c r="S87" s="7"/>
      <c r="T87" s="7"/>
      <c r="U87" s="7"/>
      <c r="V87" s="7"/>
      <c r="W87" s="32"/>
      <c r="X87" s="7"/>
      <c r="Y87" s="7"/>
      <c r="Z87" s="7"/>
      <c r="AA87" s="7"/>
      <c r="AB87" s="63"/>
      <c r="AC87" s="7"/>
    </row>
    <row r="88" spans="1:29" ht="15.75" thickBot="1">
      <c r="A88" s="64" t="s">
        <v>67</v>
      </c>
      <c r="B88" s="65">
        <v>0</v>
      </c>
      <c r="C88" s="66" t="s">
        <v>68</v>
      </c>
      <c r="D88" s="67"/>
      <c r="E88" s="68"/>
      <c r="F88" s="68"/>
      <c r="G88" s="68"/>
      <c r="H88" s="69"/>
      <c r="I88" s="68"/>
      <c r="J88" s="68"/>
      <c r="K88" s="68"/>
      <c r="L88" s="68"/>
      <c r="M88" s="70"/>
      <c r="N88" s="7"/>
      <c r="P88" s="64" t="s">
        <v>67</v>
      </c>
      <c r="Q88" s="65">
        <v>0</v>
      </c>
      <c r="R88" s="66" t="s">
        <v>68</v>
      </c>
      <c r="S88" s="67"/>
      <c r="T88" s="68"/>
      <c r="U88" s="68"/>
      <c r="V88" s="68"/>
      <c r="W88" s="69"/>
      <c r="X88" s="68"/>
      <c r="Y88" s="68"/>
      <c r="Z88" s="68"/>
      <c r="AA88" s="68"/>
      <c r="AB88" s="70"/>
      <c r="AC88" s="7"/>
    </row>
    <row r="90" spans="1:29" ht="15.75" thickBot="1"/>
    <row r="91" spans="1:29" ht="18">
      <c r="A91" s="1" t="s">
        <v>41</v>
      </c>
      <c r="B91" s="2"/>
      <c r="C91" s="2"/>
      <c r="D91" s="2"/>
      <c r="E91" s="3">
        <v>2021</v>
      </c>
      <c r="F91" s="4"/>
      <c r="G91" s="4"/>
      <c r="H91" s="5"/>
      <c r="I91" s="4"/>
      <c r="J91" s="4"/>
      <c r="K91" s="4"/>
      <c r="L91" s="4"/>
      <c r="M91" s="6"/>
      <c r="N91" s="7"/>
      <c r="P91" s="44" t="s">
        <v>41</v>
      </c>
      <c r="Q91" s="45"/>
      <c r="R91" s="45"/>
      <c r="S91" s="45"/>
      <c r="T91" s="46">
        <v>2024</v>
      </c>
      <c r="U91" s="47"/>
      <c r="V91" s="47"/>
      <c r="W91" s="48"/>
      <c r="X91" s="47"/>
      <c r="Y91" s="47"/>
      <c r="Z91" s="47"/>
      <c r="AA91" s="47"/>
      <c r="AB91" s="49"/>
      <c r="AC91" s="7"/>
    </row>
    <row r="92" spans="1:29">
      <c r="A92" s="8"/>
      <c r="B92" s="9"/>
      <c r="C92" s="9"/>
      <c r="D92" s="9"/>
      <c r="E92" s="10"/>
      <c r="F92" s="10"/>
      <c r="G92" s="10"/>
      <c r="H92" s="11"/>
      <c r="I92" s="9"/>
      <c r="J92" s="9"/>
      <c r="K92" s="9"/>
      <c r="L92" s="9"/>
      <c r="M92" s="12"/>
      <c r="N92" s="7"/>
      <c r="P92" s="50"/>
      <c r="Q92" s="9"/>
      <c r="R92" s="9"/>
      <c r="S92" s="9"/>
      <c r="T92" s="10"/>
      <c r="U92" s="10"/>
      <c r="V92" s="10"/>
      <c r="W92" s="11"/>
      <c r="X92" s="9"/>
      <c r="Y92" s="9"/>
      <c r="Z92" s="9"/>
      <c r="AA92" s="9"/>
      <c r="AB92" s="51"/>
      <c r="AC92" s="7"/>
    </row>
    <row r="93" spans="1:29" ht="15.75">
      <c r="A93" s="13" t="s">
        <v>42</v>
      </c>
      <c r="B93" s="14"/>
      <c r="C93" s="14" t="s">
        <v>43</v>
      </c>
      <c r="D93" s="14"/>
      <c r="E93" s="14"/>
      <c r="F93" s="14"/>
      <c r="G93" s="14"/>
      <c r="H93" s="15"/>
      <c r="I93" s="14"/>
      <c r="J93" s="14" t="s">
        <v>74</v>
      </c>
      <c r="K93" s="14" t="s">
        <v>96</v>
      </c>
      <c r="L93" s="14"/>
      <c r="M93" s="12"/>
      <c r="N93" s="7"/>
      <c r="P93" s="52" t="s">
        <v>42</v>
      </c>
      <c r="Q93" s="14"/>
      <c r="R93" s="14" t="s">
        <v>43</v>
      </c>
      <c r="S93" s="14"/>
      <c r="T93" s="14"/>
      <c r="U93" s="14"/>
      <c r="V93" s="14"/>
      <c r="W93" s="15"/>
      <c r="X93" s="14"/>
      <c r="Y93" s="14" t="s">
        <v>74</v>
      </c>
      <c r="Z93" s="14" t="s">
        <v>96</v>
      </c>
      <c r="AA93" s="14"/>
      <c r="AB93" s="51"/>
      <c r="AC93" s="7"/>
    </row>
    <row r="94" spans="1:29" ht="15.75">
      <c r="A94" s="13" t="s">
        <v>46</v>
      </c>
      <c r="B94" s="14"/>
      <c r="C94" s="14" t="s">
        <v>97</v>
      </c>
      <c r="D94" s="14"/>
      <c r="E94" s="14"/>
      <c r="F94" s="14"/>
      <c r="G94" s="14"/>
      <c r="H94" s="15"/>
      <c r="I94" s="14"/>
      <c r="J94" s="14" t="s">
        <v>77</v>
      </c>
      <c r="K94" s="14" t="s">
        <v>98</v>
      </c>
      <c r="L94" s="14"/>
      <c r="M94" s="12"/>
      <c r="N94" s="7"/>
      <c r="P94" s="52" t="s">
        <v>46</v>
      </c>
      <c r="Q94" s="14"/>
      <c r="R94" s="14" t="s">
        <v>97</v>
      </c>
      <c r="S94" s="14"/>
      <c r="T94" s="14"/>
      <c r="U94" s="14"/>
      <c r="V94" s="14"/>
      <c r="W94" s="15"/>
      <c r="X94" s="14"/>
      <c r="Y94" s="14" t="s">
        <v>77</v>
      </c>
      <c r="Z94" s="14" t="s">
        <v>98</v>
      </c>
      <c r="AA94" s="14"/>
      <c r="AB94" s="51"/>
      <c r="AC94" s="7"/>
    </row>
    <row r="95" spans="1:29" ht="15.75">
      <c r="A95" s="13" t="s">
        <v>49</v>
      </c>
      <c r="B95" s="14"/>
      <c r="C95" s="14" t="s">
        <v>84</v>
      </c>
      <c r="D95" s="14"/>
      <c r="E95" s="14"/>
      <c r="F95" s="14"/>
      <c r="G95" s="14"/>
      <c r="H95" s="15"/>
      <c r="I95" s="14"/>
      <c r="J95" s="14" t="s">
        <v>51</v>
      </c>
      <c r="K95" s="14" t="s">
        <v>99</v>
      </c>
      <c r="L95" s="14"/>
      <c r="M95" s="12"/>
      <c r="N95" s="7"/>
      <c r="P95" s="52" t="s">
        <v>49</v>
      </c>
      <c r="Q95" s="14"/>
      <c r="R95" s="14" t="s">
        <v>90</v>
      </c>
      <c r="S95" s="14"/>
      <c r="T95" s="14"/>
      <c r="U95" s="14"/>
      <c r="V95" s="14"/>
      <c r="W95" s="15"/>
      <c r="X95" s="14"/>
      <c r="Y95" s="14" t="s">
        <v>51</v>
      </c>
      <c r="Z95" s="14" t="s">
        <v>99</v>
      </c>
      <c r="AA95" s="14"/>
      <c r="AB95" s="51"/>
      <c r="AC95" s="7"/>
    </row>
    <row r="96" spans="1:29">
      <c r="A96" s="16"/>
      <c r="B96" s="10"/>
      <c r="C96" s="10"/>
      <c r="D96" s="10"/>
      <c r="E96" s="10"/>
      <c r="F96" s="10"/>
      <c r="G96" s="10"/>
      <c r="H96" s="17"/>
      <c r="I96" s="10"/>
      <c r="J96" s="10"/>
      <c r="K96" s="10"/>
      <c r="L96" s="10"/>
      <c r="M96" s="18"/>
      <c r="N96" s="19"/>
      <c r="P96" s="53"/>
      <c r="Q96" s="10"/>
      <c r="R96" s="10"/>
      <c r="S96" s="10"/>
      <c r="T96" s="10"/>
      <c r="U96" s="10"/>
      <c r="V96" s="10"/>
      <c r="W96" s="17"/>
      <c r="X96" s="10"/>
      <c r="Y96" s="10"/>
      <c r="Z96" s="10"/>
      <c r="AA96" s="10"/>
      <c r="AB96" s="54"/>
      <c r="AC96" s="19"/>
    </row>
    <row r="97" spans="1:29">
      <c r="A97" s="20" t="s">
        <v>53</v>
      </c>
      <c r="B97" s="21" t="s">
        <v>54</v>
      </c>
      <c r="C97" s="21" t="s">
        <v>55</v>
      </c>
      <c r="D97" s="21" t="s">
        <v>56</v>
      </c>
      <c r="E97" s="21" t="s">
        <v>57</v>
      </c>
      <c r="F97" s="21" t="s">
        <v>20</v>
      </c>
      <c r="G97" s="21" t="s">
        <v>58</v>
      </c>
      <c r="H97" s="21" t="s">
        <v>59</v>
      </c>
      <c r="I97" s="21" t="s">
        <v>60</v>
      </c>
      <c r="J97" s="21" t="s">
        <v>61</v>
      </c>
      <c r="K97" s="21" t="s">
        <v>62</v>
      </c>
      <c r="L97" s="21" t="s">
        <v>63</v>
      </c>
      <c r="M97" s="22" t="s">
        <v>64</v>
      </c>
      <c r="N97" s="19"/>
      <c r="P97" s="55" t="s">
        <v>53</v>
      </c>
      <c r="Q97" s="21" t="s">
        <v>54</v>
      </c>
      <c r="R97" s="21" t="s">
        <v>55</v>
      </c>
      <c r="S97" s="21" t="s">
        <v>56</v>
      </c>
      <c r="T97" s="21" t="s">
        <v>57</v>
      </c>
      <c r="U97" s="21" t="s">
        <v>20</v>
      </c>
      <c r="V97" s="21" t="s">
        <v>58</v>
      </c>
      <c r="W97" s="21" t="s">
        <v>59</v>
      </c>
      <c r="X97" s="21" t="s">
        <v>60</v>
      </c>
      <c r="Y97" s="21" t="s">
        <v>61</v>
      </c>
      <c r="Z97" s="21" t="s">
        <v>62</v>
      </c>
      <c r="AA97" s="21" t="s">
        <v>63</v>
      </c>
      <c r="AB97" s="56" t="s">
        <v>64</v>
      </c>
      <c r="AC97" s="19"/>
    </row>
    <row r="98" spans="1:29">
      <c r="A98" s="23">
        <v>1</v>
      </c>
      <c r="B98" s="36">
        <v>1.5</v>
      </c>
      <c r="C98" s="36">
        <v>0.7</v>
      </c>
      <c r="D98" s="36">
        <v>0</v>
      </c>
      <c r="E98" s="36">
        <v>0</v>
      </c>
      <c r="F98" s="36">
        <v>21</v>
      </c>
      <c r="G98" s="36">
        <v>0</v>
      </c>
      <c r="H98" s="36">
        <v>11.8</v>
      </c>
      <c r="I98" s="36">
        <v>0</v>
      </c>
      <c r="J98" s="36">
        <v>4.5</v>
      </c>
      <c r="K98" s="36">
        <v>98.1</v>
      </c>
      <c r="L98" s="36">
        <v>9.1999999999999993</v>
      </c>
      <c r="M98" s="36">
        <v>0</v>
      </c>
      <c r="N98" s="7"/>
      <c r="P98" s="57">
        <v>1</v>
      </c>
      <c r="Q98" s="36">
        <v>1.4</v>
      </c>
      <c r="R98" s="36">
        <v>0.6</v>
      </c>
      <c r="S98" s="36">
        <v>4.3</v>
      </c>
      <c r="T98" s="36">
        <v>36.799999999999997</v>
      </c>
      <c r="U98" s="36">
        <v>0</v>
      </c>
      <c r="V98" s="36">
        <v>0</v>
      </c>
      <c r="W98" s="36"/>
      <c r="X98" s="36"/>
      <c r="Y98" s="36"/>
      <c r="Z98" s="36"/>
      <c r="AA98" s="36"/>
      <c r="AB98" s="58"/>
      <c r="AC98" s="7"/>
    </row>
    <row r="99" spans="1:29">
      <c r="A99" s="23">
        <v>2</v>
      </c>
      <c r="B99" s="36">
        <v>0</v>
      </c>
      <c r="C99" s="36">
        <v>29.2</v>
      </c>
      <c r="D99" s="36">
        <v>0</v>
      </c>
      <c r="E99" s="36">
        <v>0</v>
      </c>
      <c r="F99" s="39">
        <v>0</v>
      </c>
      <c r="G99" s="36">
        <v>0</v>
      </c>
      <c r="H99" s="36">
        <v>5.4</v>
      </c>
      <c r="I99" s="36">
        <v>0</v>
      </c>
      <c r="J99" s="36">
        <v>20.5</v>
      </c>
      <c r="K99" s="36">
        <v>1.1000000000000001</v>
      </c>
      <c r="L99" s="38">
        <v>0</v>
      </c>
      <c r="M99" s="36">
        <v>0</v>
      </c>
      <c r="N99" s="7"/>
      <c r="P99" s="57">
        <v>2</v>
      </c>
      <c r="Q99" s="36">
        <v>50</v>
      </c>
      <c r="R99" s="36">
        <v>15.1</v>
      </c>
      <c r="S99" s="36">
        <v>10.6</v>
      </c>
      <c r="T99" s="36">
        <v>7</v>
      </c>
      <c r="U99" s="36">
        <v>0</v>
      </c>
      <c r="V99" s="36">
        <v>33.6</v>
      </c>
      <c r="W99" s="36"/>
      <c r="X99" s="36"/>
      <c r="Y99" s="38"/>
      <c r="Z99" s="36"/>
      <c r="AA99" s="36"/>
      <c r="AB99" s="58"/>
      <c r="AC99" s="7"/>
    </row>
    <row r="100" spans="1:29">
      <c r="A100" s="23">
        <v>3</v>
      </c>
      <c r="B100" s="36">
        <v>33.4</v>
      </c>
      <c r="C100" s="36">
        <v>9.8000000000000007</v>
      </c>
      <c r="D100" s="36">
        <v>0</v>
      </c>
      <c r="E100" s="36">
        <v>0</v>
      </c>
      <c r="F100" s="36">
        <v>12.5</v>
      </c>
      <c r="G100" s="36">
        <v>0</v>
      </c>
      <c r="H100" s="36">
        <v>0</v>
      </c>
      <c r="I100" s="36">
        <v>0</v>
      </c>
      <c r="J100" s="36">
        <v>8.5</v>
      </c>
      <c r="K100" s="36">
        <v>0</v>
      </c>
      <c r="L100" s="36">
        <v>10.199999999999999</v>
      </c>
      <c r="M100" s="36">
        <v>1</v>
      </c>
      <c r="N100" s="7"/>
      <c r="P100" s="57">
        <v>3</v>
      </c>
      <c r="Q100" s="36">
        <v>2.2999999999999998</v>
      </c>
      <c r="R100" s="36">
        <v>0</v>
      </c>
      <c r="S100" s="36">
        <v>2.4</v>
      </c>
      <c r="T100" s="36">
        <v>0</v>
      </c>
      <c r="U100" s="36">
        <v>1.8</v>
      </c>
      <c r="V100" s="36">
        <v>1.3</v>
      </c>
      <c r="W100" s="36"/>
      <c r="X100" s="36"/>
      <c r="Y100" s="36"/>
      <c r="Z100" s="36"/>
      <c r="AA100" s="36"/>
      <c r="AB100" s="58"/>
      <c r="AC100" s="7"/>
    </row>
    <row r="101" spans="1:29">
      <c r="A101" s="23">
        <v>4</v>
      </c>
      <c r="B101" s="36">
        <v>1.5</v>
      </c>
      <c r="C101" s="36">
        <v>2.4</v>
      </c>
      <c r="D101" s="36">
        <v>2.9</v>
      </c>
      <c r="E101" s="36">
        <v>0</v>
      </c>
      <c r="F101" s="36">
        <v>0</v>
      </c>
      <c r="G101" s="36">
        <v>0</v>
      </c>
      <c r="H101" s="36">
        <v>0.5</v>
      </c>
      <c r="I101" s="36">
        <v>0</v>
      </c>
      <c r="J101" s="36">
        <v>0</v>
      </c>
      <c r="K101" s="36">
        <v>1.7</v>
      </c>
      <c r="L101" s="36">
        <v>43.7</v>
      </c>
      <c r="M101" s="36">
        <v>0</v>
      </c>
      <c r="N101" s="7"/>
      <c r="P101" s="57">
        <v>4</v>
      </c>
      <c r="Q101" s="36">
        <v>24.5</v>
      </c>
      <c r="R101" s="36">
        <v>12.5</v>
      </c>
      <c r="S101" s="36">
        <v>10.7</v>
      </c>
      <c r="T101" s="36">
        <v>1</v>
      </c>
      <c r="U101" s="36">
        <v>35.1</v>
      </c>
      <c r="V101" s="36">
        <v>1.3</v>
      </c>
      <c r="W101" s="42"/>
      <c r="X101" s="36"/>
      <c r="Y101" s="36"/>
      <c r="Z101" s="36"/>
      <c r="AA101" s="36"/>
      <c r="AB101" s="58"/>
      <c r="AC101" s="7"/>
    </row>
    <row r="102" spans="1:29">
      <c r="A102" s="23">
        <v>5</v>
      </c>
      <c r="B102" s="36">
        <v>16.5</v>
      </c>
      <c r="C102" s="36">
        <v>4.5</v>
      </c>
      <c r="D102" s="36">
        <v>2.9</v>
      </c>
      <c r="E102" s="36">
        <v>0</v>
      </c>
      <c r="F102" s="36">
        <v>24.5</v>
      </c>
      <c r="G102" s="36">
        <v>0</v>
      </c>
      <c r="H102" s="36">
        <v>0</v>
      </c>
      <c r="I102" s="36">
        <v>4</v>
      </c>
      <c r="J102" s="36">
        <v>0</v>
      </c>
      <c r="K102" s="42">
        <v>0</v>
      </c>
      <c r="L102" s="36">
        <v>1.5</v>
      </c>
      <c r="M102" s="36">
        <v>0</v>
      </c>
      <c r="N102" s="7"/>
      <c r="P102" s="57">
        <v>5</v>
      </c>
      <c r="Q102" s="36">
        <v>9.9</v>
      </c>
      <c r="R102" s="36">
        <v>0</v>
      </c>
      <c r="S102" s="36">
        <v>38.5</v>
      </c>
      <c r="T102" s="36">
        <v>0</v>
      </c>
      <c r="U102" s="36">
        <v>130.4</v>
      </c>
      <c r="V102" s="36">
        <v>3</v>
      </c>
      <c r="W102" s="36"/>
      <c r="X102" s="36"/>
      <c r="Y102" s="36"/>
      <c r="Z102" s="36"/>
      <c r="AA102" s="36"/>
      <c r="AB102" s="58"/>
      <c r="AC102" s="7"/>
    </row>
    <row r="103" spans="1:29">
      <c r="A103" s="23">
        <v>6</v>
      </c>
      <c r="B103" s="36">
        <v>0</v>
      </c>
      <c r="C103" s="36">
        <v>2</v>
      </c>
      <c r="D103" s="36">
        <v>0</v>
      </c>
      <c r="E103" s="36">
        <v>0</v>
      </c>
      <c r="F103" s="36">
        <v>0</v>
      </c>
      <c r="G103" s="36">
        <v>25.5</v>
      </c>
      <c r="H103" s="38">
        <v>0</v>
      </c>
      <c r="I103" s="36">
        <v>1</v>
      </c>
      <c r="J103" s="36">
        <v>8.3000000000000007</v>
      </c>
      <c r="K103" s="36">
        <v>0</v>
      </c>
      <c r="L103" s="38">
        <v>0</v>
      </c>
      <c r="M103" s="36">
        <v>3.4</v>
      </c>
      <c r="N103" s="7"/>
      <c r="P103" s="57">
        <v>6</v>
      </c>
      <c r="Q103" s="38">
        <v>0</v>
      </c>
      <c r="R103" s="36">
        <v>3.1</v>
      </c>
      <c r="S103" s="36">
        <v>69</v>
      </c>
      <c r="T103" s="36">
        <v>0</v>
      </c>
      <c r="U103" s="36">
        <v>0</v>
      </c>
      <c r="V103" s="36">
        <v>1.6</v>
      </c>
      <c r="W103" s="36"/>
      <c r="X103" s="36"/>
      <c r="Y103" s="36"/>
      <c r="Z103" s="36"/>
      <c r="AA103" s="36"/>
      <c r="AB103" s="58"/>
      <c r="AC103" s="7"/>
    </row>
    <row r="104" spans="1:29">
      <c r="A104" s="23">
        <v>7</v>
      </c>
      <c r="B104" s="36">
        <v>0</v>
      </c>
      <c r="C104" s="36">
        <v>1</v>
      </c>
      <c r="D104" s="36">
        <v>1.1000000000000001</v>
      </c>
      <c r="E104" s="36">
        <v>0</v>
      </c>
      <c r="F104" s="36">
        <v>5.3</v>
      </c>
      <c r="G104" s="36">
        <v>4.8</v>
      </c>
      <c r="H104" s="36">
        <v>0</v>
      </c>
      <c r="I104" s="36">
        <v>0</v>
      </c>
      <c r="J104" s="36">
        <v>0.2</v>
      </c>
      <c r="K104" s="36">
        <v>0.4</v>
      </c>
      <c r="L104" s="36">
        <v>0</v>
      </c>
      <c r="M104" s="36">
        <v>0</v>
      </c>
      <c r="N104" s="7"/>
      <c r="P104" s="57">
        <v>7</v>
      </c>
      <c r="Q104" s="36">
        <v>3.5</v>
      </c>
      <c r="R104" s="36">
        <v>0</v>
      </c>
      <c r="S104" s="36">
        <v>6.5</v>
      </c>
      <c r="T104" s="36">
        <v>0</v>
      </c>
      <c r="U104" s="38">
        <v>0</v>
      </c>
      <c r="V104" s="36">
        <v>0</v>
      </c>
      <c r="W104" s="36"/>
      <c r="X104" s="36"/>
      <c r="Y104" s="36"/>
      <c r="Z104" s="36"/>
      <c r="AA104" s="36"/>
      <c r="AB104" s="58"/>
      <c r="AC104" s="7"/>
    </row>
    <row r="105" spans="1:29">
      <c r="A105" s="23">
        <v>8</v>
      </c>
      <c r="B105" s="36">
        <v>11.8</v>
      </c>
      <c r="C105" s="36">
        <v>0</v>
      </c>
      <c r="D105" s="36">
        <v>15.9</v>
      </c>
      <c r="E105" s="38">
        <v>0</v>
      </c>
      <c r="F105" s="36">
        <v>26.1</v>
      </c>
      <c r="G105" s="36">
        <v>22</v>
      </c>
      <c r="H105" s="36">
        <v>0.4</v>
      </c>
      <c r="I105" s="36">
        <v>54.5</v>
      </c>
      <c r="J105" s="36">
        <v>12.8</v>
      </c>
      <c r="K105" s="36">
        <v>0</v>
      </c>
      <c r="L105" s="38">
        <v>0</v>
      </c>
      <c r="M105" s="38">
        <v>0</v>
      </c>
      <c r="N105" s="7"/>
      <c r="P105" s="57">
        <v>8</v>
      </c>
      <c r="Q105" s="36">
        <v>1</v>
      </c>
      <c r="R105" s="38">
        <v>0</v>
      </c>
      <c r="S105" s="36">
        <v>1.2</v>
      </c>
      <c r="T105" s="36">
        <v>1</v>
      </c>
      <c r="U105" s="36">
        <v>18.8</v>
      </c>
      <c r="V105" s="36">
        <v>0</v>
      </c>
      <c r="W105" s="36"/>
      <c r="X105" s="36"/>
      <c r="Y105" s="36"/>
      <c r="Z105" s="36"/>
      <c r="AA105" s="36"/>
      <c r="AB105" s="58"/>
      <c r="AC105" s="7"/>
    </row>
    <row r="106" spans="1:29">
      <c r="A106" s="23">
        <v>9</v>
      </c>
      <c r="B106" s="36">
        <v>0</v>
      </c>
      <c r="C106" s="36">
        <v>0</v>
      </c>
      <c r="D106" s="36">
        <v>1.1000000000000001</v>
      </c>
      <c r="E106" s="36">
        <v>0</v>
      </c>
      <c r="F106" s="36">
        <v>0</v>
      </c>
      <c r="G106" s="36">
        <v>8</v>
      </c>
      <c r="H106" s="36">
        <v>24.7</v>
      </c>
      <c r="I106" s="36">
        <v>1.5</v>
      </c>
      <c r="J106" s="36">
        <v>0</v>
      </c>
      <c r="K106" s="36">
        <v>0</v>
      </c>
      <c r="L106" s="36">
        <v>0</v>
      </c>
      <c r="M106" s="36">
        <v>8</v>
      </c>
      <c r="N106" s="7"/>
      <c r="P106" s="57">
        <v>9</v>
      </c>
      <c r="Q106" s="36">
        <v>1.3</v>
      </c>
      <c r="R106" s="38">
        <v>0</v>
      </c>
      <c r="S106" s="36">
        <v>29.9</v>
      </c>
      <c r="T106" s="38">
        <v>0</v>
      </c>
      <c r="U106" s="36">
        <v>4.2</v>
      </c>
      <c r="V106" s="38">
        <v>0</v>
      </c>
      <c r="W106" s="36"/>
      <c r="X106" s="36"/>
      <c r="Y106" s="36"/>
      <c r="Z106" s="36"/>
      <c r="AA106" s="36"/>
      <c r="AB106" s="72"/>
      <c r="AC106" s="7"/>
    </row>
    <row r="107" spans="1:29">
      <c r="A107" s="23">
        <v>10</v>
      </c>
      <c r="B107" s="36">
        <v>21.5</v>
      </c>
      <c r="C107" s="36">
        <v>0</v>
      </c>
      <c r="D107" s="36">
        <v>0</v>
      </c>
      <c r="E107" s="36">
        <v>0</v>
      </c>
      <c r="F107" s="36">
        <v>9.4</v>
      </c>
      <c r="G107" s="36">
        <v>37</v>
      </c>
      <c r="H107" s="36">
        <v>1</v>
      </c>
      <c r="I107" s="36">
        <v>0</v>
      </c>
      <c r="J107" s="36">
        <v>0</v>
      </c>
      <c r="K107" s="38">
        <v>0</v>
      </c>
      <c r="L107" s="36">
        <v>0</v>
      </c>
      <c r="M107" s="36">
        <v>0</v>
      </c>
      <c r="N107" s="7"/>
      <c r="P107" s="57">
        <v>10</v>
      </c>
      <c r="Q107" s="36">
        <v>1</v>
      </c>
      <c r="R107" s="38">
        <v>0</v>
      </c>
      <c r="S107" s="36">
        <v>0</v>
      </c>
      <c r="T107" s="38">
        <v>0</v>
      </c>
      <c r="U107" s="36">
        <v>0</v>
      </c>
      <c r="V107" s="38">
        <v>0</v>
      </c>
      <c r="W107" s="36"/>
      <c r="X107" s="38"/>
      <c r="Y107" s="36"/>
      <c r="Z107" s="36"/>
      <c r="AA107" s="36"/>
      <c r="AB107" s="58"/>
      <c r="AC107" s="7"/>
    </row>
    <row r="108" spans="1:29">
      <c r="A108" s="23">
        <v>11</v>
      </c>
      <c r="B108" s="36">
        <v>18.7</v>
      </c>
      <c r="C108" s="36">
        <v>0</v>
      </c>
      <c r="D108" s="38">
        <v>0</v>
      </c>
      <c r="E108" s="36">
        <v>0</v>
      </c>
      <c r="F108" s="36">
        <v>0</v>
      </c>
      <c r="G108" s="36">
        <v>0</v>
      </c>
      <c r="H108" s="36">
        <v>1.3</v>
      </c>
      <c r="I108" s="36">
        <v>0</v>
      </c>
      <c r="J108" s="36">
        <v>4.9000000000000004</v>
      </c>
      <c r="K108" s="36">
        <v>0</v>
      </c>
      <c r="L108" s="36">
        <v>60</v>
      </c>
      <c r="M108" s="43">
        <v>0</v>
      </c>
      <c r="N108" s="7"/>
      <c r="P108" s="57">
        <v>11</v>
      </c>
      <c r="Q108" s="36">
        <v>3.8</v>
      </c>
      <c r="R108" s="36">
        <v>16.399999999999999</v>
      </c>
      <c r="S108" s="36">
        <v>0.5</v>
      </c>
      <c r="T108" s="36">
        <v>4.3</v>
      </c>
      <c r="U108" s="36">
        <v>12.4</v>
      </c>
      <c r="V108" s="36">
        <v>10.5</v>
      </c>
      <c r="W108" s="36"/>
      <c r="X108" s="36"/>
      <c r="Y108" s="36"/>
      <c r="Z108" s="36"/>
      <c r="AA108" s="36"/>
      <c r="AB108" s="72"/>
      <c r="AC108" s="7"/>
    </row>
    <row r="109" spans="1:29">
      <c r="A109" s="23">
        <v>12</v>
      </c>
      <c r="B109" s="36">
        <v>1.7</v>
      </c>
      <c r="C109" s="36">
        <v>0</v>
      </c>
      <c r="D109" s="36">
        <v>0</v>
      </c>
      <c r="E109" s="36">
        <v>0</v>
      </c>
      <c r="F109" s="36">
        <v>0</v>
      </c>
      <c r="G109" s="36">
        <v>1.1000000000000001</v>
      </c>
      <c r="H109" s="36">
        <v>3</v>
      </c>
      <c r="I109" s="36">
        <v>100.5</v>
      </c>
      <c r="J109" s="36">
        <v>0</v>
      </c>
      <c r="K109" s="36">
        <v>0</v>
      </c>
      <c r="L109" s="36">
        <v>0</v>
      </c>
      <c r="M109" s="36">
        <v>3.3</v>
      </c>
      <c r="N109" s="7"/>
      <c r="P109" s="57">
        <v>12</v>
      </c>
      <c r="Q109" s="38">
        <v>0</v>
      </c>
      <c r="R109" s="36">
        <v>5.9</v>
      </c>
      <c r="S109" s="36">
        <v>2.2000000000000002</v>
      </c>
      <c r="T109" s="36">
        <v>0.2</v>
      </c>
      <c r="U109" s="36">
        <v>14.3</v>
      </c>
      <c r="V109" s="36">
        <v>0</v>
      </c>
      <c r="W109" s="36"/>
      <c r="X109" s="36"/>
      <c r="Y109" s="36"/>
      <c r="Z109" s="38"/>
      <c r="AA109" s="36"/>
      <c r="AB109" s="58"/>
      <c r="AC109" s="7"/>
    </row>
    <row r="110" spans="1:29">
      <c r="A110" s="23">
        <v>13</v>
      </c>
      <c r="B110" s="36">
        <v>4</v>
      </c>
      <c r="C110" s="36">
        <v>0</v>
      </c>
      <c r="D110" s="36">
        <v>0</v>
      </c>
      <c r="E110" s="36">
        <v>3.8</v>
      </c>
      <c r="F110" s="36">
        <v>26.5</v>
      </c>
      <c r="G110" s="36">
        <v>0</v>
      </c>
      <c r="H110" s="36">
        <v>6</v>
      </c>
      <c r="I110" s="36">
        <v>0</v>
      </c>
      <c r="J110" s="36">
        <v>7.8</v>
      </c>
      <c r="K110" s="38">
        <v>0</v>
      </c>
      <c r="L110" s="36">
        <v>4.5</v>
      </c>
      <c r="M110" s="36">
        <v>0</v>
      </c>
      <c r="N110" s="7"/>
      <c r="P110" s="57">
        <v>13</v>
      </c>
      <c r="Q110" s="36">
        <v>8.1</v>
      </c>
      <c r="R110" s="36">
        <v>3.2</v>
      </c>
      <c r="S110" s="38">
        <v>0</v>
      </c>
      <c r="T110" s="36">
        <v>15.3</v>
      </c>
      <c r="U110" s="36">
        <v>8</v>
      </c>
      <c r="V110" s="36">
        <v>2.5</v>
      </c>
      <c r="W110" s="36"/>
      <c r="X110" s="36"/>
      <c r="Y110" s="38"/>
      <c r="Z110" s="36"/>
      <c r="AA110" s="36"/>
      <c r="AB110" s="58"/>
      <c r="AC110" s="7"/>
    </row>
    <row r="111" spans="1:29">
      <c r="A111" s="23">
        <v>14</v>
      </c>
      <c r="B111" s="36">
        <v>117.2</v>
      </c>
      <c r="C111" s="36">
        <v>0</v>
      </c>
      <c r="D111" s="38">
        <v>0</v>
      </c>
      <c r="E111" s="36">
        <v>30.4</v>
      </c>
      <c r="F111" s="36">
        <v>0</v>
      </c>
      <c r="G111" s="36">
        <v>39.4</v>
      </c>
      <c r="H111" s="36">
        <v>193.9</v>
      </c>
      <c r="I111" s="36">
        <v>100.6</v>
      </c>
      <c r="J111" s="36">
        <v>21.4</v>
      </c>
      <c r="K111" s="36">
        <v>0</v>
      </c>
      <c r="L111" s="36">
        <v>0</v>
      </c>
      <c r="M111" s="36">
        <v>3.8</v>
      </c>
      <c r="N111" s="7"/>
      <c r="P111" s="57">
        <v>14</v>
      </c>
      <c r="Q111" s="36">
        <v>7.4</v>
      </c>
      <c r="R111" s="36">
        <v>18</v>
      </c>
      <c r="S111" s="36">
        <v>0</v>
      </c>
      <c r="T111" s="36">
        <v>1</v>
      </c>
      <c r="U111" s="38">
        <v>0</v>
      </c>
      <c r="V111" s="36">
        <v>0</v>
      </c>
      <c r="W111" s="36"/>
      <c r="X111" s="36"/>
      <c r="Y111" s="36"/>
      <c r="Z111" s="36"/>
      <c r="AA111" s="38"/>
      <c r="AB111" s="58"/>
      <c r="AC111" s="7"/>
    </row>
    <row r="112" spans="1:29">
      <c r="A112" s="23">
        <v>15</v>
      </c>
      <c r="B112" s="36">
        <v>11.6</v>
      </c>
      <c r="C112" s="36">
        <v>0</v>
      </c>
      <c r="D112" s="36">
        <v>0.9</v>
      </c>
      <c r="E112" s="36">
        <v>0</v>
      </c>
      <c r="F112" s="38">
        <v>0</v>
      </c>
      <c r="G112" s="36">
        <v>0.9</v>
      </c>
      <c r="H112" s="36">
        <v>0.9</v>
      </c>
      <c r="I112" s="36">
        <v>9.8000000000000007</v>
      </c>
      <c r="J112" s="36">
        <v>0.5</v>
      </c>
      <c r="K112" s="36">
        <v>0</v>
      </c>
      <c r="L112" s="36">
        <v>7.7</v>
      </c>
      <c r="M112" s="36">
        <v>87</v>
      </c>
      <c r="N112" s="7"/>
      <c r="P112" s="57">
        <v>15</v>
      </c>
      <c r="Q112" s="36">
        <v>22.8</v>
      </c>
      <c r="R112" s="36">
        <v>3.2</v>
      </c>
      <c r="S112" s="36">
        <v>0</v>
      </c>
      <c r="T112" s="36">
        <v>0</v>
      </c>
      <c r="U112" s="36">
        <v>1</v>
      </c>
      <c r="V112" s="36">
        <v>0</v>
      </c>
      <c r="W112" s="36"/>
      <c r="X112" s="38"/>
      <c r="Y112" s="36"/>
      <c r="Z112" s="36"/>
      <c r="AA112" s="36"/>
      <c r="AB112" s="58"/>
      <c r="AC112" s="7"/>
    </row>
    <row r="113" spans="1:29">
      <c r="A113" s="23">
        <v>16</v>
      </c>
      <c r="B113" s="36">
        <v>0</v>
      </c>
      <c r="C113" s="36">
        <v>0</v>
      </c>
      <c r="D113" s="36">
        <v>0</v>
      </c>
      <c r="E113" s="36">
        <v>0</v>
      </c>
      <c r="F113" s="36">
        <v>2.5</v>
      </c>
      <c r="G113" s="36">
        <v>16.399999999999999</v>
      </c>
      <c r="H113" s="36">
        <v>0</v>
      </c>
      <c r="I113" s="36">
        <v>21.5</v>
      </c>
      <c r="J113" s="36">
        <v>0</v>
      </c>
      <c r="K113" s="38">
        <v>0</v>
      </c>
      <c r="L113" s="36">
        <v>0.4</v>
      </c>
      <c r="M113" s="36">
        <v>84</v>
      </c>
      <c r="N113" s="7"/>
      <c r="P113" s="57">
        <v>16</v>
      </c>
      <c r="Q113" s="36">
        <v>12</v>
      </c>
      <c r="R113" s="36">
        <v>8.5</v>
      </c>
      <c r="S113" s="36">
        <v>0</v>
      </c>
      <c r="T113" s="36">
        <v>0</v>
      </c>
      <c r="U113" s="36">
        <v>0.2</v>
      </c>
      <c r="V113" s="38">
        <v>0</v>
      </c>
      <c r="W113" s="36"/>
      <c r="X113" s="36"/>
      <c r="Y113" s="36"/>
      <c r="Z113" s="36"/>
      <c r="AA113" s="36"/>
      <c r="AB113" s="58"/>
      <c r="AC113" s="7"/>
    </row>
    <row r="114" spans="1:29">
      <c r="A114" s="23">
        <v>17</v>
      </c>
      <c r="B114" s="36">
        <v>0</v>
      </c>
      <c r="C114" s="38">
        <v>0</v>
      </c>
      <c r="D114" s="38">
        <v>0</v>
      </c>
      <c r="E114" s="36">
        <v>0</v>
      </c>
      <c r="F114" s="36">
        <v>0.5</v>
      </c>
      <c r="G114" s="36">
        <v>11</v>
      </c>
      <c r="H114" s="36">
        <v>0</v>
      </c>
      <c r="I114" s="36">
        <v>10.8</v>
      </c>
      <c r="J114" s="36">
        <v>3.1</v>
      </c>
      <c r="K114" s="38">
        <v>0</v>
      </c>
      <c r="L114" s="36">
        <v>0</v>
      </c>
      <c r="M114" s="36">
        <v>1.3</v>
      </c>
      <c r="N114" s="7"/>
      <c r="P114" s="57">
        <v>17</v>
      </c>
      <c r="Q114" s="36">
        <v>1</v>
      </c>
      <c r="R114" s="36">
        <v>6</v>
      </c>
      <c r="S114" s="36">
        <v>0</v>
      </c>
      <c r="T114" s="36">
        <v>32.4</v>
      </c>
      <c r="U114" s="36">
        <v>10.5</v>
      </c>
      <c r="V114" s="36">
        <v>0</v>
      </c>
      <c r="W114" s="36"/>
      <c r="X114" s="38"/>
      <c r="Y114" s="36"/>
      <c r="Z114" s="36"/>
      <c r="AA114" s="36"/>
      <c r="AB114" s="58"/>
      <c r="AC114" s="7"/>
    </row>
    <row r="115" spans="1:29">
      <c r="A115" s="23">
        <v>18</v>
      </c>
      <c r="B115" s="36">
        <v>0</v>
      </c>
      <c r="C115" s="36">
        <v>0</v>
      </c>
      <c r="D115" s="36">
        <v>0</v>
      </c>
      <c r="E115" s="36">
        <v>60</v>
      </c>
      <c r="F115" s="36">
        <v>2.8</v>
      </c>
      <c r="G115" s="36">
        <v>42.5</v>
      </c>
      <c r="H115" s="38">
        <v>0</v>
      </c>
      <c r="I115" s="36">
        <v>53.4</v>
      </c>
      <c r="J115" s="36">
        <v>63</v>
      </c>
      <c r="K115" s="36">
        <v>1.8</v>
      </c>
      <c r="L115" s="36">
        <v>0</v>
      </c>
      <c r="M115" s="36">
        <v>0</v>
      </c>
      <c r="N115" s="7"/>
      <c r="P115" s="57">
        <v>18</v>
      </c>
      <c r="Q115" s="36">
        <v>5.8</v>
      </c>
      <c r="R115" s="36">
        <v>0</v>
      </c>
      <c r="S115" s="36">
        <v>0</v>
      </c>
      <c r="T115" s="36">
        <v>8</v>
      </c>
      <c r="U115" s="36">
        <v>1</v>
      </c>
      <c r="V115" s="36">
        <v>1.3</v>
      </c>
      <c r="W115" s="36"/>
      <c r="X115" s="36"/>
      <c r="Y115" s="36"/>
      <c r="Z115" s="36"/>
      <c r="AA115" s="36"/>
      <c r="AB115" s="72"/>
      <c r="AC115" s="7"/>
    </row>
    <row r="116" spans="1:29">
      <c r="A116" s="23">
        <v>19</v>
      </c>
      <c r="B116" s="36">
        <v>0</v>
      </c>
      <c r="C116" s="36">
        <v>0</v>
      </c>
      <c r="D116" s="38">
        <v>0</v>
      </c>
      <c r="E116" s="36">
        <v>1.9</v>
      </c>
      <c r="F116" s="36">
        <v>90.4</v>
      </c>
      <c r="G116" s="36">
        <v>28.8</v>
      </c>
      <c r="H116" s="36">
        <v>0</v>
      </c>
      <c r="I116" s="36">
        <v>26.8</v>
      </c>
      <c r="J116" s="36">
        <v>38</v>
      </c>
      <c r="K116" s="36">
        <v>0</v>
      </c>
      <c r="L116" s="36">
        <v>26</v>
      </c>
      <c r="M116" s="36">
        <v>7.8</v>
      </c>
      <c r="N116" s="7"/>
      <c r="P116" s="57">
        <v>19</v>
      </c>
      <c r="Q116" s="36">
        <v>12.1</v>
      </c>
      <c r="R116" s="36">
        <v>2.2999999999999998</v>
      </c>
      <c r="S116" s="36">
        <v>0</v>
      </c>
      <c r="T116" s="36">
        <v>0</v>
      </c>
      <c r="U116" s="36">
        <v>5.2</v>
      </c>
      <c r="V116" s="36">
        <v>0</v>
      </c>
      <c r="W116" s="38"/>
      <c r="X116" s="36"/>
      <c r="Y116" s="36"/>
      <c r="Z116" s="36"/>
      <c r="AA116" s="36"/>
      <c r="AB116" s="58"/>
      <c r="AC116" s="7"/>
    </row>
    <row r="117" spans="1:29">
      <c r="A117" s="23">
        <v>20</v>
      </c>
      <c r="B117" s="36">
        <v>0</v>
      </c>
      <c r="C117" s="36">
        <v>0</v>
      </c>
      <c r="D117" s="36">
        <v>0</v>
      </c>
      <c r="F117" s="36">
        <v>0</v>
      </c>
      <c r="G117" s="36">
        <v>0.5</v>
      </c>
      <c r="H117" s="38">
        <v>0</v>
      </c>
      <c r="I117" s="36">
        <v>21.7</v>
      </c>
      <c r="J117" s="38">
        <v>0</v>
      </c>
      <c r="K117" s="36">
        <v>3</v>
      </c>
      <c r="L117" s="36">
        <v>14.5</v>
      </c>
      <c r="M117" s="36">
        <v>5.5</v>
      </c>
      <c r="N117" s="7"/>
      <c r="P117" s="57">
        <v>20</v>
      </c>
      <c r="Q117" s="36">
        <v>4.2</v>
      </c>
      <c r="R117" s="36">
        <v>12.5</v>
      </c>
      <c r="S117" s="38">
        <v>0</v>
      </c>
      <c r="T117" s="38">
        <v>0</v>
      </c>
      <c r="U117" s="38">
        <v>0</v>
      </c>
      <c r="V117" s="36">
        <v>14</v>
      </c>
      <c r="W117" s="36"/>
      <c r="X117" s="38"/>
      <c r="Y117" s="36"/>
      <c r="Z117" s="36"/>
      <c r="AA117" s="36"/>
      <c r="AB117" s="58"/>
      <c r="AC117" s="7"/>
    </row>
    <row r="118" spans="1:29">
      <c r="A118" s="23">
        <v>21</v>
      </c>
      <c r="B118" s="36">
        <v>0</v>
      </c>
      <c r="C118" s="36">
        <v>0</v>
      </c>
      <c r="D118" s="36">
        <v>0.4</v>
      </c>
      <c r="E118" s="36">
        <v>0</v>
      </c>
      <c r="F118" s="36">
        <v>0</v>
      </c>
      <c r="G118" s="36">
        <v>12</v>
      </c>
      <c r="H118" s="36">
        <v>0</v>
      </c>
      <c r="I118" s="36">
        <v>0</v>
      </c>
      <c r="J118" s="36">
        <v>0</v>
      </c>
      <c r="K118" s="36">
        <v>92.7</v>
      </c>
      <c r="L118" s="36">
        <v>0</v>
      </c>
      <c r="M118" s="36">
        <v>28.8</v>
      </c>
      <c r="N118" s="7"/>
      <c r="P118" s="57">
        <v>21</v>
      </c>
      <c r="Q118" s="36">
        <v>8.3000000000000007</v>
      </c>
      <c r="R118" s="36">
        <v>0</v>
      </c>
      <c r="S118" s="38">
        <v>0</v>
      </c>
      <c r="T118" s="36">
        <v>1</v>
      </c>
      <c r="U118" s="36">
        <v>13.8</v>
      </c>
      <c r="V118" s="36">
        <v>10</v>
      </c>
      <c r="W118" s="36"/>
      <c r="X118" s="36"/>
      <c r="Y118" s="36"/>
      <c r="Z118" s="36"/>
      <c r="AA118" s="38"/>
      <c r="AB118" s="58"/>
      <c r="AC118" s="7"/>
    </row>
    <row r="119" spans="1:29">
      <c r="A119" s="23">
        <v>22</v>
      </c>
      <c r="B119" s="36">
        <v>0</v>
      </c>
      <c r="C119" s="36">
        <v>0</v>
      </c>
      <c r="D119" s="36">
        <v>2.5</v>
      </c>
      <c r="E119" s="36">
        <v>0</v>
      </c>
      <c r="F119" s="38">
        <v>0</v>
      </c>
      <c r="G119" s="36">
        <v>0</v>
      </c>
      <c r="H119" s="36">
        <v>0</v>
      </c>
      <c r="I119" s="36">
        <v>18</v>
      </c>
      <c r="J119" s="38">
        <v>0</v>
      </c>
      <c r="K119" s="36">
        <v>0</v>
      </c>
      <c r="L119" s="36">
        <v>0</v>
      </c>
      <c r="M119" s="36">
        <v>0</v>
      </c>
      <c r="N119" s="7"/>
      <c r="P119" s="57">
        <v>22</v>
      </c>
      <c r="Q119" s="36">
        <v>0</v>
      </c>
      <c r="R119" s="36">
        <v>2.2999999999999998</v>
      </c>
      <c r="S119" s="36">
        <v>0</v>
      </c>
      <c r="T119" s="36">
        <v>1.2</v>
      </c>
      <c r="U119" s="36">
        <v>10.1</v>
      </c>
      <c r="V119" s="36">
        <v>108.1</v>
      </c>
      <c r="W119" s="36"/>
      <c r="X119" s="38"/>
      <c r="Y119" s="36"/>
      <c r="Z119" s="36"/>
      <c r="AA119" s="36"/>
      <c r="AB119" s="58"/>
      <c r="AC119" s="7"/>
    </row>
    <row r="120" spans="1:29">
      <c r="A120" s="23">
        <v>23</v>
      </c>
      <c r="B120" s="36">
        <v>0</v>
      </c>
      <c r="C120" s="36">
        <v>0</v>
      </c>
      <c r="D120" s="36">
        <v>6.2</v>
      </c>
      <c r="E120" s="36">
        <v>0</v>
      </c>
      <c r="F120" s="36">
        <v>0</v>
      </c>
      <c r="G120" s="36">
        <v>0</v>
      </c>
      <c r="H120" s="38">
        <v>0</v>
      </c>
      <c r="I120" s="36">
        <v>0</v>
      </c>
      <c r="J120" s="36">
        <v>24</v>
      </c>
      <c r="K120" s="36">
        <v>5.6</v>
      </c>
      <c r="L120" s="36">
        <v>0</v>
      </c>
      <c r="M120" s="38">
        <v>0</v>
      </c>
      <c r="N120" s="7"/>
      <c r="P120" s="57">
        <v>23</v>
      </c>
      <c r="Q120" s="36">
        <v>0</v>
      </c>
      <c r="R120" s="36">
        <v>0</v>
      </c>
      <c r="S120" s="36">
        <v>14.5</v>
      </c>
      <c r="T120" s="36">
        <v>3.5</v>
      </c>
      <c r="U120" s="36">
        <v>0</v>
      </c>
      <c r="V120" s="36">
        <v>0.3</v>
      </c>
      <c r="W120" s="36"/>
      <c r="X120" s="36"/>
      <c r="Y120" s="36"/>
      <c r="Z120" s="36"/>
      <c r="AA120" s="36"/>
      <c r="AB120" s="58"/>
      <c r="AC120" s="7"/>
    </row>
    <row r="121" spans="1:29">
      <c r="A121" s="23">
        <v>24</v>
      </c>
      <c r="B121" s="36">
        <v>0.3</v>
      </c>
      <c r="C121" s="36">
        <v>0</v>
      </c>
      <c r="D121" s="36">
        <v>21.3</v>
      </c>
      <c r="E121" s="36">
        <v>0</v>
      </c>
      <c r="F121" s="38">
        <v>0</v>
      </c>
      <c r="G121" s="36">
        <v>3.8</v>
      </c>
      <c r="H121" s="36">
        <v>0</v>
      </c>
      <c r="I121" s="36">
        <v>20.2</v>
      </c>
      <c r="J121" s="36">
        <v>15.5</v>
      </c>
      <c r="K121" s="36">
        <v>3.8</v>
      </c>
      <c r="L121" s="36">
        <v>9.1</v>
      </c>
      <c r="M121" s="36">
        <v>1.4</v>
      </c>
      <c r="N121" s="7"/>
      <c r="P121" s="57">
        <v>24</v>
      </c>
      <c r="Q121" s="36">
        <v>0</v>
      </c>
      <c r="R121" s="38">
        <v>0</v>
      </c>
      <c r="S121" s="36">
        <v>12.7</v>
      </c>
      <c r="T121" s="36">
        <v>1.3</v>
      </c>
      <c r="U121" s="36">
        <v>1.1000000000000001</v>
      </c>
      <c r="V121" s="36">
        <v>0.2</v>
      </c>
      <c r="W121" s="36"/>
      <c r="X121" s="36"/>
      <c r="Y121" s="36"/>
      <c r="Z121" s="38"/>
      <c r="AA121" s="36"/>
      <c r="AB121" s="58"/>
      <c r="AC121" s="7"/>
    </row>
    <row r="122" spans="1:29">
      <c r="A122" s="23">
        <v>25</v>
      </c>
      <c r="B122" s="36">
        <v>0</v>
      </c>
      <c r="C122" s="36">
        <v>0</v>
      </c>
      <c r="D122" s="36">
        <v>15.9</v>
      </c>
      <c r="E122" s="36">
        <v>0</v>
      </c>
      <c r="F122" s="38">
        <v>0</v>
      </c>
      <c r="G122" s="36">
        <v>0</v>
      </c>
      <c r="H122" s="36">
        <v>0</v>
      </c>
      <c r="I122" s="38">
        <v>0</v>
      </c>
      <c r="J122" s="36">
        <v>8.5</v>
      </c>
      <c r="K122" s="36">
        <v>0</v>
      </c>
      <c r="L122" s="36">
        <v>1.7</v>
      </c>
      <c r="M122" s="36">
        <v>0</v>
      </c>
      <c r="N122" s="7"/>
      <c r="P122" s="57">
        <v>25</v>
      </c>
      <c r="Q122" s="38">
        <v>0</v>
      </c>
      <c r="R122" s="38">
        <v>0</v>
      </c>
      <c r="S122" s="36">
        <v>2.5</v>
      </c>
      <c r="T122" s="36">
        <v>0</v>
      </c>
      <c r="U122" s="36">
        <v>0</v>
      </c>
      <c r="V122" s="36">
        <v>1</v>
      </c>
      <c r="W122" s="36"/>
      <c r="X122" s="36"/>
      <c r="Y122" s="36"/>
      <c r="Z122" s="36"/>
      <c r="AA122" s="36"/>
      <c r="AB122" s="58"/>
      <c r="AC122" s="7"/>
    </row>
    <row r="123" spans="1:29">
      <c r="A123" s="23">
        <v>26</v>
      </c>
      <c r="B123" s="36">
        <v>0</v>
      </c>
      <c r="C123" s="36">
        <v>0</v>
      </c>
      <c r="D123" s="36">
        <v>0.5</v>
      </c>
      <c r="F123" s="36">
        <v>0</v>
      </c>
      <c r="G123" s="36">
        <v>0</v>
      </c>
      <c r="H123" s="36">
        <v>0</v>
      </c>
      <c r="I123" s="36">
        <v>7</v>
      </c>
      <c r="J123" s="36">
        <v>0.3</v>
      </c>
      <c r="K123" s="36">
        <v>0</v>
      </c>
      <c r="L123" s="36">
        <v>0</v>
      </c>
      <c r="M123" s="36">
        <v>3</v>
      </c>
      <c r="N123" s="7"/>
      <c r="P123" s="57">
        <v>26</v>
      </c>
      <c r="Q123" s="36">
        <v>0</v>
      </c>
      <c r="R123" s="36">
        <v>1.4</v>
      </c>
      <c r="S123" s="36">
        <v>0</v>
      </c>
      <c r="T123" s="36">
        <v>0</v>
      </c>
      <c r="U123" s="36">
        <v>4.2</v>
      </c>
      <c r="V123" s="36">
        <v>19.600000000000001</v>
      </c>
      <c r="W123" s="36"/>
      <c r="X123" s="36"/>
      <c r="Y123" s="36"/>
      <c r="Z123" s="36"/>
      <c r="AA123" s="36"/>
      <c r="AB123" s="58"/>
      <c r="AC123" s="7"/>
    </row>
    <row r="124" spans="1:29">
      <c r="A124" s="23">
        <v>27</v>
      </c>
      <c r="B124" s="36">
        <v>0</v>
      </c>
      <c r="C124" s="36">
        <v>0</v>
      </c>
      <c r="D124" s="36">
        <v>4.5</v>
      </c>
      <c r="E124" s="36">
        <v>14.7</v>
      </c>
      <c r="F124" s="36">
        <v>4.2</v>
      </c>
      <c r="G124" s="36">
        <v>0</v>
      </c>
      <c r="H124" s="36">
        <v>2</v>
      </c>
      <c r="I124" s="36">
        <v>0</v>
      </c>
      <c r="J124" s="36">
        <v>31.8</v>
      </c>
      <c r="K124" s="36">
        <v>0</v>
      </c>
      <c r="L124" s="36">
        <v>6.4</v>
      </c>
      <c r="M124" s="36">
        <v>1.9</v>
      </c>
      <c r="N124" s="7"/>
      <c r="P124" s="57">
        <v>27</v>
      </c>
      <c r="Q124" s="36">
        <v>0</v>
      </c>
      <c r="R124" s="36">
        <v>0.8</v>
      </c>
      <c r="S124" s="36">
        <v>3.1</v>
      </c>
      <c r="T124" s="36">
        <v>2</v>
      </c>
      <c r="U124" s="36">
        <v>24.5</v>
      </c>
      <c r="V124" s="38">
        <v>0</v>
      </c>
      <c r="W124" s="36"/>
      <c r="X124" s="36"/>
      <c r="Y124" s="36"/>
      <c r="Z124" s="36"/>
      <c r="AA124" s="36"/>
      <c r="AB124" s="58"/>
      <c r="AC124" s="7"/>
    </row>
    <row r="125" spans="1:29">
      <c r="A125" s="23">
        <v>28</v>
      </c>
      <c r="B125" s="36">
        <v>0.1</v>
      </c>
      <c r="C125" s="36">
        <v>0</v>
      </c>
      <c r="D125" s="36">
        <v>0</v>
      </c>
      <c r="E125" s="36">
        <v>2.4</v>
      </c>
      <c r="F125" s="36">
        <v>7</v>
      </c>
      <c r="G125" s="36">
        <v>10.5</v>
      </c>
      <c r="H125" s="36">
        <v>0</v>
      </c>
      <c r="I125" s="36">
        <v>6.7</v>
      </c>
      <c r="J125" s="36">
        <v>0</v>
      </c>
      <c r="K125" s="36">
        <v>0</v>
      </c>
      <c r="L125" s="36">
        <v>36</v>
      </c>
      <c r="M125" s="43">
        <v>0</v>
      </c>
      <c r="N125" s="7"/>
      <c r="P125" s="57">
        <v>28</v>
      </c>
      <c r="Q125" s="36">
        <v>22.3</v>
      </c>
      <c r="R125" s="36">
        <v>0</v>
      </c>
      <c r="S125" s="36">
        <v>77.5</v>
      </c>
      <c r="T125" s="36">
        <v>22</v>
      </c>
      <c r="U125" s="36">
        <v>13</v>
      </c>
      <c r="V125" s="36">
        <v>1.2</v>
      </c>
      <c r="W125" s="38"/>
      <c r="X125" s="36"/>
      <c r="Y125" s="36"/>
      <c r="Z125" s="36"/>
      <c r="AA125" s="36"/>
      <c r="AB125" s="58"/>
      <c r="AC125" s="7"/>
    </row>
    <row r="126" spans="1:29">
      <c r="A126" s="23">
        <v>29</v>
      </c>
      <c r="B126" s="36">
        <v>13.2</v>
      </c>
      <c r="C126" s="36"/>
      <c r="D126" s="36">
        <v>70.599999999999994</v>
      </c>
      <c r="E126" s="36">
        <v>0</v>
      </c>
      <c r="F126" s="36">
        <v>41.6</v>
      </c>
      <c r="G126" s="36">
        <v>8.5</v>
      </c>
      <c r="H126" s="36">
        <v>0.1</v>
      </c>
      <c r="I126" s="36">
        <v>0</v>
      </c>
      <c r="J126" s="36">
        <v>0</v>
      </c>
      <c r="K126" s="36">
        <v>20.8</v>
      </c>
      <c r="L126" s="36">
        <v>21.4</v>
      </c>
      <c r="M126" s="36">
        <v>0</v>
      </c>
      <c r="N126" s="7"/>
      <c r="P126" s="57">
        <v>29</v>
      </c>
      <c r="Q126" s="36">
        <v>0</v>
      </c>
      <c r="R126" s="36">
        <v>2.7</v>
      </c>
      <c r="S126" s="36">
        <v>0</v>
      </c>
      <c r="T126" s="36">
        <v>12</v>
      </c>
      <c r="U126" s="36">
        <v>0</v>
      </c>
      <c r="V126" s="36">
        <v>0</v>
      </c>
      <c r="W126" s="36"/>
      <c r="X126" s="36"/>
      <c r="Y126" s="36"/>
      <c r="Z126" s="36"/>
      <c r="AA126" s="36"/>
      <c r="AB126" s="58"/>
      <c r="AC126" s="7"/>
    </row>
    <row r="127" spans="1:29">
      <c r="A127" s="23">
        <v>30</v>
      </c>
      <c r="B127" s="36">
        <v>3.6</v>
      </c>
      <c r="C127" s="36"/>
      <c r="D127" s="36">
        <v>0</v>
      </c>
      <c r="E127" s="36">
        <v>3.3</v>
      </c>
      <c r="F127" s="36">
        <v>5.2</v>
      </c>
      <c r="G127" s="36">
        <v>0</v>
      </c>
      <c r="H127" s="36">
        <v>0</v>
      </c>
      <c r="I127" s="36">
        <v>55.5</v>
      </c>
      <c r="J127" s="36">
        <v>1.2</v>
      </c>
      <c r="K127" s="36">
        <v>0</v>
      </c>
      <c r="L127" s="36">
        <v>0</v>
      </c>
      <c r="M127" s="36">
        <v>0</v>
      </c>
      <c r="N127" s="7"/>
      <c r="P127" s="57">
        <v>30</v>
      </c>
      <c r="Q127" s="36">
        <v>19.3</v>
      </c>
      <c r="R127" s="36"/>
      <c r="S127" s="36">
        <v>27.4</v>
      </c>
      <c r="T127" s="36">
        <v>0</v>
      </c>
      <c r="U127" s="36">
        <v>0</v>
      </c>
      <c r="V127" s="36">
        <v>23.9</v>
      </c>
      <c r="W127" s="36"/>
      <c r="X127" s="36"/>
      <c r="Y127" s="36"/>
      <c r="Z127" s="36"/>
      <c r="AA127" s="36"/>
      <c r="AB127" s="58"/>
      <c r="AC127" s="7"/>
    </row>
    <row r="128" spans="1:29">
      <c r="A128" s="23">
        <v>31</v>
      </c>
      <c r="B128" s="36">
        <v>0</v>
      </c>
      <c r="C128" s="24"/>
      <c r="D128" s="36"/>
      <c r="E128" s="24"/>
      <c r="F128" s="36">
        <v>30.2</v>
      </c>
      <c r="G128" s="24"/>
      <c r="H128" s="36"/>
      <c r="I128" s="36">
        <v>4.5</v>
      </c>
      <c r="J128" s="24"/>
      <c r="K128" s="36">
        <v>1</v>
      </c>
      <c r="L128" s="36"/>
      <c r="M128" s="36">
        <v>0.1</v>
      </c>
      <c r="N128" s="7"/>
      <c r="P128" s="57">
        <v>31</v>
      </c>
      <c r="Q128" s="36">
        <v>6</v>
      </c>
      <c r="R128" s="24"/>
      <c r="S128" s="36">
        <v>2.4</v>
      </c>
      <c r="T128" s="24"/>
      <c r="U128" s="36">
        <v>0</v>
      </c>
      <c r="V128" s="24"/>
      <c r="W128" s="36"/>
      <c r="X128" s="36"/>
      <c r="Y128" s="24"/>
      <c r="Z128" s="36"/>
      <c r="AA128" s="36"/>
      <c r="AB128" s="58"/>
      <c r="AC128" s="7"/>
    </row>
    <row r="129" spans="1:29">
      <c r="A129" s="25"/>
      <c r="B129" s="26"/>
      <c r="C129" s="26"/>
      <c r="D129" s="26"/>
      <c r="E129" s="27"/>
      <c r="F129" s="36"/>
      <c r="G129" s="26"/>
      <c r="H129" s="26"/>
      <c r="I129" s="26"/>
      <c r="J129" s="26"/>
      <c r="K129" s="26"/>
      <c r="L129" s="24"/>
      <c r="M129" s="29"/>
      <c r="N129" s="7"/>
      <c r="P129" s="59"/>
      <c r="Q129" s="26"/>
      <c r="R129" s="26"/>
      <c r="S129" s="26"/>
      <c r="T129" s="27"/>
      <c r="U129" s="36"/>
      <c r="V129" s="26"/>
      <c r="W129" s="26"/>
      <c r="X129" s="26"/>
      <c r="Y129" s="26"/>
      <c r="Z129" s="26"/>
      <c r="AA129" s="24"/>
      <c r="AB129" s="60"/>
      <c r="AC129" s="7"/>
    </row>
    <row r="130" spans="1:29">
      <c r="A130" s="23" t="s">
        <v>65</v>
      </c>
      <c r="B130" s="30">
        <f t="shared" ref="B130:M130" si="8">SUM(B98:B128)</f>
        <v>256.60000000000002</v>
      </c>
      <c r="C130" s="30">
        <f t="shared" si="8"/>
        <v>49.6</v>
      </c>
      <c r="D130" s="30">
        <f t="shared" si="8"/>
        <v>146.69999999999999</v>
      </c>
      <c r="E130" s="30">
        <f t="shared" si="8"/>
        <v>116.5</v>
      </c>
      <c r="F130" s="30">
        <f t="shared" si="8"/>
        <v>309.7</v>
      </c>
      <c r="G130" s="30">
        <f t="shared" si="8"/>
        <v>272.70000000000005</v>
      </c>
      <c r="H130" s="30">
        <f t="shared" si="8"/>
        <v>251</v>
      </c>
      <c r="I130" s="30">
        <f t="shared" si="8"/>
        <v>518</v>
      </c>
      <c r="J130" s="30">
        <f t="shared" si="8"/>
        <v>274.8</v>
      </c>
      <c r="K130" s="30">
        <f t="shared" si="8"/>
        <v>230.00000000000003</v>
      </c>
      <c r="L130" s="30">
        <f t="shared" si="8"/>
        <v>252.29999999999998</v>
      </c>
      <c r="M130" s="30">
        <f t="shared" si="8"/>
        <v>240.30000000000004</v>
      </c>
      <c r="N130" s="37">
        <f>SUM(B130:M130)</f>
        <v>2918.2000000000007</v>
      </c>
      <c r="P130" s="57" t="s">
        <v>65</v>
      </c>
      <c r="Q130" s="30">
        <f t="shared" ref="Q130:AB130" si="9">SUM(Q98:Q128)</f>
        <v>228.00000000000003</v>
      </c>
      <c r="R130" s="30">
        <f t="shared" si="9"/>
        <v>114.50000000000001</v>
      </c>
      <c r="S130" s="30">
        <f t="shared" si="9"/>
        <v>315.89999999999992</v>
      </c>
      <c r="T130" s="30">
        <f t="shared" si="9"/>
        <v>150</v>
      </c>
      <c r="U130" s="30">
        <f t="shared" si="9"/>
        <v>309.60000000000002</v>
      </c>
      <c r="V130" s="30">
        <f t="shared" si="9"/>
        <v>233.39999999999998</v>
      </c>
      <c r="W130" s="30">
        <f t="shared" si="9"/>
        <v>0</v>
      </c>
      <c r="X130" s="30">
        <f t="shared" si="9"/>
        <v>0</v>
      </c>
      <c r="Y130" s="30">
        <f t="shared" si="9"/>
        <v>0</v>
      </c>
      <c r="Z130" s="30">
        <f t="shared" si="9"/>
        <v>0</v>
      </c>
      <c r="AA130" s="30">
        <f t="shared" si="9"/>
        <v>0</v>
      </c>
      <c r="AB130" s="61">
        <f t="shared" si="9"/>
        <v>0</v>
      </c>
      <c r="AC130" s="37">
        <f>SUM(Q130:AB130)</f>
        <v>1351.4</v>
      </c>
    </row>
    <row r="131" spans="1:29">
      <c r="A131" s="23" t="s">
        <v>66</v>
      </c>
      <c r="B131" s="30">
        <f>MAX(B98:B128)</f>
        <v>117.2</v>
      </c>
      <c r="C131" s="30">
        <f t="shared" ref="C131:M131" si="10">MAX(C98:C128)</f>
        <v>29.2</v>
      </c>
      <c r="D131" s="30">
        <f t="shared" si="10"/>
        <v>70.599999999999994</v>
      </c>
      <c r="E131" s="30">
        <f t="shared" si="10"/>
        <v>60</v>
      </c>
      <c r="F131" s="30">
        <f t="shared" si="10"/>
        <v>90.4</v>
      </c>
      <c r="G131" s="30">
        <f t="shared" si="10"/>
        <v>42.5</v>
      </c>
      <c r="H131" s="30">
        <f t="shared" si="10"/>
        <v>193.9</v>
      </c>
      <c r="I131" s="30">
        <f t="shared" si="10"/>
        <v>100.6</v>
      </c>
      <c r="J131" s="30">
        <f t="shared" si="10"/>
        <v>63</v>
      </c>
      <c r="K131" s="30">
        <f t="shared" si="10"/>
        <v>98.1</v>
      </c>
      <c r="L131" s="30">
        <f t="shared" si="10"/>
        <v>60</v>
      </c>
      <c r="M131" s="30">
        <f t="shared" si="10"/>
        <v>87</v>
      </c>
      <c r="N131" s="37">
        <f>MAX(B131:M131)</f>
        <v>193.9</v>
      </c>
      <c r="P131" s="57" t="s">
        <v>66</v>
      </c>
      <c r="Q131" s="30">
        <f>MAX(Q98:Q128)</f>
        <v>50</v>
      </c>
      <c r="R131" s="30">
        <f t="shared" ref="R131:AB131" si="11">MAX(R98:R128)</f>
        <v>18</v>
      </c>
      <c r="S131" s="30">
        <f t="shared" si="11"/>
        <v>77.5</v>
      </c>
      <c r="T131" s="30">
        <f t="shared" si="11"/>
        <v>36.799999999999997</v>
      </c>
      <c r="U131" s="30">
        <f t="shared" si="11"/>
        <v>130.4</v>
      </c>
      <c r="V131" s="30">
        <f t="shared" si="11"/>
        <v>108.1</v>
      </c>
      <c r="W131" s="30">
        <f t="shared" si="11"/>
        <v>0</v>
      </c>
      <c r="X131" s="30">
        <f t="shared" si="11"/>
        <v>0</v>
      </c>
      <c r="Y131" s="30">
        <f t="shared" si="11"/>
        <v>0</v>
      </c>
      <c r="Z131" s="30">
        <f t="shared" si="11"/>
        <v>0</v>
      </c>
      <c r="AA131" s="30">
        <f t="shared" si="11"/>
        <v>0</v>
      </c>
      <c r="AB131" s="61">
        <f t="shared" si="11"/>
        <v>0</v>
      </c>
      <c r="AC131" s="37">
        <f>MAX(Q131:AB131)</f>
        <v>130.4</v>
      </c>
    </row>
    <row r="132" spans="1:29">
      <c r="A132" s="31"/>
      <c r="B132" s="7"/>
      <c r="C132" s="7"/>
      <c r="D132" s="7"/>
      <c r="E132" s="7"/>
      <c r="F132" s="7"/>
      <c r="G132" s="7"/>
      <c r="H132" s="32"/>
      <c r="I132" s="7"/>
      <c r="J132" s="7"/>
      <c r="K132" s="7"/>
      <c r="L132" s="7"/>
      <c r="M132" s="7"/>
      <c r="N132" s="7"/>
      <c r="P132" s="62"/>
      <c r="Q132" s="7"/>
      <c r="R132" s="7"/>
      <c r="S132" s="7"/>
      <c r="T132" s="7"/>
      <c r="U132" s="7"/>
      <c r="V132" s="7"/>
      <c r="W132" s="32"/>
      <c r="X132" s="7"/>
      <c r="Y132" s="7"/>
      <c r="Z132" s="7"/>
      <c r="AA132" s="7"/>
      <c r="AB132" s="63"/>
      <c r="AC132" s="7"/>
    </row>
    <row r="133" spans="1:29" ht="15.75" thickBot="1">
      <c r="A133" s="33" t="s">
        <v>67</v>
      </c>
      <c r="B133" s="34">
        <v>0</v>
      </c>
      <c r="C133" s="35" t="s">
        <v>68</v>
      </c>
      <c r="D133" s="19"/>
      <c r="E133" s="7"/>
      <c r="F133" s="7"/>
      <c r="G133" s="7"/>
      <c r="H133" s="32"/>
      <c r="I133" s="7"/>
      <c r="J133" s="7"/>
      <c r="K133" s="7"/>
      <c r="L133" s="7"/>
      <c r="M133" s="7"/>
      <c r="N133" s="7"/>
      <c r="P133" s="64" t="s">
        <v>67</v>
      </c>
      <c r="Q133" s="65">
        <v>0</v>
      </c>
      <c r="R133" s="66" t="s">
        <v>68</v>
      </c>
      <c r="S133" s="67"/>
      <c r="T133" s="68"/>
      <c r="U133" s="68"/>
      <c r="V133" s="68"/>
      <c r="W133" s="69"/>
      <c r="X133" s="68"/>
      <c r="Y133" s="68"/>
      <c r="Z133" s="68"/>
      <c r="AA133" s="68"/>
      <c r="AB133" s="70"/>
      <c r="AC133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C9BE-6610-48CA-97F0-CF5ADE391192}">
  <dimension ref="B4:K35"/>
  <sheetViews>
    <sheetView tabSelected="1" workbookViewId="0">
      <selection activeCell="Q14" sqref="Q14"/>
    </sheetView>
  </sheetViews>
  <sheetFormatPr defaultRowHeight="15"/>
  <sheetData>
    <row r="4" spans="2:11">
      <c r="B4" s="74"/>
      <c r="C4" s="75"/>
      <c r="D4" s="153" t="s">
        <v>100</v>
      </c>
      <c r="E4" s="153"/>
      <c r="F4" s="153"/>
      <c r="G4" s="153"/>
      <c r="H4" s="153"/>
      <c r="I4" s="153"/>
    </row>
    <row r="5" spans="2:11" ht="22.9" customHeight="1">
      <c r="B5" s="74"/>
      <c r="C5" s="74"/>
      <c r="D5" s="152" t="s">
        <v>101</v>
      </c>
      <c r="E5" s="152"/>
      <c r="F5" s="152" t="s">
        <v>102</v>
      </c>
      <c r="G5" s="152"/>
      <c r="H5" s="152" t="s">
        <v>103</v>
      </c>
      <c r="I5" s="152"/>
      <c r="J5" s="152" t="s">
        <v>104</v>
      </c>
      <c r="K5" s="152"/>
    </row>
    <row r="6" spans="2:11" ht="19.899999999999999" customHeight="1">
      <c r="B6" s="74"/>
      <c r="C6" s="74"/>
      <c r="D6" s="152"/>
      <c r="E6" s="152"/>
      <c r="F6" s="152"/>
      <c r="G6" s="152"/>
      <c r="H6" s="152"/>
      <c r="I6" s="152"/>
      <c r="J6" s="152"/>
      <c r="K6" s="152"/>
    </row>
    <row r="7" spans="2:11">
      <c r="B7" s="74"/>
      <c r="C7" s="76"/>
      <c r="D7" s="77" t="s">
        <v>105</v>
      </c>
      <c r="E7" s="77" t="s">
        <v>106</v>
      </c>
      <c r="F7" s="77" t="s">
        <v>105</v>
      </c>
      <c r="G7" s="77" t="s">
        <v>106</v>
      </c>
      <c r="H7" s="77" t="s">
        <v>105</v>
      </c>
      <c r="I7" s="77" t="s">
        <v>106</v>
      </c>
      <c r="J7" s="77" t="s">
        <v>105</v>
      </c>
      <c r="K7" s="77" t="s">
        <v>106</v>
      </c>
    </row>
    <row r="8" spans="2:11">
      <c r="B8" s="78">
        <v>1</v>
      </c>
      <c r="C8" s="76"/>
      <c r="D8" s="79">
        <v>2024</v>
      </c>
      <c r="E8" s="80">
        <f>'Sta. Meteorologi pnk'!AC266</f>
        <v>154</v>
      </c>
      <c r="F8" s="79">
        <v>2024</v>
      </c>
      <c r="G8" s="80">
        <f>'Sta. Meteorologi Supadio'!AC131</f>
        <v>105.1</v>
      </c>
      <c r="H8" s="79">
        <v>2024</v>
      </c>
      <c r="I8" s="80">
        <f>'Sta. Klimatologi Kalbar'!AC131</f>
        <v>130.4</v>
      </c>
      <c r="J8" s="79">
        <v>2024</v>
      </c>
      <c r="K8" s="80">
        <f>'Data 2'!AB362</f>
        <v>129.12271310124498</v>
      </c>
    </row>
    <row r="9" spans="2:11">
      <c r="B9" s="78">
        <v>2</v>
      </c>
      <c r="C9" s="76"/>
      <c r="D9" s="79">
        <v>2023</v>
      </c>
      <c r="E9" s="80">
        <f>'Sta. Meteorologi pnk'!AC221</f>
        <v>102.6</v>
      </c>
      <c r="F9" s="79">
        <v>2023</v>
      </c>
      <c r="G9" s="80">
        <f>'Sta. Meteorologi Supadio'!AC86</f>
        <v>119.7</v>
      </c>
      <c r="H9" s="79">
        <v>2023</v>
      </c>
      <c r="I9" s="80">
        <f>'Sta. Klimatologi Kalbar'!AC86</f>
        <v>107.3</v>
      </c>
      <c r="J9" s="79">
        <v>2023</v>
      </c>
      <c r="K9" s="80">
        <f>'Data 2'!AB322</f>
        <v>88.501121603717834</v>
      </c>
    </row>
    <row r="10" spans="2:11">
      <c r="B10" s="78">
        <v>3</v>
      </c>
      <c r="C10" s="76"/>
      <c r="D10" s="79">
        <v>2022</v>
      </c>
      <c r="E10" s="80">
        <f>'Sta. Meteorologi pnk'!AC176</f>
        <v>118.5</v>
      </c>
      <c r="F10" s="79">
        <v>2022</v>
      </c>
      <c r="G10" s="80">
        <f>'Sta. Meteorologi Supadio'!AC41</f>
        <v>130.6</v>
      </c>
      <c r="H10" s="79">
        <v>2022</v>
      </c>
      <c r="I10" s="80">
        <f>'Sta. Klimatologi Kalbar'!AC41</f>
        <v>106</v>
      </c>
      <c r="J10" s="79">
        <v>2022</v>
      </c>
      <c r="K10" s="80">
        <f>'Data 2'!AB282</f>
        <v>111.99264804542868</v>
      </c>
    </row>
    <row r="11" spans="2:11">
      <c r="B11" s="78">
        <v>4</v>
      </c>
      <c r="C11" s="76"/>
      <c r="D11" s="79">
        <v>2021</v>
      </c>
      <c r="E11" s="80">
        <f>'Sta. Meteorologi pnk'!AC131</f>
        <v>153.5</v>
      </c>
      <c r="F11" s="79">
        <v>2021</v>
      </c>
      <c r="G11" s="80">
        <f>'Sta. Meteorologi Supadio'!N131</f>
        <v>162</v>
      </c>
      <c r="H11" s="79">
        <v>2021</v>
      </c>
      <c r="I11" s="80">
        <f>'Sta. Klimatologi Kalbar'!N131</f>
        <v>193.9</v>
      </c>
      <c r="J11" s="79">
        <v>2021</v>
      </c>
      <c r="K11" s="80">
        <v>200</v>
      </c>
    </row>
    <row r="12" spans="2:11">
      <c r="B12" s="78">
        <v>5</v>
      </c>
      <c r="C12" s="76"/>
      <c r="D12" s="79">
        <v>2020</v>
      </c>
      <c r="E12" s="80">
        <f>'Sta. Meteorologi pnk'!AC86</f>
        <v>168</v>
      </c>
      <c r="F12" s="79">
        <v>2020</v>
      </c>
      <c r="G12" s="80">
        <f>'Sta. Meteorologi Supadio'!N86</f>
        <v>98.9</v>
      </c>
      <c r="H12" s="79">
        <v>2020</v>
      </c>
      <c r="I12" s="80">
        <f>'Sta. Klimatologi Kalbar'!N86</f>
        <v>163.9</v>
      </c>
      <c r="J12" s="79">
        <v>2020</v>
      </c>
      <c r="K12" s="80">
        <v>154</v>
      </c>
    </row>
    <row r="13" spans="2:11">
      <c r="B13" s="78">
        <v>6</v>
      </c>
      <c r="C13" s="76"/>
      <c r="D13" s="79">
        <v>2019</v>
      </c>
      <c r="E13" s="80">
        <f>'Sta. Meteorologi pnk'!AC41</f>
        <v>135.80000000000001</v>
      </c>
      <c r="F13" s="79">
        <v>2019</v>
      </c>
      <c r="G13" s="80">
        <f>'Sta. Meteorologi Supadio'!N41</f>
        <v>94.2</v>
      </c>
      <c r="H13" s="79">
        <v>2019</v>
      </c>
      <c r="I13" s="80">
        <f>'Sta. Klimatologi Kalbar'!N41</f>
        <v>120.7</v>
      </c>
      <c r="J13" s="79">
        <v>2019</v>
      </c>
      <c r="K13" s="80">
        <v>112</v>
      </c>
    </row>
    <row r="14" spans="2:11">
      <c r="B14" s="78">
        <v>7</v>
      </c>
      <c r="C14" s="76"/>
      <c r="D14" s="79">
        <v>2018</v>
      </c>
      <c r="E14" s="80">
        <f>'Sta. Meteorologi pnk'!N266</f>
        <v>118.7</v>
      </c>
      <c r="F14" s="79">
        <v>2018</v>
      </c>
      <c r="G14" s="80">
        <f>'Data 2'!BR242</f>
        <v>117.34084663190275</v>
      </c>
      <c r="H14" s="79">
        <v>2018</v>
      </c>
      <c r="I14" s="143">
        <f>'Data 2'!N242</f>
        <v>116.21562902253433</v>
      </c>
      <c r="J14" s="79">
        <v>2018</v>
      </c>
      <c r="K14" s="80">
        <v>115</v>
      </c>
    </row>
    <row r="15" spans="2:11">
      <c r="B15" s="78">
        <v>8</v>
      </c>
      <c r="C15" s="76"/>
      <c r="D15" s="79">
        <v>2017</v>
      </c>
      <c r="E15" s="80">
        <f>'Sta. Meteorologi pnk'!N221</f>
        <v>102</v>
      </c>
      <c r="F15" s="79">
        <v>2017</v>
      </c>
      <c r="G15" s="80">
        <f>'Data 2'!BR202</f>
        <v>89.143143815296455</v>
      </c>
      <c r="H15" s="79">
        <v>2017</v>
      </c>
      <c r="I15" s="143">
        <f>'Data 2'!N202</f>
        <v>110.78951656265785</v>
      </c>
      <c r="J15" s="79">
        <v>2017</v>
      </c>
      <c r="K15" s="80">
        <v>165</v>
      </c>
    </row>
    <row r="16" spans="2:11">
      <c r="B16" s="78">
        <v>9</v>
      </c>
      <c r="C16" s="76"/>
      <c r="D16" s="79">
        <v>2016</v>
      </c>
      <c r="E16" s="80">
        <f>'Sta. Meteorologi pnk'!N176</f>
        <v>86.5</v>
      </c>
      <c r="F16" s="79">
        <v>2016</v>
      </c>
      <c r="G16" s="80">
        <f>'Data 2'!BR162</f>
        <v>74.561490685632421</v>
      </c>
      <c r="H16" s="79">
        <v>2016</v>
      </c>
      <c r="I16" s="143">
        <f>'Data 2'!N162</f>
        <v>70.081983934303352</v>
      </c>
      <c r="J16" s="79">
        <v>2016</v>
      </c>
      <c r="K16" s="80">
        <v>85</v>
      </c>
    </row>
    <row r="17" spans="2:11">
      <c r="B17" s="78">
        <v>10</v>
      </c>
      <c r="C17" s="81"/>
      <c r="D17" s="79">
        <v>2015</v>
      </c>
      <c r="E17" s="82">
        <f>'Sta. Meteorologi pnk'!N131</f>
        <v>87</v>
      </c>
      <c r="F17" s="79">
        <v>2015</v>
      </c>
      <c r="G17" s="82">
        <f>'Data 2'!BR122</f>
        <v>75.612498807834015</v>
      </c>
      <c r="H17" s="79">
        <v>2015</v>
      </c>
      <c r="I17" s="143">
        <f>'Data 2'!N122</f>
        <v>66.184999918530949</v>
      </c>
      <c r="J17" s="79">
        <v>2015</v>
      </c>
      <c r="K17" s="82">
        <v>79</v>
      </c>
    </row>
    <row r="18" spans="2:11">
      <c r="B18" s="78">
        <v>11</v>
      </c>
      <c r="C18" s="81"/>
      <c r="D18" s="79">
        <v>2014</v>
      </c>
      <c r="E18" s="82">
        <f>'Sta. Meteorologi pnk'!N86</f>
        <v>150.4</v>
      </c>
      <c r="F18" s="79">
        <v>2014</v>
      </c>
      <c r="G18" s="82">
        <f>'Data 2'!BR82</f>
        <v>95.152252280588186</v>
      </c>
      <c r="H18" s="79">
        <v>2014</v>
      </c>
      <c r="I18" s="143">
        <f>'Data 2'!N82</f>
        <v>108.90466165903574</v>
      </c>
      <c r="J18" s="79">
        <v>2014</v>
      </c>
      <c r="K18" s="82">
        <v>155</v>
      </c>
    </row>
    <row r="19" spans="2:11">
      <c r="B19" s="78">
        <v>12</v>
      </c>
      <c r="C19" s="81"/>
      <c r="D19" s="79">
        <v>2013</v>
      </c>
      <c r="E19" s="82">
        <f>'Sta. Meteorologi pnk'!N41</f>
        <v>119.7</v>
      </c>
      <c r="F19" s="79">
        <v>2013</v>
      </c>
      <c r="G19" s="82">
        <f>'Data 2'!BR42</f>
        <v>87.851730536748647</v>
      </c>
      <c r="H19" s="79">
        <v>2013</v>
      </c>
      <c r="I19" s="143">
        <f>'Data 2'!N42</f>
        <v>84.266677529206646</v>
      </c>
      <c r="J19" s="79">
        <v>2013</v>
      </c>
      <c r="K19" s="82">
        <v>112</v>
      </c>
    </row>
    <row r="20" spans="2:11">
      <c r="B20" s="78"/>
      <c r="C20" s="81"/>
      <c r="D20" s="79">
        <v>2012</v>
      </c>
      <c r="E20" s="82"/>
      <c r="F20" s="79"/>
      <c r="G20" s="82"/>
      <c r="H20" s="79"/>
      <c r="I20" s="82"/>
      <c r="J20" s="79">
        <v>2012</v>
      </c>
      <c r="K20" s="82">
        <v>118</v>
      </c>
    </row>
    <row r="21" spans="2:11">
      <c r="B21" s="78"/>
      <c r="C21" s="81"/>
      <c r="D21" s="79">
        <v>2011</v>
      </c>
      <c r="E21" s="82"/>
      <c r="F21" s="79"/>
      <c r="G21" s="82"/>
      <c r="H21" s="79"/>
      <c r="I21" s="82"/>
      <c r="J21" s="79">
        <v>2011</v>
      </c>
      <c r="K21" s="82">
        <v>100</v>
      </c>
    </row>
    <row r="22" spans="2:11">
      <c r="B22" s="78"/>
      <c r="C22" s="81"/>
      <c r="D22" s="79">
        <v>2010</v>
      </c>
      <c r="E22" s="82"/>
      <c r="F22" s="79"/>
      <c r="G22" s="82"/>
      <c r="H22" s="79"/>
      <c r="I22" s="82"/>
      <c r="J22" s="79">
        <v>2010</v>
      </c>
      <c r="K22" s="82">
        <v>129</v>
      </c>
    </row>
    <row r="23" spans="2:11">
      <c r="B23" s="78"/>
      <c r="C23" s="81"/>
      <c r="D23" s="79">
        <v>2009</v>
      </c>
      <c r="E23" s="82"/>
      <c r="F23" s="79"/>
      <c r="G23" s="82"/>
      <c r="H23" s="79"/>
      <c r="I23" s="82"/>
      <c r="J23" s="79">
        <v>2009</v>
      </c>
      <c r="K23" s="82">
        <v>133</v>
      </c>
    </row>
    <row r="24" spans="2:11">
      <c r="B24" s="78"/>
      <c r="C24" s="81"/>
      <c r="D24" s="79">
        <v>2008</v>
      </c>
      <c r="E24" s="82"/>
      <c r="F24" s="79"/>
      <c r="G24" s="82"/>
      <c r="H24" s="79"/>
      <c r="I24" s="82"/>
      <c r="J24" s="79">
        <v>2008</v>
      </c>
      <c r="K24" s="82">
        <v>109</v>
      </c>
    </row>
    <row r="25" spans="2:11">
      <c r="B25" s="78"/>
      <c r="C25" s="81"/>
      <c r="D25" s="79">
        <v>2007</v>
      </c>
      <c r="E25" s="82"/>
      <c r="F25" s="79"/>
      <c r="G25" s="82"/>
      <c r="H25" s="79"/>
      <c r="I25" s="82"/>
      <c r="J25" s="79">
        <v>2007</v>
      </c>
      <c r="K25" s="82">
        <v>114</v>
      </c>
    </row>
    <row r="26" spans="2:11">
      <c r="B26" s="78"/>
      <c r="C26" s="81"/>
      <c r="D26" s="79">
        <v>2006</v>
      </c>
      <c r="E26" s="82"/>
      <c r="F26" s="79"/>
      <c r="G26" s="82"/>
      <c r="H26" s="79"/>
      <c r="I26" s="82"/>
      <c r="J26" s="79">
        <v>2006</v>
      </c>
      <c r="K26" s="82">
        <v>134</v>
      </c>
    </row>
    <row r="27" spans="2:11">
      <c r="B27" s="78"/>
      <c r="C27" s="81"/>
      <c r="D27" s="79">
        <v>2005</v>
      </c>
      <c r="E27" s="82"/>
      <c r="F27" s="79"/>
      <c r="G27" s="82"/>
      <c r="H27" s="79"/>
      <c r="I27" s="82"/>
      <c r="J27" s="79">
        <v>2005</v>
      </c>
      <c r="K27" s="82">
        <v>127</v>
      </c>
    </row>
    <row r="28" spans="2:11">
      <c r="B28" s="78"/>
      <c r="C28" s="81"/>
      <c r="D28" s="79">
        <v>2004</v>
      </c>
      <c r="E28" s="82"/>
      <c r="F28" s="79"/>
      <c r="G28" s="82"/>
      <c r="H28" s="79"/>
      <c r="I28" s="82"/>
      <c r="J28" s="79">
        <v>2004</v>
      </c>
      <c r="K28" s="82">
        <v>120</v>
      </c>
    </row>
    <row r="29" spans="2:11">
      <c r="B29" s="78"/>
      <c r="C29" s="81"/>
      <c r="D29" s="79">
        <v>2003</v>
      </c>
      <c r="E29" s="82"/>
      <c r="F29" s="79"/>
      <c r="G29" s="82"/>
      <c r="H29" s="79"/>
      <c r="I29" s="82"/>
      <c r="J29" s="79">
        <v>2003</v>
      </c>
      <c r="K29" s="82">
        <v>184</v>
      </c>
    </row>
    <row r="30" spans="2:11">
      <c r="B30" s="78"/>
      <c r="C30" s="81"/>
      <c r="D30" s="79">
        <v>2002</v>
      </c>
      <c r="E30" s="82"/>
      <c r="F30" s="79"/>
      <c r="G30" s="82"/>
      <c r="H30" s="79"/>
      <c r="I30" s="82"/>
      <c r="J30" s="79">
        <v>2002</v>
      </c>
      <c r="K30" s="82">
        <v>103</v>
      </c>
    </row>
    <row r="31" spans="2:11">
      <c r="B31" s="78"/>
      <c r="C31" s="81"/>
      <c r="D31" s="124"/>
      <c r="E31" s="125"/>
      <c r="F31" s="124"/>
      <c r="G31" s="125"/>
      <c r="H31" s="124"/>
      <c r="I31" s="125"/>
      <c r="J31" s="124"/>
      <c r="K31" s="125"/>
    </row>
    <row r="32" spans="2:11">
      <c r="B32" s="78"/>
      <c r="C32" s="81"/>
      <c r="D32" s="83"/>
      <c r="E32" s="84"/>
    </row>
    <row r="33" spans="2:11">
      <c r="B33" s="74"/>
      <c r="C33" s="76"/>
      <c r="D33" s="85" t="s">
        <v>65</v>
      </c>
      <c r="E33" s="86">
        <f>SUM(E8:E30)</f>
        <v>1496.7000000000003</v>
      </c>
      <c r="F33" s="85" t="s">
        <v>65</v>
      </c>
      <c r="G33" s="86">
        <f>SUM(G8:G19)</f>
        <v>1250.1619627580026</v>
      </c>
      <c r="H33" s="85" t="s">
        <v>65</v>
      </c>
      <c r="I33" s="86">
        <f>SUM(I8:I19)</f>
        <v>1378.6434686262689</v>
      </c>
      <c r="J33" s="85" t="s">
        <v>65</v>
      </c>
      <c r="K33" s="86">
        <f>SUM(K8:K30)</f>
        <v>2877.6164827503917</v>
      </c>
    </row>
    <row r="34" spans="2:11">
      <c r="B34" s="74"/>
      <c r="C34" s="76"/>
      <c r="D34" s="85" t="s">
        <v>107</v>
      </c>
      <c r="E34" s="86">
        <f>AVERAGE(E8:E30)</f>
        <v>124.72500000000002</v>
      </c>
      <c r="F34" s="85" t="s">
        <v>107</v>
      </c>
      <c r="G34" s="86">
        <f>AVERAGE(G8:G13)</f>
        <v>118.41666666666667</v>
      </c>
      <c r="H34" s="85" t="s">
        <v>107</v>
      </c>
      <c r="I34" s="86">
        <f>AVERAGE(I8:I13)</f>
        <v>137.03333333333333</v>
      </c>
      <c r="J34" s="85" t="s">
        <v>107</v>
      </c>
      <c r="K34" s="86">
        <f>AVERAGE(K8:K30)</f>
        <v>125.11376011958225</v>
      </c>
    </row>
    <row r="35" spans="2:11">
      <c r="B35" s="74"/>
      <c r="C35" s="76"/>
      <c r="D35" s="85" t="s">
        <v>108</v>
      </c>
      <c r="E35" s="86">
        <f>MAX(E8:E30)</f>
        <v>168</v>
      </c>
      <c r="F35" s="85" t="s">
        <v>108</v>
      </c>
      <c r="G35" s="86">
        <f>MAX(G8:G19)</f>
        <v>162</v>
      </c>
      <c r="H35" s="85" t="s">
        <v>108</v>
      </c>
      <c r="I35" s="86">
        <f>MAX(I8:I19)</f>
        <v>193.9</v>
      </c>
      <c r="J35" s="85" t="s">
        <v>108</v>
      </c>
      <c r="K35" s="86">
        <f>MAX(K8:K30)</f>
        <v>200</v>
      </c>
    </row>
  </sheetData>
  <mergeCells count="5">
    <mergeCell ref="D5:E6"/>
    <mergeCell ref="F5:G6"/>
    <mergeCell ref="H5:I6"/>
    <mergeCell ref="D4:I4"/>
    <mergeCell ref="J5:K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f7e0aa-bf87-403e-9375-642b9b3eec0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5DAD5FAEEE0409F7486A78E2ED810" ma:contentTypeVersion="9" ma:contentTypeDescription="Create a new document." ma:contentTypeScope="" ma:versionID="23f6bc5b67729e26ae8e11310d89e75a">
  <xsd:schema xmlns:xsd="http://www.w3.org/2001/XMLSchema" xmlns:xs="http://www.w3.org/2001/XMLSchema" xmlns:p="http://schemas.microsoft.com/office/2006/metadata/properties" xmlns:ns2="23f7e0aa-bf87-403e-9375-642b9b3eec0d" targetNamespace="http://schemas.microsoft.com/office/2006/metadata/properties" ma:root="true" ma:fieldsID="a6baeaa8941b35702bd322e776f6b1d4" ns2:_="">
    <xsd:import namespace="23f7e0aa-bf87-403e-9375-642b9b3eec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f7e0aa-bf87-403e-9375-642b9b3eec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bf906fe-3e8e-4b22-a6fd-bde302b921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DD1464-5F75-4B37-9D84-9C3F6E9AF353}"/>
</file>

<file path=customXml/itemProps2.xml><?xml version="1.0" encoding="utf-8"?>
<ds:datastoreItem xmlns:ds="http://schemas.openxmlformats.org/officeDocument/2006/customXml" ds:itemID="{F0503F7F-E42C-468E-A527-386C9A1E8B59}"/>
</file>

<file path=customXml/itemProps3.xml><?xml version="1.0" encoding="utf-8"?>
<ds:datastoreItem xmlns:ds="http://schemas.openxmlformats.org/officeDocument/2006/customXml" ds:itemID="{8D562143-20A1-4C4E-BC86-02AC1A6776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Ali</dc:creator>
  <cp:keywords/>
  <dc:description/>
  <cp:lastModifiedBy>berosetudio@gmail.com</cp:lastModifiedBy>
  <cp:revision/>
  <dcterms:created xsi:type="dcterms:W3CDTF">2024-10-09T03:12:03Z</dcterms:created>
  <dcterms:modified xsi:type="dcterms:W3CDTF">2025-07-05T08:44:25Z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0x0101002415DAD5FAEEE0409F7486A78E2ED810</vt:lpwstr>
  </property>
  <property fmtid="{D5CDD505-2E9C-101B-9397-08002B2CF9AE}" pid="3" name="MediaServiceImageTags">
    <vt:lpwstr/>
  </property>
</Properties>
</file>